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Invoer!$A$2:$H$381</definedName>
    <definedName name="Catalogus">Info!$J$3:$Q$4</definedName>
    <definedName name="Data">Invoer!$A$3:$H$381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E381" i="1" l="1"/>
  <c r="D381" i="1"/>
  <c r="E349" i="1"/>
  <c r="D349" i="1"/>
  <c r="E318" i="1"/>
  <c r="D318" i="1"/>
  <c r="E286" i="1"/>
  <c r="D286" i="1"/>
  <c r="E255" i="1"/>
  <c r="D255" i="1"/>
  <c r="E223" i="1"/>
  <c r="D223" i="1"/>
  <c r="E191" i="1"/>
  <c r="D191" i="1"/>
  <c r="E160" i="1"/>
  <c r="D160" i="1"/>
  <c r="E128" i="1"/>
  <c r="D128" i="1"/>
  <c r="E97" i="1"/>
  <c r="D97" i="1"/>
  <c r="E65" i="1"/>
  <c r="D65" i="1"/>
  <c r="E36" i="1"/>
  <c r="D36" i="1"/>
  <c r="C381" i="1"/>
  <c r="B381" i="1"/>
  <c r="C349" i="1"/>
  <c r="B349" i="1"/>
  <c r="C318" i="1"/>
  <c r="B318" i="1"/>
  <c r="C286" i="1"/>
  <c r="B286" i="1"/>
  <c r="C255" i="1"/>
  <c r="B255" i="1"/>
  <c r="C223" i="1"/>
  <c r="B223" i="1"/>
  <c r="C191" i="1"/>
  <c r="B191" i="1"/>
  <c r="C160" i="1"/>
  <c r="B160" i="1"/>
  <c r="C128" i="1"/>
  <c r="B128" i="1"/>
  <c r="C97" i="1"/>
  <c r="B97" i="1"/>
  <c r="C65" i="1"/>
  <c r="B65" i="1"/>
  <c r="C36" i="1"/>
  <c r="B36" i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1" i="6" l="1"/>
  <c r="A2" i="3" l="1"/>
  <c r="H381" i="1" l="1"/>
  <c r="G381" i="1"/>
  <c r="F381" i="1"/>
  <c r="H349" i="1"/>
  <c r="G349" i="1"/>
  <c r="F349" i="1"/>
  <c r="H318" i="1"/>
  <c r="G318" i="1"/>
  <c r="F318" i="1"/>
  <c r="H286" i="1"/>
  <c r="G286" i="1"/>
  <c r="F286" i="1"/>
  <c r="H255" i="1"/>
  <c r="G255" i="1"/>
  <c r="F255" i="1"/>
  <c r="H223" i="1"/>
  <c r="G223" i="1"/>
  <c r="F223" i="1"/>
  <c r="H191" i="1"/>
  <c r="G191" i="1"/>
  <c r="F191" i="1"/>
  <c r="H160" i="1"/>
  <c r="G160" i="1"/>
  <c r="F160" i="1"/>
  <c r="H128" i="1"/>
  <c r="G128" i="1"/>
  <c r="F128" i="1"/>
  <c r="H97" i="1"/>
  <c r="G97" i="1"/>
  <c r="F97" i="1"/>
  <c r="H65" i="1"/>
  <c r="G65" i="1"/>
  <c r="F65" i="1"/>
  <c r="H36" i="1"/>
  <c r="G36" i="1"/>
  <c r="F36" i="1"/>
  <c r="A1" i="5" l="1"/>
  <c r="A5" i="1" l="1"/>
  <c r="B2" i="3" l="1"/>
  <c r="B3" i="3"/>
  <c r="F3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F5" i="3" l="1"/>
  <c r="F4" i="3"/>
  <c r="D5" i="3"/>
  <c r="D3" i="3"/>
  <c r="D4" i="3"/>
  <c r="D2" i="3"/>
  <c r="F2" i="3"/>
  <c r="G5" i="3"/>
  <c r="E5" i="3"/>
  <c r="E3" i="3"/>
  <c r="G3" i="3"/>
  <c r="G4" i="3"/>
  <c r="E4" i="3"/>
  <c r="E2" i="3"/>
  <c r="G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F7" i="3" l="1"/>
  <c r="F6" i="3"/>
  <c r="D6" i="3"/>
  <c r="D7" i="3"/>
  <c r="G6" i="3"/>
  <c r="E6" i="3"/>
  <c r="G7" i="3"/>
  <c r="E7" i="3"/>
  <c r="A5" i="6"/>
  <c r="A3" i="6"/>
  <c r="A4" i="6"/>
  <c r="A2" i="6"/>
  <c r="A368" i="5"/>
  <c r="A3" i="5"/>
  <c r="A732" i="5"/>
  <c r="A733" i="5"/>
  <c r="A367" i="5"/>
  <c r="D734" i="2"/>
  <c r="E369" i="2"/>
  <c r="E734" i="2"/>
  <c r="D369" i="2"/>
  <c r="A369" i="5" s="1"/>
  <c r="E4" i="2"/>
  <c r="D4" i="2"/>
  <c r="A2" i="5"/>
  <c r="A8" i="1"/>
  <c r="F9" i="3" l="1"/>
  <c r="F8" i="3"/>
  <c r="D9" i="3"/>
  <c r="D8" i="3"/>
  <c r="A7" i="6"/>
  <c r="E8" i="3"/>
  <c r="A6" i="6"/>
  <c r="E9" i="3"/>
  <c r="G9" i="3"/>
  <c r="G8" i="3"/>
  <c r="A4" i="5"/>
  <c r="A734" i="5"/>
  <c r="E5" i="2"/>
  <c r="E735" i="2"/>
  <c r="D370" i="2"/>
  <c r="D735" i="2"/>
  <c r="E370" i="2"/>
  <c r="D5" i="2"/>
  <c r="A9" i="1"/>
  <c r="E10" i="3" s="1"/>
  <c r="F10" i="3" l="1"/>
  <c r="F11" i="3"/>
  <c r="D10" i="3"/>
  <c r="D11" i="3"/>
  <c r="A8" i="6"/>
  <c r="A9" i="6"/>
  <c r="E11" i="3"/>
  <c r="G11" i="3"/>
  <c r="G10" i="3"/>
  <c r="A5" i="5"/>
  <c r="A735" i="5"/>
  <c r="A370" i="5"/>
  <c r="E736" i="2"/>
  <c r="E6" i="2"/>
  <c r="D736" i="2"/>
  <c r="D371" i="2"/>
  <c r="D6" i="2"/>
  <c r="E371" i="2"/>
  <c r="A10" i="1"/>
  <c r="G13" i="3" l="1"/>
  <c r="A11" i="6"/>
  <c r="G12" i="3"/>
  <c r="E13" i="3"/>
  <c r="A10" i="6"/>
  <c r="E12" i="3"/>
  <c r="A736" i="5"/>
  <c r="A6" i="5"/>
  <c r="A371" i="5"/>
  <c r="E372" i="2"/>
  <c r="D7" i="2"/>
  <c r="E737" i="2"/>
  <c r="E7" i="2"/>
  <c r="D372" i="2"/>
  <c r="A372" i="5" s="1"/>
  <c r="D737" i="2"/>
  <c r="A11" i="1"/>
  <c r="E14" i="3" l="1"/>
  <c r="G14" i="3"/>
  <c r="G15" i="3"/>
  <c r="E15" i="3"/>
  <c r="A737" i="5"/>
  <c r="A7" i="5"/>
  <c r="A12" i="1"/>
  <c r="E17" i="3" s="1"/>
  <c r="E16" i="3" l="1"/>
  <c r="G16" i="3"/>
  <c r="G17" i="3"/>
  <c r="A13" i="1"/>
  <c r="E18" i="3" l="1"/>
  <c r="G18" i="3"/>
  <c r="E19" i="3"/>
  <c r="G19" i="3"/>
  <c r="A14" i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200" i="3" l="1"/>
  <c r="F94" i="3"/>
  <c r="F192" i="3"/>
  <c r="F152" i="3"/>
  <c r="F120" i="3"/>
  <c r="F14" i="3"/>
  <c r="F46" i="3"/>
  <c r="F78" i="3"/>
  <c r="F196" i="3"/>
  <c r="F228" i="3"/>
  <c r="F260" i="3"/>
  <c r="F292" i="3"/>
  <c r="F324" i="3"/>
  <c r="F21" i="3"/>
  <c r="F53" i="3"/>
  <c r="F85" i="3"/>
  <c r="F117" i="3"/>
  <c r="F149" i="3"/>
  <c r="F181" i="3"/>
  <c r="F213" i="3"/>
  <c r="F245" i="3"/>
  <c r="F277" i="3"/>
  <c r="F309" i="3"/>
  <c r="F344" i="3"/>
  <c r="F376" i="3"/>
  <c r="F408" i="3"/>
  <c r="F440" i="3"/>
  <c r="F472" i="3"/>
  <c r="F504" i="3"/>
  <c r="F536" i="3"/>
  <c r="F568" i="3"/>
  <c r="F600" i="3"/>
  <c r="F632" i="3"/>
  <c r="F664" i="3"/>
  <c r="F696" i="3"/>
  <c r="F728" i="3"/>
  <c r="F369" i="3"/>
  <c r="F401" i="3"/>
  <c r="F433" i="3"/>
  <c r="F465" i="3"/>
  <c r="F497" i="3"/>
  <c r="F529" i="3"/>
  <c r="F561" i="3"/>
  <c r="F593" i="3"/>
  <c r="F625" i="3"/>
  <c r="F657" i="3"/>
  <c r="F689" i="3"/>
  <c r="F721" i="3"/>
  <c r="F118" i="3"/>
  <c r="F150" i="3"/>
  <c r="F182" i="3"/>
  <c r="F214" i="3"/>
  <c r="F246" i="3"/>
  <c r="F278" i="3"/>
  <c r="F310" i="3"/>
  <c r="F342" i="3"/>
  <c r="F35" i="3"/>
  <c r="F67" i="3"/>
  <c r="F99" i="3"/>
  <c r="F131" i="3"/>
  <c r="F163" i="3"/>
  <c r="F195" i="3"/>
  <c r="F227" i="3"/>
  <c r="F259" i="3"/>
  <c r="F291" i="3"/>
  <c r="F323" i="3"/>
  <c r="F358" i="3"/>
  <c r="F390" i="3"/>
  <c r="F422" i="3"/>
  <c r="F454" i="3"/>
  <c r="F486" i="3"/>
  <c r="F518" i="3"/>
  <c r="F550" i="3"/>
  <c r="F582" i="3"/>
  <c r="F614" i="3"/>
  <c r="F646" i="3"/>
  <c r="F678" i="3"/>
  <c r="F710" i="3"/>
  <c r="F351" i="3"/>
  <c r="F383" i="3"/>
  <c r="F415" i="3"/>
  <c r="F447" i="3"/>
  <c r="F479" i="3"/>
  <c r="F511" i="3"/>
  <c r="F543" i="3"/>
  <c r="F575" i="3"/>
  <c r="F607" i="3"/>
  <c r="F639" i="3"/>
  <c r="F671" i="3"/>
  <c r="F703" i="3"/>
  <c r="F88" i="3"/>
  <c r="F56" i="3"/>
  <c r="F24" i="3"/>
  <c r="F232" i="3"/>
  <c r="F264" i="3"/>
  <c r="F296" i="3"/>
  <c r="F328" i="3"/>
  <c r="F41" i="3"/>
  <c r="F73" i="3"/>
  <c r="F105" i="3"/>
  <c r="F137" i="3"/>
  <c r="F169" i="3"/>
  <c r="F201" i="3"/>
  <c r="F233" i="3"/>
  <c r="F265" i="3"/>
  <c r="F297" i="3"/>
  <c r="F329" i="3"/>
  <c r="F364" i="3"/>
  <c r="F396" i="3"/>
  <c r="F428" i="3"/>
  <c r="F460" i="3"/>
  <c r="F492" i="3"/>
  <c r="F524" i="3"/>
  <c r="F556" i="3"/>
  <c r="F588" i="3"/>
  <c r="F620" i="3"/>
  <c r="F652" i="3"/>
  <c r="F684" i="3"/>
  <c r="F716" i="3"/>
  <c r="F357" i="3"/>
  <c r="F389" i="3"/>
  <c r="F421" i="3"/>
  <c r="F453" i="3"/>
  <c r="F485" i="3"/>
  <c r="F517" i="3"/>
  <c r="F549" i="3"/>
  <c r="F581" i="3"/>
  <c r="F613" i="3"/>
  <c r="F645" i="3"/>
  <c r="F677" i="3"/>
  <c r="F709" i="3"/>
  <c r="F106" i="3"/>
  <c r="F138" i="3"/>
  <c r="F170" i="3"/>
  <c r="F202" i="3"/>
  <c r="F234" i="3"/>
  <c r="F266" i="3"/>
  <c r="F298" i="3"/>
  <c r="F330" i="3"/>
  <c r="F31" i="3"/>
  <c r="F63" i="3"/>
  <c r="F95" i="3"/>
  <c r="F127" i="3"/>
  <c r="F159" i="3"/>
  <c r="F191" i="3"/>
  <c r="F223" i="3"/>
  <c r="F255" i="3"/>
  <c r="F287" i="3"/>
  <c r="F319" i="3"/>
  <c r="F354" i="3"/>
  <c r="F386" i="3"/>
  <c r="F418" i="3"/>
  <c r="F450" i="3"/>
  <c r="F482" i="3"/>
  <c r="F514" i="3"/>
  <c r="F546" i="3"/>
  <c r="F578" i="3"/>
  <c r="F610" i="3"/>
  <c r="F642" i="3"/>
  <c r="F674" i="3"/>
  <c r="F706" i="3"/>
  <c r="F347" i="3"/>
  <c r="F379" i="3"/>
  <c r="F411" i="3"/>
  <c r="F443" i="3"/>
  <c r="F475" i="3"/>
  <c r="F507" i="3"/>
  <c r="F539" i="3"/>
  <c r="F571" i="3"/>
  <c r="F603" i="3"/>
  <c r="F635" i="3"/>
  <c r="F667" i="3"/>
  <c r="F699" i="3"/>
  <c r="F731" i="3"/>
  <c r="F60" i="3"/>
  <c r="F28" i="3"/>
  <c r="F184" i="3"/>
  <c r="F148" i="3"/>
  <c r="F116" i="3"/>
  <c r="F42" i="3"/>
  <c r="F74" i="3"/>
  <c r="F176" i="3"/>
  <c r="F144" i="3"/>
  <c r="F112" i="3"/>
  <c r="F22" i="3"/>
  <c r="F54" i="3"/>
  <c r="F86" i="3"/>
  <c r="F204" i="3"/>
  <c r="F236" i="3"/>
  <c r="F268" i="3"/>
  <c r="F300" i="3"/>
  <c r="F332" i="3"/>
  <c r="F29" i="3"/>
  <c r="F61" i="3"/>
  <c r="F93" i="3"/>
  <c r="F125" i="3"/>
  <c r="F157" i="3"/>
  <c r="F189" i="3"/>
  <c r="F221" i="3"/>
  <c r="F253" i="3"/>
  <c r="F285" i="3"/>
  <c r="F317" i="3"/>
  <c r="F352" i="3"/>
  <c r="F384" i="3"/>
  <c r="F416" i="3"/>
  <c r="F448" i="3"/>
  <c r="F480" i="3"/>
  <c r="F512" i="3"/>
  <c r="F544" i="3"/>
  <c r="F576" i="3"/>
  <c r="F608" i="3"/>
  <c r="F640" i="3"/>
  <c r="F672" i="3"/>
  <c r="F704" i="3"/>
  <c r="F345" i="3"/>
  <c r="F377" i="3"/>
  <c r="F409" i="3"/>
  <c r="F441" i="3"/>
  <c r="F473" i="3"/>
  <c r="F505" i="3"/>
  <c r="F537" i="3"/>
  <c r="F569" i="3"/>
  <c r="F601" i="3"/>
  <c r="F633" i="3"/>
  <c r="F665" i="3"/>
  <c r="F697" i="3"/>
  <c r="F729" i="3"/>
  <c r="F126" i="3"/>
  <c r="F158" i="3"/>
  <c r="F190" i="3"/>
  <c r="F222" i="3"/>
  <c r="F254" i="3"/>
  <c r="F286" i="3"/>
  <c r="F318" i="3"/>
  <c r="F43" i="3"/>
  <c r="F75" i="3"/>
  <c r="F107" i="3"/>
  <c r="F139" i="3"/>
  <c r="F171" i="3"/>
  <c r="F203" i="3"/>
  <c r="F235" i="3"/>
  <c r="F267" i="3"/>
  <c r="F299" i="3"/>
  <c r="F331" i="3"/>
  <c r="F366" i="3"/>
  <c r="F398" i="3"/>
  <c r="F430" i="3"/>
  <c r="F462" i="3"/>
  <c r="F494" i="3"/>
  <c r="F526" i="3"/>
  <c r="F558" i="3"/>
  <c r="F590" i="3"/>
  <c r="F622" i="3"/>
  <c r="F654" i="3"/>
  <c r="F686" i="3"/>
  <c r="F718" i="3"/>
  <c r="F359" i="3"/>
  <c r="F391" i="3"/>
  <c r="F423" i="3"/>
  <c r="F455" i="3"/>
  <c r="F487" i="3"/>
  <c r="F519" i="3"/>
  <c r="F551" i="3"/>
  <c r="F583" i="3"/>
  <c r="F615" i="3"/>
  <c r="F647" i="3"/>
  <c r="F679" i="3"/>
  <c r="F711" i="3"/>
  <c r="F80" i="3"/>
  <c r="F48" i="3"/>
  <c r="F16" i="3"/>
  <c r="F224" i="3"/>
  <c r="F256" i="3"/>
  <c r="F288" i="3"/>
  <c r="F320" i="3"/>
  <c r="F17" i="3"/>
  <c r="F49" i="3"/>
  <c r="F81" i="3"/>
  <c r="F113" i="3"/>
  <c r="F145" i="3"/>
  <c r="F177" i="3"/>
  <c r="F209" i="3"/>
  <c r="F241" i="3"/>
  <c r="F273" i="3"/>
  <c r="F305" i="3"/>
  <c r="F337" i="3"/>
  <c r="F372" i="3"/>
  <c r="F404" i="3"/>
  <c r="F436" i="3"/>
  <c r="F468" i="3"/>
  <c r="F500" i="3"/>
  <c r="F532" i="3"/>
  <c r="F564" i="3"/>
  <c r="F596" i="3"/>
  <c r="F628" i="3"/>
  <c r="F660" i="3"/>
  <c r="F692" i="3"/>
  <c r="F724" i="3"/>
  <c r="F365" i="3"/>
  <c r="F397" i="3"/>
  <c r="F429" i="3"/>
  <c r="F461" i="3"/>
  <c r="F493" i="3"/>
  <c r="F525" i="3"/>
  <c r="F557" i="3"/>
  <c r="F589" i="3"/>
  <c r="F621" i="3"/>
  <c r="F653" i="3"/>
  <c r="F685" i="3"/>
  <c r="F717" i="3"/>
  <c r="F114" i="3"/>
  <c r="F146" i="3"/>
  <c r="F178" i="3"/>
  <c r="F210" i="3"/>
  <c r="F242" i="3"/>
  <c r="F274" i="3"/>
  <c r="F306" i="3"/>
  <c r="F338" i="3"/>
  <c r="F39" i="3"/>
  <c r="F71" i="3"/>
  <c r="F103" i="3"/>
  <c r="F135" i="3"/>
  <c r="F167" i="3"/>
  <c r="F199" i="3"/>
  <c r="F231" i="3"/>
  <c r="F263" i="3"/>
  <c r="F295" i="3"/>
  <c r="F327" i="3"/>
  <c r="F362" i="3"/>
  <c r="F394" i="3"/>
  <c r="F426" i="3"/>
  <c r="F458" i="3"/>
  <c r="F490" i="3"/>
  <c r="F522" i="3"/>
  <c r="F554" i="3"/>
  <c r="F586" i="3"/>
  <c r="F618" i="3"/>
  <c r="F650" i="3"/>
  <c r="F682" i="3"/>
  <c r="F714" i="3"/>
  <c r="F355" i="3"/>
  <c r="F387" i="3"/>
  <c r="F419" i="3"/>
  <c r="F451" i="3"/>
  <c r="F483" i="3"/>
  <c r="F515" i="3"/>
  <c r="F547" i="3"/>
  <c r="F579" i="3"/>
  <c r="F611" i="3"/>
  <c r="F643" i="3"/>
  <c r="F675" i="3"/>
  <c r="F707" i="3"/>
  <c r="F84" i="3"/>
  <c r="F52" i="3"/>
  <c r="F20" i="3"/>
  <c r="F156" i="3"/>
  <c r="F124" i="3"/>
  <c r="F92" i="3"/>
  <c r="F34" i="3"/>
  <c r="F66" i="3"/>
  <c r="F168" i="3"/>
  <c r="F136" i="3"/>
  <c r="F104" i="3"/>
  <c r="F30" i="3"/>
  <c r="F62" i="3"/>
  <c r="F180" i="3"/>
  <c r="F212" i="3"/>
  <c r="F244" i="3"/>
  <c r="F276" i="3"/>
  <c r="F308" i="3"/>
  <c r="F340" i="3"/>
  <c r="F37" i="3"/>
  <c r="F69" i="3"/>
  <c r="F101" i="3"/>
  <c r="F133" i="3"/>
  <c r="F165" i="3"/>
  <c r="F197" i="3"/>
  <c r="F229" i="3"/>
  <c r="F261" i="3"/>
  <c r="F293" i="3"/>
  <c r="F325" i="3"/>
  <c r="F360" i="3"/>
  <c r="F392" i="3"/>
  <c r="F424" i="3"/>
  <c r="F456" i="3"/>
  <c r="F488" i="3"/>
  <c r="F520" i="3"/>
  <c r="F552" i="3"/>
  <c r="F584" i="3"/>
  <c r="F616" i="3"/>
  <c r="F648" i="3"/>
  <c r="F680" i="3"/>
  <c r="F712" i="3"/>
  <c r="F353" i="3"/>
  <c r="F385" i="3"/>
  <c r="F417" i="3"/>
  <c r="F449" i="3"/>
  <c r="F481" i="3"/>
  <c r="F513" i="3"/>
  <c r="F545" i="3"/>
  <c r="F577" i="3"/>
  <c r="F609" i="3"/>
  <c r="F641" i="3"/>
  <c r="F673" i="3"/>
  <c r="F705" i="3"/>
  <c r="F102" i="3"/>
  <c r="F134" i="3"/>
  <c r="F166" i="3"/>
  <c r="F198" i="3"/>
  <c r="F230" i="3"/>
  <c r="F262" i="3"/>
  <c r="F294" i="3"/>
  <c r="F326" i="3"/>
  <c r="F19" i="3"/>
  <c r="F51" i="3"/>
  <c r="F83" i="3"/>
  <c r="F115" i="3"/>
  <c r="F147" i="3"/>
  <c r="F179" i="3"/>
  <c r="F211" i="3"/>
  <c r="F243" i="3"/>
  <c r="F275" i="3"/>
  <c r="F307" i="3"/>
  <c r="F339" i="3"/>
  <c r="F374" i="3"/>
  <c r="F406" i="3"/>
  <c r="F438" i="3"/>
  <c r="F470" i="3"/>
  <c r="F502" i="3"/>
  <c r="F534" i="3"/>
  <c r="F566" i="3"/>
  <c r="F598" i="3"/>
  <c r="F630" i="3"/>
  <c r="F662" i="3"/>
  <c r="F694" i="3"/>
  <c r="F726" i="3"/>
  <c r="F367" i="3"/>
  <c r="F399" i="3"/>
  <c r="F431" i="3"/>
  <c r="F463" i="3"/>
  <c r="F495" i="3"/>
  <c r="F527" i="3"/>
  <c r="F559" i="3"/>
  <c r="F591" i="3"/>
  <c r="F623" i="3"/>
  <c r="F655" i="3"/>
  <c r="F687" i="3"/>
  <c r="F719" i="3"/>
  <c r="F72" i="3"/>
  <c r="F40" i="3"/>
  <c r="F216" i="3"/>
  <c r="F248" i="3"/>
  <c r="F280" i="3"/>
  <c r="F312" i="3"/>
  <c r="F25" i="3"/>
  <c r="F57" i="3"/>
  <c r="F89" i="3"/>
  <c r="F121" i="3"/>
  <c r="F153" i="3"/>
  <c r="F185" i="3"/>
  <c r="F217" i="3"/>
  <c r="F249" i="3"/>
  <c r="F281" i="3"/>
  <c r="F313" i="3"/>
  <c r="F348" i="3"/>
  <c r="F380" i="3"/>
  <c r="F412" i="3"/>
  <c r="F444" i="3"/>
  <c r="F476" i="3"/>
  <c r="F508" i="3"/>
  <c r="F540" i="3"/>
  <c r="F572" i="3"/>
  <c r="F604" i="3"/>
  <c r="F636" i="3"/>
  <c r="F668" i="3"/>
  <c r="F700" i="3"/>
  <c r="F341" i="3"/>
  <c r="F373" i="3"/>
  <c r="F405" i="3"/>
  <c r="F437" i="3"/>
  <c r="F469" i="3"/>
  <c r="F501" i="3"/>
  <c r="F533" i="3"/>
  <c r="F565" i="3"/>
  <c r="F597" i="3"/>
  <c r="F629" i="3"/>
  <c r="F661" i="3"/>
  <c r="F693" i="3"/>
  <c r="F725" i="3"/>
  <c r="F122" i="3"/>
  <c r="F154" i="3"/>
  <c r="F186" i="3"/>
  <c r="F218" i="3"/>
  <c r="F250" i="3"/>
  <c r="F282" i="3"/>
  <c r="F314" i="3"/>
  <c r="F15" i="3"/>
  <c r="F47" i="3"/>
  <c r="F79" i="3"/>
  <c r="F111" i="3"/>
  <c r="F143" i="3"/>
  <c r="F175" i="3"/>
  <c r="F207" i="3"/>
  <c r="F239" i="3"/>
  <c r="F271" i="3"/>
  <c r="F303" i="3"/>
  <c r="F335" i="3"/>
  <c r="F370" i="3"/>
  <c r="F402" i="3"/>
  <c r="F434" i="3"/>
  <c r="F466" i="3"/>
  <c r="F498" i="3"/>
  <c r="F530" i="3"/>
  <c r="F562" i="3"/>
  <c r="F594" i="3"/>
  <c r="F626" i="3"/>
  <c r="F658" i="3"/>
  <c r="F690" i="3"/>
  <c r="F722" i="3"/>
  <c r="F363" i="3"/>
  <c r="F395" i="3"/>
  <c r="F427" i="3"/>
  <c r="F459" i="3"/>
  <c r="F491" i="3"/>
  <c r="F523" i="3"/>
  <c r="F555" i="3"/>
  <c r="F587" i="3"/>
  <c r="F619" i="3"/>
  <c r="F651" i="3"/>
  <c r="F683" i="3"/>
  <c r="F715" i="3"/>
  <c r="F76" i="3"/>
  <c r="F44" i="3"/>
  <c r="F12" i="3"/>
  <c r="F164" i="3"/>
  <c r="F132" i="3"/>
  <c r="F100" i="3"/>
  <c r="F26" i="3"/>
  <c r="F58" i="3"/>
  <c r="F90" i="3"/>
  <c r="F160" i="3"/>
  <c r="F128" i="3"/>
  <c r="F96" i="3"/>
  <c r="F38" i="3"/>
  <c r="F70" i="3"/>
  <c r="F188" i="3"/>
  <c r="F220" i="3"/>
  <c r="F252" i="3"/>
  <c r="F284" i="3"/>
  <c r="F316" i="3"/>
  <c r="F13" i="3"/>
  <c r="F45" i="3"/>
  <c r="F77" i="3"/>
  <c r="F109" i="3"/>
  <c r="F141" i="3"/>
  <c r="F173" i="3"/>
  <c r="F205" i="3"/>
  <c r="F237" i="3"/>
  <c r="F269" i="3"/>
  <c r="F301" i="3"/>
  <c r="F333" i="3"/>
  <c r="F368" i="3"/>
  <c r="F400" i="3"/>
  <c r="F432" i="3"/>
  <c r="F464" i="3"/>
  <c r="F496" i="3"/>
  <c r="F528" i="3"/>
  <c r="F560" i="3"/>
  <c r="F592" i="3"/>
  <c r="F624" i="3"/>
  <c r="F656" i="3"/>
  <c r="F688" i="3"/>
  <c r="F720" i="3"/>
  <c r="F361" i="3"/>
  <c r="F393" i="3"/>
  <c r="F425" i="3"/>
  <c r="F457" i="3"/>
  <c r="F489" i="3"/>
  <c r="F521" i="3"/>
  <c r="F553" i="3"/>
  <c r="F585" i="3"/>
  <c r="F617" i="3"/>
  <c r="F649" i="3"/>
  <c r="F681" i="3"/>
  <c r="F713" i="3"/>
  <c r="F110" i="3"/>
  <c r="F142" i="3"/>
  <c r="F174" i="3"/>
  <c r="F206" i="3"/>
  <c r="F238" i="3"/>
  <c r="F270" i="3"/>
  <c r="F302" i="3"/>
  <c r="F334" i="3"/>
  <c r="F27" i="3"/>
  <c r="F59" i="3"/>
  <c r="F91" i="3"/>
  <c r="F123" i="3"/>
  <c r="F155" i="3"/>
  <c r="F187" i="3"/>
  <c r="F219" i="3"/>
  <c r="F251" i="3"/>
  <c r="F283" i="3"/>
  <c r="F315" i="3"/>
  <c r="F350" i="3"/>
  <c r="F382" i="3"/>
  <c r="F414" i="3"/>
  <c r="F446" i="3"/>
  <c r="F478" i="3"/>
  <c r="F510" i="3"/>
  <c r="F542" i="3"/>
  <c r="F574" i="3"/>
  <c r="F606" i="3"/>
  <c r="F638" i="3"/>
  <c r="F670" i="3"/>
  <c r="F702" i="3"/>
  <c r="F343" i="3"/>
  <c r="F375" i="3"/>
  <c r="F407" i="3"/>
  <c r="F439" i="3"/>
  <c r="F471" i="3"/>
  <c r="F503" i="3"/>
  <c r="F535" i="3"/>
  <c r="F567" i="3"/>
  <c r="F599" i="3"/>
  <c r="F631" i="3"/>
  <c r="F663" i="3"/>
  <c r="F695" i="3"/>
  <c r="F727" i="3"/>
  <c r="F64" i="3"/>
  <c r="F32" i="3"/>
  <c r="F208" i="3"/>
  <c r="F240" i="3"/>
  <c r="F272" i="3"/>
  <c r="F304" i="3"/>
  <c r="F336" i="3"/>
  <c r="F33" i="3"/>
  <c r="F65" i="3"/>
  <c r="F97" i="3"/>
  <c r="F129" i="3"/>
  <c r="F161" i="3"/>
  <c r="F193" i="3"/>
  <c r="F225" i="3"/>
  <c r="F257" i="3"/>
  <c r="F289" i="3"/>
  <c r="F321" i="3"/>
  <c r="F356" i="3"/>
  <c r="F388" i="3"/>
  <c r="F420" i="3"/>
  <c r="F452" i="3"/>
  <c r="F484" i="3"/>
  <c r="F516" i="3"/>
  <c r="F548" i="3"/>
  <c r="F580" i="3"/>
  <c r="F612" i="3"/>
  <c r="F644" i="3"/>
  <c r="F676" i="3"/>
  <c r="F708" i="3"/>
  <c r="F349" i="3"/>
  <c r="F381" i="3"/>
  <c r="F413" i="3"/>
  <c r="F445" i="3"/>
  <c r="F477" i="3"/>
  <c r="F509" i="3"/>
  <c r="F541" i="3"/>
  <c r="F573" i="3"/>
  <c r="F605" i="3"/>
  <c r="F637" i="3"/>
  <c r="F669" i="3"/>
  <c r="F701" i="3"/>
  <c r="F98" i="3"/>
  <c r="F130" i="3"/>
  <c r="F162" i="3"/>
  <c r="F194" i="3"/>
  <c r="F226" i="3"/>
  <c r="F258" i="3"/>
  <c r="F290" i="3"/>
  <c r="F322" i="3"/>
  <c r="F23" i="3"/>
  <c r="F55" i="3"/>
  <c r="F87" i="3"/>
  <c r="F119" i="3"/>
  <c r="F151" i="3"/>
  <c r="F183" i="3"/>
  <c r="F215" i="3"/>
  <c r="F247" i="3"/>
  <c r="F279" i="3"/>
  <c r="F311" i="3"/>
  <c r="F346" i="3"/>
  <c r="F378" i="3"/>
  <c r="F410" i="3"/>
  <c r="F442" i="3"/>
  <c r="F474" i="3"/>
  <c r="F506" i="3"/>
  <c r="F538" i="3"/>
  <c r="F570" i="3"/>
  <c r="F602" i="3"/>
  <c r="F634" i="3"/>
  <c r="F666" i="3"/>
  <c r="F698" i="3"/>
  <c r="F730" i="3"/>
  <c r="F371" i="3"/>
  <c r="F403" i="3"/>
  <c r="F435" i="3"/>
  <c r="F467" i="3"/>
  <c r="F499" i="3"/>
  <c r="F531" i="3"/>
  <c r="F563" i="3"/>
  <c r="F595" i="3"/>
  <c r="F627" i="3"/>
  <c r="F659" i="3"/>
  <c r="F691" i="3"/>
  <c r="F723" i="3"/>
  <c r="F68" i="3"/>
  <c r="F36" i="3"/>
  <c r="F172" i="3"/>
  <c r="F140" i="3"/>
  <c r="F108" i="3"/>
  <c r="F18" i="3"/>
  <c r="F50" i="3"/>
  <c r="F82" i="3"/>
  <c r="D172" i="3"/>
  <c r="D116" i="3"/>
  <c r="D180" i="3"/>
  <c r="D40" i="3"/>
  <c r="D112" i="3"/>
  <c r="D212" i="3"/>
  <c r="D244" i="3"/>
  <c r="D276" i="3"/>
  <c r="D308" i="3"/>
  <c r="D340" i="3"/>
  <c r="D37" i="3"/>
  <c r="D69" i="3"/>
  <c r="D101" i="3"/>
  <c r="D133" i="3"/>
  <c r="D165" i="3"/>
  <c r="D197" i="3"/>
  <c r="D229" i="3"/>
  <c r="D261" i="3"/>
  <c r="D293" i="3"/>
  <c r="D325" i="3"/>
  <c r="D357" i="3"/>
  <c r="D389" i="3"/>
  <c r="D421" i="3"/>
  <c r="D453" i="3"/>
  <c r="D485" i="3"/>
  <c r="D517" i="3"/>
  <c r="D549" i="3"/>
  <c r="D348" i="3"/>
  <c r="D380" i="3"/>
  <c r="D412" i="3"/>
  <c r="D444" i="3"/>
  <c r="D476" i="3"/>
  <c r="D508" i="3"/>
  <c r="D540" i="3"/>
  <c r="D572" i="3"/>
  <c r="D604" i="3"/>
  <c r="D636" i="3"/>
  <c r="D668" i="3"/>
  <c r="D700" i="3"/>
  <c r="D577" i="3"/>
  <c r="D609" i="3"/>
  <c r="D641" i="3"/>
  <c r="D673" i="3"/>
  <c r="D705" i="3"/>
  <c r="D102" i="3"/>
  <c r="D134" i="3"/>
  <c r="D166" i="3"/>
  <c r="D198" i="3"/>
  <c r="D230" i="3"/>
  <c r="D262" i="3"/>
  <c r="D294" i="3"/>
  <c r="D326" i="3"/>
  <c r="D19" i="3"/>
  <c r="D51" i="3"/>
  <c r="D83" i="3"/>
  <c r="D115" i="3"/>
  <c r="D147" i="3"/>
  <c r="D179" i="3"/>
  <c r="D211" i="3"/>
  <c r="D243" i="3"/>
  <c r="D275" i="3"/>
  <c r="D307" i="3"/>
  <c r="D339" i="3"/>
  <c r="D371" i="3"/>
  <c r="D403" i="3"/>
  <c r="D435" i="3"/>
  <c r="D467" i="3"/>
  <c r="D499" i="3"/>
  <c r="D531" i="3"/>
  <c r="D563" i="3"/>
  <c r="D362" i="3"/>
  <c r="D394" i="3"/>
  <c r="D426" i="3"/>
  <c r="D458" i="3"/>
  <c r="D490" i="3"/>
  <c r="D522" i="3"/>
  <c r="D554" i="3"/>
  <c r="D586" i="3"/>
  <c r="D618" i="3"/>
  <c r="D650" i="3"/>
  <c r="D682" i="3"/>
  <c r="D714" i="3"/>
  <c r="D591" i="3"/>
  <c r="D623" i="3"/>
  <c r="D655" i="3"/>
  <c r="D687" i="3"/>
  <c r="D719" i="3"/>
  <c r="D86" i="3"/>
  <c r="D54" i="3"/>
  <c r="D22" i="3"/>
  <c r="D84" i="3"/>
  <c r="D52" i="3"/>
  <c r="D20" i="3"/>
  <c r="D136" i="3"/>
  <c r="D168" i="3"/>
  <c r="D200" i="3"/>
  <c r="D232" i="3"/>
  <c r="D264" i="3"/>
  <c r="D296" i="3"/>
  <c r="D328" i="3"/>
  <c r="D41" i="3"/>
  <c r="D73" i="3"/>
  <c r="D105" i="3"/>
  <c r="D137" i="3"/>
  <c r="D169" i="3"/>
  <c r="D201" i="3"/>
  <c r="D233" i="3"/>
  <c r="D265" i="3"/>
  <c r="D297" i="3"/>
  <c r="D329" i="3"/>
  <c r="D361" i="3"/>
  <c r="D393" i="3"/>
  <c r="D425" i="3"/>
  <c r="D457" i="3"/>
  <c r="D489" i="3"/>
  <c r="D521" i="3"/>
  <c r="D553" i="3"/>
  <c r="D352" i="3"/>
  <c r="D384" i="3"/>
  <c r="D416" i="3"/>
  <c r="D448" i="3"/>
  <c r="D480" i="3"/>
  <c r="D512" i="3"/>
  <c r="D544" i="3"/>
  <c r="D576" i="3"/>
  <c r="D608" i="3"/>
  <c r="D640" i="3"/>
  <c r="D672" i="3"/>
  <c r="D704" i="3"/>
  <c r="D581" i="3"/>
  <c r="D613" i="3"/>
  <c r="D645" i="3"/>
  <c r="D677" i="3"/>
  <c r="D709" i="3"/>
  <c r="D106" i="3"/>
  <c r="D138" i="3"/>
  <c r="D170" i="3"/>
  <c r="D202" i="3"/>
  <c r="D234" i="3"/>
  <c r="D266" i="3"/>
  <c r="D298" i="3"/>
  <c r="D330" i="3"/>
  <c r="D31" i="3"/>
  <c r="D63" i="3"/>
  <c r="D95" i="3"/>
  <c r="D127" i="3"/>
  <c r="D159" i="3"/>
  <c r="D191" i="3"/>
  <c r="D223" i="3"/>
  <c r="D255" i="3"/>
  <c r="D287" i="3"/>
  <c r="D319" i="3"/>
  <c r="D351" i="3"/>
  <c r="D383" i="3"/>
  <c r="D415" i="3"/>
  <c r="D447" i="3"/>
  <c r="D479" i="3"/>
  <c r="D511" i="3"/>
  <c r="D543" i="3"/>
  <c r="D575" i="3"/>
  <c r="D374" i="3"/>
  <c r="D406" i="3"/>
  <c r="D438" i="3"/>
  <c r="D470" i="3"/>
  <c r="D502" i="3"/>
  <c r="D534" i="3"/>
  <c r="D566" i="3"/>
  <c r="D598" i="3"/>
  <c r="D630" i="3"/>
  <c r="D662" i="3"/>
  <c r="D694" i="3"/>
  <c r="D726" i="3"/>
  <c r="D603" i="3"/>
  <c r="D635" i="3"/>
  <c r="D667" i="3"/>
  <c r="D699" i="3"/>
  <c r="D731" i="3"/>
  <c r="D74" i="3"/>
  <c r="D42" i="3"/>
  <c r="D124" i="3"/>
  <c r="D64" i="3"/>
  <c r="D164" i="3"/>
  <c r="D24" i="3"/>
  <c r="D88" i="3"/>
  <c r="D204" i="3"/>
  <c r="D236" i="3"/>
  <c r="D268" i="3"/>
  <c r="D300" i="3"/>
  <c r="D332" i="3"/>
  <c r="D29" i="3"/>
  <c r="D61" i="3"/>
  <c r="D93" i="3"/>
  <c r="D125" i="3"/>
  <c r="D157" i="3"/>
  <c r="D189" i="3"/>
  <c r="D221" i="3"/>
  <c r="D253" i="3"/>
  <c r="D285" i="3"/>
  <c r="D317" i="3"/>
  <c r="D349" i="3"/>
  <c r="D381" i="3"/>
  <c r="D413" i="3"/>
  <c r="D445" i="3"/>
  <c r="D477" i="3"/>
  <c r="D509" i="3"/>
  <c r="D541" i="3"/>
  <c r="D573" i="3"/>
  <c r="D372" i="3"/>
  <c r="D404" i="3"/>
  <c r="D436" i="3"/>
  <c r="D468" i="3"/>
  <c r="D500" i="3"/>
  <c r="D532" i="3"/>
  <c r="D564" i="3"/>
  <c r="D596" i="3"/>
  <c r="D628" i="3"/>
  <c r="D660" i="3"/>
  <c r="D692" i="3"/>
  <c r="D724" i="3"/>
  <c r="D601" i="3"/>
  <c r="D633" i="3"/>
  <c r="D665" i="3"/>
  <c r="D697" i="3"/>
  <c r="D729" i="3"/>
  <c r="D126" i="3"/>
  <c r="D158" i="3"/>
  <c r="D190" i="3"/>
  <c r="D222" i="3"/>
  <c r="D254" i="3"/>
  <c r="D286" i="3"/>
  <c r="D318" i="3"/>
  <c r="D43" i="3"/>
  <c r="D75" i="3"/>
  <c r="D107" i="3"/>
  <c r="D139" i="3"/>
  <c r="D171" i="3"/>
  <c r="D203" i="3"/>
  <c r="D235" i="3"/>
  <c r="D267" i="3"/>
  <c r="D299" i="3"/>
  <c r="D331" i="3"/>
  <c r="D363" i="3"/>
  <c r="D395" i="3"/>
  <c r="D427" i="3"/>
  <c r="D459" i="3"/>
  <c r="D491" i="3"/>
  <c r="D523" i="3"/>
  <c r="D555" i="3"/>
  <c r="D354" i="3"/>
  <c r="D386" i="3"/>
  <c r="D418" i="3"/>
  <c r="D450" i="3"/>
  <c r="D482" i="3"/>
  <c r="D514" i="3"/>
  <c r="D546" i="3"/>
  <c r="D578" i="3"/>
  <c r="D610" i="3"/>
  <c r="D642" i="3"/>
  <c r="D674" i="3"/>
  <c r="D706" i="3"/>
  <c r="D583" i="3"/>
  <c r="D615" i="3"/>
  <c r="D647" i="3"/>
  <c r="D679" i="3"/>
  <c r="D711" i="3"/>
  <c r="D94" i="3"/>
  <c r="D62" i="3"/>
  <c r="D30" i="3"/>
  <c r="D92" i="3"/>
  <c r="D60" i="3"/>
  <c r="D28" i="3"/>
  <c r="D128" i="3"/>
  <c r="D160" i="3"/>
  <c r="D192" i="3"/>
  <c r="D224" i="3"/>
  <c r="D256" i="3"/>
  <c r="D288" i="3"/>
  <c r="D320" i="3"/>
  <c r="D17" i="3"/>
  <c r="D49" i="3"/>
  <c r="D81" i="3"/>
  <c r="D113" i="3"/>
  <c r="D145" i="3"/>
  <c r="D177" i="3"/>
  <c r="D209" i="3"/>
  <c r="D241" i="3"/>
  <c r="D273" i="3"/>
  <c r="D305" i="3"/>
  <c r="D337" i="3"/>
  <c r="D369" i="3"/>
  <c r="D401" i="3"/>
  <c r="D433" i="3"/>
  <c r="D465" i="3"/>
  <c r="D497" i="3"/>
  <c r="D529" i="3"/>
  <c r="D561" i="3"/>
  <c r="D360" i="3"/>
  <c r="D392" i="3"/>
  <c r="D424" i="3"/>
  <c r="D456" i="3"/>
  <c r="D488" i="3"/>
  <c r="D520" i="3"/>
  <c r="D552" i="3"/>
  <c r="D584" i="3"/>
  <c r="D616" i="3"/>
  <c r="D648" i="3"/>
  <c r="D680" i="3"/>
  <c r="D712" i="3"/>
  <c r="D589" i="3"/>
  <c r="D621" i="3"/>
  <c r="D653" i="3"/>
  <c r="D685" i="3"/>
  <c r="D717" i="3"/>
  <c r="D114" i="3"/>
  <c r="D146" i="3"/>
  <c r="D178" i="3"/>
  <c r="D210" i="3"/>
  <c r="D242" i="3"/>
  <c r="D274" i="3"/>
  <c r="D306" i="3"/>
  <c r="D338" i="3"/>
  <c r="D39" i="3"/>
  <c r="D71" i="3"/>
  <c r="D103" i="3"/>
  <c r="D135" i="3"/>
  <c r="D167" i="3"/>
  <c r="D199" i="3"/>
  <c r="D231" i="3"/>
  <c r="D263" i="3"/>
  <c r="D295" i="3"/>
  <c r="D327" i="3"/>
  <c r="D359" i="3"/>
  <c r="D391" i="3"/>
  <c r="D423" i="3"/>
  <c r="D455" i="3"/>
  <c r="D487" i="3"/>
  <c r="D519" i="3"/>
  <c r="D551" i="3"/>
  <c r="D350" i="3"/>
  <c r="D382" i="3"/>
  <c r="D414" i="3"/>
  <c r="D446" i="3"/>
  <c r="D478" i="3"/>
  <c r="D510" i="3"/>
  <c r="D542" i="3"/>
  <c r="D574" i="3"/>
  <c r="D606" i="3"/>
  <c r="D638" i="3"/>
  <c r="D670" i="3"/>
  <c r="D702" i="3"/>
  <c r="D579" i="3"/>
  <c r="D611" i="3"/>
  <c r="D643" i="3"/>
  <c r="D675" i="3"/>
  <c r="D707" i="3"/>
  <c r="D100" i="3"/>
  <c r="D66" i="3"/>
  <c r="D34" i="3"/>
  <c r="D140" i="3"/>
  <c r="D48" i="3"/>
  <c r="D148" i="3"/>
  <c r="D72" i="3"/>
  <c r="D196" i="3"/>
  <c r="D228" i="3"/>
  <c r="D260" i="3"/>
  <c r="D292" i="3"/>
  <c r="D324" i="3"/>
  <c r="D21" i="3"/>
  <c r="D53" i="3"/>
  <c r="D85" i="3"/>
  <c r="D117" i="3"/>
  <c r="D149" i="3"/>
  <c r="D181" i="3"/>
  <c r="D213" i="3"/>
  <c r="D245" i="3"/>
  <c r="D277" i="3"/>
  <c r="D309" i="3"/>
  <c r="D341" i="3"/>
  <c r="D373" i="3"/>
  <c r="D405" i="3"/>
  <c r="D437" i="3"/>
  <c r="D469" i="3"/>
  <c r="D501" i="3"/>
  <c r="D533" i="3"/>
  <c r="D565" i="3"/>
  <c r="D364" i="3"/>
  <c r="D396" i="3"/>
  <c r="D428" i="3"/>
  <c r="D460" i="3"/>
  <c r="D492" i="3"/>
  <c r="D524" i="3"/>
  <c r="D556" i="3"/>
  <c r="D588" i="3"/>
  <c r="D620" i="3"/>
  <c r="D652" i="3"/>
  <c r="D684" i="3"/>
  <c r="D716" i="3"/>
  <c r="D593" i="3"/>
  <c r="D625" i="3"/>
  <c r="D657" i="3"/>
  <c r="D689" i="3"/>
  <c r="D721" i="3"/>
  <c r="D118" i="3"/>
  <c r="D150" i="3"/>
  <c r="D182" i="3"/>
  <c r="D214" i="3"/>
  <c r="D246" i="3"/>
  <c r="D278" i="3"/>
  <c r="D310" i="3"/>
  <c r="D342" i="3"/>
  <c r="D35" i="3"/>
  <c r="D67" i="3"/>
  <c r="D99" i="3"/>
  <c r="D131" i="3"/>
  <c r="D163" i="3"/>
  <c r="D195" i="3"/>
  <c r="D227" i="3"/>
  <c r="D259" i="3"/>
  <c r="D291" i="3"/>
  <c r="D323" i="3"/>
  <c r="D355" i="3"/>
  <c r="D387" i="3"/>
  <c r="D419" i="3"/>
  <c r="D451" i="3"/>
  <c r="D483" i="3"/>
  <c r="D515" i="3"/>
  <c r="D547" i="3"/>
  <c r="D346" i="3"/>
  <c r="D378" i="3"/>
  <c r="D410" i="3"/>
  <c r="D442" i="3"/>
  <c r="D474" i="3"/>
  <c r="D506" i="3"/>
  <c r="D538" i="3"/>
  <c r="D570" i="3"/>
  <c r="D602" i="3"/>
  <c r="D634" i="3"/>
  <c r="D666" i="3"/>
  <c r="D698" i="3"/>
  <c r="D730" i="3"/>
  <c r="D607" i="3"/>
  <c r="D639" i="3"/>
  <c r="D671" i="3"/>
  <c r="D703" i="3"/>
  <c r="D108" i="3"/>
  <c r="D70" i="3"/>
  <c r="D38" i="3"/>
  <c r="D104" i="3"/>
  <c r="D68" i="3"/>
  <c r="D36" i="3"/>
  <c r="D120" i="3"/>
  <c r="D152" i="3"/>
  <c r="D184" i="3"/>
  <c r="D216" i="3"/>
  <c r="D248" i="3"/>
  <c r="D280" i="3"/>
  <c r="D312" i="3"/>
  <c r="D25" i="3"/>
  <c r="D57" i="3"/>
  <c r="D89" i="3"/>
  <c r="D121" i="3"/>
  <c r="D153" i="3"/>
  <c r="D185" i="3"/>
  <c r="D217" i="3"/>
  <c r="D249" i="3"/>
  <c r="D281" i="3"/>
  <c r="D313" i="3"/>
  <c r="D345" i="3"/>
  <c r="D377" i="3"/>
  <c r="D409" i="3"/>
  <c r="D441" i="3"/>
  <c r="D473" i="3"/>
  <c r="D505" i="3"/>
  <c r="D537" i="3"/>
  <c r="D569" i="3"/>
  <c r="D368" i="3"/>
  <c r="D400" i="3"/>
  <c r="D432" i="3"/>
  <c r="D464" i="3"/>
  <c r="D496" i="3"/>
  <c r="D528" i="3"/>
  <c r="D560" i="3"/>
  <c r="D592" i="3"/>
  <c r="D624" i="3"/>
  <c r="D656" i="3"/>
  <c r="D688" i="3"/>
  <c r="D720" i="3"/>
  <c r="D597" i="3"/>
  <c r="D629" i="3"/>
  <c r="D661" i="3"/>
  <c r="D693" i="3"/>
  <c r="D725" i="3"/>
  <c r="D122" i="3"/>
  <c r="D154" i="3"/>
  <c r="D186" i="3"/>
  <c r="D218" i="3"/>
  <c r="D250" i="3"/>
  <c r="D282" i="3"/>
  <c r="D314" i="3"/>
  <c r="D15" i="3"/>
  <c r="D47" i="3"/>
  <c r="D79" i="3"/>
  <c r="D111" i="3"/>
  <c r="D143" i="3"/>
  <c r="D175" i="3"/>
  <c r="D207" i="3"/>
  <c r="D239" i="3"/>
  <c r="D271" i="3"/>
  <c r="D303" i="3"/>
  <c r="D335" i="3"/>
  <c r="D367" i="3"/>
  <c r="D399" i="3"/>
  <c r="D431" i="3"/>
  <c r="D463" i="3"/>
  <c r="D495" i="3"/>
  <c r="D527" i="3"/>
  <c r="D559" i="3"/>
  <c r="D358" i="3"/>
  <c r="D390" i="3"/>
  <c r="D422" i="3"/>
  <c r="D454" i="3"/>
  <c r="D486" i="3"/>
  <c r="D518" i="3"/>
  <c r="D550" i="3"/>
  <c r="D582" i="3"/>
  <c r="D614" i="3"/>
  <c r="D646" i="3"/>
  <c r="D678" i="3"/>
  <c r="D710" i="3"/>
  <c r="D587" i="3"/>
  <c r="D619" i="3"/>
  <c r="D651" i="3"/>
  <c r="D683" i="3"/>
  <c r="D715" i="3"/>
  <c r="D90" i="3"/>
  <c r="D58" i="3"/>
  <c r="D26" i="3"/>
  <c r="D156" i="3"/>
  <c r="D32" i="3"/>
  <c r="D96" i="3"/>
  <c r="D132" i="3"/>
  <c r="D56" i="3"/>
  <c r="D188" i="3"/>
  <c r="D220" i="3"/>
  <c r="D252" i="3"/>
  <c r="D284" i="3"/>
  <c r="D316" i="3"/>
  <c r="D13" i="3"/>
  <c r="D45" i="3"/>
  <c r="D77" i="3"/>
  <c r="D109" i="3"/>
  <c r="D141" i="3"/>
  <c r="D173" i="3"/>
  <c r="D205" i="3"/>
  <c r="D237" i="3"/>
  <c r="D269" i="3"/>
  <c r="D301" i="3"/>
  <c r="D333" i="3"/>
  <c r="D365" i="3"/>
  <c r="D397" i="3"/>
  <c r="D429" i="3"/>
  <c r="D461" i="3"/>
  <c r="D493" i="3"/>
  <c r="D525" i="3"/>
  <c r="D557" i="3"/>
  <c r="D356" i="3"/>
  <c r="D388" i="3"/>
  <c r="D420" i="3"/>
  <c r="D452" i="3"/>
  <c r="D484" i="3"/>
  <c r="D516" i="3"/>
  <c r="D548" i="3"/>
  <c r="D580" i="3"/>
  <c r="D612" i="3"/>
  <c r="D644" i="3"/>
  <c r="D676" i="3"/>
  <c r="D708" i="3"/>
  <c r="D585" i="3"/>
  <c r="D617" i="3"/>
  <c r="D649" i="3"/>
  <c r="D681" i="3"/>
  <c r="D713" i="3"/>
  <c r="D110" i="3"/>
  <c r="D142" i="3"/>
  <c r="D174" i="3"/>
  <c r="D206" i="3"/>
  <c r="D238" i="3"/>
  <c r="D270" i="3"/>
  <c r="D302" i="3"/>
  <c r="D334" i="3"/>
  <c r="D27" i="3"/>
  <c r="D59" i="3"/>
  <c r="D91" i="3"/>
  <c r="D123" i="3"/>
  <c r="D155" i="3"/>
  <c r="D187" i="3"/>
  <c r="D219" i="3"/>
  <c r="D251" i="3"/>
  <c r="D283" i="3"/>
  <c r="D315" i="3"/>
  <c r="D347" i="3"/>
  <c r="D379" i="3"/>
  <c r="D411" i="3"/>
  <c r="D443" i="3"/>
  <c r="D475" i="3"/>
  <c r="D507" i="3"/>
  <c r="D539" i="3"/>
  <c r="D571" i="3"/>
  <c r="D370" i="3"/>
  <c r="D402" i="3"/>
  <c r="D434" i="3"/>
  <c r="D466" i="3"/>
  <c r="D498" i="3"/>
  <c r="D530" i="3"/>
  <c r="D562" i="3"/>
  <c r="D594" i="3"/>
  <c r="D626" i="3"/>
  <c r="D658" i="3"/>
  <c r="D690" i="3"/>
  <c r="D722" i="3"/>
  <c r="D599" i="3"/>
  <c r="D631" i="3"/>
  <c r="D663" i="3"/>
  <c r="D695" i="3"/>
  <c r="D727" i="3"/>
  <c r="D78" i="3"/>
  <c r="D46" i="3"/>
  <c r="D14" i="3"/>
  <c r="A14" i="6" s="1"/>
  <c r="D76" i="3"/>
  <c r="D44" i="3"/>
  <c r="D12" i="3"/>
  <c r="D144" i="3"/>
  <c r="D176" i="3"/>
  <c r="D208" i="3"/>
  <c r="D240" i="3"/>
  <c r="D272" i="3"/>
  <c r="D304" i="3"/>
  <c r="D336" i="3"/>
  <c r="D33" i="3"/>
  <c r="D65" i="3"/>
  <c r="D97" i="3"/>
  <c r="D129" i="3"/>
  <c r="D161" i="3"/>
  <c r="D193" i="3"/>
  <c r="D225" i="3"/>
  <c r="D257" i="3"/>
  <c r="D289" i="3"/>
  <c r="D321" i="3"/>
  <c r="D353" i="3"/>
  <c r="D385" i="3"/>
  <c r="D417" i="3"/>
  <c r="D449" i="3"/>
  <c r="D481" i="3"/>
  <c r="D513" i="3"/>
  <c r="D545" i="3"/>
  <c r="D344" i="3"/>
  <c r="D376" i="3"/>
  <c r="D408" i="3"/>
  <c r="D440" i="3"/>
  <c r="D472" i="3"/>
  <c r="D504" i="3"/>
  <c r="D536" i="3"/>
  <c r="D568" i="3"/>
  <c r="D600" i="3"/>
  <c r="D632" i="3"/>
  <c r="D664" i="3"/>
  <c r="D696" i="3"/>
  <c r="D728" i="3"/>
  <c r="D605" i="3"/>
  <c r="D637" i="3"/>
  <c r="D669" i="3"/>
  <c r="D701" i="3"/>
  <c r="D98" i="3"/>
  <c r="D130" i="3"/>
  <c r="D162" i="3"/>
  <c r="D194" i="3"/>
  <c r="D226" i="3"/>
  <c r="D258" i="3"/>
  <c r="D290" i="3"/>
  <c r="D322" i="3"/>
  <c r="D23" i="3"/>
  <c r="D55" i="3"/>
  <c r="D87" i="3"/>
  <c r="D119" i="3"/>
  <c r="D151" i="3"/>
  <c r="D183" i="3"/>
  <c r="D215" i="3"/>
  <c r="D247" i="3"/>
  <c r="D279" i="3"/>
  <c r="D311" i="3"/>
  <c r="D343" i="3"/>
  <c r="D375" i="3"/>
  <c r="D407" i="3"/>
  <c r="D439" i="3"/>
  <c r="D471" i="3"/>
  <c r="D503" i="3"/>
  <c r="D535" i="3"/>
  <c r="D567" i="3"/>
  <c r="D366" i="3"/>
  <c r="D398" i="3"/>
  <c r="D430" i="3"/>
  <c r="D462" i="3"/>
  <c r="D494" i="3"/>
  <c r="D526" i="3"/>
  <c r="D558" i="3"/>
  <c r="D590" i="3"/>
  <c r="D622" i="3"/>
  <c r="D654" i="3"/>
  <c r="D686" i="3"/>
  <c r="D718" i="3"/>
  <c r="D595" i="3"/>
  <c r="D627" i="3"/>
  <c r="D659" i="3"/>
  <c r="D691" i="3"/>
  <c r="D723" i="3"/>
  <c r="D82" i="3"/>
  <c r="D50" i="3"/>
  <c r="D18" i="3"/>
  <c r="A18" i="6" s="1"/>
  <c r="D16" i="3"/>
  <c r="A16" i="6" s="1"/>
  <c r="D80" i="3"/>
  <c r="E581" i="3"/>
  <c r="G538" i="3"/>
  <c r="E420" i="3"/>
  <c r="E396" i="3"/>
  <c r="E515" i="3"/>
  <c r="G300" i="3"/>
  <c r="G631" i="3"/>
  <c r="G23" i="3"/>
  <c r="G389" i="3"/>
  <c r="E65" i="3"/>
  <c r="G83" i="3"/>
  <c r="E577" i="3"/>
  <c r="E211" i="3"/>
  <c r="E203" i="3"/>
  <c r="E559" i="3"/>
  <c r="G148" i="3"/>
  <c r="G150" i="3"/>
  <c r="G494" i="3"/>
  <c r="G564" i="3"/>
  <c r="E466" i="3"/>
  <c r="E372" i="3"/>
  <c r="E59" i="3"/>
  <c r="E343" i="3"/>
  <c r="E673" i="3"/>
  <c r="G695" i="3"/>
  <c r="E299" i="3"/>
  <c r="E492" i="3"/>
  <c r="E597" i="3"/>
  <c r="G611" i="3"/>
  <c r="E699" i="3"/>
  <c r="G318" i="3"/>
  <c r="E44" i="3"/>
  <c r="G694" i="3"/>
  <c r="G159" i="3"/>
  <c r="G608" i="3"/>
  <c r="G381" i="3"/>
  <c r="E172" i="3"/>
  <c r="G356" i="3"/>
  <c r="E523" i="3"/>
  <c r="E274" i="3"/>
  <c r="G373" i="3"/>
  <c r="E49" i="3"/>
  <c r="G347" i="3"/>
  <c r="E610" i="3"/>
  <c r="E620" i="3"/>
  <c r="E88" i="3"/>
  <c r="G639" i="3"/>
  <c r="G304" i="3"/>
  <c r="E342" i="3"/>
  <c r="G256" i="3"/>
  <c r="E209" i="3"/>
  <c r="E175" i="3"/>
  <c r="E587" i="3"/>
  <c r="G225" i="3"/>
  <c r="E640" i="3"/>
  <c r="G349" i="3"/>
  <c r="E579" i="3"/>
  <c r="G723" i="3"/>
  <c r="G194" i="3"/>
  <c r="E476" i="3"/>
  <c r="E660" i="3"/>
  <c r="E149" i="3"/>
  <c r="G234" i="3"/>
  <c r="G351" i="3"/>
  <c r="G402" i="3"/>
  <c r="E261" i="3"/>
  <c r="G492" i="3"/>
  <c r="E126" i="3"/>
  <c r="E419" i="3"/>
  <c r="E321" i="3"/>
  <c r="G706" i="3"/>
  <c r="E680" i="3"/>
  <c r="G422" i="3"/>
  <c r="E99" i="3"/>
  <c r="E31" i="3"/>
  <c r="G511" i="3"/>
  <c r="E293" i="3"/>
  <c r="E138" i="3"/>
  <c r="G132" i="3"/>
  <c r="E543" i="3"/>
  <c r="G522" i="3"/>
  <c r="E239" i="3"/>
  <c r="E707" i="3"/>
  <c r="G563" i="3"/>
  <c r="E281" i="3"/>
  <c r="G652" i="3"/>
  <c r="G335" i="3"/>
  <c r="G717" i="3"/>
  <c r="E304" i="3"/>
  <c r="G342" i="3"/>
  <c r="G582" i="3"/>
  <c r="G289" i="3"/>
  <c r="E256" i="3"/>
  <c r="G208" i="3"/>
  <c r="G587" i="3"/>
  <c r="E588" i="3"/>
  <c r="G239" i="3"/>
  <c r="G558" i="3"/>
  <c r="E670" i="3"/>
  <c r="G634" i="3"/>
  <c r="E161" i="3"/>
  <c r="E485" i="3"/>
  <c r="G704" i="3"/>
  <c r="E77" i="3"/>
  <c r="G518" i="3"/>
  <c r="E500" i="3"/>
  <c r="G40" i="3"/>
  <c r="G708" i="3"/>
  <c r="E459" i="3"/>
  <c r="G301" i="3"/>
  <c r="G411" i="3"/>
  <c r="E336" i="3"/>
  <c r="G310" i="3"/>
  <c r="E439" i="3"/>
  <c r="E80" i="3"/>
  <c r="E483" i="3"/>
  <c r="E264" i="3"/>
  <c r="G33" i="3"/>
  <c r="E385" i="3"/>
  <c r="G578" i="3"/>
  <c r="E538" i="3"/>
  <c r="E502" i="3"/>
  <c r="G384" i="3"/>
  <c r="E358" i="3"/>
  <c r="E113" i="3"/>
  <c r="G539" i="3"/>
  <c r="G470" i="3"/>
  <c r="G74" i="3"/>
  <c r="G302" i="3"/>
  <c r="E683" i="3"/>
  <c r="G595" i="3"/>
  <c r="G151" i="3"/>
  <c r="G601" i="3"/>
  <c r="E532" i="3"/>
  <c r="E566" i="3"/>
  <c r="E447" i="3"/>
  <c r="E119" i="3"/>
  <c r="G640" i="3"/>
  <c r="E259" i="3"/>
  <c r="E247" i="3"/>
  <c r="G573" i="3"/>
  <c r="E200" i="3"/>
  <c r="E441" i="3"/>
  <c r="E78" i="3"/>
  <c r="G285" i="3"/>
  <c r="G673" i="3"/>
  <c r="E695" i="3"/>
  <c r="G394" i="3"/>
  <c r="G728" i="3"/>
  <c r="G36" i="3"/>
  <c r="G121" i="3"/>
  <c r="E593" i="3"/>
  <c r="E40" i="3"/>
  <c r="G252" i="3"/>
  <c r="E181" i="3"/>
  <c r="G657" i="3"/>
  <c r="E411" i="3"/>
  <c r="G672" i="3"/>
  <c r="E60" i="3"/>
  <c r="E101" i="3"/>
  <c r="G409" i="3"/>
  <c r="E398" i="3"/>
  <c r="E629" i="3"/>
  <c r="G344" i="3"/>
  <c r="G410" i="3"/>
  <c r="E133" i="3"/>
  <c r="G370" i="3"/>
  <c r="G473" i="3"/>
  <c r="G495" i="3"/>
  <c r="E45" i="3"/>
  <c r="E425" i="3"/>
  <c r="G450" i="3"/>
  <c r="E340" i="3"/>
  <c r="G309" i="3"/>
  <c r="E677" i="3"/>
  <c r="G353" i="3"/>
  <c r="E276" i="3"/>
  <c r="E546" i="3"/>
  <c r="G391" i="3"/>
  <c r="E556" i="3"/>
  <c r="G254" i="3"/>
  <c r="G115" i="3"/>
  <c r="E493" i="3"/>
  <c r="E104" i="3"/>
  <c r="G250" i="3"/>
  <c r="G222" i="3"/>
  <c r="E184" i="3"/>
  <c r="E432" i="3"/>
  <c r="G178" i="3"/>
  <c r="G357" i="3"/>
  <c r="E725" i="3"/>
  <c r="E33" i="3"/>
  <c r="G395" i="3"/>
  <c r="G204" i="3"/>
  <c r="G507" i="3"/>
  <c r="G666" i="3"/>
  <c r="G461" i="3"/>
  <c r="E206" i="3"/>
  <c r="G231" i="3"/>
  <c r="G211" i="3"/>
  <c r="E437" i="3"/>
  <c r="E150" i="3"/>
  <c r="G181" i="3"/>
  <c r="E585" i="3"/>
  <c r="G251" i="3"/>
  <c r="E647" i="3"/>
  <c r="G567" i="3"/>
  <c r="E205" i="3"/>
  <c r="E594" i="3"/>
  <c r="E413" i="3"/>
  <c r="E436" i="3"/>
  <c r="G625" i="3"/>
  <c r="G400" i="3"/>
  <c r="G685" i="3"/>
  <c r="E130" i="3"/>
  <c r="E503" i="3"/>
  <c r="E64" i="3"/>
  <c r="E535" i="3"/>
  <c r="G162" i="3"/>
  <c r="G316" i="3"/>
  <c r="E665" i="3"/>
  <c r="E608" i="3"/>
  <c r="G218" i="3"/>
  <c r="G176" i="3"/>
  <c r="G88" i="3"/>
  <c r="G45" i="3"/>
  <c r="G434" i="3"/>
  <c r="G308" i="3"/>
  <c r="E25" i="3"/>
  <c r="E450" i="3"/>
  <c r="G340" i="3"/>
  <c r="G63" i="3"/>
  <c r="E724" i="3"/>
  <c r="E55" i="3"/>
  <c r="G502" i="3"/>
  <c r="E676" i="3"/>
  <c r="G161" i="3"/>
  <c r="G485" i="3"/>
  <c r="G532" i="3"/>
  <c r="E147" i="3"/>
  <c r="E529" i="3"/>
  <c r="E116" i="3"/>
  <c r="G127" i="3"/>
  <c r="E497" i="3"/>
  <c r="E146" i="3"/>
  <c r="E403" i="3"/>
  <c r="G466" i="3"/>
  <c r="E636" i="3"/>
  <c r="E540" i="3"/>
  <c r="E605" i="3"/>
  <c r="G361" i="3"/>
  <c r="E603" i="3"/>
  <c r="E469" i="3"/>
  <c r="E145" i="3"/>
  <c r="E617" i="3"/>
  <c r="E283" i="3"/>
  <c r="E573" i="3"/>
  <c r="E129" i="3"/>
  <c r="G623" i="3"/>
  <c r="G620" i="3"/>
  <c r="E214" i="3"/>
  <c r="G281" i="3"/>
  <c r="E330" i="3"/>
  <c r="G122" i="3"/>
  <c r="G669" i="3"/>
  <c r="G698" i="3"/>
  <c r="G429" i="3"/>
  <c r="E105" i="3"/>
  <c r="E481" i="3"/>
  <c r="E528" i="3"/>
  <c r="G71" i="3"/>
  <c r="E408" i="3"/>
  <c r="G677" i="3"/>
  <c r="E318" i="3"/>
  <c r="G699" i="3"/>
  <c r="E95" i="3"/>
  <c r="E383" i="3"/>
  <c r="E329" i="3"/>
  <c r="E525" i="3"/>
  <c r="E121" i="3"/>
  <c r="E452" i="3"/>
  <c r="E204" i="3"/>
  <c r="G468" i="3"/>
  <c r="G81" i="3"/>
  <c r="E35" i="3"/>
  <c r="G287" i="3"/>
  <c r="G606" i="3"/>
  <c r="E718" i="3"/>
  <c r="E233" i="3"/>
  <c r="G648" i="3"/>
  <c r="G135" i="3"/>
  <c r="G68" i="3"/>
  <c r="E313" i="3"/>
  <c r="G292" i="3"/>
  <c r="G62" i="3"/>
  <c r="E537" i="3"/>
  <c r="E438" i="3"/>
  <c r="E107" i="3"/>
  <c r="E520" i="3"/>
  <c r="G488" i="3"/>
  <c r="E137" i="3"/>
  <c r="E223" i="3"/>
  <c r="G249" i="3"/>
  <c r="G189" i="3"/>
  <c r="G649" i="3"/>
  <c r="G91" i="3"/>
  <c r="E85" i="3"/>
  <c r="E531" i="3"/>
  <c r="E292" i="3"/>
  <c r="E90" i="3"/>
  <c r="E435" i="3"/>
  <c r="E70" i="3"/>
  <c r="G508" i="3"/>
  <c r="G196" i="3"/>
  <c r="E533" i="3"/>
  <c r="G187" i="3"/>
  <c r="G630" i="3"/>
  <c r="E511" i="3"/>
  <c r="G142" i="3"/>
  <c r="E545" i="3"/>
  <c r="E509" i="3"/>
  <c r="E76" i="3"/>
  <c r="G92" i="3"/>
  <c r="G537" i="3"/>
  <c r="G454" i="3"/>
  <c r="E278" i="3"/>
  <c r="G667" i="3"/>
  <c r="E379" i="3"/>
  <c r="G588" i="3"/>
  <c r="G448" i="3"/>
  <c r="E418" i="3"/>
  <c r="G30" i="3"/>
  <c r="G322" i="3"/>
  <c r="E155" i="3"/>
  <c r="G719" i="3"/>
  <c r="E338" i="3"/>
  <c r="G197" i="3"/>
  <c r="G662" i="3"/>
  <c r="E479" i="3"/>
  <c r="G136" i="3"/>
  <c r="E235" i="3"/>
  <c r="G553" i="3"/>
  <c r="E591" i="3"/>
  <c r="G180" i="3"/>
  <c r="G720" i="3"/>
  <c r="G458" i="3"/>
  <c r="E86" i="3"/>
  <c r="G206" i="3"/>
  <c r="E345" i="3"/>
  <c r="G323" i="3"/>
  <c r="E400" i="3"/>
  <c r="G374" i="3"/>
  <c r="G407" i="3"/>
  <c r="E474" i="3"/>
  <c r="G35" i="3"/>
  <c r="G327" i="3"/>
  <c r="E606" i="3"/>
  <c r="G718" i="3"/>
  <c r="G172" i="3"/>
  <c r="G526" i="3"/>
  <c r="E234" i="3"/>
  <c r="G479" i="3"/>
  <c r="G472" i="3"/>
  <c r="E158" i="3"/>
  <c r="G299" i="3"/>
  <c r="E562" i="3"/>
  <c r="G675" i="3"/>
  <c r="G663" i="3"/>
  <c r="E378" i="3"/>
  <c r="E541" i="3"/>
  <c r="G572" i="3"/>
  <c r="E324" i="3"/>
  <c r="G29" i="3"/>
  <c r="G418" i="3"/>
  <c r="G372" i="3"/>
  <c r="E682" i="3"/>
  <c r="E402" i="3"/>
  <c r="G261" i="3"/>
  <c r="E719" i="3"/>
  <c r="E399" i="3"/>
  <c r="G416" i="3"/>
  <c r="G517" i="3"/>
  <c r="G536" i="3"/>
  <c r="G570" i="3"/>
  <c r="E179" i="3"/>
  <c r="E98" i="3"/>
  <c r="G471" i="3"/>
  <c r="E672" i="3"/>
  <c r="G110" i="3"/>
  <c r="G52" i="3"/>
  <c r="E555" i="3"/>
  <c r="G193" i="3"/>
  <c r="E170" i="3"/>
  <c r="E320" i="3"/>
  <c r="G294" i="3"/>
  <c r="E120" i="3"/>
  <c r="E685" i="3"/>
  <c r="G336" i="3"/>
  <c r="E310" i="3"/>
  <c r="G493" i="3"/>
  <c r="G64" i="3"/>
  <c r="G73" i="3"/>
  <c r="E417" i="3"/>
  <c r="G32" i="3"/>
  <c r="G668" i="3"/>
  <c r="E344" i="3"/>
  <c r="E72" i="3"/>
  <c r="G624" i="3"/>
  <c r="E548" i="3"/>
  <c r="E498" i="3"/>
  <c r="G46" i="3"/>
  <c r="E54" i="3"/>
  <c r="G41" i="3"/>
  <c r="E81" i="3"/>
  <c r="G137" i="3"/>
  <c r="G551" i="3"/>
  <c r="G235" i="3"/>
  <c r="E569" i="3"/>
  <c r="G607" i="3"/>
  <c r="E465" i="3"/>
  <c r="G613" i="3"/>
  <c r="G128" i="3"/>
  <c r="G133" i="3"/>
  <c r="G273" i="3"/>
  <c r="E240" i="3"/>
  <c r="E185" i="3"/>
  <c r="G440" i="3"/>
  <c r="G140" i="3"/>
  <c r="G524" i="3"/>
  <c r="E208" i="3"/>
  <c r="G540" i="3"/>
  <c r="G244" i="3"/>
  <c r="E448" i="3"/>
  <c r="G217" i="3"/>
  <c r="E232" i="3"/>
  <c r="E57" i="3"/>
  <c r="E308" i="3"/>
  <c r="E692" i="3"/>
  <c r="E42" i="3"/>
  <c r="E703" i="3"/>
  <c r="G651" i="3"/>
  <c r="E598" i="3"/>
  <c r="E415" i="3"/>
  <c r="G167" i="3"/>
  <c r="G617" i="3"/>
  <c r="E167" i="3"/>
  <c r="E659" i="3"/>
  <c r="G219" i="3"/>
  <c r="E553" i="3"/>
  <c r="G591" i="3"/>
  <c r="E243" i="3"/>
  <c r="G99" i="3"/>
  <c r="E521" i="3"/>
  <c r="E106" i="3"/>
  <c r="E669" i="3"/>
  <c r="G320" i="3"/>
  <c r="E294" i="3"/>
  <c r="G477" i="3"/>
  <c r="G345" i="3"/>
  <c r="E323" i="3"/>
  <c r="G134" i="3"/>
  <c r="G478" i="3"/>
  <c r="E287" i="3"/>
  <c r="E611" i="3"/>
  <c r="G226" i="3"/>
  <c r="E192" i="3"/>
  <c r="E194" i="3"/>
  <c r="G616" i="3"/>
  <c r="E650" i="3"/>
  <c r="G195" i="3"/>
  <c r="E286" i="3"/>
  <c r="G509" i="3"/>
  <c r="E333" i="3"/>
  <c r="G334" i="3"/>
  <c r="E715" i="3"/>
  <c r="E655" i="3"/>
  <c r="G28" i="3"/>
  <c r="E331" i="3"/>
  <c r="G727" i="3"/>
  <c r="E705" i="3"/>
  <c r="E375" i="3"/>
  <c r="E257" i="3"/>
  <c r="G199" i="3"/>
  <c r="G339" i="3"/>
  <c r="E63" i="3"/>
  <c r="E729" i="3"/>
  <c r="G380" i="3"/>
  <c r="G462" i="3"/>
  <c r="G105" i="3"/>
  <c r="G296" i="3"/>
  <c r="E165" i="3"/>
  <c r="G186" i="3"/>
  <c r="E109" i="3"/>
  <c r="G575" i="3"/>
  <c r="G203" i="3"/>
  <c r="E627" i="3"/>
  <c r="E151" i="3"/>
  <c r="G139" i="3"/>
  <c r="E443" i="3"/>
  <c r="E188" i="3"/>
  <c r="E582" i="3"/>
  <c r="G404" i="3"/>
  <c r="G598" i="3"/>
  <c r="G248" i="3"/>
  <c r="G600" i="3"/>
  <c r="E634" i="3"/>
  <c r="E510" i="3"/>
  <c r="G476" i="3"/>
  <c r="G173" i="3"/>
  <c r="G417" i="3"/>
  <c r="E171" i="3"/>
  <c r="E115" i="3"/>
  <c r="E526" i="3"/>
  <c r="G169" i="3"/>
  <c r="E434" i="3"/>
  <c r="E708" i="3"/>
  <c r="G117" i="3"/>
  <c r="G107" i="3"/>
  <c r="G56" i="3"/>
  <c r="G724" i="3"/>
  <c r="E475" i="3"/>
  <c r="G317" i="3"/>
  <c r="E364" i="3"/>
  <c r="G713" i="3"/>
  <c r="E334" i="3"/>
  <c r="G715" i="3"/>
  <c r="E266" i="3"/>
  <c r="G243" i="3"/>
  <c r="E619" i="3"/>
  <c r="E215" i="3"/>
  <c r="G102" i="3"/>
  <c r="E301" i="3"/>
  <c r="E384" i="3"/>
  <c r="G358" i="3"/>
  <c r="G403" i="3"/>
  <c r="E108" i="3"/>
  <c r="G363" i="3"/>
  <c r="E626" i="3"/>
  <c r="G177" i="3"/>
  <c r="G501" i="3"/>
  <c r="G554" i="3"/>
  <c r="E163" i="3"/>
  <c r="G383" i="3"/>
  <c r="G188" i="3"/>
  <c r="E687" i="3"/>
  <c r="G191" i="3"/>
  <c r="E250" i="3"/>
  <c r="E222" i="3"/>
  <c r="G247" i="3"/>
  <c r="G480" i="3"/>
  <c r="G184" i="3"/>
  <c r="E527" i="3"/>
  <c r="G103" i="3"/>
  <c r="G665" i="3"/>
  <c r="E316" i="3"/>
  <c r="E38" i="3"/>
  <c r="E91" i="3"/>
  <c r="E544" i="3"/>
  <c r="G548" i="3"/>
  <c r="G185" i="3"/>
  <c r="G111" i="3"/>
  <c r="E349" i="3"/>
  <c r="E381" i="3"/>
  <c r="G37" i="3"/>
  <c r="G38" i="3"/>
  <c r="G80" i="3"/>
  <c r="G467" i="3"/>
  <c r="E684" i="3"/>
  <c r="E667" i="3"/>
  <c r="E410" i="3"/>
  <c r="E711" i="3"/>
  <c r="G689" i="3"/>
  <c r="G205" i="3"/>
  <c r="E567" i="3"/>
  <c r="E20" i="3"/>
  <c r="E730" i="3"/>
  <c r="G377" i="3"/>
  <c r="E355" i="3"/>
  <c r="G609" i="3"/>
  <c r="G209" i="3"/>
  <c r="G175" i="3"/>
  <c r="E564" i="3"/>
  <c r="E154" i="3"/>
  <c r="G291" i="3"/>
  <c r="G144" i="3"/>
  <c r="E190" i="3"/>
  <c r="E268" i="3"/>
  <c r="E558" i="3"/>
  <c r="G670" i="3"/>
  <c r="G464" i="3"/>
  <c r="E584" i="3"/>
  <c r="G618" i="3"/>
  <c r="G660" i="3"/>
  <c r="G100" i="3"/>
  <c r="G443" i="3"/>
  <c r="E280" i="3"/>
  <c r="G260" i="3"/>
  <c r="G125" i="3"/>
  <c r="G95" i="3"/>
  <c r="E177" i="3"/>
  <c r="E501" i="3"/>
  <c r="G126" i="3"/>
  <c r="E694" i="3"/>
  <c r="E30" i="3"/>
  <c r="G388" i="3"/>
  <c r="E29" i="3"/>
  <c r="E657" i="3"/>
  <c r="G280" i="3"/>
  <c r="E565" i="3"/>
  <c r="E356" i="3"/>
  <c r="G47" i="3"/>
  <c r="G48" i="3"/>
  <c r="G684" i="3"/>
  <c r="G449" i="3"/>
  <c r="G430" i="3"/>
  <c r="E182" i="3"/>
  <c r="E262" i="3"/>
  <c r="G730" i="3"/>
  <c r="G571" i="3"/>
  <c r="E26" i="3"/>
  <c r="G119" i="3"/>
  <c r="G576" i="3"/>
  <c r="G565" i="3"/>
  <c r="G530" i="3"/>
  <c r="G214" i="3"/>
  <c r="E645" i="3"/>
  <c r="E168" i="3"/>
  <c r="E416" i="3"/>
  <c r="G212" i="3"/>
  <c r="E430" i="3"/>
  <c r="E236" i="3"/>
  <c r="G436" i="3"/>
  <c r="G703" i="3"/>
  <c r="E322" i="3"/>
  <c r="G646" i="3"/>
  <c r="E463" i="3"/>
  <c r="E662" i="3"/>
  <c r="E351" i="3"/>
  <c r="E263" i="3"/>
  <c r="E496" i="3"/>
  <c r="E570" i="3"/>
  <c r="E446" i="3"/>
  <c r="G412" i="3"/>
  <c r="E596" i="3"/>
  <c r="E457" i="3"/>
  <c r="G401" i="3"/>
  <c r="E639" i="3"/>
  <c r="G393" i="3"/>
  <c r="E371" i="3"/>
  <c r="G545" i="3"/>
  <c r="G475" i="3"/>
  <c r="E317" i="3"/>
  <c r="A317" i="6" s="1"/>
  <c r="G415" i="3"/>
  <c r="G264" i="3"/>
  <c r="E661" i="3"/>
  <c r="G360" i="3"/>
  <c r="G635" i="3"/>
  <c r="E295" i="3"/>
  <c r="G232" i="3"/>
  <c r="G584" i="3"/>
  <c r="E618" i="3"/>
  <c r="G124" i="3"/>
  <c r="E61" i="3"/>
  <c r="G72" i="3"/>
  <c r="E445" i="3"/>
  <c r="E643" i="3"/>
  <c r="G642" i="3"/>
  <c r="G303" i="3"/>
  <c r="G51" i="3"/>
  <c r="E141" i="3"/>
  <c r="E704" i="3"/>
  <c r="G503" i="3"/>
  <c r="E549" i="3"/>
  <c r="G157" i="3"/>
  <c r="G460" i="3"/>
  <c r="G116" i="3"/>
  <c r="E666" i="3"/>
  <c r="G313" i="3"/>
  <c r="G560" i="3"/>
  <c r="E576" i="3"/>
  <c r="G343" i="3"/>
  <c r="E622" i="3"/>
  <c r="E346" i="3"/>
  <c r="E368" i="3"/>
  <c r="E406" i="3"/>
  <c r="E335" i="3"/>
  <c r="E284" i="3"/>
  <c r="E225" i="3"/>
  <c r="E191" i="3"/>
  <c r="E589" i="3"/>
  <c r="G637" i="3"/>
  <c r="E305" i="3"/>
  <c r="G690" i="3"/>
  <c r="E664" i="3"/>
  <c r="E674" i="3"/>
  <c r="G633" i="3"/>
  <c r="G314" i="3"/>
  <c r="E638" i="3"/>
  <c r="E592" i="3"/>
  <c r="E303" i="3"/>
  <c r="E279" i="3"/>
  <c r="G120" i="3"/>
  <c r="E506" i="3"/>
  <c r="E451" i="3"/>
  <c r="G70" i="3"/>
  <c r="G419" i="3"/>
  <c r="G50" i="3"/>
  <c r="G424" i="3"/>
  <c r="E48" i="3"/>
  <c r="G274" i="3"/>
  <c r="E39" i="3"/>
  <c r="E249" i="3"/>
  <c r="E722" i="3"/>
  <c r="E390" i="3"/>
  <c r="E93" i="3"/>
  <c r="G305" i="3"/>
  <c r="E490" i="3"/>
  <c r="G69" i="3"/>
  <c r="G506" i="3"/>
  <c r="G146" i="3"/>
  <c r="E519" i="3"/>
  <c r="E254" i="3"/>
  <c r="G306" i="3"/>
  <c r="E229" i="3"/>
  <c r="E560" i="3"/>
  <c r="G156" i="3"/>
  <c r="E27" i="3"/>
  <c r="G158" i="3"/>
  <c r="E561" i="3"/>
  <c r="E92" i="3"/>
  <c r="G610" i="3"/>
  <c r="G653" i="3"/>
  <c r="G298" i="3"/>
  <c r="E207" i="3"/>
  <c r="G621" i="3"/>
  <c r="E248" i="3"/>
  <c r="G233" i="3"/>
  <c r="G627" i="3"/>
  <c r="E140" i="3"/>
  <c r="G482" i="3"/>
  <c r="G329" i="3"/>
  <c r="E307" i="3"/>
  <c r="E473" i="3"/>
  <c r="E272" i="3"/>
  <c r="G338" i="3"/>
  <c r="E197" i="3"/>
  <c r="G453" i="3"/>
  <c r="G497" i="3"/>
  <c r="E407" i="3"/>
  <c r="E53" i="3"/>
  <c r="E87" i="3"/>
  <c r="E678" i="3"/>
  <c r="G500" i="3"/>
  <c r="E440" i="3"/>
  <c r="E386" i="3"/>
  <c r="G245" i="3"/>
  <c r="G527" i="3"/>
  <c r="G171" i="3"/>
  <c r="E22" i="3"/>
  <c r="E300" i="3"/>
  <c r="E727" i="3"/>
  <c r="G705" i="3"/>
  <c r="G198" i="3"/>
  <c r="G514" i="3"/>
  <c r="G242" i="3"/>
  <c r="G58" i="3"/>
  <c r="G549" i="3"/>
  <c r="G544" i="3"/>
  <c r="E122" i="3"/>
  <c r="G113" i="3"/>
  <c r="E125" i="3"/>
  <c r="E472" i="3"/>
  <c r="G237" i="3"/>
  <c r="E599" i="3"/>
  <c r="E642" i="3"/>
  <c r="G379" i="3"/>
  <c r="G328" i="3"/>
  <c r="G104" i="3"/>
  <c r="G457" i="3"/>
  <c r="G682" i="3"/>
  <c r="G413" i="3"/>
  <c r="E227" i="3"/>
  <c r="E698" i="3"/>
  <c r="G277" i="3"/>
  <c r="E131" i="3"/>
  <c r="E164" i="3"/>
  <c r="E428" i="3"/>
  <c r="G612" i="3"/>
  <c r="G396" i="3"/>
  <c r="E37" i="3"/>
  <c r="E458" i="3"/>
  <c r="E110" i="3"/>
  <c r="G408" i="3"/>
  <c r="G240" i="3"/>
  <c r="G215" i="3"/>
  <c r="G452" i="3"/>
  <c r="G489" i="3"/>
  <c r="G61" i="3"/>
  <c r="G629" i="3"/>
  <c r="G366" i="3"/>
  <c r="G221" i="3"/>
  <c r="E583" i="3"/>
  <c r="E270" i="3"/>
  <c r="G216" i="3"/>
  <c r="E370" i="3"/>
  <c r="G498" i="3"/>
  <c r="E404" i="3"/>
  <c r="E198" i="3"/>
  <c r="G604" i="3"/>
  <c r="G228" i="3"/>
  <c r="E114" i="3"/>
  <c r="E487" i="3"/>
  <c r="E128" i="3"/>
  <c r="G531" i="3"/>
  <c r="E23" i="3"/>
  <c r="E389" i="3"/>
  <c r="E377" i="3"/>
  <c r="G355" i="3"/>
  <c r="G286" i="3"/>
  <c r="G387" i="3"/>
  <c r="E462" i="3"/>
  <c r="E84" i="3"/>
  <c r="G263" i="3"/>
  <c r="E160" i="3"/>
  <c r="G709" i="3"/>
  <c r="E123" i="3"/>
  <c r="E373" i="3"/>
  <c r="G94" i="3"/>
  <c r="E442" i="3"/>
  <c r="E21" i="3"/>
  <c r="G118" i="3"/>
  <c r="G566" i="3"/>
  <c r="E319" i="3"/>
  <c r="G399" i="3"/>
  <c r="G76" i="3"/>
  <c r="G521" i="3"/>
  <c r="E422" i="3"/>
  <c r="E454" i="3"/>
  <c r="E337" i="3"/>
  <c r="G722" i="3"/>
  <c r="E696" i="3"/>
  <c r="E635" i="3"/>
  <c r="G579" i="3"/>
  <c r="E723" i="3"/>
  <c r="G541" i="3"/>
  <c r="G24" i="3"/>
  <c r="G692" i="3"/>
  <c r="E507" i="3"/>
  <c r="E624" i="3"/>
  <c r="G275" i="3"/>
  <c r="E488" i="3"/>
  <c r="G546" i="3"/>
  <c r="E253" i="3"/>
  <c r="G615" i="3"/>
  <c r="G557" i="3"/>
  <c r="E228" i="3"/>
  <c r="G166" i="3"/>
  <c r="G54" i="3"/>
  <c r="E717" i="3"/>
  <c r="G368" i="3"/>
  <c r="E111" i="3"/>
  <c r="E273" i="3"/>
  <c r="G20" i="3"/>
  <c r="E637" i="3"/>
  <c r="G487" i="3"/>
  <c r="E688" i="3"/>
  <c r="G123" i="3"/>
  <c r="G594" i="3"/>
  <c r="E255" i="3"/>
  <c r="E68" i="3"/>
  <c r="E58" i="3"/>
  <c r="G290" i="3"/>
  <c r="G282" i="3"/>
  <c r="E397" i="3"/>
  <c r="E47" i="3"/>
  <c r="G348" i="3"/>
  <c r="E697" i="3"/>
  <c r="E139" i="3"/>
  <c r="E311" i="3"/>
  <c r="G376" i="3"/>
  <c r="G398" i="3"/>
  <c r="E392" i="3"/>
  <c r="G716" i="3"/>
  <c r="E220" i="3"/>
  <c r="G619" i="3"/>
  <c r="E193" i="3"/>
  <c r="G66" i="3"/>
  <c r="G425" i="3"/>
  <c r="G431" i="3"/>
  <c r="E710" i="3"/>
  <c r="E296" i="3"/>
  <c r="E341" i="3"/>
  <c r="G710" i="3"/>
  <c r="G687" i="3"/>
  <c r="E306" i="3"/>
  <c r="G229" i="3"/>
  <c r="E609" i="3"/>
  <c r="G456" i="3"/>
  <c r="G288" i="3"/>
  <c r="E226" i="3"/>
  <c r="E648" i="3"/>
  <c r="E195" i="3"/>
  <c r="E571" i="3"/>
  <c r="G397" i="3"/>
  <c r="G59" i="3"/>
  <c r="E387" i="3"/>
  <c r="G414" i="3"/>
  <c r="G87" i="3"/>
  <c r="G693" i="3"/>
  <c r="G643" i="3"/>
  <c r="E363" i="3"/>
  <c r="E230" i="3"/>
  <c r="G154" i="3"/>
  <c r="G438" i="3"/>
  <c r="E486" i="3"/>
  <c r="E46" i="3"/>
  <c r="G324" i="3"/>
  <c r="G31" i="3"/>
  <c r="E470" i="3"/>
  <c r="E62" i="3"/>
  <c r="E350" i="3"/>
  <c r="G731" i="3"/>
  <c r="G271" i="3"/>
  <c r="G590" i="3"/>
  <c r="E702" i="3"/>
  <c r="E217" i="3"/>
  <c r="G632" i="3"/>
  <c r="G589" i="3"/>
  <c r="E216" i="3"/>
  <c r="G201" i="3"/>
  <c r="E43" i="3"/>
  <c r="G367" i="3"/>
  <c r="E238" i="3"/>
  <c r="E671" i="3"/>
  <c r="E291" i="3"/>
  <c r="G311" i="3"/>
  <c r="E590" i="3"/>
  <c r="G702" i="3"/>
  <c r="E604" i="3"/>
  <c r="G255" i="3"/>
  <c r="G574" i="3"/>
  <c r="E686" i="3"/>
  <c r="E201" i="3"/>
  <c r="G650" i="3"/>
  <c r="G614" i="3"/>
  <c r="G297" i="3"/>
  <c r="E241" i="3"/>
  <c r="E102" i="3"/>
  <c r="E720" i="3"/>
  <c r="G114" i="3"/>
  <c r="E157" i="3"/>
  <c r="G85" i="3"/>
  <c r="E380" i="3"/>
  <c r="G729" i="3"/>
  <c r="E491" i="3"/>
  <c r="E56" i="3"/>
  <c r="E701" i="3"/>
  <c r="G605" i="3"/>
  <c r="G192" i="3"/>
  <c r="G599" i="3"/>
  <c r="E237" i="3"/>
  <c r="G516" i="3"/>
  <c r="G179" i="3"/>
  <c r="E568" i="3"/>
  <c r="G602" i="3"/>
  <c r="G644" i="3"/>
  <c r="G131" i="3"/>
  <c r="E453" i="3"/>
  <c r="E166" i="3"/>
  <c r="G459" i="3"/>
  <c r="E361" i="3"/>
  <c r="G262" i="3"/>
  <c r="G190" i="3"/>
  <c r="E551" i="3"/>
  <c r="G230" i="3"/>
  <c r="G259" i="3"/>
  <c r="G224" i="3"/>
  <c r="G354" i="3"/>
  <c r="E213" i="3"/>
  <c r="E297" i="3"/>
  <c r="G446" i="3"/>
  <c r="G82" i="3"/>
  <c r="E455" i="3"/>
  <c r="E96" i="3"/>
  <c r="E499" i="3"/>
  <c r="G525" i="3"/>
  <c r="G505" i="3"/>
  <c r="G90" i="3"/>
  <c r="E550" i="3"/>
  <c r="E516" i="3"/>
  <c r="G44" i="3"/>
  <c r="E731" i="3"/>
  <c r="G350" i="3"/>
  <c r="E258" i="3"/>
  <c r="E212" i="3"/>
  <c r="E136" i="3"/>
  <c r="E517" i="3"/>
  <c r="E508" i="3"/>
  <c r="G714" i="3"/>
  <c r="G284" i="3"/>
  <c r="G207" i="3"/>
  <c r="E621" i="3"/>
  <c r="E514" i="3"/>
  <c r="G183" i="3"/>
  <c r="E536" i="3"/>
  <c r="E196" i="3"/>
  <c r="G701" i="3"/>
  <c r="E352" i="3"/>
  <c r="G326" i="3"/>
  <c r="G577" i="3"/>
  <c r="E332" i="3"/>
  <c r="G681" i="3"/>
  <c r="G725" i="3"/>
  <c r="G325" i="3"/>
  <c r="E693" i="3"/>
  <c r="G369" i="3"/>
  <c r="G227" i="3"/>
  <c r="G153" i="3"/>
  <c r="E97" i="3"/>
  <c r="E382" i="3"/>
  <c r="G697" i="3"/>
  <c r="E348" i="3"/>
  <c r="E244" i="3"/>
  <c r="E298" i="3"/>
  <c r="G266" i="3"/>
  <c r="G561" i="3"/>
  <c r="E468" i="3"/>
  <c r="G711" i="3"/>
  <c r="E359" i="3"/>
  <c r="G626" i="3"/>
  <c r="E706" i="3"/>
  <c r="G680" i="3"/>
  <c r="A680" i="6" s="1"/>
  <c r="G346" i="3"/>
  <c r="G93" i="3"/>
  <c r="G319" i="3"/>
  <c r="E646" i="3"/>
  <c r="G279" i="3"/>
  <c r="E518" i="3"/>
  <c r="E144" i="3"/>
  <c r="E289" i="3"/>
  <c r="E183" i="3"/>
  <c r="E522" i="3"/>
  <c r="E189" i="3"/>
  <c r="G433" i="3"/>
  <c r="G21" i="3"/>
  <c r="G22" i="3"/>
  <c r="G451" i="3"/>
  <c r="E668" i="3"/>
  <c r="E625" i="3"/>
  <c r="E24" i="3"/>
  <c r="G371" i="3"/>
  <c r="G165" i="3"/>
  <c r="G423" i="3"/>
  <c r="E69" i="3"/>
  <c r="E633" i="3"/>
  <c r="G315" i="3"/>
  <c r="E578" i="3"/>
  <c r="G528" i="3"/>
  <c r="G592" i="3"/>
  <c r="E431" i="3"/>
  <c r="E302" i="3"/>
  <c r="G683" i="3"/>
  <c r="E395" i="3"/>
  <c r="E653" i="3"/>
  <c r="G27" i="3"/>
  <c r="G25" i="3"/>
  <c r="G174" i="3"/>
  <c r="G603" i="3"/>
  <c r="E484" i="3"/>
  <c r="E464" i="3"/>
  <c r="E186" i="3"/>
  <c r="G145" i="3"/>
  <c r="G469" i="3"/>
  <c r="G513" i="3"/>
  <c r="E36" i="3"/>
  <c r="E260" i="3"/>
  <c r="E277" i="3"/>
  <c r="E401" i="3"/>
  <c r="E494" i="3"/>
  <c r="E554" i="3"/>
  <c r="E480" i="3"/>
  <c r="E103" i="3"/>
  <c r="E409" i="3"/>
  <c r="G246" i="3"/>
  <c r="G556" i="3"/>
  <c r="G258" i="3"/>
  <c r="E614" i="3"/>
  <c r="G445" i="3"/>
  <c r="E285" i="3"/>
  <c r="G341" i="3"/>
  <c r="E709" i="3"/>
  <c r="G385" i="3"/>
  <c r="E353" i="3"/>
  <c r="E712" i="3"/>
  <c r="G170" i="3"/>
  <c r="E477" i="3"/>
  <c r="G143" i="3"/>
  <c r="E656" i="3"/>
  <c r="G365" i="3"/>
  <c r="E557" i="3"/>
  <c r="E267" i="3"/>
  <c r="E601" i="3"/>
  <c r="G152" i="3"/>
  <c r="E251" i="3"/>
  <c r="G569" i="3"/>
  <c r="E607" i="3"/>
  <c r="G390" i="3"/>
  <c r="G272" i="3"/>
  <c r="G512" i="3"/>
  <c r="E542" i="3"/>
  <c r="E652" i="3"/>
  <c r="E246" i="3"/>
  <c r="E612" i="3"/>
  <c r="G428" i="3"/>
  <c r="G375" i="3"/>
  <c r="G654" i="3"/>
  <c r="E530" i="3"/>
  <c r="G636" i="3"/>
  <c r="E265" i="3"/>
  <c r="G547" i="3"/>
  <c r="E691" i="3"/>
  <c r="G550" i="3"/>
  <c r="G257" i="3"/>
  <c r="G447" i="3"/>
  <c r="E347" i="3"/>
  <c r="E721" i="3"/>
  <c r="E391" i="3"/>
  <c r="G359" i="3"/>
  <c r="G638" i="3"/>
  <c r="G79" i="3"/>
  <c r="E495" i="3"/>
  <c r="G421" i="3"/>
  <c r="E534" i="3"/>
  <c r="G465" i="3"/>
  <c r="A465" i="6" s="1"/>
  <c r="E613" i="3"/>
  <c r="G84" i="3"/>
  <c r="G89" i="3"/>
  <c r="E433" i="3"/>
  <c r="G581" i="3"/>
  <c r="G463" i="3"/>
  <c r="E66" i="3"/>
  <c r="G278" i="3"/>
  <c r="E600" i="3"/>
  <c r="G405" i="3"/>
  <c r="E429" i="3"/>
  <c r="E689" i="3"/>
  <c r="G34" i="3"/>
  <c r="G332" i="3"/>
  <c r="E681" i="3"/>
  <c r="E641" i="3"/>
  <c r="G593" i="3"/>
  <c r="E456" i="3"/>
  <c r="E169" i="3"/>
  <c r="G504" i="3"/>
  <c r="G523" i="3"/>
  <c r="A523" i="6" s="1"/>
  <c r="E365" i="3"/>
  <c r="G236" i="3"/>
  <c r="E489" i="3"/>
  <c r="E74" i="3"/>
  <c r="G276" i="3"/>
  <c r="G269" i="3"/>
  <c r="E362" i="3"/>
  <c r="G659" i="3"/>
  <c r="G182" i="3"/>
  <c r="E148" i="3"/>
  <c r="E412" i="3"/>
  <c r="G596" i="3"/>
  <c r="E649" i="3"/>
  <c r="G26" i="3"/>
  <c r="E524" i="3"/>
  <c r="E231" i="3"/>
  <c r="G77" i="3"/>
  <c r="G109" i="3"/>
  <c r="G499" i="3"/>
  <c r="E716" i="3"/>
  <c r="E71" i="3"/>
  <c r="G700" i="3"/>
  <c r="E376" i="3"/>
  <c r="E52" i="3"/>
  <c r="G106" i="3"/>
  <c r="G98" i="3"/>
  <c r="E471" i="3"/>
  <c r="E112" i="3"/>
  <c r="G515" i="3"/>
  <c r="G53" i="3"/>
  <c r="G96" i="3"/>
  <c r="G483" i="3"/>
  <c r="E700" i="3"/>
  <c r="G65" i="3"/>
  <c r="G220" i="3"/>
  <c r="E388" i="3"/>
  <c r="G721" i="3"/>
  <c r="E221" i="3"/>
  <c r="G583" i="3"/>
  <c r="E271" i="3"/>
  <c r="E595" i="3"/>
  <c r="G210" i="3"/>
  <c r="E117" i="3"/>
  <c r="G241" i="3"/>
  <c r="E631" i="3"/>
  <c r="G101" i="3"/>
  <c r="E173" i="3"/>
  <c r="G130" i="3"/>
  <c r="G543" i="3"/>
  <c r="G362" i="3"/>
  <c r="G696" i="3"/>
  <c r="E369" i="3"/>
  <c r="E728" i="3"/>
  <c r="G658" i="3"/>
  <c r="G712" i="3"/>
  <c r="G378" i="3"/>
  <c r="E679" i="3"/>
  <c r="G520" i="3"/>
  <c r="E504" i="3"/>
  <c r="E153" i="3"/>
  <c r="E449" i="3"/>
  <c r="G597" i="3"/>
  <c r="G112" i="3"/>
  <c r="G688" i="3"/>
  <c r="G426" i="3"/>
  <c r="G86" i="3"/>
  <c r="G486" i="3"/>
  <c r="G97" i="3"/>
  <c r="E394" i="3"/>
  <c r="G679" i="3"/>
  <c r="G647" i="3"/>
  <c r="E327" i="3"/>
  <c r="G295" i="3"/>
  <c r="E574" i="3"/>
  <c r="G686" i="3"/>
  <c r="G671" i="3"/>
  <c r="E354" i="3"/>
  <c r="G213" i="3"/>
  <c r="E89" i="3"/>
  <c r="G164" i="3"/>
  <c r="E575" i="3"/>
  <c r="G534" i="3"/>
  <c r="E219" i="3"/>
  <c r="E675" i="3"/>
  <c r="E663" i="3"/>
  <c r="E360" i="3"/>
  <c r="G641" i="3"/>
  <c r="E50" i="3"/>
  <c r="E328" i="3"/>
  <c r="E366" i="3"/>
  <c r="G312" i="3"/>
  <c r="E118" i="3"/>
  <c r="E424" i="3"/>
  <c r="E143" i="3"/>
  <c r="E83" i="3"/>
  <c r="G55" i="3"/>
  <c r="G435" i="3"/>
  <c r="E726" i="3"/>
  <c r="E34" i="3"/>
  <c r="E312" i="3"/>
  <c r="G420" i="3"/>
  <c r="G160" i="3"/>
  <c r="E547" i="3"/>
  <c r="G691" i="3"/>
  <c r="G267" i="3"/>
  <c r="G200" i="3"/>
  <c r="E512" i="3"/>
  <c r="G552" i="3"/>
  <c r="E586" i="3"/>
  <c r="G352" i="3"/>
  <c r="E326" i="3"/>
  <c r="E405" i="3"/>
  <c r="E152" i="3"/>
  <c r="G283" i="3"/>
  <c r="G707" i="3"/>
  <c r="E563" i="3"/>
  <c r="G268" i="3"/>
  <c r="G474" i="3"/>
  <c r="E315" i="3"/>
  <c r="E421" i="3"/>
  <c r="E134" i="3"/>
  <c r="G163" i="3"/>
  <c r="E178" i="3"/>
  <c r="G75" i="3"/>
  <c r="G43" i="3"/>
  <c r="E482" i="3"/>
  <c r="G307" i="3"/>
  <c r="G386" i="3"/>
  <c r="E245" i="3"/>
  <c r="E374" i="3"/>
  <c r="E357" i="3"/>
  <c r="G726" i="3"/>
  <c r="E572" i="3"/>
  <c r="G223" i="3"/>
  <c r="G542" i="3"/>
  <c r="G645" i="3"/>
  <c r="E41" i="3"/>
  <c r="E218" i="3"/>
  <c r="E176" i="3"/>
  <c r="G555" i="3"/>
  <c r="E159" i="3"/>
  <c r="E142" i="3"/>
  <c r="G656" i="3"/>
  <c r="E275" i="3"/>
  <c r="G622" i="3"/>
  <c r="E127" i="3"/>
  <c r="E460" i="3"/>
  <c r="E644" i="3"/>
  <c r="E478" i="3"/>
  <c r="E100" i="3"/>
  <c r="G444" i="3"/>
  <c r="G141" i="3"/>
  <c r="G406" i="3"/>
  <c r="E630" i="3"/>
  <c r="G168" i="3"/>
  <c r="G585" i="3"/>
  <c r="E623" i="3"/>
  <c r="E180" i="3"/>
  <c r="E444" i="3"/>
  <c r="E628" i="3"/>
  <c r="G149" i="3"/>
  <c r="E282" i="3"/>
  <c r="E339" i="3"/>
  <c r="E393" i="3"/>
  <c r="E199" i="3"/>
  <c r="G392" i="3"/>
  <c r="E67" i="3"/>
  <c r="G321" i="3"/>
  <c r="E51" i="3"/>
  <c r="E288" i="3"/>
  <c r="G674" i="3"/>
  <c r="G484" i="3"/>
  <c r="E461" i="3"/>
  <c r="E124" i="3"/>
  <c r="G57" i="3"/>
  <c r="G331" i="3"/>
  <c r="G337" i="3"/>
  <c r="G655" i="3"/>
  <c r="G293" i="3"/>
  <c r="E242" i="3"/>
  <c r="G442" i="3"/>
  <c r="G364" i="3"/>
  <c r="E713" i="3"/>
  <c r="E426" i="3"/>
  <c r="G78" i="3"/>
  <c r="G138" i="3"/>
  <c r="G108" i="3"/>
  <c r="G568" i="3"/>
  <c r="E602" i="3"/>
  <c r="G432" i="3"/>
  <c r="G533" i="3"/>
  <c r="E552" i="3"/>
  <c r="G586" i="3"/>
  <c r="G628" i="3"/>
  <c r="E714" i="3"/>
  <c r="E427" i="3"/>
  <c r="G333" i="3"/>
  <c r="E156" i="3"/>
  <c r="E224" i="3"/>
  <c r="E32" i="3"/>
  <c r="E94" i="3"/>
  <c r="G67" i="3"/>
  <c r="G661" i="3"/>
  <c r="G382" i="3"/>
  <c r="E252" i="3"/>
  <c r="G202" i="3"/>
  <c r="E325" i="3"/>
  <c r="E467" i="3"/>
  <c r="E423" i="3"/>
  <c r="G270" i="3"/>
  <c r="G535" i="3"/>
  <c r="E580" i="3"/>
  <c r="G60" i="3"/>
  <c r="G439" i="3"/>
  <c r="E75" i="3"/>
  <c r="G491" i="3"/>
  <c r="E290" i="3"/>
  <c r="E539" i="3"/>
  <c r="G510" i="3"/>
  <c r="E132" i="3"/>
  <c r="G529" i="3"/>
  <c r="G580" i="3"/>
  <c r="E414" i="3"/>
  <c r="G519" i="3"/>
  <c r="G155" i="3"/>
  <c r="G676" i="3"/>
  <c r="G441" i="3"/>
  <c r="E187" i="3"/>
  <c r="E658" i="3"/>
  <c r="G562" i="3"/>
  <c r="E269" i="3"/>
  <c r="E651" i="3"/>
  <c r="E367" i="3"/>
  <c r="G238" i="3"/>
  <c r="G427" i="3"/>
  <c r="E174" i="3"/>
  <c r="G455" i="3"/>
  <c r="E82" i="3"/>
  <c r="G481" i="3"/>
  <c r="G437" i="3"/>
  <c r="G49" i="3"/>
  <c r="E616" i="3"/>
  <c r="G330" i="3"/>
  <c r="E73" i="3"/>
  <c r="E202" i="3"/>
  <c r="G265" i="3"/>
  <c r="G496" i="3"/>
  <c r="G42" i="3"/>
  <c r="G678" i="3"/>
  <c r="E162" i="3"/>
  <c r="G253" i="3"/>
  <c r="E210" i="3"/>
  <c r="G39" i="3"/>
  <c r="E135" i="3"/>
  <c r="G664" i="3"/>
  <c r="E314" i="3"/>
  <c r="E309" i="3"/>
  <c r="E513" i="3"/>
  <c r="E79" i="3"/>
  <c r="E654" i="3"/>
  <c r="E690" i="3"/>
  <c r="G559" i="3"/>
  <c r="G147" i="3"/>
  <c r="G490" i="3"/>
  <c r="E615" i="3"/>
  <c r="E632" i="3"/>
  <c r="E505" i="3"/>
  <c r="E28" i="3"/>
  <c r="G129" i="3"/>
  <c r="A234" i="6"/>
  <c r="A450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A676" i="5" s="1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A915" i="5" s="1"/>
  <c r="D947" i="2"/>
  <c r="D979" i="2"/>
  <c r="D1011" i="2"/>
  <c r="D1043" i="2"/>
  <c r="A1043" i="5" s="1"/>
  <c r="D1075" i="2"/>
  <c r="E1052" i="2"/>
  <c r="E21" i="2"/>
  <c r="E53" i="2"/>
  <c r="D85" i="2"/>
  <c r="E116" i="2"/>
  <c r="E148" i="2"/>
  <c r="E181" i="2"/>
  <c r="E213" i="2"/>
  <c r="E245" i="2"/>
  <c r="D277" i="2"/>
  <c r="D309" i="2"/>
  <c r="A309" i="5" s="1"/>
  <c r="D341" i="2"/>
  <c r="D375" i="2"/>
  <c r="D407" i="2"/>
  <c r="D438" i="2"/>
  <c r="A438" i="5" s="1"/>
  <c r="D470" i="2"/>
  <c r="D502" i="2"/>
  <c r="D534" i="2"/>
  <c r="D566" i="2"/>
  <c r="A566" i="5" s="1"/>
  <c r="D598" i="2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A636" i="5" s="1"/>
  <c r="D604" i="2"/>
  <c r="E571" i="2"/>
  <c r="E539" i="2"/>
  <c r="E507" i="2"/>
  <c r="E475" i="2"/>
  <c r="E443" i="2"/>
  <c r="E410" i="2"/>
  <c r="E378" i="2"/>
  <c r="E336" i="2"/>
  <c r="E304" i="2"/>
  <c r="E272" i="2"/>
  <c r="D240" i="2"/>
  <c r="A240" i="5" s="1"/>
  <c r="D208" i="2"/>
  <c r="D176" i="2"/>
  <c r="D145" i="2"/>
  <c r="D113" i="2"/>
  <c r="A113" i="5" s="1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A1064" i="5" s="1"/>
  <c r="D19" i="2"/>
  <c r="D51" i="2"/>
  <c r="E83" i="2"/>
  <c r="D114" i="2"/>
  <c r="A114" i="5" s="1"/>
  <c r="D146" i="2"/>
  <c r="D179" i="2"/>
  <c r="D211" i="2"/>
  <c r="D243" i="2"/>
  <c r="A243" i="5" s="1"/>
  <c r="E275" i="2"/>
  <c r="E307" i="2"/>
  <c r="E339" i="2"/>
  <c r="E377" i="2"/>
  <c r="E409" i="2"/>
  <c r="E440" i="2"/>
  <c r="E472" i="2"/>
  <c r="E504" i="2"/>
  <c r="E536" i="2"/>
  <c r="E568" i="2"/>
  <c r="E600" i="2"/>
  <c r="D631" i="2"/>
  <c r="A631" i="5" s="1"/>
  <c r="D663" i="2"/>
  <c r="D695" i="2"/>
  <c r="D726" i="2"/>
  <c r="D760" i="2"/>
  <c r="A760" i="5" s="1"/>
  <c r="D792" i="2"/>
  <c r="D824" i="2"/>
  <c r="D856" i="2"/>
  <c r="D888" i="2"/>
  <c r="A888" i="5" s="1"/>
  <c r="D920" i="2"/>
  <c r="D952" i="2"/>
  <c r="D984" i="2"/>
  <c r="D1016" i="2"/>
  <c r="A1016" i="5" s="1"/>
  <c r="D1066" i="2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A789" i="5" s="1"/>
  <c r="D725" i="2"/>
  <c r="D692" i="2"/>
  <c r="D660" i="2"/>
  <c r="D628" i="2"/>
  <c r="A628" i="5" s="1"/>
  <c r="E595" i="2"/>
  <c r="E563" i="2"/>
  <c r="E531" i="2"/>
  <c r="E499" i="2"/>
  <c r="E467" i="2"/>
  <c r="E435" i="2"/>
  <c r="E402" i="2"/>
  <c r="E360" i="2"/>
  <c r="E328" i="2"/>
  <c r="E296" i="2"/>
  <c r="E264" i="2"/>
  <c r="D232" i="2"/>
  <c r="A232" i="5" s="1"/>
  <c r="D200" i="2"/>
  <c r="E169" i="2"/>
  <c r="D137" i="2"/>
  <c r="D105" i="2"/>
  <c r="A105" i="5" s="1"/>
  <c r="D72" i="2"/>
  <c r="E40" i="2"/>
  <c r="D8" i="2"/>
  <c r="D829" i="2"/>
  <c r="A829" i="5" s="1"/>
  <c r="D861" i="2"/>
  <c r="D893" i="2"/>
  <c r="D925" i="2"/>
  <c r="D957" i="2"/>
  <c r="A957" i="5" s="1"/>
  <c r="D989" i="2"/>
  <c r="D1021" i="2"/>
  <c r="D1053" i="2"/>
  <c r="D1085" i="2"/>
  <c r="A1085" i="5" s="1"/>
  <c r="E1072" i="2"/>
  <c r="E23" i="2"/>
  <c r="E55" i="2"/>
  <c r="D87" i="2"/>
  <c r="A87" i="5" s="1"/>
  <c r="E118" i="2"/>
  <c r="E150" i="2"/>
  <c r="E183" i="2"/>
  <c r="E215" i="2"/>
  <c r="E247" i="2"/>
  <c r="D279" i="2"/>
  <c r="D311" i="2"/>
  <c r="D343" i="2"/>
  <c r="A343" i="5" s="1"/>
  <c r="D381" i="2"/>
  <c r="D413" i="2"/>
  <c r="D444" i="2"/>
  <c r="D476" i="2"/>
  <c r="A476" i="5" s="1"/>
  <c r="D508" i="2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A57" i="5" s="1"/>
  <c r="E89" i="2"/>
  <c r="D120" i="2"/>
  <c r="D152" i="2"/>
  <c r="D185" i="2"/>
  <c r="A185" i="5" s="1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A696" i="5" s="1"/>
  <c r="D728" i="2"/>
  <c r="A728" i="5" s="1"/>
  <c r="D766" i="2"/>
  <c r="D798" i="2"/>
  <c r="D830" i="2"/>
  <c r="A830" i="5" s="1"/>
  <c r="D862" i="2"/>
  <c r="A862" i="5" s="1"/>
  <c r="D894" i="2"/>
  <c r="D926" i="2"/>
  <c r="D958" i="2"/>
  <c r="A958" i="5" s="1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A501" i="5" s="1"/>
  <c r="D469" i="2"/>
  <c r="A469" i="5" s="1"/>
  <c r="D437" i="2"/>
  <c r="D404" i="2"/>
  <c r="D338" i="2"/>
  <c r="A338" i="5" s="1"/>
  <c r="D306" i="2"/>
  <c r="A306" i="5" s="1"/>
  <c r="D274" i="2"/>
  <c r="E242" i="2"/>
  <c r="E210" i="2"/>
  <c r="E178" i="2"/>
  <c r="E147" i="2"/>
  <c r="E115" i="2"/>
  <c r="D82" i="2"/>
  <c r="A82" i="5" s="1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A686" i="5" s="1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A358" i="5" s="1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12" i="6" l="1"/>
  <c r="A194" i="6"/>
  <c r="A538" i="6"/>
  <c r="A475" i="6"/>
  <c r="A121" i="6"/>
  <c r="A53" i="6"/>
  <c r="A508" i="5"/>
  <c r="A381" i="5"/>
  <c r="A989" i="5"/>
  <c r="A861" i="5"/>
  <c r="A72" i="5"/>
  <c r="A200" i="5"/>
  <c r="A725" i="5"/>
  <c r="A1066" i="5"/>
  <c r="A920" i="5"/>
  <c r="A792" i="5"/>
  <c r="A663" i="5"/>
  <c r="A146" i="5"/>
  <c r="A19" i="5"/>
  <c r="A80" i="5"/>
  <c r="A208" i="5"/>
  <c r="A604" i="5"/>
  <c r="A743" i="5"/>
  <c r="A598" i="5"/>
  <c r="A470" i="5"/>
  <c r="A341" i="5"/>
  <c r="A85" i="5"/>
  <c r="A1075" i="5"/>
  <c r="A947" i="5"/>
  <c r="A121" i="5"/>
  <c r="A248" i="5"/>
  <c r="A644" i="5"/>
  <c r="A605" i="6"/>
  <c r="A472" i="6"/>
  <c r="A85" i="6"/>
  <c r="A667" i="6"/>
  <c r="A132" i="6"/>
  <c r="A252" i="6"/>
  <c r="A394" i="6"/>
  <c r="A483" i="6"/>
  <c r="A19" i="6"/>
  <c r="A462" i="6"/>
  <c r="A517" i="6"/>
  <c r="A188" i="6"/>
  <c r="A287" i="6"/>
  <c r="A673" i="6"/>
  <c r="A244" i="6"/>
  <c r="A467" i="6"/>
  <c r="A494" i="6"/>
  <c r="A296" i="6"/>
  <c r="A570" i="6"/>
  <c r="A316" i="6"/>
  <c r="A719" i="6"/>
  <c r="A205" i="6"/>
  <c r="A725" i="6"/>
  <c r="A639" i="6"/>
  <c r="A657" i="6"/>
  <c r="A672" i="6"/>
  <c r="A261" i="6"/>
  <c r="A133" i="6"/>
  <c r="A502" i="6"/>
  <c r="A677" i="6"/>
  <c r="A270" i="5"/>
  <c r="A638" i="5"/>
  <c r="A666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29" i="6"/>
  <c r="A661" i="6"/>
  <c r="A326" i="6"/>
  <c r="A675" i="6"/>
  <c r="A189" i="6"/>
  <c r="A729" i="6"/>
  <c r="A193" i="6"/>
  <c r="A507" i="6"/>
  <c r="A110" i="6"/>
  <c r="A254" i="6"/>
  <c r="A120" i="6"/>
  <c r="A303" i="6"/>
  <c r="A547" i="6"/>
  <c r="A418" i="6"/>
  <c r="A126" i="6"/>
  <c r="A258" i="6"/>
  <c r="A367" i="6"/>
  <c r="A423" i="6"/>
  <c r="A227" i="6"/>
  <c r="A15" i="6"/>
  <c r="A13" i="6"/>
  <c r="A17" i="6"/>
  <c r="A359" i="6"/>
  <c r="A348" i="6"/>
  <c r="A260" i="6"/>
  <c r="A263" i="6"/>
  <c r="A336" i="6"/>
  <c r="A669" i="6"/>
  <c r="A576" i="6"/>
  <c r="A511" i="6"/>
  <c r="A95" i="6"/>
  <c r="A497" i="6"/>
  <c r="A413" i="6"/>
  <c r="A150" i="6"/>
  <c r="A578" i="6"/>
  <c r="A185" i="6"/>
  <c r="A134" i="6"/>
  <c r="A389" i="6"/>
  <c r="A376" i="5"/>
  <c r="A678" i="5"/>
  <c r="A690" i="5"/>
  <c r="A610" i="6"/>
  <c r="A627" i="6"/>
  <c r="A73" i="6"/>
  <c r="A182" i="6"/>
  <c r="A663" i="6"/>
  <c r="A57" i="6"/>
  <c r="A461" i="6"/>
  <c r="A176" i="6"/>
  <c r="A374" i="6"/>
  <c r="A45" i="6"/>
  <c r="A315" i="6"/>
  <c r="A128" i="6"/>
  <c r="A239" i="6"/>
  <c r="A109" i="6"/>
  <c r="A692" i="6"/>
  <c r="A631" i="6"/>
  <c r="A208" i="6"/>
  <c r="A74" i="6"/>
  <c r="A313" i="6"/>
  <c r="A345" i="6"/>
  <c r="A642" i="6"/>
  <c r="A89" i="6"/>
  <c r="A551" i="6"/>
  <c r="A365" i="6"/>
  <c r="A623" i="6"/>
  <c r="A106" i="6"/>
  <c r="A213" i="6"/>
  <c r="A689" i="6"/>
  <c r="A499" i="6"/>
  <c r="A217" i="6"/>
  <c r="A350" i="6"/>
  <c r="A470" i="6"/>
  <c r="A654" i="5"/>
  <c r="A574" i="5"/>
  <c r="A409" i="6"/>
  <c r="A510" i="5"/>
  <c r="A446" i="5"/>
  <c r="A383" i="5"/>
  <c r="A317" i="5"/>
  <c r="A253" i="5"/>
  <c r="A1051" i="5"/>
  <c r="A987" i="5"/>
  <c r="A923" i="5"/>
  <c r="A859" i="5"/>
  <c r="A10" i="5"/>
  <c r="A815" i="5"/>
  <c r="A938" i="5"/>
  <c r="A810" i="5"/>
  <c r="A677" i="5"/>
  <c r="A20" i="5"/>
  <c r="A594" i="5"/>
  <c r="A530" i="5"/>
  <c r="A466" i="5"/>
  <c r="A403" i="5"/>
  <c r="A321" i="5"/>
  <c r="A257" i="5"/>
  <c r="A1063" i="5"/>
  <c r="A999" i="5"/>
  <c r="A935" i="5"/>
  <c r="A871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253" i="6"/>
  <c r="A658" i="6"/>
  <c r="A187" i="6"/>
  <c r="A382" i="6"/>
  <c r="A333" i="6"/>
  <c r="A442" i="6"/>
  <c r="A712" i="6"/>
  <c r="A696" i="6"/>
  <c r="A520" i="6"/>
  <c r="A279" i="6"/>
  <c r="A636" i="6"/>
  <c r="A629" i="6"/>
  <c r="A58" i="6"/>
  <c r="A157" i="6"/>
  <c r="A54" i="6"/>
  <c r="A175" i="6"/>
  <c r="A247" i="6"/>
  <c r="A48" i="6"/>
  <c r="A43" i="6"/>
  <c r="A39" i="6"/>
  <c r="A563" i="6"/>
  <c r="A24" i="6"/>
  <c r="A592" i="6"/>
  <c r="A435" i="6"/>
  <c r="A618" i="6"/>
  <c r="A412" i="6"/>
  <c r="A495" i="6"/>
  <c r="A293" i="6"/>
  <c r="A693" i="6"/>
  <c r="A114" i="6"/>
  <c r="A153" i="6"/>
  <c r="A268" i="6"/>
  <c r="A86" i="5"/>
  <c r="A384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651" i="6"/>
  <c r="A686" i="6"/>
  <c r="A535" i="6"/>
  <c r="A602" i="6"/>
  <c r="A251" i="6"/>
  <c r="A26" i="6"/>
  <c r="A1082" i="5"/>
  <c r="A928" i="5"/>
  <c r="A800" i="5"/>
  <c r="A655" i="5"/>
  <c r="A138" i="5"/>
  <c r="A11" i="5"/>
  <c r="A763" i="5"/>
  <c r="A793" i="5"/>
  <c r="A513" i="5"/>
  <c r="A478" i="5"/>
  <c r="A349" i="5"/>
  <c r="A93" i="5"/>
  <c r="A1083" i="5"/>
  <c r="A955" i="5"/>
  <c r="A827" i="5"/>
  <c r="A771" i="5"/>
  <c r="A1024" i="5"/>
  <c r="A960" i="5"/>
  <c r="A896" i="5"/>
  <c r="A832" i="5"/>
  <c r="A768" i="5"/>
  <c r="A687" i="5"/>
  <c r="A623" i="5"/>
  <c r="A235" i="5"/>
  <c r="A106" i="5"/>
  <c r="A1048" i="5"/>
  <c r="A424" i="5"/>
  <c r="A694" i="5"/>
  <c r="A799" i="5"/>
  <c r="A1008" i="5"/>
  <c r="A880" i="5"/>
  <c r="A752" i="5"/>
  <c r="A607" i="5"/>
  <c r="A219" i="5"/>
  <c r="A807" i="5"/>
  <c r="A133" i="5"/>
  <c r="A648" i="5"/>
  <c r="A633" i="6"/>
  <c r="A444" i="6"/>
  <c r="A469" i="6"/>
  <c r="A682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64" i="5"/>
  <c r="A500" i="5"/>
  <c r="A436" i="5"/>
  <c r="A373" i="5"/>
  <c r="A303" i="5"/>
  <c r="A174" i="5"/>
  <c r="A1045" i="5"/>
  <c r="A981" i="5"/>
  <c r="A917" i="5"/>
  <c r="A853" i="5"/>
  <c r="A978" i="5"/>
  <c r="A850" i="5"/>
  <c r="A716" i="5"/>
  <c r="A205" i="5"/>
  <c r="A77" i="5"/>
  <c r="A497" i="5"/>
  <c r="A561" i="5"/>
  <c r="A1050" i="5"/>
  <c r="A976" i="5"/>
  <c r="A912" i="5"/>
  <c r="A848" i="5"/>
  <c r="A784" i="5"/>
  <c r="A702" i="5"/>
  <c r="A639" i="5"/>
  <c r="A187" i="5"/>
  <c r="A122" i="5"/>
  <c r="A59" i="5"/>
  <c r="A1080" i="5"/>
  <c r="A218" i="5"/>
  <c r="A680" i="5"/>
  <c r="A107" i="5"/>
  <c r="A234" i="5"/>
  <c r="A622" i="5"/>
  <c r="A342" i="5"/>
  <c r="A1022" i="5"/>
  <c r="A894" i="5"/>
  <c r="A766" i="5"/>
  <c r="A633" i="5"/>
  <c r="A120" i="5"/>
  <c r="A1076" i="5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<sst xmlns="http://schemas.openxmlformats.org/spreadsheetml/2006/main" count="65" uniqueCount="43">
  <si>
    <t>Datum</t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</si>
  <si>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</si>
  <si>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</si>
  <si>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</si>
  <si>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</si>
  <si>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</si>
  <si>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</si>
  <si>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</si>
  <si>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</si>
  <si>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</si>
  <si>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</si>
  <si>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</si>
  <si>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</si>
  <si>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</si>
  <si>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</si>
  <si>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</si>
  <si>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</si>
  <si>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</si>
  <si>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</si>
  <si>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</si>
  <si>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</si>
  <si>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</si>
  <si>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</si>
  <si>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</si>
  <si>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</si>
  <si>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</si>
  <si>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</si>
  <si>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</si>
  <si>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</si>
  <si>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</si>
  <si>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</si>
  <si>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</si>
  <si>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08.00</t>
  </si>
  <si>
    <t>15.00</t>
  </si>
  <si>
    <t>Kralendijk</t>
  </si>
  <si>
    <t>Rincon</t>
  </si>
  <si>
    <t>Plantage "Bolivia"</t>
  </si>
  <si>
    <t>Pastorie Rincon</t>
  </si>
  <si>
    <t>Playa Lechi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</si>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</sst>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_0_0_0;\-0.0_,_0_0_0_0;&quot;∙&quot;_,_0_0_0_0_0;@_0_0_0_0_0"/>
    <numFmt numFmtId="172" formatCode="General_0_0"/>
    <numFmt numFmtId="173" formatCode="0.000_,_0"/>
    <numFmt numFmtId="174" formatCode="0.0_,_0_0"/>
    <numFmt numFmtId="175" formatCode="0.0_0_0;\-0.0_0_0;0.0_0_0;@_0_0_0"/>
    <numFmt numFmtId="176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164" fontId="0" fillId="2" borderId="0" xfId="0" applyNumberFormat="1" applyFill="1" applyAlignment="1">
      <alignment horizontal="left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5" borderId="5" xfId="0" applyNumberFormat="1" applyFill="1" applyBorder="1"/>
    <xf numFmtId="171" fontId="0" fillId="5" borderId="0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7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3" fontId="0" fillId="4" borderId="5" xfId="0" applyNumberFormat="1" applyFill="1" applyBorder="1"/>
    <xf numFmtId="173" fontId="0" fillId="4" borderId="0" xfId="0" applyNumberFormat="1" applyFill="1" applyBorder="1"/>
    <xf numFmtId="174" fontId="0" fillId="3" borderId="5" xfId="0" applyNumberFormat="1" applyFill="1" applyBorder="1"/>
    <xf numFmtId="174" fontId="0" fillId="3" borderId="0" xfId="0" applyNumberFormat="1" applyFill="1" applyBorder="1"/>
    <xf numFmtId="175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3" xfId="0" applyFont="1" applyFill="1" applyBorder="1" applyAlignment="1"/>
    <xf numFmtId="0" fontId="1" fillId="6" borderId="6" xfId="0" applyFont="1" applyFill="1" applyBorder="1" applyAlignment="1"/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/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H381"/>
  <sheetViews>
    <sheetView tabSelected="1" workbookViewId="0">
      <pane xSplit="1" ySplit="4" topLeftCell="B136" activePane="bottomRight" state="frozen"/>
      <selection pane="topRight" activeCell="B1" sqref="B1"/>
      <selection pane="bottomLeft" activeCell="A5" sqref="A5"/>
      <selection pane="bottomRight" activeCell="H167" sqref="H167"/>
    </sheetView>
  </sheetViews>
  <sheetFormatPr defaultRowHeight="15" x14ac:dyDescent="0.25"/>
  <cols>
    <col min="1" max="1" width="10.140625" customWidth="1"/>
    <col min="6" max="8" width="14.28515625" customWidth="1"/>
  </cols>
  <sheetData>
    <row r="1" spans="1:8" ht="20.25" x14ac:dyDescent="0.3">
      <c r="A1" s="50" t="s">
        <v>30</v>
      </c>
      <c r="B1" s="50"/>
      <c r="C1" s="50"/>
      <c r="D1" s="50"/>
      <c r="E1" s="50"/>
      <c r="F1" s="50"/>
      <c r="G1" s="50"/>
      <c r="H1" s="50"/>
    </row>
    <row r="3" spans="1:8" x14ac:dyDescent="0.25">
      <c r="A3" s="48" t="s">
        <v>0</v>
      </c>
      <c r="B3" s="43" t="s">
        <v>31</v>
      </c>
      <c r="C3" s="44"/>
      <c r="D3" s="46" t="s">
        <v>1</v>
      </c>
      <c r="E3" s="47"/>
      <c r="F3" s="43" t="s">
        <v>2</v>
      </c>
      <c r="G3" s="44"/>
      <c r="H3" s="45"/>
    </row>
    <row r="4" spans="1:8" ht="30" x14ac:dyDescent="0.25">
      <c r="A4" s="49"/>
      <c r="B4" s="33" t="s">
        <v>32</v>
      </c>
      <c r="C4" s="34" t="s">
        <v>33</v>
      </c>
      <c r="D4" s="33" t="s">
        <v>32</v>
      </c>
      <c r="E4" s="34" t="s">
        <v>33</v>
      </c>
      <c r="F4" s="33" t="s">
        <v>34</v>
      </c>
      <c r="G4" s="34" t="s">
        <v>35</v>
      </c>
      <c r="H4" s="32" t="s">
        <v>36</v>
      </c>
    </row>
    <row r="5" spans="1:8" x14ac:dyDescent="0.25">
      <c r="A5" s="1">
        <f ca="1">DATE(VALUE(MID(CELL("bestandsnaam"),FIND(".",CELL("bestandsnaam"))-4,4)),1,1)</f>
        <v>14977</v>
      </c>
      <c r="B5" s="35">
        <v>30021</v>
      </c>
      <c r="C5" s="36">
        <v>29934</v>
      </c>
      <c r="D5" s="2">
        <v>795</v>
      </c>
      <c r="E5" s="3">
        <v>825</v>
      </c>
      <c r="F5" s="4">
        <v>0</v>
      </c>
      <c r="G5" s="5">
        <v>21</v>
      </c>
      <c r="H5" s="6">
        <v>0</v>
      </c>
    </row>
    <row r="6" spans="1:8" x14ac:dyDescent="0.25">
      <c r="A6" s="1">
        <f ca="1">IF(ISTEXT(A5),A4+1,IF(MONTH(A5+1)=MONTH(A5),A5+1,"Totaal"))</f>
        <v>14978</v>
      </c>
      <c r="B6" s="35">
        <v>30020</v>
      </c>
      <c r="C6" s="36">
        <v>29924</v>
      </c>
      <c r="D6" s="2">
        <v>800</v>
      </c>
      <c r="E6" s="3">
        <v>825</v>
      </c>
      <c r="F6" s="7">
        <v>0</v>
      </c>
      <c r="G6" s="5">
        <v>0</v>
      </c>
      <c r="H6" s="6">
        <v>0</v>
      </c>
    </row>
    <row r="7" spans="1:8" x14ac:dyDescent="0.25">
      <c r="A7" s="1">
        <f t="shared" ref="A7:A70" ca="1" si="0">IF(ISTEXT(A6),A5+1,IF(MONTH(A6+1)=MONTH(A6),A6+1,"Totaal"))</f>
        <v>14979</v>
      </c>
      <c r="B7" s="35">
        <v>30030</v>
      </c>
      <c r="C7" s="36">
        <v>29933</v>
      </c>
      <c r="D7" s="8">
        <v>800</v>
      </c>
      <c r="E7" s="3">
        <v>830</v>
      </c>
      <c r="F7" s="9">
        <v>0</v>
      </c>
      <c r="G7" s="5">
        <v>0</v>
      </c>
      <c r="H7" s="6">
        <v>0</v>
      </c>
    </row>
    <row r="8" spans="1:8" x14ac:dyDescent="0.25">
      <c r="A8" s="1">
        <f t="shared" ca="1" si="0"/>
        <v>14980</v>
      </c>
      <c r="B8" s="35">
        <v>30028</v>
      </c>
      <c r="C8" s="36">
        <v>29963</v>
      </c>
      <c r="D8" s="2">
        <v>805</v>
      </c>
      <c r="E8" s="3">
        <v>825</v>
      </c>
      <c r="F8" s="4">
        <v>0</v>
      </c>
      <c r="G8" s="5">
        <v>0</v>
      </c>
      <c r="H8" s="6">
        <v>0</v>
      </c>
    </row>
    <row r="9" spans="1:8" x14ac:dyDescent="0.25">
      <c r="A9" s="1">
        <f t="shared" ca="1" si="0"/>
        <v>14981</v>
      </c>
      <c r="B9" s="35">
        <v>30010</v>
      </c>
      <c r="C9" s="36">
        <v>29943</v>
      </c>
      <c r="D9" s="2">
        <v>800</v>
      </c>
      <c r="E9" s="3">
        <v>830</v>
      </c>
      <c r="F9" s="4">
        <v>0</v>
      </c>
      <c r="G9" s="5">
        <v>7</v>
      </c>
      <c r="H9" s="6">
        <v>24</v>
      </c>
    </row>
    <row r="10" spans="1:8" x14ac:dyDescent="0.25">
      <c r="A10" s="1">
        <f t="shared" ca="1" si="0"/>
        <v>14982</v>
      </c>
      <c r="B10" s="35">
        <v>30018</v>
      </c>
      <c r="C10" s="36">
        <v>29951</v>
      </c>
      <c r="D10" s="2">
        <v>805</v>
      </c>
      <c r="E10" s="3">
        <v>835</v>
      </c>
      <c r="F10" s="4">
        <v>0</v>
      </c>
      <c r="G10" s="5">
        <v>18</v>
      </c>
      <c r="H10" s="6">
        <v>0</v>
      </c>
    </row>
    <row r="11" spans="1:8" x14ac:dyDescent="0.25">
      <c r="A11" s="1">
        <f t="shared" ca="1" si="0"/>
        <v>14983</v>
      </c>
      <c r="B11" s="35">
        <v>30040</v>
      </c>
      <c r="C11" s="36">
        <v>29962</v>
      </c>
      <c r="D11" s="2">
        <v>800</v>
      </c>
      <c r="E11" s="3">
        <v>830</v>
      </c>
      <c r="F11" s="4">
        <v>17</v>
      </c>
      <c r="G11" s="5">
        <v>0</v>
      </c>
      <c r="H11" s="6">
        <v>12</v>
      </c>
    </row>
    <row r="12" spans="1:8" x14ac:dyDescent="0.25">
      <c r="A12" s="1">
        <f t="shared" ca="1" si="0"/>
        <v>14984</v>
      </c>
      <c r="B12" s="35">
        <v>30020</v>
      </c>
      <c r="C12" s="36">
        <v>29951</v>
      </c>
      <c r="D12" s="2">
        <v>800</v>
      </c>
      <c r="E12" s="3">
        <v>835</v>
      </c>
      <c r="F12" s="4">
        <v>0</v>
      </c>
      <c r="G12" s="5">
        <v>6</v>
      </c>
      <c r="H12" s="6">
        <v>0</v>
      </c>
    </row>
    <row r="13" spans="1:8" x14ac:dyDescent="0.25">
      <c r="A13" s="1">
        <f t="shared" ca="1" si="0"/>
        <v>14985</v>
      </c>
      <c r="B13" s="35">
        <v>30050</v>
      </c>
      <c r="C13" s="36">
        <v>29982</v>
      </c>
      <c r="D13" s="2">
        <v>800</v>
      </c>
      <c r="E13" s="3">
        <v>830</v>
      </c>
      <c r="F13" s="4">
        <v>0</v>
      </c>
      <c r="G13" s="5">
        <v>0</v>
      </c>
      <c r="H13" s="6">
        <v>0</v>
      </c>
    </row>
    <row r="14" spans="1:8" x14ac:dyDescent="0.25">
      <c r="A14" s="1">
        <f t="shared" ca="1" si="0"/>
        <v>14986</v>
      </c>
      <c r="B14" s="35">
        <v>30060</v>
      </c>
      <c r="C14" s="36">
        <v>29973</v>
      </c>
      <c r="D14" s="2">
        <v>800</v>
      </c>
      <c r="E14" s="3">
        <v>825</v>
      </c>
      <c r="F14" s="4">
        <v>0</v>
      </c>
      <c r="G14" s="5">
        <v>0</v>
      </c>
      <c r="H14" s="6">
        <v>0</v>
      </c>
    </row>
    <row r="15" spans="1:8" x14ac:dyDescent="0.25">
      <c r="A15" s="1">
        <f t="shared" ca="1" si="0"/>
        <v>14987</v>
      </c>
      <c r="B15" s="35">
        <v>29980</v>
      </c>
      <c r="C15" s="36">
        <v>29894</v>
      </c>
      <c r="D15" s="2">
        <v>800</v>
      </c>
      <c r="E15" s="3">
        <v>825</v>
      </c>
      <c r="F15" s="4">
        <v>0</v>
      </c>
      <c r="G15" s="5">
        <v>0</v>
      </c>
      <c r="H15" s="6">
        <v>0</v>
      </c>
    </row>
    <row r="16" spans="1:8" x14ac:dyDescent="0.25">
      <c r="A16" s="1">
        <f t="shared" ca="1" si="0"/>
        <v>14988</v>
      </c>
      <c r="B16" s="35">
        <v>30020</v>
      </c>
      <c r="C16" s="36">
        <v>29915</v>
      </c>
      <c r="D16" s="2">
        <v>800</v>
      </c>
      <c r="E16" s="3">
        <v>820</v>
      </c>
      <c r="F16" s="4">
        <v>0</v>
      </c>
      <c r="G16" s="5">
        <v>0</v>
      </c>
      <c r="H16" s="6">
        <v>0</v>
      </c>
    </row>
    <row r="17" spans="1:8" x14ac:dyDescent="0.25">
      <c r="A17" s="1">
        <f t="shared" ca="1" si="0"/>
        <v>14989</v>
      </c>
      <c r="B17" s="35">
        <v>29968</v>
      </c>
      <c r="C17" s="36">
        <v>29875</v>
      </c>
      <c r="D17" s="2">
        <v>805</v>
      </c>
      <c r="E17" s="3">
        <v>820</v>
      </c>
      <c r="F17" s="4">
        <v>34</v>
      </c>
      <c r="G17" s="5">
        <v>6</v>
      </c>
      <c r="H17" s="6">
        <v>46</v>
      </c>
    </row>
    <row r="18" spans="1:8" x14ac:dyDescent="0.25">
      <c r="A18" s="1">
        <f t="shared" ca="1" si="0"/>
        <v>14990</v>
      </c>
      <c r="B18" s="35">
        <v>29953</v>
      </c>
      <c r="C18" s="36">
        <v>29873</v>
      </c>
      <c r="D18" s="2">
        <v>790</v>
      </c>
      <c r="E18" s="3">
        <v>830</v>
      </c>
      <c r="F18" s="4">
        <v>34</v>
      </c>
      <c r="G18" s="5">
        <v>2</v>
      </c>
      <c r="H18" s="6">
        <v>15</v>
      </c>
    </row>
    <row r="19" spans="1:8" x14ac:dyDescent="0.25">
      <c r="A19" s="1">
        <f t="shared" ca="1" si="0"/>
        <v>14991</v>
      </c>
      <c r="B19" s="35">
        <v>29941</v>
      </c>
      <c r="C19" s="36">
        <v>29853</v>
      </c>
      <c r="D19" s="2">
        <v>800</v>
      </c>
      <c r="E19" s="3">
        <v>830</v>
      </c>
      <c r="F19" s="4">
        <v>0</v>
      </c>
      <c r="G19" s="5">
        <v>0</v>
      </c>
      <c r="H19" s="6">
        <v>0</v>
      </c>
    </row>
    <row r="20" spans="1:8" x14ac:dyDescent="0.25">
      <c r="A20" s="1">
        <f t="shared" ca="1" si="0"/>
        <v>14992</v>
      </c>
      <c r="B20" s="35">
        <v>29970</v>
      </c>
      <c r="C20" s="36">
        <v>29885</v>
      </c>
      <c r="D20" s="2">
        <v>800</v>
      </c>
      <c r="E20" s="3">
        <v>820</v>
      </c>
      <c r="F20" s="4">
        <v>0</v>
      </c>
      <c r="G20" s="5">
        <v>0</v>
      </c>
      <c r="H20" s="6">
        <v>0</v>
      </c>
    </row>
    <row r="21" spans="1:8" x14ac:dyDescent="0.25">
      <c r="A21" s="1">
        <f t="shared" ca="1" si="0"/>
        <v>14993</v>
      </c>
      <c r="B21" s="35">
        <v>29961</v>
      </c>
      <c r="C21" s="36">
        <v>29883</v>
      </c>
      <c r="D21" s="2">
        <v>800</v>
      </c>
      <c r="E21" s="3">
        <v>830</v>
      </c>
      <c r="F21" s="4">
        <v>0</v>
      </c>
      <c r="G21" s="5">
        <v>0</v>
      </c>
      <c r="H21" s="6">
        <v>0</v>
      </c>
    </row>
    <row r="22" spans="1:8" x14ac:dyDescent="0.25">
      <c r="A22" s="1">
        <f t="shared" ca="1" si="0"/>
        <v>14994</v>
      </c>
      <c r="B22" s="35">
        <v>29941</v>
      </c>
      <c r="C22" s="36">
        <v>29854</v>
      </c>
      <c r="D22" s="2">
        <v>800</v>
      </c>
      <c r="E22" s="3">
        <v>825</v>
      </c>
      <c r="F22" s="4">
        <v>0</v>
      </c>
      <c r="G22" s="5">
        <v>0</v>
      </c>
      <c r="H22" s="6">
        <v>0</v>
      </c>
    </row>
    <row r="23" spans="1:8" x14ac:dyDescent="0.25">
      <c r="A23" s="1">
        <f t="shared" ca="1" si="0"/>
        <v>14995</v>
      </c>
      <c r="B23" s="35">
        <v>29977</v>
      </c>
      <c r="C23" s="36">
        <v>29893</v>
      </c>
      <c r="D23" s="2">
        <v>810</v>
      </c>
      <c r="E23" s="3">
        <v>830</v>
      </c>
      <c r="F23" s="4">
        <v>0</v>
      </c>
      <c r="G23" s="5">
        <v>15</v>
      </c>
      <c r="H23" s="6">
        <v>13</v>
      </c>
    </row>
    <row r="24" spans="1:8" x14ac:dyDescent="0.25">
      <c r="A24" s="1">
        <f t="shared" ca="1" si="0"/>
        <v>14996</v>
      </c>
      <c r="B24" s="35">
        <v>29988</v>
      </c>
      <c r="C24" s="36">
        <v>29883</v>
      </c>
      <c r="D24" s="2">
        <v>805</v>
      </c>
      <c r="E24" s="3">
        <v>830</v>
      </c>
      <c r="F24" s="4">
        <v>20</v>
      </c>
      <c r="G24" s="5">
        <v>0</v>
      </c>
      <c r="H24" s="6">
        <v>0</v>
      </c>
    </row>
    <row r="25" spans="1:8" x14ac:dyDescent="0.25">
      <c r="A25" s="1">
        <f t="shared" ca="1" si="0"/>
        <v>14997</v>
      </c>
      <c r="B25" s="35">
        <v>29978</v>
      </c>
      <c r="C25" s="36">
        <v>29913</v>
      </c>
      <c r="D25" s="2">
        <v>805</v>
      </c>
      <c r="E25" s="3">
        <v>830</v>
      </c>
      <c r="F25" s="4">
        <v>0</v>
      </c>
      <c r="G25" s="5">
        <v>0</v>
      </c>
      <c r="H25" s="6">
        <v>0</v>
      </c>
    </row>
    <row r="26" spans="1:8" x14ac:dyDescent="0.25">
      <c r="A26" s="1">
        <f t="shared" ca="1" si="0"/>
        <v>14998</v>
      </c>
      <c r="B26" s="35">
        <v>29968</v>
      </c>
      <c r="C26" s="36">
        <v>29881</v>
      </c>
      <c r="D26" s="2">
        <v>805</v>
      </c>
      <c r="E26" s="3">
        <v>835</v>
      </c>
      <c r="F26" s="4">
        <v>0</v>
      </c>
      <c r="G26" s="5">
        <v>0</v>
      </c>
      <c r="H26" s="6">
        <v>0</v>
      </c>
    </row>
    <row r="27" spans="1:8" x14ac:dyDescent="0.25">
      <c r="A27" s="1">
        <f t="shared" ca="1" si="0"/>
        <v>14999</v>
      </c>
      <c r="B27" s="35">
        <v>30018</v>
      </c>
      <c r="C27" s="36">
        <v>29941</v>
      </c>
      <c r="D27" s="2">
        <v>805</v>
      </c>
      <c r="E27" s="3">
        <v>835</v>
      </c>
      <c r="F27" s="4">
        <v>0</v>
      </c>
      <c r="G27" s="5">
        <v>0</v>
      </c>
      <c r="H27" s="6">
        <v>0</v>
      </c>
    </row>
    <row r="28" spans="1:8" x14ac:dyDescent="0.25">
      <c r="A28" s="1">
        <f t="shared" ca="1" si="0"/>
        <v>15000</v>
      </c>
      <c r="B28" s="35">
        <v>29998</v>
      </c>
      <c r="C28" s="36">
        <v>29943</v>
      </c>
      <c r="D28" s="2">
        <v>805</v>
      </c>
      <c r="E28" s="3">
        <v>830</v>
      </c>
      <c r="F28" s="4">
        <v>0</v>
      </c>
      <c r="G28" s="5">
        <v>0</v>
      </c>
      <c r="H28" s="6">
        <v>0</v>
      </c>
    </row>
    <row r="29" spans="1:8" x14ac:dyDescent="0.25">
      <c r="A29" s="1">
        <f t="shared" ca="1" si="0"/>
        <v>15001</v>
      </c>
      <c r="B29" s="35">
        <v>30010</v>
      </c>
      <c r="C29" s="36">
        <v>29935</v>
      </c>
      <c r="D29" s="2">
        <v>800</v>
      </c>
      <c r="E29" s="3">
        <v>820</v>
      </c>
      <c r="F29" s="4">
        <v>0</v>
      </c>
      <c r="G29" s="5">
        <v>0</v>
      </c>
      <c r="H29" s="6">
        <v>0</v>
      </c>
    </row>
    <row r="30" spans="1:8" x14ac:dyDescent="0.25">
      <c r="A30" s="1">
        <f t="shared" ca="1" si="0"/>
        <v>15002</v>
      </c>
      <c r="B30" s="35">
        <v>30030</v>
      </c>
      <c r="C30" s="36">
        <v>29955</v>
      </c>
      <c r="D30" s="2">
        <v>800</v>
      </c>
      <c r="E30" s="3">
        <v>820</v>
      </c>
      <c r="F30" s="4">
        <v>0</v>
      </c>
      <c r="G30" s="5">
        <v>0</v>
      </c>
      <c r="H30" s="6">
        <v>0</v>
      </c>
    </row>
    <row r="31" spans="1:8" x14ac:dyDescent="0.25">
      <c r="A31" s="1">
        <f t="shared" ca="1" si="0"/>
        <v>15003</v>
      </c>
      <c r="B31" s="35">
        <v>30018</v>
      </c>
      <c r="C31" s="36">
        <v>29933</v>
      </c>
      <c r="D31" s="2">
        <v>805</v>
      </c>
      <c r="E31" s="3">
        <v>830</v>
      </c>
      <c r="F31" s="4">
        <v>0</v>
      </c>
      <c r="G31" s="5">
        <v>8</v>
      </c>
      <c r="H31" s="6">
        <v>0</v>
      </c>
    </row>
    <row r="32" spans="1:8" x14ac:dyDescent="0.25">
      <c r="A32" s="1">
        <f t="shared" ca="1" si="0"/>
        <v>15004</v>
      </c>
      <c r="B32" s="35">
        <v>30001</v>
      </c>
      <c r="C32" s="36">
        <v>29905</v>
      </c>
      <c r="D32" s="2">
        <v>795</v>
      </c>
      <c r="E32" s="3">
        <v>820</v>
      </c>
      <c r="F32" s="4">
        <v>0</v>
      </c>
      <c r="G32" s="5">
        <v>227</v>
      </c>
      <c r="H32" s="6">
        <v>0</v>
      </c>
    </row>
    <row r="33" spans="1:8" x14ac:dyDescent="0.25">
      <c r="A33" s="1">
        <f t="shared" ca="1" si="0"/>
        <v>15005</v>
      </c>
      <c r="B33" s="35">
        <v>30000</v>
      </c>
      <c r="C33" s="36">
        <v>29911</v>
      </c>
      <c r="D33" s="2">
        <v>800</v>
      </c>
      <c r="E33" s="3">
        <v>835</v>
      </c>
      <c r="F33" s="4">
        <v>0</v>
      </c>
      <c r="G33" s="5">
        <v>0</v>
      </c>
      <c r="H33" s="6">
        <v>0</v>
      </c>
    </row>
    <row r="34" spans="1:8" x14ac:dyDescent="0.25">
      <c r="A34" s="1">
        <f t="shared" ca="1" si="0"/>
        <v>15006</v>
      </c>
      <c r="B34" s="35">
        <v>30030</v>
      </c>
      <c r="C34" s="36">
        <v>29945</v>
      </c>
      <c r="D34" s="2">
        <v>800</v>
      </c>
      <c r="E34" s="3">
        <v>820</v>
      </c>
      <c r="F34" s="4">
        <v>0</v>
      </c>
      <c r="G34" s="5">
        <v>9</v>
      </c>
      <c r="H34" s="6">
        <v>0</v>
      </c>
    </row>
    <row r="35" spans="1:8" x14ac:dyDescent="0.25">
      <c r="A35" s="1">
        <f t="shared" ca="1" si="0"/>
        <v>15007</v>
      </c>
      <c r="B35" s="35">
        <v>29990</v>
      </c>
      <c r="C35" s="36">
        <v>29933</v>
      </c>
      <c r="D35" s="2">
        <v>800</v>
      </c>
      <c r="E35" s="3">
        <v>830</v>
      </c>
      <c r="F35" s="4">
        <v>0</v>
      </c>
      <c r="G35" s="5">
        <v>0</v>
      </c>
      <c r="H35" s="6">
        <v>0</v>
      </c>
    </row>
    <row r="36" spans="1:8" x14ac:dyDescent="0.25">
      <c r="A36" s="1" t="str">
        <f t="shared" ca="1" si="0"/>
        <v>Totaal</v>
      </c>
      <c r="B36" s="37">
        <f>IF(COUNT(B5:B35)&gt;0,AVERAGE(B5:B35)/1000,"")</f>
        <v>30.0011935483871</v>
      </c>
      <c r="C36" s="38">
        <f>IF(COUNT(C5:C35)&gt;0,AVERAGE(C5:C35)/1000,"")</f>
        <v>29.919967741935483</v>
      </c>
      <c r="D36" s="39">
        <f>IF(COUNT(D5:D35)&gt;0,AVERAGE(D5:D35)/10,"")</f>
        <v>80.112903225806448</v>
      </c>
      <c r="E36" s="40">
        <f>IF(COUNT(E5:E35)&gt;0,AVERAGE(E5:E35)/10,"")</f>
        <v>82.758064516129039</v>
      </c>
      <c r="F36" s="23">
        <f>SUM(F5:F35)/10</f>
        <v>10.5</v>
      </c>
      <c r="G36" s="24">
        <f>SUM(G5:G35)/10</f>
        <v>31.9</v>
      </c>
      <c r="H36" s="25">
        <f>SUM(H5:H35)/10</f>
        <v>11</v>
      </c>
    </row>
    <row r="37" spans="1:8" x14ac:dyDescent="0.25">
      <c r="A37" s="1">
        <f t="shared" ca="1" si="0"/>
        <v>15008</v>
      </c>
      <c r="B37" s="35">
        <v>29980</v>
      </c>
      <c r="C37" s="36">
        <v>29905</v>
      </c>
      <c r="D37" s="2">
        <v>800</v>
      </c>
      <c r="E37" s="3">
        <v>820</v>
      </c>
      <c r="F37" s="4">
        <v>0</v>
      </c>
      <c r="G37" s="5">
        <v>0</v>
      </c>
      <c r="H37" s="6">
        <v>0</v>
      </c>
    </row>
    <row r="38" spans="1:8" x14ac:dyDescent="0.25">
      <c r="A38" s="1">
        <f t="shared" ca="1" si="0"/>
        <v>15009</v>
      </c>
      <c r="B38" s="35">
        <v>29980</v>
      </c>
      <c r="C38" s="36">
        <v>29913</v>
      </c>
      <c r="D38" s="2">
        <v>800</v>
      </c>
      <c r="E38" s="3">
        <v>830</v>
      </c>
      <c r="F38" s="4">
        <v>0</v>
      </c>
      <c r="G38" s="5">
        <v>0</v>
      </c>
      <c r="H38" s="6">
        <v>0</v>
      </c>
    </row>
    <row r="39" spans="1:8" x14ac:dyDescent="0.25">
      <c r="A39" s="1">
        <f t="shared" ca="1" si="0"/>
        <v>15010</v>
      </c>
      <c r="B39" s="35">
        <v>29998</v>
      </c>
      <c r="C39" s="36">
        <v>29923</v>
      </c>
      <c r="D39" s="2">
        <v>805</v>
      </c>
      <c r="E39" s="3">
        <v>830</v>
      </c>
      <c r="F39" s="4">
        <v>0</v>
      </c>
      <c r="G39" s="5">
        <v>0</v>
      </c>
      <c r="H39" s="6">
        <v>0</v>
      </c>
    </row>
    <row r="40" spans="1:8" x14ac:dyDescent="0.25">
      <c r="A40" s="1">
        <f t="shared" ca="1" si="0"/>
        <v>15011</v>
      </c>
      <c r="B40" s="35">
        <v>29990</v>
      </c>
      <c r="C40" s="36">
        <v>29914</v>
      </c>
      <c r="D40" s="2">
        <v>800</v>
      </c>
      <c r="E40" s="3">
        <v>825</v>
      </c>
      <c r="F40" s="4">
        <v>0</v>
      </c>
      <c r="G40" s="5">
        <v>0</v>
      </c>
      <c r="H40" s="6">
        <v>0</v>
      </c>
    </row>
    <row r="41" spans="1:8" x14ac:dyDescent="0.25">
      <c r="A41" s="1">
        <f t="shared" ca="1" si="0"/>
        <v>15012</v>
      </c>
      <c r="B41" s="35">
        <v>29977</v>
      </c>
      <c r="C41" s="36">
        <v>29911</v>
      </c>
      <c r="D41" s="2">
        <v>810</v>
      </c>
      <c r="E41" s="3">
        <v>835</v>
      </c>
      <c r="F41" s="4">
        <v>0</v>
      </c>
      <c r="G41" s="5">
        <v>0</v>
      </c>
      <c r="H41" s="6">
        <v>0</v>
      </c>
    </row>
    <row r="42" spans="1:8" x14ac:dyDescent="0.25">
      <c r="A42" s="1">
        <f t="shared" ca="1" si="0"/>
        <v>15013</v>
      </c>
      <c r="B42" s="35">
        <v>30000</v>
      </c>
      <c r="C42" s="36">
        <v>29913</v>
      </c>
      <c r="D42" s="2">
        <v>800</v>
      </c>
      <c r="E42" s="3">
        <v>835</v>
      </c>
      <c r="F42" s="4">
        <v>0</v>
      </c>
      <c r="G42" s="5">
        <v>0</v>
      </c>
      <c r="H42" s="6">
        <v>0</v>
      </c>
    </row>
    <row r="43" spans="1:8" x14ac:dyDescent="0.25">
      <c r="A43" s="1">
        <f t="shared" ca="1" si="0"/>
        <v>15014</v>
      </c>
      <c r="B43" s="35">
        <v>30027</v>
      </c>
      <c r="C43" s="36">
        <v>29960</v>
      </c>
      <c r="D43" s="2">
        <v>810</v>
      </c>
      <c r="E43" s="3">
        <v>835</v>
      </c>
      <c r="F43" s="4">
        <v>0</v>
      </c>
      <c r="G43" s="5">
        <v>0</v>
      </c>
      <c r="H43" s="6">
        <v>0</v>
      </c>
    </row>
    <row r="44" spans="1:8" x14ac:dyDescent="0.25">
      <c r="A44" s="1">
        <f t="shared" ca="1" si="0"/>
        <v>15015</v>
      </c>
      <c r="B44" s="35">
        <v>29987</v>
      </c>
      <c r="C44" s="36">
        <v>29920</v>
      </c>
      <c r="D44" s="2">
        <v>810</v>
      </c>
      <c r="E44" s="3">
        <v>840</v>
      </c>
      <c r="F44" s="4">
        <v>0</v>
      </c>
      <c r="G44" s="5">
        <v>0</v>
      </c>
      <c r="H44" s="6">
        <v>0</v>
      </c>
    </row>
    <row r="45" spans="1:8" x14ac:dyDescent="0.25">
      <c r="A45" s="1">
        <f t="shared" ca="1" si="0"/>
        <v>15016</v>
      </c>
      <c r="B45" s="35">
        <v>29968</v>
      </c>
      <c r="C45" s="36">
        <v>29913</v>
      </c>
      <c r="D45" s="2">
        <v>805</v>
      </c>
      <c r="E45" s="3">
        <v>830</v>
      </c>
      <c r="F45" s="4">
        <v>0</v>
      </c>
      <c r="G45" s="5">
        <v>0</v>
      </c>
      <c r="H45" s="6">
        <v>0</v>
      </c>
    </row>
    <row r="46" spans="1:8" x14ac:dyDescent="0.25">
      <c r="A46" s="1">
        <f t="shared" ca="1" si="0"/>
        <v>15017</v>
      </c>
      <c r="B46" s="35">
        <v>29967</v>
      </c>
      <c r="C46" s="36">
        <v>29910</v>
      </c>
      <c r="D46" s="2">
        <v>810</v>
      </c>
      <c r="E46" s="3">
        <v>840</v>
      </c>
      <c r="F46" s="4">
        <v>0</v>
      </c>
      <c r="G46" s="5">
        <v>0</v>
      </c>
      <c r="H46" s="6">
        <v>0</v>
      </c>
    </row>
    <row r="47" spans="1:8" x14ac:dyDescent="0.25">
      <c r="A47" s="1">
        <f t="shared" ca="1" si="0"/>
        <v>15018</v>
      </c>
      <c r="B47" s="35">
        <v>29988</v>
      </c>
      <c r="C47" s="36">
        <v>29881</v>
      </c>
      <c r="D47" s="2">
        <v>805</v>
      </c>
      <c r="E47" s="3">
        <v>835</v>
      </c>
      <c r="F47" s="4">
        <v>0</v>
      </c>
      <c r="G47" s="5">
        <v>0</v>
      </c>
      <c r="H47" s="6">
        <v>0</v>
      </c>
    </row>
    <row r="48" spans="1:8" x14ac:dyDescent="0.25">
      <c r="A48" s="1">
        <f t="shared" ca="1" si="0"/>
        <v>15019</v>
      </c>
      <c r="B48" s="35">
        <v>29970</v>
      </c>
      <c r="C48" s="36">
        <v>29900</v>
      </c>
      <c r="D48" s="2">
        <v>800</v>
      </c>
      <c r="E48" s="3">
        <v>840</v>
      </c>
      <c r="F48" s="4">
        <v>0</v>
      </c>
      <c r="G48" s="5">
        <v>0</v>
      </c>
      <c r="H48" s="6">
        <v>0</v>
      </c>
    </row>
    <row r="49" spans="1:8" x14ac:dyDescent="0.25">
      <c r="A49" s="1">
        <f t="shared" ca="1" si="0"/>
        <v>15020</v>
      </c>
      <c r="B49" s="35">
        <v>29921</v>
      </c>
      <c r="C49" s="36">
        <v>29821</v>
      </c>
      <c r="D49" s="2">
        <v>800</v>
      </c>
      <c r="E49" s="3">
        <v>835</v>
      </c>
      <c r="F49" s="4">
        <v>0</v>
      </c>
      <c r="G49" s="5">
        <v>0</v>
      </c>
      <c r="H49" s="6">
        <v>0</v>
      </c>
    </row>
    <row r="50" spans="1:8" x14ac:dyDescent="0.25">
      <c r="A50" s="1">
        <f t="shared" ca="1" si="0"/>
        <v>15021</v>
      </c>
      <c r="B50" s="35">
        <v>29968</v>
      </c>
      <c r="C50" s="36">
        <v>29870</v>
      </c>
      <c r="D50" s="2">
        <v>805</v>
      </c>
      <c r="E50" s="3">
        <v>840</v>
      </c>
      <c r="F50" s="4">
        <v>0</v>
      </c>
      <c r="G50" s="5">
        <v>0</v>
      </c>
      <c r="H50" s="6">
        <v>0</v>
      </c>
    </row>
    <row r="51" spans="1:8" x14ac:dyDescent="0.25">
      <c r="A51" s="1">
        <f t="shared" ca="1" si="0"/>
        <v>15022</v>
      </c>
      <c r="B51" s="35">
        <v>29978</v>
      </c>
      <c r="C51" s="36">
        <v>29893</v>
      </c>
      <c r="D51" s="2">
        <v>805</v>
      </c>
      <c r="E51" s="3">
        <v>830</v>
      </c>
      <c r="F51" s="4">
        <v>0</v>
      </c>
      <c r="G51" s="5">
        <v>0</v>
      </c>
      <c r="H51" s="6">
        <v>0</v>
      </c>
    </row>
    <row r="52" spans="1:8" x14ac:dyDescent="0.25">
      <c r="A52" s="1">
        <f t="shared" ca="1" si="0"/>
        <v>15023</v>
      </c>
      <c r="B52" s="35">
        <v>29929</v>
      </c>
      <c r="C52" s="36">
        <v>29863</v>
      </c>
      <c r="D52" s="2">
        <v>805</v>
      </c>
      <c r="E52" s="3">
        <v>830</v>
      </c>
      <c r="F52" s="4">
        <v>0</v>
      </c>
      <c r="G52" s="5">
        <v>0</v>
      </c>
      <c r="H52" s="6">
        <v>0</v>
      </c>
    </row>
    <row r="53" spans="1:8" x14ac:dyDescent="0.25">
      <c r="A53" s="1">
        <f t="shared" ca="1" si="0"/>
        <v>15024</v>
      </c>
      <c r="B53" s="35">
        <v>29970</v>
      </c>
      <c r="C53" s="36">
        <v>29885</v>
      </c>
      <c r="D53" s="2">
        <v>800</v>
      </c>
      <c r="E53" s="3">
        <v>820</v>
      </c>
      <c r="F53" s="4">
        <v>0</v>
      </c>
      <c r="G53" s="5">
        <v>0</v>
      </c>
      <c r="H53" s="6">
        <v>0</v>
      </c>
    </row>
    <row r="54" spans="1:8" x14ac:dyDescent="0.25">
      <c r="A54" s="1">
        <f t="shared" ca="1" si="0"/>
        <v>15025</v>
      </c>
      <c r="B54" s="35">
        <v>29981</v>
      </c>
      <c r="C54" s="36">
        <v>29875</v>
      </c>
      <c r="D54" s="2">
        <v>795</v>
      </c>
      <c r="E54" s="3">
        <v>820</v>
      </c>
      <c r="F54" s="4">
        <v>0</v>
      </c>
      <c r="G54" s="5">
        <v>0</v>
      </c>
      <c r="H54" s="6">
        <v>0</v>
      </c>
    </row>
    <row r="55" spans="1:8" x14ac:dyDescent="0.25">
      <c r="A55" s="1">
        <f t="shared" ca="1" si="0"/>
        <v>15026</v>
      </c>
      <c r="B55" s="35">
        <v>29882</v>
      </c>
      <c r="C55" s="36">
        <v>29804</v>
      </c>
      <c r="D55" s="2">
        <v>795</v>
      </c>
      <c r="E55" s="3">
        <v>825</v>
      </c>
      <c r="F55" s="4">
        <v>0</v>
      </c>
      <c r="G55" s="5">
        <v>0</v>
      </c>
      <c r="H55" s="6">
        <v>0</v>
      </c>
    </row>
    <row r="56" spans="1:8" x14ac:dyDescent="0.25">
      <c r="A56" s="1">
        <f t="shared" ca="1" si="0"/>
        <v>15027</v>
      </c>
      <c r="B56" s="35">
        <v>29981</v>
      </c>
      <c r="C56" s="36">
        <v>29875</v>
      </c>
      <c r="D56" s="2">
        <v>795</v>
      </c>
      <c r="E56" s="3">
        <v>820</v>
      </c>
      <c r="F56" s="4">
        <v>0</v>
      </c>
      <c r="G56" s="5">
        <v>0</v>
      </c>
      <c r="H56" s="6">
        <v>0</v>
      </c>
    </row>
    <row r="57" spans="1:8" x14ac:dyDescent="0.25">
      <c r="A57" s="1">
        <f t="shared" ca="1" si="0"/>
        <v>15028</v>
      </c>
      <c r="B57" s="35">
        <v>30038</v>
      </c>
      <c r="C57" s="36">
        <v>29960</v>
      </c>
      <c r="D57" s="2">
        <v>805</v>
      </c>
      <c r="E57" s="3">
        <v>835</v>
      </c>
      <c r="F57" s="4">
        <v>0</v>
      </c>
      <c r="G57" s="5">
        <v>0</v>
      </c>
      <c r="H57" s="6">
        <v>0</v>
      </c>
    </row>
    <row r="58" spans="1:8" x14ac:dyDescent="0.25">
      <c r="A58" s="1">
        <f t="shared" ca="1" si="0"/>
        <v>15029</v>
      </c>
      <c r="B58" s="35">
        <v>29980</v>
      </c>
      <c r="C58" s="36">
        <v>29910</v>
      </c>
      <c r="D58" s="2">
        <v>800</v>
      </c>
      <c r="E58" s="3">
        <v>840</v>
      </c>
      <c r="F58" s="4">
        <v>0</v>
      </c>
      <c r="G58" s="5">
        <v>0</v>
      </c>
      <c r="H58" s="6">
        <v>0</v>
      </c>
    </row>
    <row r="59" spans="1:8" x14ac:dyDescent="0.25">
      <c r="A59" s="1">
        <f t="shared" ca="1" si="0"/>
        <v>15030</v>
      </c>
      <c r="B59" s="35">
        <v>30030</v>
      </c>
      <c r="C59" s="36">
        <v>29913</v>
      </c>
      <c r="D59" s="2">
        <v>800</v>
      </c>
      <c r="E59" s="3">
        <v>830</v>
      </c>
      <c r="F59" s="4">
        <v>0</v>
      </c>
      <c r="G59" s="5">
        <v>0</v>
      </c>
      <c r="H59" s="6">
        <v>0</v>
      </c>
    </row>
    <row r="60" spans="1:8" x14ac:dyDescent="0.25">
      <c r="A60" s="1">
        <f t="shared" ca="1" si="0"/>
        <v>15031</v>
      </c>
      <c r="B60" s="35">
        <v>30018</v>
      </c>
      <c r="C60" s="36">
        <v>29941</v>
      </c>
      <c r="D60" s="2">
        <v>805</v>
      </c>
      <c r="E60" s="3">
        <v>835</v>
      </c>
      <c r="F60" s="4">
        <v>0</v>
      </c>
      <c r="G60" s="5">
        <v>0</v>
      </c>
      <c r="H60" s="6">
        <v>0</v>
      </c>
    </row>
    <row r="61" spans="1:8" x14ac:dyDescent="0.25">
      <c r="A61" s="1">
        <f t="shared" ca="1" si="0"/>
        <v>15032</v>
      </c>
      <c r="B61" s="35">
        <v>29892</v>
      </c>
      <c r="C61" s="36">
        <v>29823</v>
      </c>
      <c r="D61" s="2">
        <v>795</v>
      </c>
      <c r="E61" s="3">
        <v>830</v>
      </c>
      <c r="F61" s="4">
        <v>0</v>
      </c>
      <c r="G61" s="5">
        <v>0</v>
      </c>
      <c r="H61" s="6">
        <v>0</v>
      </c>
    </row>
    <row r="62" spans="1:8" x14ac:dyDescent="0.25">
      <c r="A62" s="1">
        <f t="shared" ca="1" si="0"/>
        <v>15033</v>
      </c>
      <c r="B62" s="35">
        <v>29968</v>
      </c>
      <c r="C62" s="36">
        <v>29883</v>
      </c>
      <c r="D62" s="2">
        <v>805</v>
      </c>
      <c r="E62" s="3">
        <v>830</v>
      </c>
      <c r="F62" s="4">
        <v>0</v>
      </c>
      <c r="G62" s="5">
        <v>0</v>
      </c>
      <c r="H62" s="6">
        <v>0</v>
      </c>
    </row>
    <row r="63" spans="1:8" x14ac:dyDescent="0.25">
      <c r="A63" s="1">
        <f t="shared" ca="1" si="0"/>
        <v>15034</v>
      </c>
      <c r="B63" s="35">
        <v>30000</v>
      </c>
      <c r="C63" s="36">
        <v>29924</v>
      </c>
      <c r="D63" s="2">
        <v>800</v>
      </c>
      <c r="E63" s="3">
        <v>825</v>
      </c>
      <c r="F63" s="4">
        <v>0</v>
      </c>
      <c r="G63" s="5">
        <v>0</v>
      </c>
      <c r="H63" s="6">
        <v>0</v>
      </c>
    </row>
    <row r="64" spans="1:8" x14ac:dyDescent="0.25">
      <c r="A64" s="1">
        <f t="shared" ca="1" si="0"/>
        <v>15035</v>
      </c>
      <c r="B64" s="35">
        <v>29981</v>
      </c>
      <c r="C64" s="36">
        <v>29894</v>
      </c>
      <c r="D64" s="2">
        <v>795</v>
      </c>
      <c r="E64" s="3">
        <v>825</v>
      </c>
      <c r="F64" s="4">
        <v>0</v>
      </c>
      <c r="G64" s="5">
        <v>0</v>
      </c>
      <c r="H64" s="6">
        <v>0</v>
      </c>
    </row>
    <row r="65" spans="1:8" x14ac:dyDescent="0.25">
      <c r="A65" s="1" t="str">
        <f t="shared" ca="1" si="0"/>
        <v>Totaal</v>
      </c>
      <c r="B65" s="37">
        <f>IF(COUNT(B37:B64)&gt;0,AVERAGE(B37:B64)/1000,"")</f>
        <v>29.976749999999999</v>
      </c>
      <c r="C65" s="38">
        <f>IF(COUNT(C37:C64)&gt;0,AVERAGE(C37:C64)/1000,"")</f>
        <v>29.896321428571426</v>
      </c>
      <c r="D65" s="39">
        <f>IF(COUNT(D37:D64)&gt;0,AVERAGE(D37:D64)/10,"")</f>
        <v>80.214285714285708</v>
      </c>
      <c r="E65" s="40">
        <f>IF(COUNT(E37:E64)&gt;0,AVERAGE(E37:E64)/10,"")</f>
        <v>83.089285714285708</v>
      </c>
      <c r="F65" s="23">
        <f>SUM(F37:F64)/10</f>
        <v>0</v>
      </c>
      <c r="G65" s="24">
        <f>SUM(G37:G64)/10</f>
        <v>0</v>
      </c>
      <c r="H65" s="25">
        <f>SUM(H37:H64)/10</f>
        <v>0</v>
      </c>
    </row>
    <row r="66" spans="1:8" x14ac:dyDescent="0.25">
      <c r="A66" s="1">
        <f t="shared" ca="1" si="0"/>
        <v>15036</v>
      </c>
      <c r="B66" s="35">
        <v>29993</v>
      </c>
      <c r="C66" s="36">
        <v>29933</v>
      </c>
      <c r="D66" s="2">
        <v>790</v>
      </c>
      <c r="E66" s="3">
        <v>830</v>
      </c>
      <c r="F66" s="4">
        <v>0</v>
      </c>
      <c r="G66" s="5">
        <v>0</v>
      </c>
      <c r="H66" s="6">
        <v>0</v>
      </c>
    </row>
    <row r="67" spans="1:8" x14ac:dyDescent="0.25">
      <c r="A67" s="1">
        <f t="shared" ca="1" si="0"/>
        <v>15037</v>
      </c>
      <c r="B67" s="35">
        <v>29990</v>
      </c>
      <c r="C67" s="36">
        <v>29921</v>
      </c>
      <c r="D67" s="2">
        <v>800</v>
      </c>
      <c r="E67" s="3">
        <v>835</v>
      </c>
      <c r="F67" s="4">
        <v>0</v>
      </c>
      <c r="G67" s="5">
        <v>0</v>
      </c>
      <c r="H67" s="6">
        <v>0</v>
      </c>
    </row>
    <row r="68" spans="1:8" x14ac:dyDescent="0.25">
      <c r="A68" s="1">
        <f t="shared" ca="1" si="0"/>
        <v>15038</v>
      </c>
      <c r="B68" s="35">
        <v>29913</v>
      </c>
      <c r="C68" s="36">
        <v>29847</v>
      </c>
      <c r="D68" s="2">
        <v>790</v>
      </c>
      <c r="E68" s="3">
        <v>815</v>
      </c>
      <c r="F68" s="4">
        <v>0</v>
      </c>
      <c r="G68" s="5">
        <v>0</v>
      </c>
      <c r="H68" s="6">
        <v>0</v>
      </c>
    </row>
    <row r="69" spans="1:8" x14ac:dyDescent="0.25">
      <c r="A69" s="1">
        <f t="shared" ca="1" si="0"/>
        <v>15039</v>
      </c>
      <c r="B69" s="35">
        <v>29951</v>
      </c>
      <c r="C69" s="36">
        <v>29863</v>
      </c>
      <c r="D69" s="2">
        <v>800</v>
      </c>
      <c r="E69" s="3">
        <v>830</v>
      </c>
      <c r="F69" s="4">
        <v>0</v>
      </c>
      <c r="G69" s="5">
        <v>0</v>
      </c>
      <c r="H69" s="6">
        <v>0</v>
      </c>
    </row>
    <row r="70" spans="1:8" x14ac:dyDescent="0.25">
      <c r="A70" s="1">
        <f t="shared" ca="1" si="0"/>
        <v>15040</v>
      </c>
      <c r="B70" s="35">
        <v>29909</v>
      </c>
      <c r="C70" s="36">
        <v>29783</v>
      </c>
      <c r="D70" s="2">
        <v>805</v>
      </c>
      <c r="E70" s="3">
        <v>830</v>
      </c>
      <c r="F70" s="4">
        <v>0</v>
      </c>
      <c r="G70" s="5">
        <v>0</v>
      </c>
      <c r="H70" s="6">
        <v>0</v>
      </c>
    </row>
    <row r="71" spans="1:8" x14ac:dyDescent="0.25">
      <c r="A71" s="1">
        <f t="shared" ref="A71:A134" ca="1" si="1">IF(ISTEXT(A70),A69+1,IF(MONTH(A70+1)=MONTH(A70),A70+1,"Totaal"))</f>
        <v>15041</v>
      </c>
      <c r="B71" s="35">
        <v>29962</v>
      </c>
      <c r="C71" s="36">
        <v>29874</v>
      </c>
      <c r="D71" s="2">
        <v>795</v>
      </c>
      <c r="E71" s="3">
        <v>825</v>
      </c>
      <c r="F71" s="4">
        <v>0</v>
      </c>
      <c r="G71" s="5">
        <v>14</v>
      </c>
      <c r="H71" s="6">
        <v>0</v>
      </c>
    </row>
    <row r="72" spans="1:8" x14ac:dyDescent="0.25">
      <c r="A72" s="1">
        <f t="shared" ca="1" si="1"/>
        <v>15042</v>
      </c>
      <c r="B72" s="35">
        <v>29835</v>
      </c>
      <c r="C72" s="36">
        <v>29727</v>
      </c>
      <c r="D72" s="2">
        <v>820</v>
      </c>
      <c r="E72" s="3">
        <v>855</v>
      </c>
      <c r="F72" s="4">
        <v>0</v>
      </c>
      <c r="G72" s="5">
        <v>0</v>
      </c>
      <c r="H72" s="6">
        <v>0</v>
      </c>
    </row>
    <row r="73" spans="1:8" x14ac:dyDescent="0.25">
      <c r="A73" s="1">
        <f t="shared" ca="1" si="1"/>
        <v>15043</v>
      </c>
      <c r="B73" s="35">
        <v>29868</v>
      </c>
      <c r="C73" s="36">
        <v>29750</v>
      </c>
      <c r="D73" s="2">
        <v>810</v>
      </c>
      <c r="E73" s="3">
        <v>845</v>
      </c>
      <c r="F73" s="4">
        <v>0</v>
      </c>
      <c r="G73" s="5">
        <v>0</v>
      </c>
      <c r="H73" s="6">
        <v>0</v>
      </c>
    </row>
    <row r="74" spans="1:8" x14ac:dyDescent="0.25">
      <c r="A74" s="1">
        <f t="shared" ca="1" si="1"/>
        <v>15044</v>
      </c>
      <c r="B74" s="35">
        <v>29908</v>
      </c>
      <c r="C74" s="36">
        <v>29847</v>
      </c>
      <c r="D74" s="2">
        <v>810</v>
      </c>
      <c r="E74" s="3">
        <v>850</v>
      </c>
      <c r="F74" s="4">
        <v>0</v>
      </c>
      <c r="G74" s="5">
        <v>0</v>
      </c>
      <c r="H74" s="6">
        <v>0</v>
      </c>
    </row>
    <row r="75" spans="1:8" x14ac:dyDescent="0.25">
      <c r="A75" s="1">
        <f t="shared" ca="1" si="1"/>
        <v>15045</v>
      </c>
      <c r="B75" s="35">
        <v>29885</v>
      </c>
      <c r="C75" s="36">
        <v>29810</v>
      </c>
      <c r="D75" s="2">
        <v>820</v>
      </c>
      <c r="E75" s="3">
        <v>840</v>
      </c>
      <c r="F75" s="4">
        <v>0</v>
      </c>
      <c r="G75" s="5">
        <v>0</v>
      </c>
      <c r="H75" s="6">
        <v>0</v>
      </c>
    </row>
    <row r="76" spans="1:8" x14ac:dyDescent="0.25">
      <c r="A76" s="1">
        <f t="shared" ca="1" si="1"/>
        <v>15046</v>
      </c>
      <c r="B76" s="35">
        <v>29908</v>
      </c>
      <c r="C76" s="36">
        <v>29847</v>
      </c>
      <c r="D76" s="2">
        <v>810</v>
      </c>
      <c r="E76" s="3">
        <v>850</v>
      </c>
      <c r="F76" s="4">
        <v>0</v>
      </c>
      <c r="G76" s="5">
        <v>0</v>
      </c>
      <c r="H76" s="6">
        <v>0</v>
      </c>
    </row>
    <row r="77" spans="1:8" x14ac:dyDescent="0.25">
      <c r="A77" s="1">
        <f t="shared" ca="1" si="1"/>
        <v>15047</v>
      </c>
      <c r="B77" s="35">
        <v>29967</v>
      </c>
      <c r="C77" s="36">
        <v>29889</v>
      </c>
      <c r="D77" s="2">
        <v>810</v>
      </c>
      <c r="E77" s="3">
        <v>845</v>
      </c>
      <c r="F77" s="4">
        <v>0</v>
      </c>
      <c r="G77" s="5">
        <v>0</v>
      </c>
      <c r="H77" s="6">
        <v>0</v>
      </c>
    </row>
    <row r="78" spans="1:8" x14ac:dyDescent="0.25">
      <c r="A78" s="1">
        <f t="shared" ca="1" si="1"/>
        <v>15048</v>
      </c>
      <c r="B78" s="35">
        <v>29966</v>
      </c>
      <c r="C78" s="36">
        <v>29881</v>
      </c>
      <c r="D78" s="2">
        <v>815</v>
      </c>
      <c r="E78" s="3">
        <v>835</v>
      </c>
      <c r="F78" s="4">
        <v>0</v>
      </c>
      <c r="G78" s="5">
        <v>0</v>
      </c>
      <c r="H78" s="6">
        <v>0</v>
      </c>
    </row>
    <row r="79" spans="1:8" x14ac:dyDescent="0.25">
      <c r="A79" s="1">
        <f t="shared" ca="1" si="1"/>
        <v>15049</v>
      </c>
      <c r="B79" s="35">
        <v>29951</v>
      </c>
      <c r="C79" s="36">
        <v>29921</v>
      </c>
      <c r="D79" s="2">
        <v>800</v>
      </c>
      <c r="E79" s="3">
        <v>835</v>
      </c>
      <c r="F79" s="4">
        <v>0</v>
      </c>
      <c r="G79" s="5">
        <v>0</v>
      </c>
      <c r="H79" s="6">
        <v>0</v>
      </c>
    </row>
    <row r="80" spans="1:8" x14ac:dyDescent="0.25">
      <c r="A80" s="1">
        <f t="shared" ca="1" si="1"/>
        <v>15050</v>
      </c>
      <c r="B80" s="35">
        <v>29984</v>
      </c>
      <c r="C80" s="36">
        <v>29890</v>
      </c>
      <c r="D80" s="2">
        <v>820</v>
      </c>
      <c r="E80" s="3">
        <v>840</v>
      </c>
      <c r="F80" s="4">
        <v>0</v>
      </c>
      <c r="G80" s="5">
        <v>0</v>
      </c>
      <c r="H80" s="6">
        <v>0</v>
      </c>
    </row>
    <row r="81" spans="1:8" x14ac:dyDescent="0.25">
      <c r="A81" s="1">
        <f t="shared" ca="1" si="1"/>
        <v>15051</v>
      </c>
      <c r="B81" s="35">
        <v>29996</v>
      </c>
      <c r="C81" s="36">
        <v>29937</v>
      </c>
      <c r="D81" s="2">
        <v>815</v>
      </c>
      <c r="E81" s="3">
        <v>850</v>
      </c>
      <c r="F81" s="4">
        <v>0</v>
      </c>
      <c r="G81" s="5">
        <v>0</v>
      </c>
      <c r="H81" s="6">
        <v>0</v>
      </c>
    </row>
    <row r="82" spans="1:8" x14ac:dyDescent="0.25">
      <c r="A82" s="1">
        <f t="shared" ca="1" si="1"/>
        <v>15052</v>
      </c>
      <c r="B82" s="35">
        <v>29980</v>
      </c>
      <c r="C82" s="36">
        <v>29930</v>
      </c>
      <c r="D82" s="2">
        <v>800</v>
      </c>
      <c r="E82" s="3">
        <v>840</v>
      </c>
      <c r="F82" s="4">
        <v>0</v>
      </c>
      <c r="G82" s="5">
        <v>0</v>
      </c>
      <c r="H82" s="6">
        <v>0</v>
      </c>
    </row>
    <row r="83" spans="1:8" x14ac:dyDescent="0.25">
      <c r="A83" s="1">
        <f t="shared" ca="1" si="1"/>
        <v>15053</v>
      </c>
      <c r="B83" s="35">
        <v>29966</v>
      </c>
      <c r="C83" s="36">
        <v>29850</v>
      </c>
      <c r="D83" s="2">
        <v>815</v>
      </c>
      <c r="E83" s="3">
        <v>840</v>
      </c>
      <c r="F83" s="4">
        <v>0</v>
      </c>
      <c r="G83" s="5">
        <v>0</v>
      </c>
      <c r="H83" s="6">
        <v>0</v>
      </c>
    </row>
    <row r="84" spans="1:8" x14ac:dyDescent="0.25">
      <c r="A84" s="1">
        <f t="shared" ca="1" si="1"/>
        <v>15054</v>
      </c>
      <c r="B84" s="35">
        <v>30006</v>
      </c>
      <c r="C84" s="36">
        <v>29917</v>
      </c>
      <c r="D84" s="2">
        <v>815</v>
      </c>
      <c r="E84" s="3">
        <v>850</v>
      </c>
      <c r="F84" s="4">
        <v>0</v>
      </c>
      <c r="G84" s="5">
        <v>0</v>
      </c>
      <c r="H84" s="6">
        <v>0</v>
      </c>
    </row>
    <row r="85" spans="1:8" x14ac:dyDescent="0.25">
      <c r="A85" s="1">
        <f t="shared" ca="1" si="1"/>
        <v>15055</v>
      </c>
      <c r="B85" s="35">
        <v>29927</v>
      </c>
      <c r="C85" s="36">
        <v>29867</v>
      </c>
      <c r="D85" s="2">
        <v>815</v>
      </c>
      <c r="E85" s="3">
        <v>850</v>
      </c>
      <c r="F85" s="4">
        <v>0</v>
      </c>
      <c r="G85" s="5">
        <v>0</v>
      </c>
      <c r="H85" s="6">
        <v>0</v>
      </c>
    </row>
    <row r="86" spans="1:8" x14ac:dyDescent="0.25">
      <c r="A86" s="1">
        <f t="shared" ca="1" si="1"/>
        <v>15056</v>
      </c>
      <c r="B86" s="35">
        <v>29937</v>
      </c>
      <c r="C86" s="36">
        <v>29867</v>
      </c>
      <c r="D86" s="2">
        <v>815</v>
      </c>
      <c r="E86" s="3">
        <v>850</v>
      </c>
      <c r="F86" s="4">
        <v>0</v>
      </c>
      <c r="G86" s="5">
        <v>0</v>
      </c>
      <c r="H86" s="6">
        <v>0</v>
      </c>
    </row>
    <row r="87" spans="1:8" x14ac:dyDescent="0.25">
      <c r="A87" s="1">
        <f t="shared" ca="1" si="1"/>
        <v>15057</v>
      </c>
      <c r="B87" s="35">
        <v>29897</v>
      </c>
      <c r="C87" s="36">
        <v>29819</v>
      </c>
      <c r="D87" s="2">
        <v>815</v>
      </c>
      <c r="E87" s="3">
        <v>845</v>
      </c>
      <c r="F87" s="4">
        <v>0</v>
      </c>
      <c r="G87" s="5">
        <v>0</v>
      </c>
      <c r="H87" s="6">
        <v>0</v>
      </c>
    </row>
    <row r="88" spans="1:8" x14ac:dyDescent="0.25">
      <c r="A88" s="1">
        <f t="shared" ca="1" si="1"/>
        <v>15058</v>
      </c>
      <c r="B88" s="35">
        <v>29915</v>
      </c>
      <c r="C88" s="36">
        <v>29847</v>
      </c>
      <c r="D88" s="2">
        <v>820</v>
      </c>
      <c r="E88" s="3">
        <v>850</v>
      </c>
      <c r="F88" s="4">
        <v>0</v>
      </c>
      <c r="G88" s="5">
        <v>0</v>
      </c>
      <c r="H88" s="6">
        <v>0</v>
      </c>
    </row>
    <row r="89" spans="1:8" x14ac:dyDescent="0.25">
      <c r="A89" s="1">
        <f t="shared" ca="1" si="1"/>
        <v>15059</v>
      </c>
      <c r="B89" s="35">
        <v>29987</v>
      </c>
      <c r="C89" s="36">
        <v>29907</v>
      </c>
      <c r="D89" s="2">
        <v>810</v>
      </c>
      <c r="E89" s="3">
        <v>850</v>
      </c>
      <c r="F89" s="4">
        <v>0</v>
      </c>
      <c r="G89" s="5">
        <v>0</v>
      </c>
      <c r="H89" s="6">
        <v>0</v>
      </c>
    </row>
    <row r="90" spans="1:8" x14ac:dyDescent="0.25">
      <c r="A90" s="1">
        <f t="shared" ca="1" si="1"/>
        <v>15060</v>
      </c>
      <c r="B90" s="35">
        <v>29957</v>
      </c>
      <c r="C90" s="36">
        <v>29879</v>
      </c>
      <c r="D90" s="2">
        <v>815</v>
      </c>
      <c r="E90" s="3">
        <v>845</v>
      </c>
      <c r="F90" s="4">
        <v>0</v>
      </c>
      <c r="G90" s="5">
        <v>0</v>
      </c>
      <c r="H90" s="6">
        <v>0</v>
      </c>
    </row>
    <row r="91" spans="1:8" x14ac:dyDescent="0.25">
      <c r="A91" s="1">
        <f t="shared" ca="1" si="1"/>
        <v>15061</v>
      </c>
      <c r="B91" s="35">
        <v>30016</v>
      </c>
      <c r="C91" s="36">
        <v>29950</v>
      </c>
      <c r="D91" s="2">
        <v>815</v>
      </c>
      <c r="E91" s="3">
        <v>840</v>
      </c>
      <c r="F91" s="4">
        <v>0</v>
      </c>
      <c r="G91" s="5">
        <v>0</v>
      </c>
      <c r="H91" s="6">
        <v>0</v>
      </c>
    </row>
    <row r="92" spans="1:8" x14ac:dyDescent="0.25">
      <c r="A92" s="1">
        <f t="shared" ca="1" si="1"/>
        <v>15062</v>
      </c>
      <c r="B92" s="35">
        <v>30006</v>
      </c>
      <c r="C92" s="36">
        <v>29920</v>
      </c>
      <c r="D92" s="2">
        <v>815</v>
      </c>
      <c r="E92" s="3">
        <v>840</v>
      </c>
      <c r="F92" s="4">
        <v>0</v>
      </c>
      <c r="G92" s="5">
        <v>0</v>
      </c>
      <c r="H92" s="6">
        <v>0</v>
      </c>
    </row>
    <row r="93" spans="1:8" x14ac:dyDescent="0.25">
      <c r="A93" s="1">
        <f t="shared" ca="1" si="1"/>
        <v>15063</v>
      </c>
      <c r="B93" s="35">
        <v>30027</v>
      </c>
      <c r="C93" s="36">
        <v>29937</v>
      </c>
      <c r="D93" s="2">
        <v>810</v>
      </c>
      <c r="E93" s="3">
        <v>850</v>
      </c>
      <c r="F93" s="4">
        <v>0</v>
      </c>
      <c r="G93" s="5">
        <v>0</v>
      </c>
      <c r="H93" s="6">
        <v>0</v>
      </c>
    </row>
    <row r="94" spans="1:8" x14ac:dyDescent="0.25">
      <c r="A94" s="1">
        <f t="shared" ca="1" si="1"/>
        <v>15064</v>
      </c>
      <c r="B94" s="35">
        <v>30006</v>
      </c>
      <c r="C94" s="36">
        <v>29930</v>
      </c>
      <c r="D94" s="2">
        <v>815</v>
      </c>
      <c r="E94" s="3">
        <v>840</v>
      </c>
      <c r="F94" s="4">
        <v>0</v>
      </c>
      <c r="G94" s="5">
        <v>0</v>
      </c>
      <c r="H94" s="6">
        <v>0</v>
      </c>
    </row>
    <row r="95" spans="1:8" x14ac:dyDescent="0.25">
      <c r="A95" s="1">
        <f t="shared" ca="1" si="1"/>
        <v>15065</v>
      </c>
      <c r="B95" s="35">
        <v>30007</v>
      </c>
      <c r="C95" s="36">
        <v>29947</v>
      </c>
      <c r="D95" s="2">
        <v>810</v>
      </c>
      <c r="E95" s="3">
        <v>850</v>
      </c>
      <c r="F95" s="4">
        <v>0</v>
      </c>
      <c r="G95" s="5">
        <v>0</v>
      </c>
      <c r="H95" s="6">
        <v>0</v>
      </c>
    </row>
    <row r="96" spans="1:8" x14ac:dyDescent="0.25">
      <c r="A96" s="1">
        <f t="shared" ca="1" si="1"/>
        <v>15066</v>
      </c>
      <c r="B96" s="35">
        <v>29996</v>
      </c>
      <c r="C96" s="36">
        <v>29927</v>
      </c>
      <c r="D96" s="2">
        <v>815</v>
      </c>
      <c r="E96" s="3">
        <v>850</v>
      </c>
      <c r="F96" s="4">
        <v>0</v>
      </c>
      <c r="G96" s="5">
        <v>0</v>
      </c>
      <c r="H96" s="6">
        <v>0</v>
      </c>
    </row>
    <row r="97" spans="1:8" x14ac:dyDescent="0.25">
      <c r="A97" s="1" t="str">
        <f t="shared" ca="1" si="1"/>
        <v>Totaal</v>
      </c>
      <c r="B97" s="37">
        <f>IF(COUNT(B66:B96)&gt;0,AVERAGE(B66:B96)/1000,"")</f>
        <v>29.955354838709678</v>
      </c>
      <c r="C97" s="38">
        <f>IF(COUNT(C66:C96)&gt;0,AVERAGE(C66:C96)/1000,"")</f>
        <v>29.877870967741934</v>
      </c>
      <c r="D97" s="39">
        <f>IF(COUNT(D66:D96)&gt;0,AVERAGE(D66:D96)/10,"")</f>
        <v>81</v>
      </c>
      <c r="E97" s="40">
        <f>IF(COUNT(E66:E96)&gt;0,AVERAGE(E66:E96)/10,"")</f>
        <v>84.193548387096769</v>
      </c>
      <c r="F97" s="23">
        <f>SUM(F66:F96)/10</f>
        <v>0</v>
      </c>
      <c r="G97" s="24">
        <f>SUM(G66:G96)/10</f>
        <v>1.4</v>
      </c>
      <c r="H97" s="25">
        <f>SUM(H66:H96)/10</f>
        <v>0</v>
      </c>
    </row>
    <row r="98" spans="1:8" x14ac:dyDescent="0.25">
      <c r="A98" s="1">
        <f t="shared" ca="1" si="1"/>
        <v>15067</v>
      </c>
      <c r="B98" s="35">
        <v>29986</v>
      </c>
      <c r="C98" s="36">
        <v>29899</v>
      </c>
      <c r="D98" s="2">
        <v>815</v>
      </c>
      <c r="E98" s="3">
        <v>845</v>
      </c>
      <c r="F98" s="4">
        <v>0</v>
      </c>
      <c r="G98" s="5">
        <v>0</v>
      </c>
      <c r="H98" s="6">
        <v>0</v>
      </c>
    </row>
    <row r="99" spans="1:8" x14ac:dyDescent="0.25">
      <c r="A99" s="1">
        <f t="shared" ca="1" si="1"/>
        <v>15068</v>
      </c>
      <c r="B99" s="35">
        <v>30016</v>
      </c>
      <c r="C99" s="36">
        <v>29901</v>
      </c>
      <c r="D99" s="2">
        <v>815</v>
      </c>
      <c r="E99" s="3">
        <v>835</v>
      </c>
      <c r="F99" s="4">
        <v>0</v>
      </c>
      <c r="G99" s="5">
        <v>0</v>
      </c>
      <c r="H99" s="6">
        <v>0</v>
      </c>
    </row>
    <row r="100" spans="1:8" x14ac:dyDescent="0.25">
      <c r="A100" s="1">
        <f t="shared" ca="1" si="1"/>
        <v>15069</v>
      </c>
      <c r="B100" s="35">
        <v>29974</v>
      </c>
      <c r="C100" s="36">
        <v>29897</v>
      </c>
      <c r="D100" s="2">
        <v>820</v>
      </c>
      <c r="E100" s="3">
        <v>850</v>
      </c>
      <c r="F100" s="4">
        <v>0</v>
      </c>
      <c r="G100" s="5">
        <v>0</v>
      </c>
      <c r="H100" s="6">
        <v>0</v>
      </c>
    </row>
    <row r="101" spans="1:8" x14ac:dyDescent="0.25">
      <c r="A101" s="1">
        <f t="shared" ca="1" si="1"/>
        <v>15070</v>
      </c>
      <c r="B101" s="35">
        <v>29974</v>
      </c>
      <c r="C101" s="36">
        <v>29889</v>
      </c>
      <c r="D101" s="2">
        <v>820</v>
      </c>
      <c r="E101" s="3">
        <v>845</v>
      </c>
      <c r="F101" s="4">
        <v>0</v>
      </c>
      <c r="G101" s="5">
        <v>0</v>
      </c>
      <c r="H101" s="6">
        <v>0</v>
      </c>
    </row>
    <row r="102" spans="1:8" x14ac:dyDescent="0.25">
      <c r="A102" s="1">
        <f t="shared" ca="1" si="1"/>
        <v>15071</v>
      </c>
      <c r="B102" s="35">
        <v>29986</v>
      </c>
      <c r="C102" s="36">
        <v>29917</v>
      </c>
      <c r="D102" s="2">
        <v>815</v>
      </c>
      <c r="E102" s="3">
        <v>850</v>
      </c>
      <c r="F102" s="4">
        <v>0</v>
      </c>
      <c r="G102" s="5">
        <v>0</v>
      </c>
      <c r="H102" s="6">
        <v>0</v>
      </c>
    </row>
    <row r="103" spans="1:8" x14ac:dyDescent="0.25">
      <c r="A103" s="1">
        <f t="shared" ca="1" si="1"/>
        <v>15072</v>
      </c>
      <c r="B103" s="35">
        <v>30014</v>
      </c>
      <c r="C103" s="36">
        <v>29927</v>
      </c>
      <c r="D103" s="2">
        <v>820</v>
      </c>
      <c r="E103" s="3">
        <v>850</v>
      </c>
      <c r="F103" s="4">
        <v>0</v>
      </c>
      <c r="G103" s="5">
        <v>0</v>
      </c>
      <c r="H103" s="6">
        <v>0</v>
      </c>
    </row>
    <row r="104" spans="1:8" x14ac:dyDescent="0.25">
      <c r="A104" s="1">
        <f t="shared" ca="1" si="1"/>
        <v>15073</v>
      </c>
      <c r="B104" s="35">
        <v>29987</v>
      </c>
      <c r="C104" s="36">
        <v>29907</v>
      </c>
      <c r="D104" s="2">
        <v>810</v>
      </c>
      <c r="E104" s="3">
        <v>850</v>
      </c>
      <c r="F104" s="4">
        <v>0</v>
      </c>
      <c r="G104" s="5">
        <v>0</v>
      </c>
      <c r="H104" s="6">
        <v>0</v>
      </c>
    </row>
    <row r="105" spans="1:8" x14ac:dyDescent="0.25">
      <c r="A105" s="1">
        <f t="shared" ca="1" si="1"/>
        <v>15074</v>
      </c>
      <c r="B105" s="35">
        <v>29976</v>
      </c>
      <c r="C105" s="36">
        <v>29909</v>
      </c>
      <c r="D105" s="2">
        <v>815</v>
      </c>
      <c r="E105" s="3">
        <v>845</v>
      </c>
      <c r="F105" s="4">
        <v>0</v>
      </c>
      <c r="G105" s="5">
        <v>0</v>
      </c>
      <c r="H105" s="6">
        <v>0</v>
      </c>
    </row>
    <row r="106" spans="1:8" x14ac:dyDescent="0.25">
      <c r="A106" s="1">
        <f t="shared" ca="1" si="1"/>
        <v>15075</v>
      </c>
      <c r="B106" s="35">
        <v>29997</v>
      </c>
      <c r="C106" s="36">
        <v>29909</v>
      </c>
      <c r="D106" s="2">
        <v>810</v>
      </c>
      <c r="E106" s="3">
        <v>845</v>
      </c>
      <c r="F106" s="4">
        <v>0</v>
      </c>
      <c r="G106" s="5">
        <v>0</v>
      </c>
      <c r="H106" s="6">
        <v>0</v>
      </c>
    </row>
    <row r="107" spans="1:8" x14ac:dyDescent="0.25">
      <c r="A107" s="1">
        <f t="shared" ca="1" si="1"/>
        <v>15076</v>
      </c>
      <c r="B107" s="35">
        <v>29966</v>
      </c>
      <c r="C107" s="36">
        <v>29907</v>
      </c>
      <c r="D107" s="2">
        <v>815</v>
      </c>
      <c r="E107" s="3">
        <v>850</v>
      </c>
      <c r="F107" s="4">
        <v>0</v>
      </c>
      <c r="G107" s="5">
        <v>0</v>
      </c>
      <c r="H107" s="6">
        <v>0</v>
      </c>
    </row>
    <row r="108" spans="1:8" x14ac:dyDescent="0.25">
      <c r="A108" s="1">
        <f t="shared" ca="1" si="1"/>
        <v>15077</v>
      </c>
      <c r="B108" s="35">
        <v>29976</v>
      </c>
      <c r="C108" s="36">
        <v>29901</v>
      </c>
      <c r="D108" s="2">
        <v>815</v>
      </c>
      <c r="E108" s="3">
        <v>835</v>
      </c>
      <c r="F108" s="4">
        <v>0</v>
      </c>
      <c r="G108" s="5">
        <v>0</v>
      </c>
      <c r="H108" s="6">
        <v>0</v>
      </c>
    </row>
    <row r="109" spans="1:8" x14ac:dyDescent="0.25">
      <c r="A109" s="1">
        <f t="shared" ca="1" si="1"/>
        <v>15078</v>
      </c>
      <c r="B109" s="35">
        <v>29966</v>
      </c>
      <c r="C109" s="36">
        <v>29890</v>
      </c>
      <c r="D109" s="2">
        <v>815</v>
      </c>
      <c r="E109" s="3">
        <v>835</v>
      </c>
      <c r="F109" s="4">
        <v>0</v>
      </c>
      <c r="G109" s="5">
        <v>0</v>
      </c>
      <c r="H109" s="6">
        <v>0</v>
      </c>
    </row>
    <row r="110" spans="1:8" x14ac:dyDescent="0.25">
      <c r="A110" s="1">
        <f t="shared" ca="1" si="1"/>
        <v>15079</v>
      </c>
      <c r="B110" s="35">
        <v>29976</v>
      </c>
      <c r="C110" s="36">
        <v>29901</v>
      </c>
      <c r="D110" s="2">
        <v>815</v>
      </c>
      <c r="E110" s="3">
        <v>835</v>
      </c>
      <c r="F110" s="4">
        <v>0</v>
      </c>
      <c r="G110" s="5">
        <v>0</v>
      </c>
      <c r="H110" s="6">
        <v>0</v>
      </c>
    </row>
    <row r="111" spans="1:8" x14ac:dyDescent="0.25">
      <c r="A111" s="1">
        <f t="shared" ca="1" si="1"/>
        <v>15080</v>
      </c>
      <c r="B111" s="35">
        <v>29958</v>
      </c>
      <c r="C111" s="36">
        <v>29897</v>
      </c>
      <c r="D111" s="2">
        <v>810</v>
      </c>
      <c r="E111" s="3">
        <v>850</v>
      </c>
      <c r="F111" s="4">
        <v>236</v>
      </c>
      <c r="G111" s="5">
        <v>210</v>
      </c>
      <c r="H111" s="6">
        <v>240</v>
      </c>
    </row>
    <row r="112" spans="1:8" x14ac:dyDescent="0.25">
      <c r="A112" s="1">
        <f t="shared" ca="1" si="1"/>
        <v>15081</v>
      </c>
      <c r="B112" s="35">
        <v>29964</v>
      </c>
      <c r="C112" s="36">
        <v>29889</v>
      </c>
      <c r="D112" s="2">
        <v>820</v>
      </c>
      <c r="E112" s="3">
        <v>845</v>
      </c>
      <c r="F112" s="4">
        <v>131</v>
      </c>
      <c r="G112" s="5">
        <v>177</v>
      </c>
      <c r="H112" s="6">
        <v>200</v>
      </c>
    </row>
    <row r="113" spans="1:8" x14ac:dyDescent="0.25">
      <c r="A113" s="1">
        <f t="shared" ca="1" si="1"/>
        <v>15082</v>
      </c>
      <c r="B113" s="35">
        <v>29935</v>
      </c>
      <c r="C113" s="36">
        <v>29867</v>
      </c>
      <c r="D113" s="2">
        <v>820</v>
      </c>
      <c r="E113" s="3">
        <v>850</v>
      </c>
      <c r="F113" s="4">
        <v>0</v>
      </c>
      <c r="G113" s="5">
        <v>0</v>
      </c>
      <c r="H113" s="6">
        <v>0</v>
      </c>
    </row>
    <row r="114" spans="1:8" x14ac:dyDescent="0.25">
      <c r="A114" s="1">
        <f t="shared" ca="1" si="1"/>
        <v>15083</v>
      </c>
      <c r="B114" s="35">
        <v>29974</v>
      </c>
      <c r="C114" s="36">
        <v>29889</v>
      </c>
      <c r="D114" s="2">
        <v>820</v>
      </c>
      <c r="E114" s="3">
        <v>845</v>
      </c>
      <c r="F114" s="4">
        <v>21</v>
      </c>
      <c r="G114" s="5">
        <v>16</v>
      </c>
      <c r="H114" s="6">
        <v>30</v>
      </c>
    </row>
    <row r="115" spans="1:8" x14ac:dyDescent="0.25">
      <c r="A115" s="1">
        <f t="shared" ca="1" si="1"/>
        <v>15084</v>
      </c>
      <c r="B115" s="35">
        <v>29935</v>
      </c>
      <c r="C115" s="36">
        <v>29859</v>
      </c>
      <c r="D115" s="2">
        <v>820</v>
      </c>
      <c r="E115" s="3">
        <v>845</v>
      </c>
      <c r="F115" s="4">
        <v>40</v>
      </c>
      <c r="G115" s="5">
        <v>41</v>
      </c>
      <c r="H115" s="6">
        <v>50</v>
      </c>
    </row>
    <row r="116" spans="1:8" x14ac:dyDescent="0.25">
      <c r="A116" s="1">
        <f t="shared" ca="1" si="1"/>
        <v>15085</v>
      </c>
      <c r="B116" s="35">
        <v>29914</v>
      </c>
      <c r="C116" s="36">
        <v>29819</v>
      </c>
      <c r="D116" s="2">
        <v>825</v>
      </c>
      <c r="E116" s="3">
        <v>845</v>
      </c>
      <c r="F116" s="4">
        <v>0</v>
      </c>
      <c r="G116" s="5">
        <v>0</v>
      </c>
      <c r="H116" s="6">
        <v>0</v>
      </c>
    </row>
    <row r="117" spans="1:8" x14ac:dyDescent="0.25">
      <c r="A117" s="1">
        <f t="shared" ca="1" si="1"/>
        <v>15086</v>
      </c>
      <c r="B117" s="35">
        <v>29943</v>
      </c>
      <c r="C117" s="36">
        <v>29845</v>
      </c>
      <c r="D117" s="2">
        <v>830</v>
      </c>
      <c r="E117" s="3">
        <v>860</v>
      </c>
      <c r="F117" s="4">
        <v>0</v>
      </c>
      <c r="G117" s="5">
        <v>0</v>
      </c>
      <c r="H117" s="6">
        <v>0</v>
      </c>
    </row>
    <row r="118" spans="1:8" x14ac:dyDescent="0.25">
      <c r="A118" s="1">
        <f t="shared" ca="1" si="1"/>
        <v>15087</v>
      </c>
      <c r="B118" s="35">
        <v>29972</v>
      </c>
      <c r="C118" s="36">
        <v>29896</v>
      </c>
      <c r="D118" s="2">
        <v>830</v>
      </c>
      <c r="E118" s="3">
        <v>855</v>
      </c>
      <c r="F118" s="4">
        <v>0</v>
      </c>
      <c r="G118" s="5">
        <v>0</v>
      </c>
      <c r="H118" s="6">
        <v>0</v>
      </c>
    </row>
    <row r="119" spans="1:8" x14ac:dyDescent="0.25">
      <c r="A119" s="1">
        <f t="shared" ca="1" si="1"/>
        <v>15088</v>
      </c>
      <c r="B119" s="35">
        <v>29931</v>
      </c>
      <c r="C119" s="36">
        <v>29862</v>
      </c>
      <c r="D119" s="2">
        <v>835</v>
      </c>
      <c r="E119" s="3">
        <v>870</v>
      </c>
      <c r="F119" s="4">
        <v>0</v>
      </c>
      <c r="G119" s="5">
        <v>0</v>
      </c>
      <c r="H119" s="6">
        <v>0</v>
      </c>
    </row>
    <row r="120" spans="1:8" x14ac:dyDescent="0.25">
      <c r="A120" s="1">
        <f t="shared" ca="1" si="1"/>
        <v>15089</v>
      </c>
      <c r="B120" s="35">
        <v>29911</v>
      </c>
      <c r="C120" s="36">
        <v>29813</v>
      </c>
      <c r="D120" s="2">
        <v>835</v>
      </c>
      <c r="E120" s="3">
        <v>865</v>
      </c>
      <c r="F120" s="4">
        <v>0</v>
      </c>
      <c r="G120" s="5">
        <v>0</v>
      </c>
      <c r="H120" s="6">
        <v>0</v>
      </c>
    </row>
    <row r="121" spans="1:8" x14ac:dyDescent="0.25">
      <c r="A121" s="1">
        <f t="shared" ca="1" si="1"/>
        <v>15090</v>
      </c>
      <c r="B121" s="35">
        <v>29982</v>
      </c>
      <c r="C121" s="36">
        <v>29887</v>
      </c>
      <c r="D121" s="2">
        <v>830</v>
      </c>
      <c r="E121" s="3">
        <v>850</v>
      </c>
      <c r="F121" s="4">
        <v>0</v>
      </c>
      <c r="G121" s="5">
        <v>0</v>
      </c>
      <c r="H121" s="6">
        <v>0</v>
      </c>
    </row>
    <row r="122" spans="1:8" x14ac:dyDescent="0.25">
      <c r="A122" s="1">
        <f t="shared" ca="1" si="1"/>
        <v>15091</v>
      </c>
      <c r="B122" s="35">
        <v>29921</v>
      </c>
      <c r="C122" s="36">
        <v>29875</v>
      </c>
      <c r="D122" s="2">
        <v>835</v>
      </c>
      <c r="E122" s="3">
        <v>860</v>
      </c>
      <c r="F122" s="4">
        <v>0</v>
      </c>
      <c r="G122" s="5">
        <v>0</v>
      </c>
      <c r="H122" s="6">
        <v>0</v>
      </c>
    </row>
    <row r="123" spans="1:8" x14ac:dyDescent="0.25">
      <c r="A123" s="1">
        <f t="shared" ca="1" si="1"/>
        <v>15092</v>
      </c>
      <c r="B123" s="35">
        <v>29982</v>
      </c>
      <c r="C123" s="36">
        <v>29887</v>
      </c>
      <c r="D123" s="2">
        <v>830</v>
      </c>
      <c r="E123" s="3">
        <v>850</v>
      </c>
      <c r="F123" s="4">
        <v>0</v>
      </c>
      <c r="G123" s="5">
        <v>0</v>
      </c>
      <c r="H123" s="6">
        <v>0</v>
      </c>
    </row>
    <row r="124" spans="1:8" x14ac:dyDescent="0.25">
      <c r="A124" s="1">
        <f t="shared" ca="1" si="1"/>
        <v>15093</v>
      </c>
      <c r="B124" s="35">
        <v>29973</v>
      </c>
      <c r="C124" s="36">
        <v>29873</v>
      </c>
      <c r="D124" s="2">
        <v>825</v>
      </c>
      <c r="E124" s="3">
        <v>865</v>
      </c>
      <c r="F124" s="4">
        <v>0</v>
      </c>
      <c r="G124" s="5">
        <v>0</v>
      </c>
      <c r="H124" s="6">
        <v>0</v>
      </c>
    </row>
    <row r="125" spans="1:8" x14ac:dyDescent="0.25">
      <c r="A125" s="1">
        <f t="shared" ca="1" si="1"/>
        <v>15094</v>
      </c>
      <c r="B125" s="35">
        <v>29943</v>
      </c>
      <c r="C125" s="36">
        <v>29855</v>
      </c>
      <c r="D125" s="2">
        <v>830</v>
      </c>
      <c r="E125" s="3">
        <v>860</v>
      </c>
      <c r="F125" s="4">
        <v>0</v>
      </c>
      <c r="G125" s="5">
        <v>0</v>
      </c>
      <c r="H125" s="6">
        <v>0</v>
      </c>
    </row>
    <row r="126" spans="1:8" x14ac:dyDescent="0.25">
      <c r="A126" s="1">
        <f t="shared" ca="1" si="1"/>
        <v>15095</v>
      </c>
      <c r="B126" s="35">
        <v>29953</v>
      </c>
      <c r="C126" s="36">
        <v>29856</v>
      </c>
      <c r="D126" s="2">
        <v>830</v>
      </c>
      <c r="E126" s="3">
        <v>855</v>
      </c>
      <c r="F126" s="4">
        <v>0</v>
      </c>
      <c r="G126" s="5">
        <v>0</v>
      </c>
      <c r="H126" s="6">
        <v>0</v>
      </c>
    </row>
    <row r="127" spans="1:8" x14ac:dyDescent="0.25">
      <c r="A127" s="1">
        <f t="shared" ca="1" si="1"/>
        <v>15096</v>
      </c>
      <c r="B127" s="35">
        <v>29954</v>
      </c>
      <c r="C127" s="36">
        <v>29865</v>
      </c>
      <c r="D127" s="2">
        <v>825</v>
      </c>
      <c r="E127" s="3">
        <v>860</v>
      </c>
      <c r="F127" s="4">
        <v>0</v>
      </c>
      <c r="G127" s="5">
        <v>0</v>
      </c>
      <c r="H127" s="6">
        <v>0</v>
      </c>
    </row>
    <row r="128" spans="1:8" x14ac:dyDescent="0.25">
      <c r="A128" s="1" t="str">
        <f t="shared" ca="1" si="1"/>
        <v>Totaal</v>
      </c>
      <c r="B128" s="37">
        <f>IF(COUNT(B98:B127)&gt;0,AVERAGE(B98:B127)/1000,"")</f>
        <v>29.964633333333335</v>
      </c>
      <c r="C128" s="38">
        <f>IF(COUNT(C98:C127)&gt;0,AVERAGE(C98:C127)/1000,"")</f>
        <v>29.882933333333334</v>
      </c>
      <c r="D128" s="39">
        <f>IF(COUNT(D98:D127)&gt;0,AVERAGE(D98:D127)/10,"")</f>
        <v>82.166666666666657</v>
      </c>
      <c r="E128" s="40">
        <f>IF(COUNT(E98:E127)&gt;0,AVERAGE(E98:E127)/10,"")</f>
        <v>85</v>
      </c>
      <c r="F128" s="23">
        <f>SUM(F98:F127)/10</f>
        <v>42.8</v>
      </c>
      <c r="G128" s="24">
        <f>SUM(G98:G127)/10</f>
        <v>44.4</v>
      </c>
      <c r="H128" s="25">
        <f>SUM(H98:H127)/10</f>
        <v>52</v>
      </c>
    </row>
    <row r="129" spans="1:8" x14ac:dyDescent="0.25">
      <c r="A129" s="1">
        <f t="shared" ca="1" si="1"/>
        <v>15097</v>
      </c>
      <c r="B129" s="35">
        <v>29913</v>
      </c>
      <c r="C129" s="36">
        <v>29893</v>
      </c>
      <c r="D129" s="2">
        <v>830</v>
      </c>
      <c r="E129" s="3">
        <v>865</v>
      </c>
      <c r="F129" s="4">
        <v>0</v>
      </c>
      <c r="G129" s="5">
        <v>0</v>
      </c>
      <c r="H129" s="6">
        <v>0</v>
      </c>
    </row>
    <row r="130" spans="1:8" x14ac:dyDescent="0.25">
      <c r="A130" s="1">
        <f t="shared" ca="1" si="1"/>
        <v>15098</v>
      </c>
      <c r="B130" s="35">
        <v>29909</v>
      </c>
      <c r="C130" s="36">
        <v>29871</v>
      </c>
      <c r="D130" s="2">
        <v>845</v>
      </c>
      <c r="E130" s="3">
        <v>875</v>
      </c>
      <c r="F130" s="4">
        <v>0</v>
      </c>
      <c r="G130" s="5">
        <v>0</v>
      </c>
      <c r="H130" s="6">
        <v>0</v>
      </c>
    </row>
    <row r="131" spans="1:8" x14ac:dyDescent="0.25">
      <c r="A131" s="1">
        <f t="shared" ca="1" si="1"/>
        <v>15099</v>
      </c>
      <c r="B131" s="35">
        <v>29947</v>
      </c>
      <c r="C131" s="36">
        <v>29902</v>
      </c>
      <c r="D131" s="2">
        <v>850</v>
      </c>
      <c r="E131" s="3">
        <v>870</v>
      </c>
      <c r="F131" s="4">
        <v>0</v>
      </c>
      <c r="G131" s="5">
        <v>0</v>
      </c>
      <c r="H131" s="6">
        <v>0</v>
      </c>
    </row>
    <row r="132" spans="1:8" x14ac:dyDescent="0.25">
      <c r="A132" s="1">
        <f t="shared" ca="1" si="1"/>
        <v>15100</v>
      </c>
      <c r="B132" s="35">
        <v>29979</v>
      </c>
      <c r="C132" s="36">
        <v>29913</v>
      </c>
      <c r="D132" s="2">
        <v>840</v>
      </c>
      <c r="E132" s="3">
        <v>865</v>
      </c>
      <c r="F132" s="4">
        <v>0</v>
      </c>
      <c r="G132" s="5">
        <v>0</v>
      </c>
      <c r="H132" s="6">
        <v>0</v>
      </c>
    </row>
    <row r="133" spans="1:8" x14ac:dyDescent="0.25">
      <c r="A133" s="1">
        <f t="shared" ca="1" si="1"/>
        <v>15101</v>
      </c>
      <c r="B133" s="35">
        <v>29970</v>
      </c>
      <c r="C133" s="36">
        <v>29885</v>
      </c>
      <c r="D133" s="2">
        <v>835</v>
      </c>
      <c r="E133" s="3">
        <v>860</v>
      </c>
      <c r="F133" s="4">
        <v>0</v>
      </c>
      <c r="G133" s="5">
        <v>0</v>
      </c>
      <c r="H133" s="6">
        <v>0</v>
      </c>
    </row>
    <row r="134" spans="1:8" x14ac:dyDescent="0.25">
      <c r="A134" s="1">
        <f t="shared" ca="1" si="1"/>
        <v>15102</v>
      </c>
      <c r="B134" s="35">
        <v>29950</v>
      </c>
      <c r="C134" s="36">
        <v>29873</v>
      </c>
      <c r="D134" s="2">
        <v>840</v>
      </c>
      <c r="E134" s="3">
        <v>865</v>
      </c>
      <c r="F134" s="4">
        <v>0</v>
      </c>
      <c r="G134" s="5">
        <v>0</v>
      </c>
      <c r="H134" s="6">
        <v>0</v>
      </c>
    </row>
    <row r="135" spans="1:8" x14ac:dyDescent="0.25">
      <c r="A135" s="1">
        <f t="shared" ref="A135:A198" ca="1" si="2">IF(ISTEXT(A134),A133+1,IF(MONTH(A134+1)=MONTH(A134),A134+1,"Totaal"))</f>
        <v>15103</v>
      </c>
      <c r="B135" s="35">
        <v>29959</v>
      </c>
      <c r="C135" s="36">
        <v>29863</v>
      </c>
      <c r="D135" s="2">
        <v>840</v>
      </c>
      <c r="E135" s="3">
        <v>865</v>
      </c>
      <c r="F135" s="4">
        <v>0</v>
      </c>
      <c r="G135" s="5">
        <v>0</v>
      </c>
      <c r="H135" s="6">
        <v>0</v>
      </c>
    </row>
    <row r="136" spans="1:8" x14ac:dyDescent="0.25">
      <c r="A136" s="1">
        <f t="shared" ca="1" si="2"/>
        <v>15104</v>
      </c>
      <c r="B136" s="35">
        <v>29969</v>
      </c>
      <c r="C136" s="36">
        <v>29875</v>
      </c>
      <c r="D136" s="2">
        <v>840</v>
      </c>
      <c r="E136" s="3">
        <v>860</v>
      </c>
      <c r="F136" s="4">
        <v>0</v>
      </c>
      <c r="G136" s="5">
        <v>0</v>
      </c>
      <c r="H136" s="6">
        <v>0</v>
      </c>
    </row>
    <row r="137" spans="1:8" x14ac:dyDescent="0.25">
      <c r="A137" s="1">
        <f t="shared" ca="1" si="2"/>
        <v>15105</v>
      </c>
      <c r="B137" s="35">
        <v>29989</v>
      </c>
      <c r="C137" s="36">
        <v>29905</v>
      </c>
      <c r="D137" s="2">
        <v>840</v>
      </c>
      <c r="E137" s="3">
        <v>860</v>
      </c>
      <c r="F137" s="4">
        <v>0</v>
      </c>
      <c r="G137" s="5">
        <v>0</v>
      </c>
      <c r="H137" s="6">
        <v>0</v>
      </c>
    </row>
    <row r="138" spans="1:8" x14ac:dyDescent="0.25">
      <c r="A138" s="1">
        <f t="shared" ca="1" si="2"/>
        <v>15106</v>
      </c>
      <c r="B138" s="35">
        <v>29979</v>
      </c>
      <c r="C138" s="36">
        <v>29883</v>
      </c>
      <c r="D138" s="2">
        <v>840</v>
      </c>
      <c r="E138" s="3">
        <v>865</v>
      </c>
      <c r="F138" s="4">
        <v>0</v>
      </c>
      <c r="G138" s="5">
        <v>0</v>
      </c>
      <c r="H138" s="6">
        <v>0</v>
      </c>
    </row>
    <row r="139" spans="1:8" x14ac:dyDescent="0.25">
      <c r="A139" s="1">
        <f t="shared" ca="1" si="2"/>
        <v>15107</v>
      </c>
      <c r="B139" s="35">
        <v>29968</v>
      </c>
      <c r="C139" s="36">
        <v>29882</v>
      </c>
      <c r="D139" s="2">
        <v>845</v>
      </c>
      <c r="E139" s="3">
        <v>870</v>
      </c>
      <c r="F139" s="4">
        <v>0</v>
      </c>
      <c r="G139" s="5">
        <v>0</v>
      </c>
      <c r="H139" s="6">
        <v>0</v>
      </c>
    </row>
    <row r="140" spans="1:8" x14ac:dyDescent="0.25">
      <c r="A140" s="1">
        <f t="shared" ca="1" si="2"/>
        <v>15108</v>
      </c>
      <c r="B140" s="35">
        <v>29966</v>
      </c>
      <c r="C140" s="36">
        <v>29872</v>
      </c>
      <c r="D140" s="2">
        <v>850</v>
      </c>
      <c r="E140" s="3">
        <v>870</v>
      </c>
      <c r="F140" s="4">
        <v>0</v>
      </c>
      <c r="G140" s="5">
        <v>0</v>
      </c>
      <c r="H140" s="6">
        <v>0</v>
      </c>
    </row>
    <row r="141" spans="1:8" x14ac:dyDescent="0.25">
      <c r="A141" s="1">
        <f t="shared" ca="1" si="2"/>
        <v>15109</v>
      </c>
      <c r="B141" s="35">
        <v>29969</v>
      </c>
      <c r="C141" s="36">
        <v>29892</v>
      </c>
      <c r="D141" s="2">
        <v>840</v>
      </c>
      <c r="E141" s="3">
        <v>870</v>
      </c>
      <c r="F141" s="4">
        <v>0</v>
      </c>
      <c r="G141" s="5">
        <v>0</v>
      </c>
      <c r="H141" s="6">
        <v>0</v>
      </c>
    </row>
    <row r="142" spans="1:8" x14ac:dyDescent="0.25">
      <c r="A142" s="1">
        <f t="shared" ca="1" si="2"/>
        <v>15110</v>
      </c>
      <c r="B142" s="35">
        <v>29937</v>
      </c>
      <c r="C142" s="36">
        <v>29851</v>
      </c>
      <c r="D142" s="2">
        <v>850</v>
      </c>
      <c r="E142" s="3">
        <v>875</v>
      </c>
      <c r="F142" s="4">
        <v>0</v>
      </c>
      <c r="G142" s="5">
        <v>0</v>
      </c>
      <c r="H142" s="6">
        <v>0</v>
      </c>
    </row>
    <row r="143" spans="1:8" x14ac:dyDescent="0.25">
      <c r="A143" s="1">
        <f t="shared" ca="1" si="2"/>
        <v>15111</v>
      </c>
      <c r="B143" s="35">
        <v>29927</v>
      </c>
      <c r="C143" s="36">
        <v>29832</v>
      </c>
      <c r="D143" s="2">
        <v>850</v>
      </c>
      <c r="E143" s="3">
        <v>870</v>
      </c>
      <c r="F143" s="4">
        <v>0</v>
      </c>
      <c r="G143" s="5">
        <v>0</v>
      </c>
      <c r="H143" s="6">
        <v>0</v>
      </c>
    </row>
    <row r="144" spans="1:8" x14ac:dyDescent="0.25">
      <c r="A144" s="1">
        <f t="shared" ca="1" si="2"/>
        <v>15112</v>
      </c>
      <c r="B144" s="35">
        <v>29907</v>
      </c>
      <c r="C144" s="36">
        <v>29849</v>
      </c>
      <c r="D144" s="2">
        <v>850</v>
      </c>
      <c r="E144" s="3">
        <v>880</v>
      </c>
      <c r="F144" s="4">
        <v>0</v>
      </c>
      <c r="G144" s="5">
        <v>0</v>
      </c>
      <c r="H144" s="6">
        <v>0</v>
      </c>
    </row>
    <row r="145" spans="1:8" x14ac:dyDescent="0.25">
      <c r="A145" s="1">
        <f t="shared" ca="1" si="2"/>
        <v>15113</v>
      </c>
      <c r="B145" s="35">
        <v>29623</v>
      </c>
      <c r="C145" s="36">
        <v>29541</v>
      </c>
      <c r="D145" s="2">
        <v>870</v>
      </c>
      <c r="E145" s="3">
        <v>880</v>
      </c>
      <c r="F145" s="4">
        <v>0</v>
      </c>
      <c r="G145" s="5">
        <v>0</v>
      </c>
      <c r="H145" s="6">
        <v>0</v>
      </c>
    </row>
    <row r="146" spans="1:8" x14ac:dyDescent="0.25">
      <c r="A146" s="1">
        <f t="shared" ca="1" si="2"/>
        <v>15114</v>
      </c>
      <c r="B146" s="35">
        <v>29636</v>
      </c>
      <c r="C146" s="36">
        <v>29570</v>
      </c>
      <c r="D146" s="2">
        <v>860</v>
      </c>
      <c r="E146" s="3">
        <v>880</v>
      </c>
      <c r="F146" s="4">
        <v>0</v>
      </c>
      <c r="G146" s="5">
        <v>0</v>
      </c>
      <c r="H146" s="6">
        <v>0</v>
      </c>
    </row>
    <row r="147" spans="1:8" x14ac:dyDescent="0.25">
      <c r="A147" s="1">
        <f t="shared" ca="1" si="2"/>
        <v>15115</v>
      </c>
      <c r="B147" s="35">
        <v>29677</v>
      </c>
      <c r="C147" s="36">
        <v>29604</v>
      </c>
      <c r="D147" s="2">
        <v>855</v>
      </c>
      <c r="E147" s="3">
        <v>865</v>
      </c>
      <c r="F147" s="4">
        <v>0</v>
      </c>
      <c r="G147" s="5">
        <v>0</v>
      </c>
      <c r="H147" s="6">
        <v>0</v>
      </c>
    </row>
    <row r="148" spans="1:8" x14ac:dyDescent="0.25">
      <c r="A148" s="1">
        <f t="shared" ca="1" si="2"/>
        <v>15116</v>
      </c>
      <c r="B148" s="35">
        <v>29626</v>
      </c>
      <c r="C148" s="36">
        <v>29580</v>
      </c>
      <c r="D148" s="2">
        <v>860</v>
      </c>
      <c r="E148" s="3">
        <v>880</v>
      </c>
      <c r="F148" s="4">
        <v>0</v>
      </c>
      <c r="G148" s="5">
        <v>0</v>
      </c>
      <c r="H148" s="6">
        <v>0</v>
      </c>
    </row>
    <row r="149" spans="1:8" x14ac:dyDescent="0.25">
      <c r="A149" s="1">
        <f t="shared" ca="1" si="2"/>
        <v>15117</v>
      </c>
      <c r="B149" s="35">
        <v>29616</v>
      </c>
      <c r="C149" s="36">
        <v>29570</v>
      </c>
      <c r="D149" s="2">
        <v>860</v>
      </c>
      <c r="E149" s="3">
        <v>880</v>
      </c>
      <c r="F149" s="4">
        <v>0</v>
      </c>
      <c r="G149" s="5">
        <v>0</v>
      </c>
      <c r="H149" s="6">
        <v>0</v>
      </c>
    </row>
    <row r="150" spans="1:8" x14ac:dyDescent="0.25">
      <c r="A150" s="1">
        <f t="shared" ca="1" si="2"/>
        <v>15118</v>
      </c>
      <c r="B150" s="35">
        <v>29617</v>
      </c>
      <c r="C150" s="36">
        <v>29604</v>
      </c>
      <c r="D150" s="2">
        <v>855</v>
      </c>
      <c r="E150" s="3">
        <v>865</v>
      </c>
      <c r="F150" s="4">
        <v>0</v>
      </c>
      <c r="G150" s="5">
        <v>0</v>
      </c>
      <c r="H150" s="6">
        <v>0</v>
      </c>
    </row>
    <row r="151" spans="1:8" x14ac:dyDescent="0.25">
      <c r="A151" s="1">
        <f t="shared" ca="1" si="2"/>
        <v>15119</v>
      </c>
      <c r="B151" s="35">
        <v>29598</v>
      </c>
      <c r="C151" s="36">
        <v>29546</v>
      </c>
      <c r="D151" s="2">
        <v>850</v>
      </c>
      <c r="E151" s="3">
        <v>860</v>
      </c>
      <c r="F151" s="4">
        <v>0</v>
      </c>
      <c r="G151" s="5">
        <v>0</v>
      </c>
      <c r="H151" s="6">
        <v>0</v>
      </c>
    </row>
    <row r="152" spans="1:8" x14ac:dyDescent="0.25">
      <c r="A152" s="1">
        <f t="shared" ca="1" si="2"/>
        <v>15120</v>
      </c>
      <c r="B152" s="35">
        <v>29598</v>
      </c>
      <c r="C152" s="36">
        <v>29531</v>
      </c>
      <c r="D152" s="2">
        <v>850</v>
      </c>
      <c r="E152" s="3">
        <v>880</v>
      </c>
      <c r="F152" s="4">
        <v>0</v>
      </c>
      <c r="G152" s="5">
        <v>0</v>
      </c>
      <c r="H152" s="6">
        <v>0</v>
      </c>
    </row>
    <row r="153" spans="1:8" x14ac:dyDescent="0.25">
      <c r="A153" s="1">
        <f t="shared" ca="1" si="2"/>
        <v>15121</v>
      </c>
      <c r="B153" s="35">
        <v>29626</v>
      </c>
      <c r="C153" s="36">
        <v>29580</v>
      </c>
      <c r="D153" s="2">
        <v>860</v>
      </c>
      <c r="E153" s="3">
        <v>880</v>
      </c>
      <c r="F153" s="4">
        <v>0</v>
      </c>
      <c r="G153" s="5">
        <v>0</v>
      </c>
      <c r="H153" s="6">
        <v>0</v>
      </c>
    </row>
    <row r="154" spans="1:8" x14ac:dyDescent="0.25">
      <c r="A154" s="1">
        <f t="shared" ca="1" si="2"/>
        <v>15122</v>
      </c>
      <c r="B154" s="35">
        <v>29586</v>
      </c>
      <c r="C154" s="36">
        <v>29598</v>
      </c>
      <c r="D154" s="2">
        <v>860</v>
      </c>
      <c r="E154" s="3">
        <v>880</v>
      </c>
      <c r="F154" s="4">
        <v>0</v>
      </c>
      <c r="G154" s="5">
        <v>0</v>
      </c>
      <c r="H154" s="6">
        <v>0</v>
      </c>
    </row>
    <row r="155" spans="1:8" x14ac:dyDescent="0.25">
      <c r="A155" s="1">
        <f t="shared" ca="1" si="2"/>
        <v>15123</v>
      </c>
      <c r="B155" s="35">
        <v>29667</v>
      </c>
      <c r="C155" s="36">
        <v>29603</v>
      </c>
      <c r="D155" s="2">
        <v>855</v>
      </c>
      <c r="E155" s="3">
        <v>870</v>
      </c>
      <c r="F155" s="4">
        <v>0</v>
      </c>
      <c r="G155" s="5">
        <v>15</v>
      </c>
      <c r="H155" s="6">
        <v>0</v>
      </c>
    </row>
    <row r="156" spans="1:8" x14ac:dyDescent="0.25">
      <c r="A156" s="1">
        <f t="shared" ca="1" si="2"/>
        <v>15124</v>
      </c>
      <c r="B156" s="35">
        <v>29688</v>
      </c>
      <c r="C156" s="36">
        <v>29633</v>
      </c>
      <c r="D156" s="2">
        <v>850</v>
      </c>
      <c r="E156" s="3">
        <v>870</v>
      </c>
      <c r="F156" s="4">
        <v>0</v>
      </c>
      <c r="G156" s="5">
        <v>0</v>
      </c>
      <c r="H156" s="6">
        <v>0</v>
      </c>
    </row>
    <row r="157" spans="1:8" x14ac:dyDescent="0.25">
      <c r="A157" s="1">
        <f t="shared" ca="1" si="2"/>
        <v>15125</v>
      </c>
      <c r="B157" s="35">
        <v>29646</v>
      </c>
      <c r="C157" s="36">
        <v>29606</v>
      </c>
      <c r="D157" s="2">
        <v>860</v>
      </c>
      <c r="E157" s="3">
        <v>860</v>
      </c>
      <c r="F157" s="4">
        <v>0</v>
      </c>
      <c r="G157" s="5">
        <v>0</v>
      </c>
      <c r="H157" s="6">
        <v>0</v>
      </c>
    </row>
    <row r="158" spans="1:8" x14ac:dyDescent="0.25">
      <c r="A158" s="1">
        <f t="shared" ca="1" si="2"/>
        <v>15126</v>
      </c>
      <c r="B158" s="35">
        <v>29638</v>
      </c>
      <c r="C158" s="36">
        <v>29593</v>
      </c>
      <c r="D158" s="2">
        <v>850</v>
      </c>
      <c r="E158" s="3">
        <v>870</v>
      </c>
      <c r="F158" s="4">
        <v>0</v>
      </c>
      <c r="G158" s="5">
        <v>0</v>
      </c>
      <c r="H158" s="6">
        <v>0</v>
      </c>
    </row>
    <row r="159" spans="1:8" x14ac:dyDescent="0.25">
      <c r="A159" s="1">
        <f t="shared" ca="1" si="2"/>
        <v>15127</v>
      </c>
      <c r="B159" s="35">
        <v>29638</v>
      </c>
      <c r="C159" s="36">
        <v>29590</v>
      </c>
      <c r="D159" s="2">
        <v>850</v>
      </c>
      <c r="E159" s="3">
        <v>880</v>
      </c>
      <c r="F159" s="4">
        <v>0</v>
      </c>
      <c r="G159" s="5">
        <v>0</v>
      </c>
      <c r="H159" s="6">
        <v>0</v>
      </c>
    </row>
    <row r="160" spans="1:8" x14ac:dyDescent="0.25">
      <c r="A160" s="1" t="str">
        <f t="shared" ca="1" si="2"/>
        <v>Totaal</v>
      </c>
      <c r="B160" s="37">
        <f>IF(COUNT(B129:B159)&gt;0,AVERAGE(B129:B159)/1000,"")</f>
        <v>29.797354838709676</v>
      </c>
      <c r="C160" s="38">
        <f>IF(COUNT(C129:C159)&gt;0,AVERAGE(C129:C159)/1000,"")</f>
        <v>29.73516129032258</v>
      </c>
      <c r="D160" s="39">
        <f>IF(COUNT(D129:D159)&gt;0,AVERAGE(D129:D159)/10,"")</f>
        <v>84.935483870967744</v>
      </c>
      <c r="E160" s="40">
        <f>IF(COUNT(E129:E159)&gt;0,AVERAGE(E129:E159)/10,"")</f>
        <v>87.048387096774192</v>
      </c>
      <c r="F160" s="23">
        <f>SUM(F129:F159)/10</f>
        <v>0</v>
      </c>
      <c r="G160" s="24">
        <f>SUM(G129:G159)/10</f>
        <v>1.5</v>
      </c>
      <c r="H160" s="25">
        <f>SUM(H129:H159)/10</f>
        <v>0</v>
      </c>
    </row>
    <row r="161" spans="1:8" x14ac:dyDescent="0.25">
      <c r="A161" s="1">
        <f t="shared" ca="1" si="2"/>
        <v>15128</v>
      </c>
      <c r="B161" s="35"/>
      <c r="C161" s="36"/>
      <c r="D161" s="2"/>
      <c r="E161" s="3"/>
      <c r="F161" s="4"/>
      <c r="G161" s="5"/>
      <c r="H161" s="6"/>
    </row>
    <row r="162" spans="1:8" x14ac:dyDescent="0.25">
      <c r="A162" s="1">
        <f t="shared" ca="1" si="2"/>
        <v>15129</v>
      </c>
      <c r="B162" s="35"/>
      <c r="C162" s="36"/>
      <c r="D162" s="2"/>
      <c r="E162" s="3"/>
      <c r="F162" s="4"/>
      <c r="G162" s="5"/>
      <c r="H162" s="6"/>
    </row>
    <row r="163" spans="1:8" x14ac:dyDescent="0.25">
      <c r="A163" s="1">
        <f t="shared" ca="1" si="2"/>
        <v>15130</v>
      </c>
      <c r="B163" s="35"/>
      <c r="C163" s="36"/>
      <c r="D163" s="2"/>
      <c r="E163" s="3"/>
      <c r="F163" s="4"/>
      <c r="G163" s="5"/>
      <c r="H163" s="6"/>
    </row>
    <row r="164" spans="1:8" x14ac:dyDescent="0.25">
      <c r="A164" s="1">
        <f t="shared" ca="1" si="2"/>
        <v>15131</v>
      </c>
      <c r="B164" s="35"/>
      <c r="C164" s="36"/>
      <c r="D164" s="2"/>
      <c r="E164" s="3"/>
      <c r="F164" s="4"/>
      <c r="G164" s="5"/>
      <c r="H164" s="6"/>
    </row>
    <row r="165" spans="1:8" x14ac:dyDescent="0.25">
      <c r="A165" s="1">
        <f t="shared" ca="1" si="2"/>
        <v>15132</v>
      </c>
      <c r="B165" s="35"/>
      <c r="C165" s="36"/>
      <c r="D165" s="2"/>
      <c r="E165" s="3"/>
      <c r="F165" s="4"/>
      <c r="G165" s="5"/>
      <c r="H165" s="6"/>
    </row>
    <row r="166" spans="1:8" x14ac:dyDescent="0.25">
      <c r="A166" s="1">
        <f t="shared" ca="1" si="2"/>
        <v>15133</v>
      </c>
      <c r="B166" s="35"/>
      <c r="C166" s="36"/>
      <c r="D166" s="2"/>
      <c r="E166" s="3"/>
      <c r="F166" s="4"/>
      <c r="G166" s="5"/>
      <c r="H166" s="6"/>
    </row>
    <row r="167" spans="1:8" x14ac:dyDescent="0.25">
      <c r="A167" s="1">
        <f t="shared" ca="1" si="2"/>
        <v>15134</v>
      </c>
      <c r="B167" s="35"/>
      <c r="C167" s="36"/>
      <c r="D167" s="2"/>
      <c r="E167" s="3"/>
      <c r="F167" s="4"/>
      <c r="G167" s="5"/>
      <c r="H167" s="6"/>
    </row>
    <row r="168" spans="1:8" x14ac:dyDescent="0.25">
      <c r="A168" s="1">
        <f t="shared" ca="1" si="2"/>
        <v>15135</v>
      </c>
      <c r="B168" s="35"/>
      <c r="C168" s="36"/>
      <c r="D168" s="2"/>
      <c r="E168" s="3"/>
      <c r="F168" s="4"/>
      <c r="G168" s="5"/>
      <c r="H168" s="6"/>
    </row>
    <row r="169" spans="1:8" x14ac:dyDescent="0.25">
      <c r="A169" s="1">
        <f t="shared" ca="1" si="2"/>
        <v>15136</v>
      </c>
      <c r="B169" s="35"/>
      <c r="C169" s="36"/>
      <c r="D169" s="2"/>
      <c r="E169" s="3"/>
      <c r="F169" s="4"/>
      <c r="G169" s="5"/>
      <c r="H169" s="6"/>
    </row>
    <row r="170" spans="1:8" x14ac:dyDescent="0.25">
      <c r="A170" s="1">
        <f t="shared" ca="1" si="2"/>
        <v>15137</v>
      </c>
      <c r="B170" s="35"/>
      <c r="C170" s="36"/>
      <c r="D170" s="2"/>
      <c r="E170" s="3"/>
      <c r="F170" s="4"/>
      <c r="G170" s="5"/>
      <c r="H170" s="6"/>
    </row>
    <row r="171" spans="1:8" x14ac:dyDescent="0.25">
      <c r="A171" s="1">
        <f t="shared" ca="1" si="2"/>
        <v>15138</v>
      </c>
      <c r="B171" s="35"/>
      <c r="C171" s="36"/>
      <c r="D171" s="2"/>
      <c r="E171" s="3"/>
      <c r="F171" s="4"/>
      <c r="G171" s="5"/>
      <c r="H171" s="6"/>
    </row>
    <row r="172" spans="1:8" x14ac:dyDescent="0.25">
      <c r="A172" s="1">
        <f t="shared" ca="1" si="2"/>
        <v>15139</v>
      </c>
      <c r="B172" s="35"/>
      <c r="C172" s="36"/>
      <c r="D172" s="2"/>
      <c r="E172" s="3"/>
      <c r="F172" s="4"/>
      <c r="G172" s="5"/>
      <c r="H172" s="6"/>
    </row>
    <row r="173" spans="1:8" x14ac:dyDescent="0.25">
      <c r="A173" s="1">
        <f t="shared" ca="1" si="2"/>
        <v>15140</v>
      </c>
      <c r="B173" s="35"/>
      <c r="C173" s="36"/>
      <c r="D173" s="2"/>
      <c r="E173" s="3"/>
      <c r="F173" s="4"/>
      <c r="G173" s="5"/>
      <c r="H173" s="6"/>
    </row>
    <row r="174" spans="1:8" x14ac:dyDescent="0.25">
      <c r="A174" s="1">
        <f t="shared" ca="1" si="2"/>
        <v>15141</v>
      </c>
      <c r="B174" s="35"/>
      <c r="C174" s="36"/>
      <c r="D174" s="2"/>
      <c r="E174" s="3"/>
      <c r="F174" s="4"/>
      <c r="G174" s="5"/>
      <c r="H174" s="6"/>
    </row>
    <row r="175" spans="1:8" x14ac:dyDescent="0.25">
      <c r="A175" s="1">
        <f t="shared" ca="1" si="2"/>
        <v>15142</v>
      </c>
      <c r="B175" s="35"/>
      <c r="C175" s="36"/>
      <c r="D175" s="2"/>
      <c r="E175" s="3"/>
      <c r="F175" s="4"/>
      <c r="G175" s="5"/>
      <c r="H175" s="6"/>
    </row>
    <row r="176" spans="1:8" x14ac:dyDescent="0.25">
      <c r="A176" s="1">
        <f t="shared" ca="1" si="2"/>
        <v>15143</v>
      </c>
      <c r="B176" s="35"/>
      <c r="C176" s="36"/>
      <c r="D176" s="2"/>
      <c r="E176" s="3"/>
      <c r="F176" s="4"/>
      <c r="G176" s="5"/>
      <c r="H176" s="6"/>
    </row>
    <row r="177" spans="1:8" x14ac:dyDescent="0.25">
      <c r="A177" s="1">
        <f t="shared" ca="1" si="2"/>
        <v>15144</v>
      </c>
      <c r="B177" s="35"/>
      <c r="C177" s="36"/>
      <c r="D177" s="2"/>
      <c r="E177" s="3"/>
      <c r="F177" s="4"/>
      <c r="G177" s="5"/>
      <c r="H177" s="6"/>
    </row>
    <row r="178" spans="1:8" x14ac:dyDescent="0.25">
      <c r="A178" s="1">
        <f t="shared" ca="1" si="2"/>
        <v>15145</v>
      </c>
      <c r="B178" s="35"/>
      <c r="C178" s="36"/>
      <c r="D178" s="2"/>
      <c r="E178" s="3"/>
      <c r="F178" s="4"/>
      <c r="G178" s="5"/>
      <c r="H178" s="6"/>
    </row>
    <row r="179" spans="1:8" x14ac:dyDescent="0.25">
      <c r="A179" s="1">
        <f t="shared" ca="1" si="2"/>
        <v>15146</v>
      </c>
      <c r="B179" s="35"/>
      <c r="C179" s="36"/>
      <c r="D179" s="2"/>
      <c r="E179" s="3"/>
      <c r="F179" s="4"/>
      <c r="G179" s="5"/>
      <c r="H179" s="6"/>
    </row>
    <row r="180" spans="1:8" x14ac:dyDescent="0.25">
      <c r="A180" s="1">
        <f t="shared" ca="1" si="2"/>
        <v>15147</v>
      </c>
      <c r="B180" s="35"/>
      <c r="C180" s="36"/>
      <c r="D180" s="2"/>
      <c r="E180" s="3"/>
      <c r="F180" s="4"/>
      <c r="G180" s="5"/>
      <c r="H180" s="6"/>
    </row>
    <row r="181" spans="1:8" x14ac:dyDescent="0.25">
      <c r="A181" s="1">
        <f t="shared" ca="1" si="2"/>
        <v>15148</v>
      </c>
      <c r="B181" s="35"/>
      <c r="C181" s="36"/>
      <c r="D181" s="2"/>
      <c r="E181" s="3"/>
      <c r="F181" s="4"/>
      <c r="G181" s="5"/>
      <c r="H181" s="6"/>
    </row>
    <row r="182" spans="1:8" x14ac:dyDescent="0.25">
      <c r="A182" s="1">
        <f t="shared" ca="1" si="2"/>
        <v>15149</v>
      </c>
      <c r="B182" s="35"/>
      <c r="C182" s="36"/>
      <c r="D182" s="2"/>
      <c r="E182" s="3"/>
      <c r="F182" s="4"/>
      <c r="G182" s="5"/>
      <c r="H182" s="6"/>
    </row>
    <row r="183" spans="1:8" x14ac:dyDescent="0.25">
      <c r="A183" s="1">
        <f t="shared" ca="1" si="2"/>
        <v>15150</v>
      </c>
      <c r="B183" s="35"/>
      <c r="C183" s="36"/>
      <c r="D183" s="2"/>
      <c r="E183" s="3"/>
      <c r="F183" s="4"/>
      <c r="G183" s="5"/>
      <c r="H183" s="6"/>
    </row>
    <row r="184" spans="1:8" x14ac:dyDescent="0.25">
      <c r="A184" s="1">
        <f t="shared" ca="1" si="2"/>
        <v>15151</v>
      </c>
      <c r="B184" s="35"/>
      <c r="C184" s="36"/>
      <c r="D184" s="2"/>
      <c r="E184" s="3"/>
      <c r="F184" s="4"/>
      <c r="G184" s="5"/>
      <c r="H184" s="6"/>
    </row>
    <row r="185" spans="1:8" x14ac:dyDescent="0.25">
      <c r="A185" s="1">
        <f t="shared" ca="1" si="2"/>
        <v>15152</v>
      </c>
      <c r="B185" s="35"/>
      <c r="C185" s="36"/>
      <c r="D185" s="2"/>
      <c r="E185" s="3"/>
      <c r="F185" s="4"/>
      <c r="G185" s="5"/>
      <c r="H185" s="6"/>
    </row>
    <row r="186" spans="1:8" x14ac:dyDescent="0.25">
      <c r="A186" s="1">
        <f t="shared" ca="1" si="2"/>
        <v>15153</v>
      </c>
      <c r="B186" s="35"/>
      <c r="C186" s="36"/>
      <c r="D186" s="2"/>
      <c r="E186" s="3"/>
      <c r="F186" s="4"/>
      <c r="G186" s="5"/>
      <c r="H186" s="6"/>
    </row>
    <row r="187" spans="1:8" x14ac:dyDescent="0.25">
      <c r="A187" s="1">
        <f t="shared" ca="1" si="2"/>
        <v>15154</v>
      </c>
      <c r="B187" s="35"/>
      <c r="C187" s="36"/>
      <c r="D187" s="2"/>
      <c r="E187" s="3"/>
      <c r="F187" s="4"/>
      <c r="G187" s="5"/>
      <c r="H187" s="6"/>
    </row>
    <row r="188" spans="1:8" x14ac:dyDescent="0.25">
      <c r="A188" s="1">
        <f t="shared" ca="1" si="2"/>
        <v>15155</v>
      </c>
      <c r="B188" s="35"/>
      <c r="C188" s="36"/>
      <c r="D188" s="2"/>
      <c r="E188" s="3"/>
      <c r="F188" s="4"/>
      <c r="G188" s="5"/>
      <c r="H188" s="6"/>
    </row>
    <row r="189" spans="1:8" x14ac:dyDescent="0.25">
      <c r="A189" s="1">
        <f t="shared" ca="1" si="2"/>
        <v>15156</v>
      </c>
      <c r="B189" s="35"/>
      <c r="C189" s="36"/>
      <c r="D189" s="2"/>
      <c r="E189" s="3"/>
      <c r="F189" s="4"/>
      <c r="G189" s="5"/>
      <c r="H189" s="6"/>
    </row>
    <row r="190" spans="1:8" x14ac:dyDescent="0.25">
      <c r="A190" s="1">
        <f t="shared" ca="1" si="2"/>
        <v>15157</v>
      </c>
      <c r="B190" s="35"/>
      <c r="C190" s="36"/>
      <c r="D190" s="2"/>
      <c r="E190" s="3"/>
      <c r="F190" s="4"/>
      <c r="G190" s="5"/>
      <c r="H190" s="6"/>
    </row>
    <row r="191" spans="1:8" x14ac:dyDescent="0.25">
      <c r="A191" s="1" t="str">
        <f t="shared" ca="1" si="2"/>
        <v>Totaal</v>
      </c>
      <c r="B191" s="37" t="str">
        <f>IF(COUNT(B161:B190)&gt;0,AVERAGE(B161:B190)/1000,"")</f>
        <v/>
      </c>
      <c r="C191" s="38" t="str">
        <f>IF(COUNT(C161:C190)&gt;0,AVERAGE(C161:C190)/1000,"")</f>
        <v/>
      </c>
      <c r="D191" s="39" t="str">
        <f>IF(COUNT(D161:D190)&gt;0,AVERAGE(D161:D190)/10,"")</f>
        <v/>
      </c>
      <c r="E191" s="40" t="str">
        <f>IF(COUNT(E161:E190)&gt;0,AVERAGE(E161:E190)/10,"")</f>
        <v/>
      </c>
      <c r="F191" s="23">
        <f>SUM(F161:F190)/10</f>
        <v>0</v>
      </c>
      <c r="G191" s="24">
        <f>SUM(G161:G190)/10</f>
        <v>0</v>
      </c>
      <c r="H191" s="25">
        <f>SUM(H161:H190)/10</f>
        <v>0</v>
      </c>
    </row>
    <row r="192" spans="1:8" x14ac:dyDescent="0.25">
      <c r="A192" s="1">
        <f t="shared" ca="1" si="2"/>
        <v>15158</v>
      </c>
      <c r="B192" s="35"/>
      <c r="C192" s="36"/>
      <c r="D192" s="2"/>
      <c r="E192" s="3"/>
      <c r="F192" s="4"/>
      <c r="G192" s="5"/>
      <c r="H192" s="6"/>
    </row>
    <row r="193" spans="1:8" x14ac:dyDescent="0.25">
      <c r="A193" s="1">
        <f t="shared" ca="1" si="2"/>
        <v>15159</v>
      </c>
      <c r="B193" s="35"/>
      <c r="C193" s="36"/>
      <c r="D193" s="2"/>
      <c r="E193" s="3"/>
      <c r="F193" s="4"/>
      <c r="G193" s="5"/>
      <c r="H193" s="6"/>
    </row>
    <row r="194" spans="1:8" x14ac:dyDescent="0.25">
      <c r="A194" s="1">
        <f t="shared" ca="1" si="2"/>
        <v>15160</v>
      </c>
      <c r="B194" s="35"/>
      <c r="C194" s="36"/>
      <c r="D194" s="2"/>
      <c r="E194" s="3"/>
      <c r="F194" s="4"/>
      <c r="G194" s="5"/>
      <c r="H194" s="6"/>
    </row>
    <row r="195" spans="1:8" x14ac:dyDescent="0.25">
      <c r="A195" s="1">
        <f t="shared" ca="1" si="2"/>
        <v>15161</v>
      </c>
      <c r="B195" s="35"/>
      <c r="C195" s="36"/>
      <c r="D195" s="2"/>
      <c r="E195" s="3"/>
      <c r="F195" s="4"/>
      <c r="G195" s="5"/>
      <c r="H195" s="6"/>
    </row>
    <row r="196" spans="1:8" x14ac:dyDescent="0.25">
      <c r="A196" s="1">
        <f t="shared" ca="1" si="2"/>
        <v>15162</v>
      </c>
      <c r="B196" s="35"/>
      <c r="C196" s="36"/>
      <c r="D196" s="2"/>
      <c r="E196" s="3"/>
      <c r="F196" s="4"/>
      <c r="G196" s="5"/>
      <c r="H196" s="6"/>
    </row>
    <row r="197" spans="1:8" x14ac:dyDescent="0.25">
      <c r="A197" s="1">
        <f t="shared" ca="1" si="2"/>
        <v>15163</v>
      </c>
      <c r="B197" s="35"/>
      <c r="C197" s="36"/>
      <c r="D197" s="2"/>
      <c r="E197" s="3"/>
      <c r="F197" s="4"/>
      <c r="G197" s="5"/>
      <c r="H197" s="6"/>
    </row>
    <row r="198" spans="1:8" x14ac:dyDescent="0.25">
      <c r="A198" s="1">
        <f t="shared" ca="1" si="2"/>
        <v>15164</v>
      </c>
      <c r="B198" s="35"/>
      <c r="C198" s="36"/>
      <c r="D198" s="2"/>
      <c r="E198" s="3"/>
      <c r="F198" s="4"/>
      <c r="G198" s="5"/>
      <c r="H198" s="6"/>
    </row>
    <row r="199" spans="1:8" x14ac:dyDescent="0.25">
      <c r="A199" s="1">
        <f t="shared" ref="A199:A262" ca="1" si="3">IF(ISTEXT(A198),A197+1,IF(MONTH(A198+1)=MONTH(A198),A198+1,"Totaal"))</f>
        <v>15165</v>
      </c>
      <c r="B199" s="35"/>
      <c r="C199" s="36"/>
      <c r="D199" s="2"/>
      <c r="E199" s="3"/>
      <c r="F199" s="4"/>
      <c r="G199" s="5"/>
      <c r="H199" s="6"/>
    </row>
    <row r="200" spans="1:8" x14ac:dyDescent="0.25">
      <c r="A200" s="1">
        <f t="shared" ca="1" si="3"/>
        <v>15166</v>
      </c>
      <c r="B200" s="35"/>
      <c r="C200" s="36"/>
      <c r="D200" s="2"/>
      <c r="E200" s="3"/>
      <c r="F200" s="4"/>
      <c r="G200" s="5"/>
      <c r="H200" s="6"/>
    </row>
    <row r="201" spans="1:8" x14ac:dyDescent="0.25">
      <c r="A201" s="1">
        <f t="shared" ca="1" si="3"/>
        <v>15167</v>
      </c>
      <c r="B201" s="35"/>
      <c r="C201" s="36"/>
      <c r="D201" s="2"/>
      <c r="E201" s="3"/>
      <c r="F201" s="4"/>
      <c r="G201" s="5"/>
      <c r="H201" s="6"/>
    </row>
    <row r="202" spans="1:8" x14ac:dyDescent="0.25">
      <c r="A202" s="1">
        <f t="shared" ca="1" si="3"/>
        <v>15168</v>
      </c>
      <c r="B202" s="35"/>
      <c r="C202" s="36"/>
      <c r="D202" s="2"/>
      <c r="E202" s="3"/>
      <c r="F202" s="4"/>
      <c r="G202" s="5"/>
      <c r="H202" s="6"/>
    </row>
    <row r="203" spans="1:8" x14ac:dyDescent="0.25">
      <c r="A203" s="1">
        <f t="shared" ca="1" si="3"/>
        <v>15169</v>
      </c>
      <c r="B203" s="35"/>
      <c r="C203" s="36"/>
      <c r="D203" s="2"/>
      <c r="E203" s="3"/>
      <c r="F203" s="4"/>
      <c r="G203" s="5"/>
      <c r="H203" s="6"/>
    </row>
    <row r="204" spans="1:8" x14ac:dyDescent="0.25">
      <c r="A204" s="1">
        <f t="shared" ca="1" si="3"/>
        <v>15170</v>
      </c>
      <c r="B204" s="35"/>
      <c r="C204" s="36"/>
      <c r="D204" s="2"/>
      <c r="E204" s="3"/>
      <c r="F204" s="4"/>
      <c r="G204" s="5"/>
      <c r="H204" s="6"/>
    </row>
    <row r="205" spans="1:8" x14ac:dyDescent="0.25">
      <c r="A205" s="1">
        <f t="shared" ca="1" si="3"/>
        <v>15171</v>
      </c>
      <c r="B205" s="35"/>
      <c r="C205" s="36"/>
      <c r="D205" s="2"/>
      <c r="E205" s="3"/>
      <c r="F205" s="4"/>
      <c r="G205" s="5"/>
      <c r="H205" s="6"/>
    </row>
    <row r="206" spans="1:8" x14ac:dyDescent="0.25">
      <c r="A206" s="1">
        <f t="shared" ca="1" si="3"/>
        <v>15172</v>
      </c>
      <c r="B206" s="35"/>
      <c r="C206" s="36"/>
      <c r="D206" s="2"/>
      <c r="E206" s="3"/>
      <c r="F206" s="4"/>
      <c r="G206" s="5"/>
      <c r="H206" s="6"/>
    </row>
    <row r="207" spans="1:8" x14ac:dyDescent="0.25">
      <c r="A207" s="1">
        <f t="shared" ca="1" si="3"/>
        <v>15173</v>
      </c>
      <c r="B207" s="35"/>
      <c r="C207" s="36"/>
      <c r="D207" s="2"/>
      <c r="E207" s="3"/>
      <c r="F207" s="4"/>
      <c r="G207" s="5"/>
      <c r="H207" s="6"/>
    </row>
    <row r="208" spans="1:8" x14ac:dyDescent="0.25">
      <c r="A208" s="1">
        <f t="shared" ca="1" si="3"/>
        <v>15174</v>
      </c>
      <c r="B208" s="35"/>
      <c r="C208" s="36"/>
      <c r="D208" s="2"/>
      <c r="E208" s="3"/>
      <c r="F208" s="4"/>
      <c r="G208" s="5"/>
      <c r="H208" s="6"/>
    </row>
    <row r="209" spans="1:8" x14ac:dyDescent="0.25">
      <c r="A209" s="1">
        <f t="shared" ca="1" si="3"/>
        <v>15175</v>
      </c>
      <c r="B209" s="35"/>
      <c r="C209" s="36"/>
      <c r="D209" s="2"/>
      <c r="E209" s="3"/>
      <c r="F209" s="4"/>
      <c r="G209" s="5"/>
      <c r="H209" s="6"/>
    </row>
    <row r="210" spans="1:8" x14ac:dyDescent="0.25">
      <c r="A210" s="1">
        <f t="shared" ca="1" si="3"/>
        <v>15176</v>
      </c>
      <c r="B210" s="35"/>
      <c r="C210" s="36"/>
      <c r="D210" s="2"/>
      <c r="E210" s="3"/>
      <c r="F210" s="4"/>
      <c r="G210" s="5"/>
      <c r="H210" s="6"/>
    </row>
    <row r="211" spans="1:8" x14ac:dyDescent="0.25">
      <c r="A211" s="1">
        <f t="shared" ca="1" si="3"/>
        <v>15177</v>
      </c>
      <c r="B211" s="35"/>
      <c r="C211" s="36"/>
      <c r="D211" s="2"/>
      <c r="E211" s="3"/>
      <c r="F211" s="4"/>
      <c r="G211" s="5"/>
      <c r="H211" s="6"/>
    </row>
    <row r="212" spans="1:8" x14ac:dyDescent="0.25">
      <c r="A212" s="1">
        <f t="shared" ca="1" si="3"/>
        <v>15178</v>
      </c>
      <c r="B212" s="35"/>
      <c r="C212" s="36"/>
      <c r="D212" s="2"/>
      <c r="E212" s="3"/>
      <c r="F212" s="4"/>
      <c r="G212" s="5"/>
      <c r="H212" s="6"/>
    </row>
    <row r="213" spans="1:8" x14ac:dyDescent="0.25">
      <c r="A213" s="1">
        <f t="shared" ca="1" si="3"/>
        <v>15179</v>
      </c>
      <c r="B213" s="35"/>
      <c r="C213" s="36"/>
      <c r="D213" s="2"/>
      <c r="E213" s="3"/>
      <c r="F213" s="4"/>
      <c r="G213" s="5"/>
      <c r="H213" s="6"/>
    </row>
    <row r="214" spans="1:8" x14ac:dyDescent="0.25">
      <c r="A214" s="1">
        <f t="shared" ca="1" si="3"/>
        <v>15180</v>
      </c>
      <c r="B214" s="35"/>
      <c r="C214" s="36"/>
      <c r="D214" s="2"/>
      <c r="E214" s="3"/>
      <c r="F214" s="4"/>
      <c r="G214" s="5"/>
      <c r="H214" s="6"/>
    </row>
    <row r="215" spans="1:8" x14ac:dyDescent="0.25">
      <c r="A215" s="1">
        <f t="shared" ca="1" si="3"/>
        <v>15181</v>
      </c>
      <c r="B215" s="35"/>
      <c r="C215" s="36"/>
      <c r="D215" s="2"/>
      <c r="E215" s="3"/>
      <c r="F215" s="4"/>
      <c r="G215" s="5"/>
      <c r="H215" s="6"/>
    </row>
    <row r="216" spans="1:8" x14ac:dyDescent="0.25">
      <c r="A216" s="1">
        <f t="shared" ca="1" si="3"/>
        <v>15182</v>
      </c>
      <c r="B216" s="35"/>
      <c r="C216" s="36"/>
      <c r="D216" s="2"/>
      <c r="E216" s="3"/>
      <c r="F216" s="4"/>
      <c r="G216" s="5"/>
      <c r="H216" s="6"/>
    </row>
    <row r="217" spans="1:8" x14ac:dyDescent="0.25">
      <c r="A217" s="1">
        <f t="shared" ca="1" si="3"/>
        <v>15183</v>
      </c>
      <c r="B217" s="35"/>
      <c r="C217" s="36"/>
      <c r="D217" s="2"/>
      <c r="E217" s="3"/>
      <c r="F217" s="4"/>
      <c r="G217" s="5"/>
      <c r="H217" s="6"/>
    </row>
    <row r="218" spans="1:8" x14ac:dyDescent="0.25">
      <c r="A218" s="1">
        <f t="shared" ca="1" si="3"/>
        <v>15184</v>
      </c>
      <c r="B218" s="35"/>
      <c r="C218" s="36"/>
      <c r="D218" s="2"/>
      <c r="E218" s="3"/>
      <c r="F218" s="4"/>
      <c r="G218" s="5"/>
      <c r="H218" s="6"/>
    </row>
    <row r="219" spans="1:8" x14ac:dyDescent="0.25">
      <c r="A219" s="1">
        <f t="shared" ca="1" si="3"/>
        <v>15185</v>
      </c>
      <c r="B219" s="35"/>
      <c r="C219" s="36"/>
      <c r="D219" s="2"/>
      <c r="E219" s="3"/>
      <c r="F219" s="4"/>
      <c r="G219" s="5"/>
      <c r="H219" s="6"/>
    </row>
    <row r="220" spans="1:8" x14ac:dyDescent="0.25">
      <c r="A220" s="1">
        <f t="shared" ca="1" si="3"/>
        <v>15186</v>
      </c>
      <c r="B220" s="35"/>
      <c r="C220" s="36"/>
      <c r="D220" s="2"/>
      <c r="E220" s="3"/>
      <c r="F220" s="4"/>
      <c r="G220" s="5"/>
      <c r="H220" s="6"/>
    </row>
    <row r="221" spans="1:8" x14ac:dyDescent="0.25">
      <c r="A221" s="1">
        <f t="shared" ca="1" si="3"/>
        <v>15187</v>
      </c>
      <c r="B221" s="35"/>
      <c r="C221" s="36"/>
      <c r="D221" s="2"/>
      <c r="E221" s="3"/>
      <c r="F221" s="4"/>
      <c r="G221" s="5"/>
      <c r="H221" s="6"/>
    </row>
    <row r="222" spans="1:8" x14ac:dyDescent="0.25">
      <c r="A222" s="1">
        <f t="shared" ca="1" si="3"/>
        <v>15188</v>
      </c>
      <c r="B222" s="35"/>
      <c r="C222" s="36"/>
      <c r="D222" s="2"/>
      <c r="E222" s="3"/>
      <c r="F222" s="4"/>
      <c r="G222" s="5"/>
      <c r="H222" s="6"/>
    </row>
    <row r="223" spans="1:8" x14ac:dyDescent="0.25">
      <c r="A223" s="1" t="str">
        <f t="shared" ca="1" si="3"/>
        <v>Totaal</v>
      </c>
      <c r="B223" s="37" t="str">
        <f>IF(COUNT(B192:B222)&gt;0,AVERAGE(B192:B222)/1000,"")</f>
        <v/>
      </c>
      <c r="C223" s="38" t="str">
        <f>IF(COUNT(C192:C222)&gt;0,AVERAGE(C192:C222)/1000,"")</f>
        <v/>
      </c>
      <c r="D223" s="39" t="str">
        <f>IF(COUNT(D192:D222)&gt;0,AVERAGE(D192:D222)/10,"")</f>
        <v/>
      </c>
      <c r="E223" s="40" t="str">
        <f>IF(COUNT(E192:E222)&gt;0,AVERAGE(E192:E222)/10,"")</f>
        <v/>
      </c>
      <c r="F223" s="23">
        <f>SUM(F192:F222)/10</f>
        <v>0</v>
      </c>
      <c r="G223" s="24">
        <f>SUM(G192:G222)/10</f>
        <v>0</v>
      </c>
      <c r="H223" s="25">
        <f>SUM(H192:H222)/10</f>
        <v>0</v>
      </c>
    </row>
    <row r="224" spans="1:8" x14ac:dyDescent="0.25">
      <c r="A224" s="1">
        <f t="shared" ca="1" si="3"/>
        <v>15189</v>
      </c>
      <c r="B224" s="35"/>
      <c r="C224" s="36"/>
      <c r="D224" s="2"/>
      <c r="E224" s="3"/>
      <c r="F224" s="4"/>
      <c r="G224" s="5"/>
      <c r="H224" s="6"/>
    </row>
    <row r="225" spans="1:8" x14ac:dyDescent="0.25">
      <c r="A225" s="1">
        <f t="shared" ca="1" si="3"/>
        <v>15190</v>
      </c>
      <c r="B225" s="35"/>
      <c r="C225" s="36"/>
      <c r="D225" s="2"/>
      <c r="E225" s="3"/>
      <c r="F225" s="4"/>
      <c r="G225" s="5"/>
      <c r="H225" s="6"/>
    </row>
    <row r="226" spans="1:8" x14ac:dyDescent="0.25">
      <c r="A226" s="1">
        <f t="shared" ca="1" si="3"/>
        <v>15191</v>
      </c>
      <c r="B226" s="35"/>
      <c r="C226" s="36"/>
      <c r="D226" s="2"/>
      <c r="E226" s="3"/>
      <c r="F226" s="4"/>
      <c r="G226" s="5"/>
      <c r="H226" s="6"/>
    </row>
    <row r="227" spans="1:8" x14ac:dyDescent="0.25">
      <c r="A227" s="1">
        <f t="shared" ca="1" si="3"/>
        <v>15192</v>
      </c>
      <c r="B227" s="35"/>
      <c r="C227" s="36"/>
      <c r="D227" s="2"/>
      <c r="E227" s="3"/>
      <c r="F227" s="4"/>
      <c r="G227" s="5"/>
      <c r="H227" s="6"/>
    </row>
    <row r="228" spans="1:8" x14ac:dyDescent="0.25">
      <c r="A228" s="1">
        <f t="shared" ca="1" si="3"/>
        <v>15193</v>
      </c>
      <c r="B228" s="35"/>
      <c r="C228" s="36"/>
      <c r="D228" s="2"/>
      <c r="E228" s="3"/>
      <c r="F228" s="4"/>
      <c r="G228" s="5"/>
      <c r="H228" s="6"/>
    </row>
    <row r="229" spans="1:8" x14ac:dyDescent="0.25">
      <c r="A229" s="1">
        <f t="shared" ca="1" si="3"/>
        <v>15194</v>
      </c>
      <c r="B229" s="35"/>
      <c r="C229" s="36"/>
      <c r="D229" s="2"/>
      <c r="E229" s="3"/>
      <c r="F229" s="4"/>
      <c r="G229" s="5"/>
      <c r="H229" s="6"/>
    </row>
    <row r="230" spans="1:8" x14ac:dyDescent="0.25">
      <c r="A230" s="1">
        <f t="shared" ca="1" si="3"/>
        <v>15195</v>
      </c>
      <c r="B230" s="35"/>
      <c r="C230" s="36"/>
      <c r="D230" s="2"/>
      <c r="E230" s="3"/>
      <c r="F230" s="4"/>
      <c r="G230" s="5"/>
      <c r="H230" s="6"/>
    </row>
    <row r="231" spans="1:8" x14ac:dyDescent="0.25">
      <c r="A231" s="1">
        <f t="shared" ca="1" si="3"/>
        <v>15196</v>
      </c>
      <c r="B231" s="35"/>
      <c r="C231" s="36"/>
      <c r="D231" s="2"/>
      <c r="E231" s="3"/>
      <c r="F231" s="4"/>
      <c r="G231" s="5"/>
      <c r="H231" s="6"/>
    </row>
    <row r="232" spans="1:8" x14ac:dyDescent="0.25">
      <c r="A232" s="1">
        <f t="shared" ca="1" si="3"/>
        <v>15197</v>
      </c>
      <c r="B232" s="35"/>
      <c r="C232" s="36"/>
      <c r="D232" s="2"/>
      <c r="E232" s="3"/>
      <c r="F232" s="4"/>
      <c r="G232" s="5"/>
      <c r="H232" s="6"/>
    </row>
    <row r="233" spans="1:8" x14ac:dyDescent="0.25">
      <c r="A233" s="1">
        <f t="shared" ca="1" si="3"/>
        <v>15198</v>
      </c>
      <c r="B233" s="35"/>
      <c r="C233" s="36"/>
      <c r="D233" s="2"/>
      <c r="E233" s="3"/>
      <c r="F233" s="4"/>
      <c r="G233" s="5"/>
      <c r="H233" s="6"/>
    </row>
    <row r="234" spans="1:8" x14ac:dyDescent="0.25">
      <c r="A234" s="1">
        <f t="shared" ca="1" si="3"/>
        <v>15199</v>
      </c>
      <c r="B234" s="35"/>
      <c r="C234" s="36"/>
      <c r="D234" s="2"/>
      <c r="E234" s="3"/>
      <c r="F234" s="4"/>
      <c r="G234" s="5"/>
      <c r="H234" s="6"/>
    </row>
    <row r="235" spans="1:8" x14ac:dyDescent="0.25">
      <c r="A235" s="1">
        <f t="shared" ca="1" si="3"/>
        <v>15200</v>
      </c>
      <c r="B235" s="35"/>
      <c r="C235" s="36"/>
      <c r="D235" s="2"/>
      <c r="E235" s="3"/>
      <c r="F235" s="4"/>
      <c r="G235" s="5"/>
      <c r="H235" s="6"/>
    </row>
    <row r="236" spans="1:8" x14ac:dyDescent="0.25">
      <c r="A236" s="1">
        <f t="shared" ca="1" si="3"/>
        <v>15201</v>
      </c>
      <c r="B236" s="35"/>
      <c r="C236" s="36"/>
      <c r="D236" s="2"/>
      <c r="E236" s="3"/>
      <c r="F236" s="4"/>
      <c r="G236" s="5"/>
      <c r="H236" s="6"/>
    </row>
    <row r="237" spans="1:8" x14ac:dyDescent="0.25">
      <c r="A237" s="1">
        <f t="shared" ca="1" si="3"/>
        <v>15202</v>
      </c>
      <c r="B237" s="35"/>
      <c r="C237" s="36"/>
      <c r="D237" s="2"/>
      <c r="E237" s="3"/>
      <c r="F237" s="4"/>
      <c r="G237" s="5"/>
      <c r="H237" s="6"/>
    </row>
    <row r="238" spans="1:8" x14ac:dyDescent="0.25">
      <c r="A238" s="1">
        <f t="shared" ca="1" si="3"/>
        <v>15203</v>
      </c>
      <c r="B238" s="35"/>
      <c r="C238" s="36"/>
      <c r="D238" s="2"/>
      <c r="E238" s="3"/>
      <c r="F238" s="4"/>
      <c r="G238" s="5"/>
      <c r="H238" s="6"/>
    </row>
    <row r="239" spans="1:8" x14ac:dyDescent="0.25">
      <c r="A239" s="1">
        <f t="shared" ca="1" si="3"/>
        <v>15204</v>
      </c>
      <c r="B239" s="35"/>
      <c r="C239" s="36"/>
      <c r="D239" s="2"/>
      <c r="E239" s="3"/>
      <c r="F239" s="4"/>
      <c r="G239" s="5"/>
      <c r="H239" s="6"/>
    </row>
    <row r="240" spans="1:8" x14ac:dyDescent="0.25">
      <c r="A240" s="1">
        <f t="shared" ca="1" si="3"/>
        <v>15205</v>
      </c>
      <c r="B240" s="35"/>
      <c r="C240" s="36"/>
      <c r="D240" s="2"/>
      <c r="E240" s="3"/>
      <c r="F240" s="4"/>
      <c r="G240" s="5"/>
      <c r="H240" s="6"/>
    </row>
    <row r="241" spans="1:8" x14ac:dyDescent="0.25">
      <c r="A241" s="1">
        <f t="shared" ca="1" si="3"/>
        <v>15206</v>
      </c>
      <c r="B241" s="35"/>
      <c r="C241" s="36"/>
      <c r="D241" s="2"/>
      <c r="E241" s="3"/>
      <c r="F241" s="4"/>
      <c r="G241" s="5"/>
      <c r="H241" s="6"/>
    </row>
    <row r="242" spans="1:8" x14ac:dyDescent="0.25">
      <c r="A242" s="1">
        <f t="shared" ca="1" si="3"/>
        <v>15207</v>
      </c>
      <c r="B242" s="35"/>
      <c r="C242" s="36"/>
      <c r="D242" s="2"/>
      <c r="E242" s="3"/>
      <c r="F242" s="4"/>
      <c r="G242" s="5"/>
      <c r="H242" s="6"/>
    </row>
    <row r="243" spans="1:8" x14ac:dyDescent="0.25">
      <c r="A243" s="1">
        <f t="shared" ca="1" si="3"/>
        <v>15208</v>
      </c>
      <c r="B243" s="35"/>
      <c r="C243" s="36"/>
      <c r="D243" s="2"/>
      <c r="E243" s="3"/>
      <c r="F243" s="4"/>
      <c r="G243" s="5"/>
      <c r="H243" s="6"/>
    </row>
    <row r="244" spans="1:8" x14ac:dyDescent="0.25">
      <c r="A244" s="1">
        <f t="shared" ca="1" si="3"/>
        <v>15209</v>
      </c>
      <c r="B244" s="35"/>
      <c r="C244" s="36"/>
      <c r="D244" s="2"/>
      <c r="E244" s="3"/>
      <c r="F244" s="4"/>
      <c r="G244" s="5"/>
      <c r="H244" s="6"/>
    </row>
    <row r="245" spans="1:8" x14ac:dyDescent="0.25">
      <c r="A245" s="1">
        <f t="shared" ca="1" si="3"/>
        <v>15210</v>
      </c>
      <c r="B245" s="35"/>
      <c r="C245" s="36"/>
      <c r="D245" s="2"/>
      <c r="E245" s="3"/>
      <c r="F245" s="4"/>
      <c r="G245" s="5"/>
      <c r="H245" s="6"/>
    </row>
    <row r="246" spans="1:8" x14ac:dyDescent="0.25">
      <c r="A246" s="1">
        <f t="shared" ca="1" si="3"/>
        <v>15211</v>
      </c>
      <c r="B246" s="35"/>
      <c r="C246" s="36"/>
      <c r="D246" s="2"/>
      <c r="E246" s="3"/>
      <c r="F246" s="4"/>
      <c r="G246" s="5"/>
      <c r="H246" s="6"/>
    </row>
    <row r="247" spans="1:8" x14ac:dyDescent="0.25">
      <c r="A247" s="1">
        <f t="shared" ca="1" si="3"/>
        <v>15212</v>
      </c>
      <c r="B247" s="35"/>
      <c r="C247" s="36"/>
      <c r="D247" s="2"/>
      <c r="E247" s="3"/>
      <c r="F247" s="4"/>
      <c r="G247" s="5"/>
      <c r="H247" s="6"/>
    </row>
    <row r="248" spans="1:8" x14ac:dyDescent="0.25">
      <c r="A248" s="1">
        <f t="shared" ca="1" si="3"/>
        <v>15213</v>
      </c>
      <c r="B248" s="35"/>
      <c r="C248" s="36"/>
      <c r="D248" s="2"/>
      <c r="E248" s="3"/>
      <c r="F248" s="4"/>
      <c r="G248" s="5"/>
      <c r="H248" s="6"/>
    </row>
    <row r="249" spans="1:8" x14ac:dyDescent="0.25">
      <c r="A249" s="1">
        <f t="shared" ca="1" si="3"/>
        <v>15214</v>
      </c>
      <c r="B249" s="35"/>
      <c r="C249" s="36"/>
      <c r="D249" s="2"/>
      <c r="E249" s="3"/>
      <c r="F249" s="4"/>
      <c r="G249" s="5"/>
      <c r="H249" s="6"/>
    </row>
    <row r="250" spans="1:8" x14ac:dyDescent="0.25">
      <c r="A250" s="1">
        <f t="shared" ca="1" si="3"/>
        <v>15215</v>
      </c>
      <c r="B250" s="35"/>
      <c r="C250" s="36"/>
      <c r="D250" s="2"/>
      <c r="E250" s="3"/>
      <c r="F250" s="4"/>
      <c r="G250" s="5"/>
      <c r="H250" s="6"/>
    </row>
    <row r="251" spans="1:8" x14ac:dyDescent="0.25">
      <c r="A251" s="1">
        <f t="shared" ca="1" si="3"/>
        <v>15216</v>
      </c>
      <c r="B251" s="35"/>
      <c r="C251" s="36"/>
      <c r="D251" s="2"/>
      <c r="E251" s="3"/>
      <c r="F251" s="4"/>
      <c r="G251" s="5"/>
      <c r="H251" s="6"/>
    </row>
    <row r="252" spans="1:8" x14ac:dyDescent="0.25">
      <c r="A252" s="1">
        <f t="shared" ca="1" si="3"/>
        <v>15217</v>
      </c>
      <c r="B252" s="35"/>
      <c r="C252" s="36"/>
      <c r="D252" s="2"/>
      <c r="E252" s="3"/>
      <c r="F252" s="4"/>
      <c r="G252" s="5"/>
      <c r="H252" s="6"/>
    </row>
    <row r="253" spans="1:8" x14ac:dyDescent="0.25">
      <c r="A253" s="1">
        <f t="shared" ca="1" si="3"/>
        <v>15218</v>
      </c>
      <c r="B253" s="35"/>
      <c r="C253" s="36"/>
      <c r="D253" s="2"/>
      <c r="E253" s="3"/>
      <c r="F253" s="4"/>
      <c r="G253" s="5"/>
      <c r="H253" s="6"/>
    </row>
    <row r="254" spans="1:8" x14ac:dyDescent="0.25">
      <c r="A254" s="1">
        <f t="shared" ca="1" si="3"/>
        <v>15219</v>
      </c>
      <c r="B254" s="35"/>
      <c r="C254" s="36"/>
      <c r="D254" s="2"/>
      <c r="E254" s="3"/>
      <c r="F254" s="4"/>
      <c r="G254" s="5"/>
      <c r="H254" s="6"/>
    </row>
    <row r="255" spans="1:8" x14ac:dyDescent="0.25">
      <c r="A255" s="1" t="str">
        <f t="shared" ca="1" si="3"/>
        <v>Totaal</v>
      </c>
      <c r="B255" s="37" t="str">
        <f>IF(COUNT(B224:B254)&gt;0,AVERAGE(B224:B254)/1000,"")</f>
        <v/>
      </c>
      <c r="C255" s="38" t="str">
        <f>IF(COUNT(C224:C254)&gt;0,AVERAGE(C224:C254)/1000,"")</f>
        <v/>
      </c>
      <c r="D255" s="39" t="str">
        <f>IF(COUNT(D224:D254)&gt;0,AVERAGE(D224:D254)/10,"")</f>
        <v/>
      </c>
      <c r="E255" s="40" t="str">
        <f>IF(COUNT(E224:E254)&gt;0,AVERAGE(E224:E254)/10,"")</f>
        <v/>
      </c>
      <c r="F255" s="23">
        <f>SUM(F224:F254)/10</f>
        <v>0</v>
      </c>
      <c r="G255" s="24">
        <f>SUM(G224:G254)/10</f>
        <v>0</v>
      </c>
      <c r="H255" s="25">
        <f>SUM(H224:H254)/10</f>
        <v>0</v>
      </c>
    </row>
    <row r="256" spans="1:8" x14ac:dyDescent="0.25">
      <c r="A256" s="1">
        <f t="shared" ca="1" si="3"/>
        <v>15220</v>
      </c>
      <c r="B256" s="35"/>
      <c r="C256" s="36"/>
      <c r="D256" s="2"/>
      <c r="E256" s="3"/>
      <c r="F256" s="4"/>
      <c r="G256" s="5"/>
      <c r="H256" s="6"/>
    </row>
    <row r="257" spans="1:8" x14ac:dyDescent="0.25">
      <c r="A257" s="1">
        <f t="shared" ca="1" si="3"/>
        <v>15221</v>
      </c>
      <c r="B257" s="35"/>
      <c r="C257" s="36"/>
      <c r="D257" s="2"/>
      <c r="E257" s="3"/>
      <c r="F257" s="4"/>
      <c r="G257" s="5"/>
      <c r="H257" s="6"/>
    </row>
    <row r="258" spans="1:8" x14ac:dyDescent="0.25">
      <c r="A258" s="1">
        <f t="shared" ca="1" si="3"/>
        <v>15222</v>
      </c>
      <c r="B258" s="35"/>
      <c r="C258" s="36"/>
      <c r="D258" s="2"/>
      <c r="E258" s="3"/>
      <c r="F258" s="4"/>
      <c r="G258" s="5"/>
      <c r="H258" s="6"/>
    </row>
    <row r="259" spans="1:8" x14ac:dyDescent="0.25">
      <c r="A259" s="1">
        <f t="shared" ca="1" si="3"/>
        <v>15223</v>
      </c>
      <c r="B259" s="35"/>
      <c r="C259" s="36"/>
      <c r="D259" s="2"/>
      <c r="E259" s="3"/>
      <c r="F259" s="4"/>
      <c r="G259" s="5"/>
      <c r="H259" s="6"/>
    </row>
    <row r="260" spans="1:8" x14ac:dyDescent="0.25">
      <c r="A260" s="1">
        <f t="shared" ca="1" si="3"/>
        <v>15224</v>
      </c>
      <c r="B260" s="35"/>
      <c r="C260" s="36"/>
      <c r="D260" s="2"/>
      <c r="E260" s="3"/>
      <c r="F260" s="4"/>
      <c r="G260" s="5"/>
      <c r="H260" s="6"/>
    </row>
    <row r="261" spans="1:8" x14ac:dyDescent="0.25">
      <c r="A261" s="1">
        <f t="shared" ca="1" si="3"/>
        <v>15225</v>
      </c>
      <c r="B261" s="35"/>
      <c r="C261" s="36"/>
      <c r="D261" s="2"/>
      <c r="E261" s="3"/>
      <c r="F261" s="4"/>
      <c r="G261" s="5"/>
      <c r="H261" s="6"/>
    </row>
    <row r="262" spans="1:8" x14ac:dyDescent="0.25">
      <c r="A262" s="1">
        <f t="shared" ca="1" si="3"/>
        <v>15226</v>
      </c>
      <c r="B262" s="35"/>
      <c r="C262" s="36"/>
      <c r="D262" s="2"/>
      <c r="E262" s="3"/>
      <c r="F262" s="4"/>
      <c r="G262" s="5"/>
      <c r="H262" s="6"/>
    </row>
    <row r="263" spans="1:8" x14ac:dyDescent="0.25">
      <c r="A263" s="1">
        <f t="shared" ref="A263:A326" ca="1" si="4">IF(ISTEXT(A262),A261+1,IF(MONTH(A262+1)=MONTH(A262),A262+1,"Totaal"))</f>
        <v>15227</v>
      </c>
      <c r="B263" s="35"/>
      <c r="C263" s="36"/>
      <c r="D263" s="2"/>
      <c r="E263" s="3"/>
      <c r="F263" s="4"/>
      <c r="G263" s="5"/>
      <c r="H263" s="6"/>
    </row>
    <row r="264" spans="1:8" x14ac:dyDescent="0.25">
      <c r="A264" s="1">
        <f t="shared" ca="1" si="4"/>
        <v>15228</v>
      </c>
      <c r="B264" s="35"/>
      <c r="C264" s="36"/>
      <c r="D264" s="2"/>
      <c r="E264" s="3"/>
      <c r="F264" s="4"/>
      <c r="G264" s="5"/>
      <c r="H264" s="6"/>
    </row>
    <row r="265" spans="1:8" x14ac:dyDescent="0.25">
      <c r="A265" s="1">
        <f t="shared" ca="1" si="4"/>
        <v>15229</v>
      </c>
      <c r="B265" s="35"/>
      <c r="C265" s="36"/>
      <c r="D265" s="2"/>
      <c r="E265" s="3"/>
      <c r="F265" s="4"/>
      <c r="G265" s="5"/>
      <c r="H265" s="6"/>
    </row>
    <row r="266" spans="1:8" x14ac:dyDescent="0.25">
      <c r="A266" s="1">
        <f t="shared" ca="1" si="4"/>
        <v>15230</v>
      </c>
      <c r="B266" s="35"/>
      <c r="C266" s="36"/>
      <c r="D266" s="2"/>
      <c r="E266" s="3"/>
      <c r="F266" s="4"/>
      <c r="G266" s="5"/>
      <c r="H266" s="6"/>
    </row>
    <row r="267" spans="1:8" x14ac:dyDescent="0.25">
      <c r="A267" s="1">
        <f t="shared" ca="1" si="4"/>
        <v>15231</v>
      </c>
      <c r="B267" s="35"/>
      <c r="C267" s="36"/>
      <c r="D267" s="2"/>
      <c r="E267" s="3"/>
      <c r="F267" s="4"/>
      <c r="G267" s="5"/>
      <c r="H267" s="6"/>
    </row>
    <row r="268" spans="1:8" x14ac:dyDescent="0.25">
      <c r="A268" s="1">
        <f t="shared" ca="1" si="4"/>
        <v>15232</v>
      </c>
      <c r="B268" s="35"/>
      <c r="C268" s="36"/>
      <c r="D268" s="2"/>
      <c r="E268" s="3"/>
      <c r="F268" s="4"/>
      <c r="G268" s="5"/>
      <c r="H268" s="6"/>
    </row>
    <row r="269" spans="1:8" x14ac:dyDescent="0.25">
      <c r="A269" s="1">
        <f t="shared" ca="1" si="4"/>
        <v>15233</v>
      </c>
      <c r="B269" s="35"/>
      <c r="C269" s="36"/>
      <c r="D269" s="2"/>
      <c r="E269" s="3"/>
      <c r="F269" s="4"/>
      <c r="G269" s="5"/>
      <c r="H269" s="6"/>
    </row>
    <row r="270" spans="1:8" x14ac:dyDescent="0.25">
      <c r="A270" s="1">
        <f t="shared" ca="1" si="4"/>
        <v>15234</v>
      </c>
      <c r="B270" s="35"/>
      <c r="C270" s="36"/>
      <c r="D270" s="2"/>
      <c r="E270" s="3"/>
      <c r="F270" s="4"/>
      <c r="G270" s="5"/>
      <c r="H270" s="6"/>
    </row>
    <row r="271" spans="1:8" x14ac:dyDescent="0.25">
      <c r="A271" s="1">
        <f t="shared" ca="1" si="4"/>
        <v>15235</v>
      </c>
      <c r="B271" s="35"/>
      <c r="C271" s="36"/>
      <c r="D271" s="2"/>
      <c r="E271" s="3"/>
      <c r="F271" s="4"/>
      <c r="G271" s="5"/>
      <c r="H271" s="6"/>
    </row>
    <row r="272" spans="1:8" x14ac:dyDescent="0.25">
      <c r="A272" s="1">
        <f t="shared" ca="1" si="4"/>
        <v>15236</v>
      </c>
      <c r="B272" s="35"/>
      <c r="C272" s="36"/>
      <c r="D272" s="2"/>
      <c r="E272" s="3"/>
      <c r="F272" s="4"/>
      <c r="G272" s="5"/>
      <c r="H272" s="6"/>
    </row>
    <row r="273" spans="1:8" x14ac:dyDescent="0.25">
      <c r="A273" s="1">
        <f t="shared" ca="1" si="4"/>
        <v>15237</v>
      </c>
      <c r="B273" s="35"/>
      <c r="C273" s="36"/>
      <c r="D273" s="2"/>
      <c r="E273" s="3"/>
      <c r="F273" s="4"/>
      <c r="G273" s="5"/>
      <c r="H273" s="6"/>
    </row>
    <row r="274" spans="1:8" x14ac:dyDescent="0.25">
      <c r="A274" s="1">
        <f t="shared" ca="1" si="4"/>
        <v>15238</v>
      </c>
      <c r="B274" s="35"/>
      <c r="C274" s="36"/>
      <c r="D274" s="2"/>
      <c r="E274" s="3"/>
      <c r="F274" s="4"/>
      <c r="G274" s="5"/>
      <c r="H274" s="6"/>
    </row>
    <row r="275" spans="1:8" x14ac:dyDescent="0.25">
      <c r="A275" s="1">
        <f t="shared" ca="1" si="4"/>
        <v>15239</v>
      </c>
      <c r="B275" s="35"/>
      <c r="C275" s="36"/>
      <c r="D275" s="2"/>
      <c r="E275" s="3"/>
      <c r="F275" s="4"/>
      <c r="G275" s="5"/>
      <c r="H275" s="6"/>
    </row>
    <row r="276" spans="1:8" x14ac:dyDescent="0.25">
      <c r="A276" s="1">
        <f t="shared" ca="1" si="4"/>
        <v>15240</v>
      </c>
      <c r="B276" s="35"/>
      <c r="C276" s="36"/>
      <c r="D276" s="2"/>
      <c r="E276" s="3"/>
      <c r="F276" s="4"/>
      <c r="G276" s="5"/>
      <c r="H276" s="6"/>
    </row>
    <row r="277" spans="1:8" x14ac:dyDescent="0.25">
      <c r="A277" s="1">
        <f t="shared" ca="1" si="4"/>
        <v>15241</v>
      </c>
      <c r="B277" s="35"/>
      <c r="C277" s="36"/>
      <c r="D277" s="2"/>
      <c r="E277" s="3"/>
      <c r="F277" s="4"/>
      <c r="G277" s="5"/>
      <c r="H277" s="6"/>
    </row>
    <row r="278" spans="1:8" x14ac:dyDescent="0.25">
      <c r="A278" s="1">
        <f t="shared" ca="1" si="4"/>
        <v>15242</v>
      </c>
      <c r="B278" s="35"/>
      <c r="C278" s="36"/>
      <c r="D278" s="2"/>
      <c r="E278" s="3"/>
      <c r="F278" s="4"/>
      <c r="G278" s="5"/>
      <c r="H278" s="6"/>
    </row>
    <row r="279" spans="1:8" x14ac:dyDescent="0.25">
      <c r="A279" s="1">
        <f t="shared" ca="1" si="4"/>
        <v>15243</v>
      </c>
      <c r="B279" s="35"/>
      <c r="C279" s="36"/>
      <c r="D279" s="2"/>
      <c r="E279" s="3"/>
      <c r="F279" s="4"/>
      <c r="G279" s="5"/>
      <c r="H279" s="6"/>
    </row>
    <row r="280" spans="1:8" x14ac:dyDescent="0.25">
      <c r="A280" s="1">
        <f t="shared" ca="1" si="4"/>
        <v>15244</v>
      </c>
      <c r="B280" s="35"/>
      <c r="C280" s="36"/>
      <c r="D280" s="2"/>
      <c r="E280" s="3"/>
      <c r="F280" s="4"/>
      <c r="G280" s="5"/>
      <c r="H280" s="6"/>
    </row>
    <row r="281" spans="1:8" x14ac:dyDescent="0.25">
      <c r="A281" s="1">
        <f t="shared" ca="1" si="4"/>
        <v>15245</v>
      </c>
      <c r="B281" s="35"/>
      <c r="C281" s="36"/>
      <c r="D281" s="2"/>
      <c r="E281" s="3"/>
      <c r="F281" s="4"/>
      <c r="G281" s="5"/>
      <c r="H281" s="6"/>
    </row>
    <row r="282" spans="1:8" x14ac:dyDescent="0.25">
      <c r="A282" s="1">
        <f t="shared" ca="1" si="4"/>
        <v>15246</v>
      </c>
      <c r="B282" s="35"/>
      <c r="C282" s="36"/>
      <c r="D282" s="2"/>
      <c r="E282" s="3"/>
      <c r="F282" s="4"/>
      <c r="G282" s="5"/>
      <c r="H282" s="6"/>
    </row>
    <row r="283" spans="1:8" x14ac:dyDescent="0.25">
      <c r="A283" s="1">
        <f t="shared" ca="1" si="4"/>
        <v>15247</v>
      </c>
      <c r="B283" s="35"/>
      <c r="C283" s="36"/>
      <c r="D283" s="2"/>
      <c r="E283" s="3"/>
      <c r="F283" s="4"/>
      <c r="G283" s="5"/>
      <c r="H283" s="6"/>
    </row>
    <row r="284" spans="1:8" x14ac:dyDescent="0.25">
      <c r="A284" s="1">
        <f t="shared" ca="1" si="4"/>
        <v>15248</v>
      </c>
      <c r="B284" s="35"/>
      <c r="C284" s="36"/>
      <c r="D284" s="2"/>
      <c r="E284" s="3"/>
      <c r="F284" s="4"/>
      <c r="G284" s="5"/>
      <c r="H284" s="6"/>
    </row>
    <row r="285" spans="1:8" x14ac:dyDescent="0.25">
      <c r="A285" s="1">
        <f t="shared" ca="1" si="4"/>
        <v>15249</v>
      </c>
      <c r="B285" s="35"/>
      <c r="C285" s="36"/>
      <c r="D285" s="2"/>
      <c r="E285" s="3"/>
      <c r="F285" s="4"/>
      <c r="G285" s="5"/>
      <c r="H285" s="6"/>
    </row>
    <row r="286" spans="1:8" x14ac:dyDescent="0.25">
      <c r="A286" s="1" t="str">
        <f t="shared" ca="1" si="4"/>
        <v>Totaal</v>
      </c>
      <c r="B286" s="37" t="str">
        <f>IF(COUNT(B256:B285)&gt;0,AVERAGE(B256:B285)/1000,"")</f>
        <v/>
      </c>
      <c r="C286" s="38" t="str">
        <f>IF(COUNT(C256:C285)&gt;0,AVERAGE(C256:C285)/1000,"")</f>
        <v/>
      </c>
      <c r="D286" s="39" t="str">
        <f>IF(COUNT(D256:D285)&gt;0,AVERAGE(D256:D285)/10,"")</f>
        <v/>
      </c>
      <c r="E286" s="40" t="str">
        <f>IF(COUNT(E256:E285)&gt;0,AVERAGE(E256:E285)/10,"")</f>
        <v/>
      </c>
      <c r="F286" s="23">
        <f>SUM(F256:F285)/10</f>
        <v>0</v>
      </c>
      <c r="G286" s="24">
        <f>SUM(G256:G285)/10</f>
        <v>0</v>
      </c>
      <c r="H286" s="25">
        <f>SUM(H256:H285)/10</f>
        <v>0</v>
      </c>
    </row>
    <row r="287" spans="1:8" x14ac:dyDescent="0.25">
      <c r="A287" s="1">
        <f t="shared" ca="1" si="4"/>
        <v>15250</v>
      </c>
      <c r="B287" s="35"/>
      <c r="C287" s="36"/>
      <c r="D287" s="2"/>
      <c r="E287" s="3"/>
      <c r="F287" s="4"/>
      <c r="G287" s="5"/>
      <c r="H287" s="6"/>
    </row>
    <row r="288" spans="1:8" x14ac:dyDescent="0.25">
      <c r="A288" s="1">
        <f t="shared" ca="1" si="4"/>
        <v>15251</v>
      </c>
      <c r="B288" s="35"/>
      <c r="C288" s="36"/>
      <c r="D288" s="2"/>
      <c r="E288" s="3"/>
      <c r="F288" s="4"/>
      <c r="G288" s="5"/>
      <c r="H288" s="6"/>
    </row>
    <row r="289" spans="1:8" x14ac:dyDescent="0.25">
      <c r="A289" s="1">
        <f t="shared" ca="1" si="4"/>
        <v>15252</v>
      </c>
      <c r="B289" s="35"/>
      <c r="C289" s="36"/>
      <c r="D289" s="2"/>
      <c r="E289" s="3"/>
      <c r="F289" s="4"/>
      <c r="G289" s="5"/>
      <c r="H289" s="6"/>
    </row>
    <row r="290" spans="1:8" x14ac:dyDescent="0.25">
      <c r="A290" s="1">
        <f t="shared" ca="1" si="4"/>
        <v>15253</v>
      </c>
      <c r="B290" s="35"/>
      <c r="C290" s="36"/>
      <c r="D290" s="2"/>
      <c r="E290" s="3"/>
      <c r="F290" s="4"/>
      <c r="G290" s="5"/>
      <c r="H290" s="6"/>
    </row>
    <row r="291" spans="1:8" x14ac:dyDescent="0.25">
      <c r="A291" s="1">
        <f t="shared" ca="1" si="4"/>
        <v>15254</v>
      </c>
      <c r="B291" s="35"/>
      <c r="C291" s="36"/>
      <c r="D291" s="2"/>
      <c r="E291" s="3"/>
      <c r="F291" s="4"/>
      <c r="G291" s="5"/>
      <c r="H291" s="6"/>
    </row>
    <row r="292" spans="1:8" x14ac:dyDescent="0.25">
      <c r="A292" s="1">
        <f t="shared" ca="1" si="4"/>
        <v>15255</v>
      </c>
      <c r="B292" s="35"/>
      <c r="C292" s="36"/>
      <c r="D292" s="2"/>
      <c r="E292" s="3"/>
      <c r="F292" s="4"/>
      <c r="G292" s="5"/>
      <c r="H292" s="6"/>
    </row>
    <row r="293" spans="1:8" x14ac:dyDescent="0.25">
      <c r="A293" s="1">
        <f t="shared" ca="1" si="4"/>
        <v>15256</v>
      </c>
      <c r="B293" s="35"/>
      <c r="C293" s="36"/>
      <c r="D293" s="2"/>
      <c r="E293" s="3"/>
      <c r="F293" s="4"/>
      <c r="G293" s="5"/>
      <c r="H293" s="6"/>
    </row>
    <row r="294" spans="1:8" x14ac:dyDescent="0.25">
      <c r="A294" s="1">
        <f t="shared" ca="1" si="4"/>
        <v>15257</v>
      </c>
      <c r="B294" s="35"/>
      <c r="C294" s="36"/>
      <c r="D294" s="2"/>
      <c r="E294" s="3"/>
      <c r="F294" s="4"/>
      <c r="G294" s="5"/>
      <c r="H294" s="6"/>
    </row>
    <row r="295" spans="1:8" x14ac:dyDescent="0.25">
      <c r="A295" s="1">
        <f t="shared" ca="1" si="4"/>
        <v>15258</v>
      </c>
      <c r="B295" s="35"/>
      <c r="C295" s="36"/>
      <c r="D295" s="2"/>
      <c r="E295" s="3"/>
      <c r="F295" s="4"/>
      <c r="G295" s="5"/>
      <c r="H295" s="6"/>
    </row>
    <row r="296" spans="1:8" x14ac:dyDescent="0.25">
      <c r="A296" s="1">
        <f t="shared" ca="1" si="4"/>
        <v>15259</v>
      </c>
      <c r="B296" s="35"/>
      <c r="C296" s="36"/>
      <c r="D296" s="2"/>
      <c r="E296" s="3"/>
      <c r="F296" s="4"/>
      <c r="G296" s="5"/>
      <c r="H296" s="6"/>
    </row>
    <row r="297" spans="1:8" x14ac:dyDescent="0.25">
      <c r="A297" s="1">
        <f t="shared" ca="1" si="4"/>
        <v>15260</v>
      </c>
      <c r="B297" s="35"/>
      <c r="C297" s="36"/>
      <c r="D297" s="2"/>
      <c r="E297" s="3"/>
      <c r="F297" s="4"/>
      <c r="G297" s="5"/>
      <c r="H297" s="6"/>
    </row>
    <row r="298" spans="1:8" x14ac:dyDescent="0.25">
      <c r="A298" s="1">
        <f t="shared" ca="1" si="4"/>
        <v>15261</v>
      </c>
      <c r="B298" s="35"/>
      <c r="C298" s="36"/>
      <c r="D298" s="2"/>
      <c r="E298" s="3"/>
      <c r="F298" s="4"/>
      <c r="G298" s="5"/>
      <c r="H298" s="6"/>
    </row>
    <row r="299" spans="1:8" x14ac:dyDescent="0.25">
      <c r="A299" s="1">
        <f t="shared" ca="1" si="4"/>
        <v>15262</v>
      </c>
      <c r="B299" s="35"/>
      <c r="C299" s="36"/>
      <c r="D299" s="2"/>
      <c r="E299" s="3"/>
      <c r="F299" s="4"/>
      <c r="G299" s="5"/>
      <c r="H299" s="6"/>
    </row>
    <row r="300" spans="1:8" x14ac:dyDescent="0.25">
      <c r="A300" s="1">
        <f t="shared" ca="1" si="4"/>
        <v>15263</v>
      </c>
      <c r="B300" s="35"/>
      <c r="C300" s="36"/>
      <c r="D300" s="2"/>
      <c r="E300" s="3"/>
      <c r="F300" s="4"/>
      <c r="G300" s="5"/>
      <c r="H300" s="6"/>
    </row>
    <row r="301" spans="1:8" x14ac:dyDescent="0.25">
      <c r="A301" s="1">
        <f t="shared" ca="1" si="4"/>
        <v>15264</v>
      </c>
      <c r="B301" s="35"/>
      <c r="C301" s="36"/>
      <c r="D301" s="2"/>
      <c r="E301" s="3"/>
      <c r="F301" s="4"/>
      <c r="G301" s="5"/>
      <c r="H301" s="6"/>
    </row>
    <row r="302" spans="1:8" x14ac:dyDescent="0.25">
      <c r="A302" s="1">
        <f t="shared" ca="1" si="4"/>
        <v>15265</v>
      </c>
      <c r="B302" s="35"/>
      <c r="C302" s="36"/>
      <c r="D302" s="2"/>
      <c r="E302" s="3"/>
      <c r="F302" s="4"/>
      <c r="G302" s="5"/>
      <c r="H302" s="6"/>
    </row>
    <row r="303" spans="1:8" x14ac:dyDescent="0.25">
      <c r="A303" s="1">
        <f t="shared" ca="1" si="4"/>
        <v>15266</v>
      </c>
      <c r="B303" s="35"/>
      <c r="C303" s="36"/>
      <c r="D303" s="2"/>
      <c r="E303" s="3"/>
      <c r="F303" s="4"/>
      <c r="G303" s="5"/>
      <c r="H303" s="6"/>
    </row>
    <row r="304" spans="1:8" x14ac:dyDescent="0.25">
      <c r="A304" s="1">
        <f t="shared" ca="1" si="4"/>
        <v>15267</v>
      </c>
      <c r="B304" s="35"/>
      <c r="C304" s="36"/>
      <c r="D304" s="2"/>
      <c r="E304" s="3"/>
      <c r="F304" s="4"/>
      <c r="G304" s="5"/>
      <c r="H304" s="6"/>
    </row>
    <row r="305" spans="1:8" x14ac:dyDescent="0.25">
      <c r="A305" s="1">
        <f t="shared" ca="1" si="4"/>
        <v>15268</v>
      </c>
      <c r="B305" s="35"/>
      <c r="C305" s="36"/>
      <c r="D305" s="2"/>
      <c r="E305" s="3"/>
      <c r="F305" s="4"/>
      <c r="G305" s="5"/>
      <c r="H305" s="6"/>
    </row>
    <row r="306" spans="1:8" x14ac:dyDescent="0.25">
      <c r="A306" s="1">
        <f t="shared" ca="1" si="4"/>
        <v>15269</v>
      </c>
      <c r="B306" s="35"/>
      <c r="C306" s="36"/>
      <c r="D306" s="2"/>
      <c r="E306" s="3"/>
      <c r="F306" s="4"/>
      <c r="G306" s="5"/>
      <c r="H306" s="6"/>
    </row>
    <row r="307" spans="1:8" x14ac:dyDescent="0.25">
      <c r="A307" s="1">
        <f t="shared" ca="1" si="4"/>
        <v>15270</v>
      </c>
      <c r="B307" s="35"/>
      <c r="C307" s="36"/>
      <c r="D307" s="2"/>
      <c r="E307" s="3"/>
      <c r="F307" s="4"/>
      <c r="G307" s="5"/>
      <c r="H307" s="6"/>
    </row>
    <row r="308" spans="1:8" x14ac:dyDescent="0.25">
      <c r="A308" s="1">
        <f t="shared" ca="1" si="4"/>
        <v>15271</v>
      </c>
      <c r="B308" s="35"/>
      <c r="C308" s="36"/>
      <c r="D308" s="2"/>
      <c r="E308" s="3"/>
      <c r="F308" s="4"/>
      <c r="G308" s="5"/>
      <c r="H308" s="6"/>
    </row>
    <row r="309" spans="1:8" x14ac:dyDescent="0.25">
      <c r="A309" s="1">
        <f t="shared" ca="1" si="4"/>
        <v>15272</v>
      </c>
      <c r="B309" s="35"/>
      <c r="C309" s="36"/>
      <c r="D309" s="2"/>
      <c r="E309" s="3"/>
      <c r="F309" s="4"/>
      <c r="G309" s="5"/>
      <c r="H309" s="6"/>
    </row>
    <row r="310" spans="1:8" x14ac:dyDescent="0.25">
      <c r="A310" s="1">
        <f t="shared" ca="1" si="4"/>
        <v>15273</v>
      </c>
      <c r="B310" s="35"/>
      <c r="C310" s="36"/>
      <c r="D310" s="2"/>
      <c r="E310" s="3"/>
      <c r="F310" s="4"/>
      <c r="G310" s="5"/>
      <c r="H310" s="6"/>
    </row>
    <row r="311" spans="1:8" x14ac:dyDescent="0.25">
      <c r="A311" s="1">
        <f t="shared" ca="1" si="4"/>
        <v>15274</v>
      </c>
      <c r="B311" s="35"/>
      <c r="C311" s="36"/>
      <c r="D311" s="2"/>
      <c r="E311" s="3"/>
      <c r="F311" s="4"/>
      <c r="G311" s="5"/>
      <c r="H311" s="6"/>
    </row>
    <row r="312" spans="1:8" x14ac:dyDescent="0.25">
      <c r="A312" s="1">
        <f t="shared" ca="1" si="4"/>
        <v>15275</v>
      </c>
      <c r="B312" s="35"/>
      <c r="C312" s="36"/>
      <c r="D312" s="2"/>
      <c r="E312" s="3"/>
      <c r="F312" s="4"/>
      <c r="G312" s="5"/>
      <c r="H312" s="6"/>
    </row>
    <row r="313" spans="1:8" x14ac:dyDescent="0.25">
      <c r="A313" s="1">
        <f t="shared" ca="1" si="4"/>
        <v>15276</v>
      </c>
      <c r="B313" s="35"/>
      <c r="C313" s="36"/>
      <c r="D313" s="2"/>
      <c r="E313" s="3"/>
      <c r="F313" s="4"/>
      <c r="G313" s="5"/>
      <c r="H313" s="6"/>
    </row>
    <row r="314" spans="1:8" x14ac:dyDescent="0.25">
      <c r="A314" s="1">
        <f t="shared" ca="1" si="4"/>
        <v>15277</v>
      </c>
      <c r="B314" s="35"/>
      <c r="C314" s="36"/>
      <c r="D314" s="2"/>
      <c r="E314" s="3"/>
      <c r="F314" s="4"/>
      <c r="G314" s="5"/>
      <c r="H314" s="6"/>
    </row>
    <row r="315" spans="1:8" x14ac:dyDescent="0.25">
      <c r="A315" s="1">
        <f t="shared" ca="1" si="4"/>
        <v>15278</v>
      </c>
      <c r="B315" s="35"/>
      <c r="C315" s="36"/>
      <c r="D315" s="2"/>
      <c r="E315" s="3"/>
      <c r="F315" s="4"/>
      <c r="G315" s="5"/>
      <c r="H315" s="6"/>
    </row>
    <row r="316" spans="1:8" x14ac:dyDescent="0.25">
      <c r="A316" s="1">
        <f t="shared" ca="1" si="4"/>
        <v>15279</v>
      </c>
      <c r="B316" s="35"/>
      <c r="C316" s="36"/>
      <c r="D316" s="2"/>
      <c r="E316" s="3"/>
      <c r="F316" s="4"/>
      <c r="G316" s="5"/>
      <c r="H316" s="6"/>
    </row>
    <row r="317" spans="1:8" x14ac:dyDescent="0.25">
      <c r="A317" s="1">
        <f t="shared" ca="1" si="4"/>
        <v>15280</v>
      </c>
      <c r="B317" s="35"/>
      <c r="C317" s="36"/>
      <c r="D317" s="2"/>
      <c r="E317" s="3"/>
      <c r="F317" s="4"/>
      <c r="G317" s="5"/>
      <c r="H317" s="6"/>
    </row>
    <row r="318" spans="1:8" x14ac:dyDescent="0.25">
      <c r="A318" s="1" t="str">
        <f t="shared" ca="1" si="4"/>
        <v>Totaal</v>
      </c>
      <c r="B318" s="37" t="str">
        <f>IF(COUNT(B287:B317)&gt;0,AVERAGE(B287:B317)/1000,"")</f>
        <v/>
      </c>
      <c r="C318" s="38" t="str">
        <f>IF(COUNT(C287:C317)&gt;0,AVERAGE(C287:C317)/1000,"")</f>
        <v/>
      </c>
      <c r="D318" s="39" t="str">
        <f>IF(COUNT(D287:D317)&gt;0,AVERAGE(D287:D317)/10,"")</f>
        <v/>
      </c>
      <c r="E318" s="40" t="str">
        <f>IF(COUNT(E287:E317)&gt;0,AVERAGE(E287:E317)/10,"")</f>
        <v/>
      </c>
      <c r="F318" s="23">
        <f>SUM(F287:F317)/10</f>
        <v>0</v>
      </c>
      <c r="G318" s="24">
        <f>SUM(G287:G317)/10</f>
        <v>0</v>
      </c>
      <c r="H318" s="25">
        <f>SUM(H287:H317)/10</f>
        <v>0</v>
      </c>
    </row>
    <row r="319" spans="1:8" x14ac:dyDescent="0.25">
      <c r="A319" s="1">
        <f t="shared" ca="1" si="4"/>
        <v>15281</v>
      </c>
      <c r="B319" s="35"/>
      <c r="C319" s="36"/>
      <c r="D319" s="2"/>
      <c r="E319" s="3"/>
      <c r="F319" s="4"/>
      <c r="G319" s="5"/>
      <c r="H319" s="6"/>
    </row>
    <row r="320" spans="1:8" x14ac:dyDescent="0.25">
      <c r="A320" s="1">
        <f t="shared" ca="1" si="4"/>
        <v>15282</v>
      </c>
      <c r="B320" s="35"/>
      <c r="C320" s="36"/>
      <c r="D320" s="2"/>
      <c r="E320" s="3"/>
      <c r="F320" s="4"/>
      <c r="G320" s="5"/>
      <c r="H320" s="6"/>
    </row>
    <row r="321" spans="1:8" x14ac:dyDescent="0.25">
      <c r="A321" s="1">
        <f t="shared" ca="1" si="4"/>
        <v>15283</v>
      </c>
      <c r="B321" s="35"/>
      <c r="C321" s="36"/>
      <c r="D321" s="2"/>
      <c r="E321" s="3"/>
      <c r="F321" s="4"/>
      <c r="G321" s="5"/>
      <c r="H321" s="6"/>
    </row>
    <row r="322" spans="1:8" x14ac:dyDescent="0.25">
      <c r="A322" s="1">
        <f t="shared" ca="1" si="4"/>
        <v>15284</v>
      </c>
      <c r="B322" s="35"/>
      <c r="C322" s="36"/>
      <c r="D322" s="2"/>
      <c r="E322" s="3"/>
      <c r="F322" s="4"/>
      <c r="G322" s="5"/>
      <c r="H322" s="6"/>
    </row>
    <row r="323" spans="1:8" x14ac:dyDescent="0.25">
      <c r="A323" s="1">
        <f t="shared" ca="1" si="4"/>
        <v>15285</v>
      </c>
      <c r="B323" s="35"/>
      <c r="C323" s="36"/>
      <c r="D323" s="2"/>
      <c r="E323" s="3"/>
      <c r="F323" s="4"/>
      <c r="G323" s="5"/>
      <c r="H323" s="6"/>
    </row>
    <row r="324" spans="1:8" x14ac:dyDescent="0.25">
      <c r="A324" s="1">
        <f t="shared" ca="1" si="4"/>
        <v>15286</v>
      </c>
      <c r="B324" s="35"/>
      <c r="C324" s="36"/>
      <c r="D324" s="2"/>
      <c r="E324" s="3"/>
      <c r="F324" s="4"/>
      <c r="G324" s="5"/>
      <c r="H324" s="6"/>
    </row>
    <row r="325" spans="1:8" x14ac:dyDescent="0.25">
      <c r="A325" s="1">
        <f t="shared" ca="1" si="4"/>
        <v>15287</v>
      </c>
      <c r="B325" s="35"/>
      <c r="C325" s="36"/>
      <c r="D325" s="2"/>
      <c r="E325" s="3"/>
      <c r="F325" s="4"/>
      <c r="G325" s="5"/>
      <c r="H325" s="6"/>
    </row>
    <row r="326" spans="1:8" x14ac:dyDescent="0.25">
      <c r="A326" s="1">
        <f t="shared" ca="1" si="4"/>
        <v>15288</v>
      </c>
      <c r="B326" s="35"/>
      <c r="C326" s="36"/>
      <c r="D326" s="2"/>
      <c r="E326" s="3"/>
      <c r="F326" s="4"/>
      <c r="G326" s="5"/>
      <c r="H326" s="6"/>
    </row>
    <row r="327" spans="1:8" x14ac:dyDescent="0.25">
      <c r="A327" s="1">
        <f t="shared" ref="A327:A381" ca="1" si="5">IF(ISTEXT(A326),A325+1,IF(MONTH(A326+1)=MONTH(A326),A326+1,"Totaal"))</f>
        <v>15289</v>
      </c>
      <c r="B327" s="35"/>
      <c r="C327" s="36"/>
      <c r="D327" s="2"/>
      <c r="E327" s="3"/>
      <c r="F327" s="4"/>
      <c r="G327" s="5"/>
      <c r="H327" s="6"/>
    </row>
    <row r="328" spans="1:8" x14ac:dyDescent="0.25">
      <c r="A328" s="1">
        <f t="shared" ca="1" si="5"/>
        <v>15290</v>
      </c>
      <c r="B328" s="35"/>
      <c r="C328" s="36"/>
      <c r="D328" s="2"/>
      <c r="E328" s="3"/>
      <c r="F328" s="4"/>
      <c r="G328" s="5"/>
      <c r="H328" s="6"/>
    </row>
    <row r="329" spans="1:8" x14ac:dyDescent="0.25">
      <c r="A329" s="1">
        <f t="shared" ca="1" si="5"/>
        <v>15291</v>
      </c>
      <c r="B329" s="35"/>
      <c r="C329" s="36"/>
      <c r="D329" s="2"/>
      <c r="E329" s="3"/>
      <c r="F329" s="4"/>
      <c r="G329" s="5"/>
      <c r="H329" s="6"/>
    </row>
    <row r="330" spans="1:8" x14ac:dyDescent="0.25">
      <c r="A330" s="1">
        <f t="shared" ca="1" si="5"/>
        <v>15292</v>
      </c>
      <c r="B330" s="35"/>
      <c r="C330" s="36"/>
      <c r="D330" s="2"/>
      <c r="E330" s="3"/>
      <c r="F330" s="4"/>
      <c r="G330" s="5"/>
      <c r="H330" s="6"/>
    </row>
    <row r="331" spans="1:8" x14ac:dyDescent="0.25">
      <c r="A331" s="1">
        <f t="shared" ca="1" si="5"/>
        <v>15293</v>
      </c>
      <c r="B331" s="35"/>
      <c r="C331" s="36"/>
      <c r="D331" s="2"/>
      <c r="E331" s="3"/>
      <c r="F331" s="4"/>
      <c r="G331" s="5"/>
      <c r="H331" s="6"/>
    </row>
    <row r="332" spans="1:8" x14ac:dyDescent="0.25">
      <c r="A332" s="1">
        <f t="shared" ca="1" si="5"/>
        <v>15294</v>
      </c>
      <c r="B332" s="35"/>
      <c r="C332" s="36"/>
      <c r="D332" s="2"/>
      <c r="E332" s="3"/>
      <c r="F332" s="4"/>
      <c r="G332" s="5"/>
      <c r="H332" s="6"/>
    </row>
    <row r="333" spans="1:8" x14ac:dyDescent="0.25">
      <c r="A333" s="1">
        <f t="shared" ca="1" si="5"/>
        <v>15295</v>
      </c>
      <c r="B333" s="35"/>
      <c r="C333" s="36"/>
      <c r="D333" s="2"/>
      <c r="E333" s="3"/>
      <c r="F333" s="4"/>
      <c r="G333" s="5"/>
      <c r="H333" s="6"/>
    </row>
    <row r="334" spans="1:8" x14ac:dyDescent="0.25">
      <c r="A334" s="1">
        <f t="shared" ca="1" si="5"/>
        <v>15296</v>
      </c>
      <c r="B334" s="35"/>
      <c r="C334" s="36"/>
      <c r="D334" s="2"/>
      <c r="E334" s="3"/>
      <c r="F334" s="4"/>
      <c r="G334" s="5"/>
      <c r="H334" s="6"/>
    </row>
    <row r="335" spans="1:8" x14ac:dyDescent="0.25">
      <c r="A335" s="1">
        <f t="shared" ca="1" si="5"/>
        <v>15297</v>
      </c>
      <c r="B335" s="35"/>
      <c r="C335" s="36"/>
      <c r="D335" s="2"/>
      <c r="E335" s="3"/>
      <c r="F335" s="4"/>
      <c r="G335" s="5"/>
      <c r="H335" s="6"/>
    </row>
    <row r="336" spans="1:8" x14ac:dyDescent="0.25">
      <c r="A336" s="1">
        <f t="shared" ca="1" si="5"/>
        <v>15298</v>
      </c>
      <c r="B336" s="35"/>
      <c r="C336" s="36"/>
      <c r="D336" s="2"/>
      <c r="E336" s="3"/>
      <c r="F336" s="4"/>
      <c r="G336" s="5"/>
      <c r="H336" s="6"/>
    </row>
    <row r="337" spans="1:8" x14ac:dyDescent="0.25">
      <c r="A337" s="1">
        <f t="shared" ca="1" si="5"/>
        <v>15299</v>
      </c>
      <c r="B337" s="35"/>
      <c r="C337" s="36"/>
      <c r="D337" s="2"/>
      <c r="E337" s="3"/>
      <c r="F337" s="4"/>
      <c r="G337" s="5"/>
      <c r="H337" s="6"/>
    </row>
    <row r="338" spans="1:8" x14ac:dyDescent="0.25">
      <c r="A338" s="1">
        <f t="shared" ca="1" si="5"/>
        <v>15300</v>
      </c>
      <c r="B338" s="35"/>
      <c r="C338" s="36"/>
      <c r="D338" s="2"/>
      <c r="E338" s="3"/>
      <c r="F338" s="4"/>
      <c r="G338" s="5"/>
      <c r="H338" s="6"/>
    </row>
    <row r="339" spans="1:8" x14ac:dyDescent="0.25">
      <c r="A339" s="1">
        <f t="shared" ca="1" si="5"/>
        <v>15301</v>
      </c>
      <c r="B339" s="35"/>
      <c r="C339" s="36"/>
      <c r="D339" s="2"/>
      <c r="E339" s="3"/>
      <c r="F339" s="4"/>
      <c r="G339" s="5"/>
      <c r="H339" s="6"/>
    </row>
    <row r="340" spans="1:8" x14ac:dyDescent="0.25">
      <c r="A340" s="1">
        <f t="shared" ca="1" si="5"/>
        <v>15302</v>
      </c>
      <c r="B340" s="35"/>
      <c r="C340" s="36"/>
      <c r="D340" s="2"/>
      <c r="E340" s="3"/>
      <c r="F340" s="4"/>
      <c r="G340" s="5"/>
      <c r="H340" s="6"/>
    </row>
    <row r="341" spans="1:8" x14ac:dyDescent="0.25">
      <c r="A341" s="1">
        <f t="shared" ca="1" si="5"/>
        <v>15303</v>
      </c>
      <c r="B341" s="35"/>
      <c r="C341" s="36"/>
      <c r="D341" s="2"/>
      <c r="E341" s="3"/>
      <c r="F341" s="4"/>
      <c r="G341" s="5"/>
      <c r="H341" s="6"/>
    </row>
    <row r="342" spans="1:8" x14ac:dyDescent="0.25">
      <c r="A342" s="1">
        <f t="shared" ca="1" si="5"/>
        <v>15304</v>
      </c>
      <c r="B342" s="35"/>
      <c r="C342" s="36"/>
      <c r="D342" s="2"/>
      <c r="E342" s="3"/>
      <c r="F342" s="4"/>
      <c r="G342" s="5"/>
      <c r="H342" s="6"/>
    </row>
    <row r="343" spans="1:8" x14ac:dyDescent="0.25">
      <c r="A343" s="1">
        <f t="shared" ca="1" si="5"/>
        <v>15305</v>
      </c>
      <c r="B343" s="35"/>
      <c r="C343" s="36"/>
      <c r="D343" s="2"/>
      <c r="E343" s="3"/>
      <c r="F343" s="4"/>
      <c r="G343" s="5"/>
      <c r="H343" s="6"/>
    </row>
    <row r="344" spans="1:8" x14ac:dyDescent="0.25">
      <c r="A344" s="1">
        <f t="shared" ca="1" si="5"/>
        <v>15306</v>
      </c>
      <c r="B344" s="35"/>
      <c r="C344" s="36"/>
      <c r="D344" s="2"/>
      <c r="E344" s="3"/>
      <c r="F344" s="4"/>
      <c r="G344" s="5"/>
      <c r="H344" s="6"/>
    </row>
    <row r="345" spans="1:8" x14ac:dyDescent="0.25">
      <c r="A345" s="1">
        <f t="shared" ca="1" si="5"/>
        <v>15307</v>
      </c>
      <c r="B345" s="35"/>
      <c r="C345" s="36"/>
      <c r="D345" s="2"/>
      <c r="E345" s="3"/>
      <c r="F345" s="4"/>
      <c r="G345" s="5"/>
      <c r="H345" s="6"/>
    </row>
    <row r="346" spans="1:8" x14ac:dyDescent="0.25">
      <c r="A346" s="1">
        <f t="shared" ca="1" si="5"/>
        <v>15308</v>
      </c>
      <c r="B346" s="35"/>
      <c r="C346" s="36"/>
      <c r="D346" s="2"/>
      <c r="E346" s="3"/>
      <c r="F346" s="4"/>
      <c r="G346" s="5"/>
      <c r="H346" s="6"/>
    </row>
    <row r="347" spans="1:8" x14ac:dyDescent="0.25">
      <c r="A347" s="1">
        <f t="shared" ca="1" si="5"/>
        <v>15309</v>
      </c>
      <c r="B347" s="35"/>
      <c r="C347" s="36"/>
      <c r="D347" s="2"/>
      <c r="E347" s="3"/>
      <c r="F347" s="4"/>
      <c r="G347" s="5"/>
      <c r="H347" s="6"/>
    </row>
    <row r="348" spans="1:8" x14ac:dyDescent="0.25">
      <c r="A348" s="1">
        <f t="shared" ca="1" si="5"/>
        <v>15310</v>
      </c>
      <c r="B348" s="35"/>
      <c r="C348" s="36"/>
      <c r="D348" s="2"/>
      <c r="E348" s="3"/>
      <c r="F348" s="4"/>
      <c r="G348" s="5"/>
      <c r="H348" s="6"/>
    </row>
    <row r="349" spans="1:8" x14ac:dyDescent="0.25">
      <c r="A349" s="1" t="str">
        <f t="shared" ca="1" si="5"/>
        <v>Totaal</v>
      </c>
      <c r="B349" s="37" t="str">
        <f>IF(COUNT(B319:B348)&gt;0,AVERAGE(B319:B348)/1000,"")</f>
        <v/>
      </c>
      <c r="C349" s="38" t="str">
        <f>IF(COUNT(C319:C348)&gt;0,AVERAGE(C319:C348)/1000,"")</f>
        <v/>
      </c>
      <c r="D349" s="39" t="str">
        <f>IF(COUNT(D319:D348)&gt;0,AVERAGE(D319:D348)/10,"")</f>
        <v/>
      </c>
      <c r="E349" s="40" t="str">
        <f>IF(COUNT(E319:E348)&gt;0,AVERAGE(E319:E348)/10,"")</f>
        <v/>
      </c>
      <c r="F349" s="23">
        <f>SUM(F319:F348)/10</f>
        <v>0</v>
      </c>
      <c r="G349" s="24">
        <f>SUM(G319:G348)/10</f>
        <v>0</v>
      </c>
      <c r="H349" s="25">
        <f>SUM(H319:H348)/10</f>
        <v>0</v>
      </c>
    </row>
    <row r="350" spans="1:8" x14ac:dyDescent="0.25">
      <c r="A350" s="1">
        <f t="shared" ca="1" si="5"/>
        <v>15311</v>
      </c>
      <c r="B350" s="35"/>
      <c r="C350" s="36"/>
      <c r="D350" s="2"/>
      <c r="E350" s="3"/>
      <c r="F350" s="4"/>
      <c r="G350" s="5"/>
      <c r="H350" s="6"/>
    </row>
    <row r="351" spans="1:8" x14ac:dyDescent="0.25">
      <c r="A351" s="1">
        <f t="shared" ca="1" si="5"/>
        <v>15312</v>
      </c>
      <c r="B351" s="35"/>
      <c r="C351" s="36"/>
      <c r="D351" s="2"/>
      <c r="E351" s="3"/>
      <c r="F351" s="4"/>
      <c r="G351" s="5"/>
      <c r="H351" s="6"/>
    </row>
    <row r="352" spans="1:8" x14ac:dyDescent="0.25">
      <c r="A352" s="1">
        <f t="shared" ca="1" si="5"/>
        <v>15313</v>
      </c>
      <c r="B352" s="35"/>
      <c r="C352" s="36"/>
      <c r="D352" s="2"/>
      <c r="E352" s="3"/>
      <c r="F352" s="4"/>
      <c r="G352" s="5"/>
      <c r="H352" s="6"/>
    </row>
    <row r="353" spans="1:8" x14ac:dyDescent="0.25">
      <c r="A353" s="1">
        <f t="shared" ca="1" si="5"/>
        <v>15314</v>
      </c>
      <c r="B353" s="35"/>
      <c r="C353" s="36"/>
      <c r="D353" s="2"/>
      <c r="E353" s="3"/>
      <c r="F353" s="4"/>
      <c r="G353" s="5"/>
      <c r="H353" s="6"/>
    </row>
    <row r="354" spans="1:8" x14ac:dyDescent="0.25">
      <c r="A354" s="1">
        <f t="shared" ca="1" si="5"/>
        <v>15315</v>
      </c>
      <c r="B354" s="35"/>
      <c r="C354" s="36"/>
      <c r="D354" s="2"/>
      <c r="E354" s="3"/>
      <c r="F354" s="4"/>
      <c r="G354" s="5"/>
      <c r="H354" s="6"/>
    </row>
    <row r="355" spans="1:8" x14ac:dyDescent="0.25">
      <c r="A355" s="1">
        <f t="shared" ca="1" si="5"/>
        <v>15316</v>
      </c>
      <c r="B355" s="35"/>
      <c r="C355" s="36"/>
      <c r="D355" s="2"/>
      <c r="E355" s="3"/>
      <c r="F355" s="4"/>
      <c r="G355" s="5"/>
      <c r="H355" s="6"/>
    </row>
    <row r="356" spans="1:8" x14ac:dyDescent="0.25">
      <c r="A356" s="1">
        <f t="shared" ca="1" si="5"/>
        <v>15317</v>
      </c>
      <c r="B356" s="35"/>
      <c r="C356" s="36"/>
      <c r="D356" s="2"/>
      <c r="E356" s="3"/>
      <c r="F356" s="4"/>
      <c r="G356" s="5"/>
      <c r="H356" s="6"/>
    </row>
    <row r="357" spans="1:8" x14ac:dyDescent="0.25">
      <c r="A357" s="1">
        <f t="shared" ca="1" si="5"/>
        <v>15318</v>
      </c>
      <c r="B357" s="35"/>
      <c r="C357" s="36"/>
      <c r="D357" s="2"/>
      <c r="E357" s="3"/>
      <c r="F357" s="4"/>
      <c r="G357" s="5"/>
      <c r="H357" s="6"/>
    </row>
    <row r="358" spans="1:8" x14ac:dyDescent="0.25">
      <c r="A358" s="1">
        <f t="shared" ca="1" si="5"/>
        <v>15319</v>
      </c>
      <c r="B358" s="35"/>
      <c r="C358" s="36"/>
      <c r="D358" s="2"/>
      <c r="E358" s="3"/>
      <c r="F358" s="4"/>
      <c r="G358" s="5"/>
      <c r="H358" s="6"/>
    </row>
    <row r="359" spans="1:8" x14ac:dyDescent="0.25">
      <c r="A359" s="1">
        <f t="shared" ca="1" si="5"/>
        <v>15320</v>
      </c>
      <c r="B359" s="35"/>
      <c r="C359" s="36"/>
      <c r="D359" s="2"/>
      <c r="E359" s="3"/>
      <c r="F359" s="4"/>
      <c r="G359" s="5"/>
      <c r="H359" s="6"/>
    </row>
    <row r="360" spans="1:8" x14ac:dyDescent="0.25">
      <c r="A360" s="1">
        <f t="shared" ca="1" si="5"/>
        <v>15321</v>
      </c>
      <c r="B360" s="35"/>
      <c r="C360" s="36"/>
      <c r="D360" s="2"/>
      <c r="E360" s="3"/>
      <c r="F360" s="4"/>
      <c r="G360" s="5"/>
      <c r="H360" s="6"/>
    </row>
    <row r="361" spans="1:8" x14ac:dyDescent="0.25">
      <c r="A361" s="1">
        <f t="shared" ca="1" si="5"/>
        <v>15322</v>
      </c>
      <c r="B361" s="35"/>
      <c r="C361" s="36"/>
      <c r="D361" s="2"/>
      <c r="E361" s="3"/>
      <c r="F361" s="4"/>
      <c r="G361" s="5"/>
      <c r="H361" s="6"/>
    </row>
    <row r="362" spans="1:8" x14ac:dyDescent="0.25">
      <c r="A362" s="1">
        <f t="shared" ca="1" si="5"/>
        <v>15323</v>
      </c>
      <c r="B362" s="35"/>
      <c r="C362" s="36"/>
      <c r="D362" s="2"/>
      <c r="E362" s="3"/>
      <c r="F362" s="4"/>
      <c r="G362" s="5"/>
      <c r="H362" s="6"/>
    </row>
    <row r="363" spans="1:8" x14ac:dyDescent="0.25">
      <c r="A363" s="1">
        <f t="shared" ca="1" si="5"/>
        <v>15324</v>
      </c>
      <c r="B363" s="35"/>
      <c r="C363" s="36"/>
      <c r="D363" s="2"/>
      <c r="E363" s="3"/>
      <c r="F363" s="4"/>
      <c r="G363" s="5"/>
      <c r="H363" s="6"/>
    </row>
    <row r="364" spans="1:8" x14ac:dyDescent="0.25">
      <c r="A364" s="1">
        <f t="shared" ca="1" si="5"/>
        <v>15325</v>
      </c>
      <c r="B364" s="35"/>
      <c r="C364" s="36"/>
      <c r="D364" s="2"/>
      <c r="E364" s="3"/>
      <c r="F364" s="4"/>
      <c r="G364" s="5"/>
      <c r="H364" s="6"/>
    </row>
    <row r="365" spans="1:8" x14ac:dyDescent="0.25">
      <c r="A365" s="1">
        <f t="shared" ca="1" si="5"/>
        <v>15326</v>
      </c>
      <c r="B365" s="35"/>
      <c r="C365" s="36"/>
      <c r="D365" s="2"/>
      <c r="E365" s="3"/>
      <c r="F365" s="4"/>
      <c r="G365" s="5"/>
      <c r="H365" s="6"/>
    </row>
    <row r="366" spans="1:8" x14ac:dyDescent="0.25">
      <c r="A366" s="1">
        <f t="shared" ca="1" si="5"/>
        <v>15327</v>
      </c>
      <c r="B366" s="35"/>
      <c r="C366" s="36"/>
      <c r="D366" s="2"/>
      <c r="E366" s="3"/>
      <c r="F366" s="4"/>
      <c r="G366" s="5"/>
      <c r="H366" s="6"/>
    </row>
    <row r="367" spans="1:8" x14ac:dyDescent="0.25">
      <c r="A367" s="1">
        <f t="shared" ca="1" si="5"/>
        <v>15328</v>
      </c>
      <c r="B367" s="35"/>
      <c r="C367" s="36"/>
      <c r="D367" s="2"/>
      <c r="E367" s="3"/>
      <c r="F367" s="4"/>
      <c r="G367" s="5"/>
      <c r="H367" s="6"/>
    </row>
    <row r="368" spans="1:8" x14ac:dyDescent="0.25">
      <c r="A368" s="1">
        <f t="shared" ca="1" si="5"/>
        <v>15329</v>
      </c>
      <c r="B368" s="35"/>
      <c r="C368" s="36"/>
      <c r="D368" s="2"/>
      <c r="E368" s="3"/>
      <c r="F368" s="4"/>
      <c r="G368" s="5"/>
      <c r="H368" s="6"/>
    </row>
    <row r="369" spans="1:8" x14ac:dyDescent="0.25">
      <c r="A369" s="1">
        <f t="shared" ca="1" si="5"/>
        <v>15330</v>
      </c>
      <c r="B369" s="35"/>
      <c r="C369" s="36"/>
      <c r="D369" s="2"/>
      <c r="E369" s="3"/>
      <c r="F369" s="4"/>
      <c r="G369" s="5"/>
      <c r="H369" s="6"/>
    </row>
    <row r="370" spans="1:8" x14ac:dyDescent="0.25">
      <c r="A370" s="1">
        <f t="shared" ca="1" si="5"/>
        <v>15331</v>
      </c>
      <c r="B370" s="35"/>
      <c r="C370" s="36"/>
      <c r="D370" s="2"/>
      <c r="E370" s="3"/>
      <c r="F370" s="4"/>
      <c r="G370" s="5"/>
      <c r="H370" s="6"/>
    </row>
    <row r="371" spans="1:8" x14ac:dyDescent="0.25">
      <c r="A371" s="1">
        <f t="shared" ca="1" si="5"/>
        <v>15332</v>
      </c>
      <c r="B371" s="35"/>
      <c r="C371" s="36"/>
      <c r="D371" s="2"/>
      <c r="E371" s="3"/>
      <c r="F371" s="4"/>
      <c r="G371" s="5"/>
      <c r="H371" s="6"/>
    </row>
    <row r="372" spans="1:8" x14ac:dyDescent="0.25">
      <c r="A372" s="1">
        <f t="shared" ca="1" si="5"/>
        <v>15333</v>
      </c>
      <c r="B372" s="35"/>
      <c r="C372" s="36"/>
      <c r="D372" s="2"/>
      <c r="E372" s="3"/>
      <c r="F372" s="4"/>
      <c r="G372" s="5"/>
      <c r="H372" s="6"/>
    </row>
    <row r="373" spans="1:8" x14ac:dyDescent="0.25">
      <c r="A373" s="1">
        <f t="shared" ca="1" si="5"/>
        <v>15334</v>
      </c>
      <c r="B373" s="35"/>
      <c r="C373" s="36"/>
      <c r="D373" s="2"/>
      <c r="E373" s="3"/>
      <c r="F373" s="4"/>
      <c r="G373" s="5"/>
      <c r="H373" s="6"/>
    </row>
    <row r="374" spans="1:8" x14ac:dyDescent="0.25">
      <c r="A374" s="1">
        <f t="shared" ca="1" si="5"/>
        <v>15335</v>
      </c>
      <c r="B374" s="35"/>
      <c r="C374" s="36"/>
      <c r="D374" s="2"/>
      <c r="E374" s="3"/>
      <c r="F374" s="4"/>
      <c r="G374" s="5"/>
      <c r="H374" s="6"/>
    </row>
    <row r="375" spans="1:8" x14ac:dyDescent="0.25">
      <c r="A375" s="1">
        <f t="shared" ca="1" si="5"/>
        <v>15336</v>
      </c>
      <c r="B375" s="35"/>
      <c r="C375" s="36"/>
      <c r="D375" s="2"/>
      <c r="E375" s="3"/>
      <c r="F375" s="4"/>
      <c r="G375" s="5"/>
      <c r="H375" s="6"/>
    </row>
    <row r="376" spans="1:8" x14ac:dyDescent="0.25">
      <c r="A376" s="1">
        <f t="shared" ca="1" si="5"/>
        <v>15337</v>
      </c>
      <c r="B376" s="35"/>
      <c r="C376" s="36"/>
      <c r="D376" s="2"/>
      <c r="E376" s="3"/>
      <c r="F376" s="4"/>
      <c r="G376" s="5"/>
      <c r="H376" s="6"/>
    </row>
    <row r="377" spans="1:8" x14ac:dyDescent="0.25">
      <c r="A377" s="1">
        <f t="shared" ca="1" si="5"/>
        <v>15338</v>
      </c>
      <c r="B377" s="35"/>
      <c r="C377" s="36"/>
      <c r="D377" s="2"/>
      <c r="E377" s="3"/>
      <c r="F377" s="4"/>
      <c r="G377" s="5"/>
      <c r="H377" s="6"/>
    </row>
    <row r="378" spans="1:8" x14ac:dyDescent="0.25">
      <c r="A378" s="1">
        <f t="shared" ca="1" si="5"/>
        <v>15339</v>
      </c>
      <c r="B378" s="35"/>
      <c r="C378" s="36"/>
      <c r="D378" s="2"/>
      <c r="E378" s="3"/>
      <c r="F378" s="4"/>
      <c r="G378" s="5"/>
      <c r="H378" s="6"/>
    </row>
    <row r="379" spans="1:8" x14ac:dyDescent="0.25">
      <c r="A379" s="1">
        <f t="shared" ca="1" si="5"/>
        <v>15340</v>
      </c>
      <c r="B379" s="35"/>
      <c r="C379" s="36"/>
      <c r="D379" s="2"/>
      <c r="E379" s="3"/>
      <c r="F379" s="4"/>
      <c r="G379" s="5"/>
      <c r="H379" s="6"/>
    </row>
    <row r="380" spans="1:8" x14ac:dyDescent="0.25">
      <c r="A380" s="1">
        <f t="shared" ca="1" si="5"/>
        <v>15341</v>
      </c>
      <c r="B380" s="35"/>
      <c r="C380" s="36"/>
      <c r="D380" s="2"/>
      <c r="E380" s="3"/>
      <c r="F380" s="4"/>
      <c r="G380" s="5"/>
      <c r="H380" s="6"/>
    </row>
    <row r="381" spans="1:8" x14ac:dyDescent="0.25">
      <c r="A381" s="1" t="str">
        <f t="shared" ca="1" si="5"/>
        <v>Totaal</v>
      </c>
      <c r="B381" s="37" t="str">
        <f>IF(COUNT(B350:B380)&gt;0,AVERAGE(B350:B380)/1000,"")</f>
        <v/>
      </c>
      <c r="C381" s="38" t="str">
        <f>IF(COUNT(C350:C380)&gt;0,AVERAGE(C350:C380)/1000,"")</f>
        <v/>
      </c>
      <c r="D381" s="39" t="str">
        <f>IF(COUNT(D350:D380)&gt;0,AVERAGE(D350:D380)/10,"")</f>
        <v/>
      </c>
      <c r="E381" s="40" t="str">
        <f>IF(COUNT(E350:E380)&gt;0,AVERAGE(E350:E380)/10,"")</f>
        <v/>
      </c>
      <c r="F381" s="23">
        <f>SUM(F350:F380)/10</f>
        <v>0</v>
      </c>
      <c r="G381" s="24">
        <f>SUM(G350:G380)/10</f>
        <v>0</v>
      </c>
      <c r="H381" s="25">
        <f>SUM(H350:H380)/10</f>
        <v>0</v>
      </c>
    </row>
  </sheetData>
  <sheetProtection sheet="1" objects="1" scenarios="1" selectLockedCells="1"/>
  <mergeCells count="5">
    <mergeCell ref="F3:H3"/>
    <mergeCell ref="B3:C3"/>
    <mergeCell ref="D3:E3"/>
    <mergeCell ref="A3:A4"/>
    <mergeCell ref="A1:H1"/>
  </mergeCells>
  <conditionalFormatting sqref="A5:H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Q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7" x14ac:dyDescent="0.25">
      <c r="A1" t="s">
        <v>12</v>
      </c>
      <c r="D1" t="s">
        <v>24</v>
      </c>
      <c r="G1" t="s">
        <v>22</v>
      </c>
      <c r="J1" t="s">
        <v>23</v>
      </c>
    </row>
    <row r="2" spans="1:17" ht="15.75" thickBot="1" x14ac:dyDescent="0.3"/>
    <row r="3" spans="1:17" ht="15.75" thickBot="1" x14ac:dyDescent="0.3">
      <c r="J3" s="51" t="s">
        <v>0</v>
      </c>
      <c r="K3" s="53" t="s">
        <v>31</v>
      </c>
      <c r="L3" s="53"/>
      <c r="M3" s="54" t="s">
        <v>1</v>
      </c>
      <c r="N3" s="54"/>
      <c r="O3" s="53" t="s">
        <v>2</v>
      </c>
      <c r="P3" s="53"/>
      <c r="Q3" s="53"/>
    </row>
    <row r="4" spans="1:17" x14ac:dyDescent="0.25">
      <c r="A4" s="28" t="s">
        <v>13</v>
      </c>
      <c r="B4" s="27" t="s">
        <v>14</v>
      </c>
      <c r="D4" s="27" t="s">
        <v>25</v>
      </c>
      <c r="E4" s="27" t="s">
        <v>27</v>
      </c>
      <c r="G4" s="17" t="s">
        <v>15</v>
      </c>
      <c r="H4" s="17" t="s">
        <v>16</v>
      </c>
      <c r="J4" s="52"/>
      <c r="K4" s="21" t="s">
        <v>32</v>
      </c>
      <c r="L4" s="21" t="s">
        <v>33</v>
      </c>
      <c r="M4" s="21" t="s">
        <v>32</v>
      </c>
      <c r="N4" s="21" t="s">
        <v>33</v>
      </c>
      <c r="O4" s="21" t="s">
        <v>34</v>
      </c>
      <c r="P4" s="21" t="s">
        <v>35</v>
      </c>
      <c r="Q4" s="22" t="s">
        <v>36</v>
      </c>
    </row>
    <row r="5" spans="1:17" x14ac:dyDescent="0.25">
      <c r="A5" s="12">
        <v>44</v>
      </c>
      <c r="B5" t="s">
        <v>34</v>
      </c>
      <c r="D5" t="s">
        <v>8</v>
      </c>
      <c r="E5" t="s">
        <v>26</v>
      </c>
      <c r="G5" t="s">
        <v>17</v>
      </c>
      <c r="H5" s="13">
        <v>0</v>
      </c>
    </row>
    <row r="6" spans="1:17" x14ac:dyDescent="0.25">
      <c r="A6" s="12">
        <v>42</v>
      </c>
      <c r="B6" t="s">
        <v>35</v>
      </c>
      <c r="D6" s="29" t="s">
        <v>10</v>
      </c>
      <c r="E6" s="29" t="s">
        <v>28</v>
      </c>
      <c r="G6" t="s">
        <v>18</v>
      </c>
      <c r="H6" s="13">
        <v>1</v>
      </c>
    </row>
    <row r="7" spans="1:17" ht="15.75" thickBot="1" x14ac:dyDescent="0.3">
      <c r="A7" s="12">
        <v>49</v>
      </c>
      <c r="B7" t="s">
        <v>36</v>
      </c>
      <c r="D7" s="30" t="s">
        <v>5</v>
      </c>
      <c r="E7" s="30" t="s">
        <v>29</v>
      </c>
      <c r="G7" t="s">
        <v>19</v>
      </c>
      <c r="H7" s="13">
        <v>4</v>
      </c>
    </row>
    <row r="8" spans="1:17" x14ac:dyDescent="0.25">
      <c r="A8" s="12">
        <v>41</v>
      </c>
      <c r="B8" t="s">
        <v>37</v>
      </c>
      <c r="G8" t="s">
        <v>20</v>
      </c>
      <c r="H8" s="13">
        <v>6</v>
      </c>
    </row>
    <row r="9" spans="1:17" ht="15.75" thickBot="1" x14ac:dyDescent="0.3">
      <c r="A9" s="12">
        <v>43</v>
      </c>
      <c r="B9" t="s">
        <v>38</v>
      </c>
      <c r="G9" s="14" t="s">
        <v>21</v>
      </c>
      <c r="H9" s="15">
        <v>7</v>
      </c>
    </row>
    <row r="10" spans="1:17" x14ac:dyDescent="0.25">
      <c r="A10" s="12">
        <v>45</v>
      </c>
      <c r="B10" t="s">
        <v>39</v>
      </c>
    </row>
    <row r="11" spans="1:17" x14ac:dyDescent="0.25">
      <c r="A11" s="12">
        <v>46</v>
      </c>
      <c r="B11" t="s">
        <v>40</v>
      </c>
    </row>
    <row r="12" spans="1:17" x14ac:dyDescent="0.25">
      <c r="A12" s="12">
        <v>47</v>
      </c>
      <c r="B12" t="s">
        <v>41</v>
      </c>
    </row>
    <row r="13" spans="1:17" ht="15.75" thickBot="1" x14ac:dyDescent="0.3">
      <c r="A13" s="16">
        <v>48</v>
      </c>
      <c r="B13" s="14" t="s">
        <v>42</v>
      </c>
    </row>
  </sheetData>
  <mergeCells count="4">
    <mergeCell ref="J3:J4"/>
    <mergeCell ref="K3:L3"/>
    <mergeCell ref="M3:N3"/>
    <mergeCell ref="O3:Q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1" t="s">
        <v>3</v>
      </c>
      <c r="B1" s="10" t="s">
        <v>0</v>
      </c>
      <c r="C1" s="11" t="s">
        <v>4</v>
      </c>
      <c r="D1" s="11" t="s">
        <v>5</v>
      </c>
      <c r="E1" s="11" t="s">
        <v>6</v>
      </c>
    </row>
    <row r="2" spans="1:5" x14ac:dyDescent="0.25">
      <c r="A2" s="12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19410101</v>
      </c>
      <c r="C2" s="13">
        <v>1</v>
      </c>
      <c r="D2" s="18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9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2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19410102</v>
      </c>
      <c r="C3" s="13">
        <v>1</v>
      </c>
      <c r="D3" s="18">
        <f t="shared" ca="1" si="0"/>
        <v>0</v>
      </c>
      <c r="E3" s="19">
        <f t="shared" ca="1" si="1"/>
        <v>0</v>
      </c>
    </row>
    <row r="4" spans="1:5" x14ac:dyDescent="0.25">
      <c r="A4" s="12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19410103</v>
      </c>
      <c r="C4" s="13">
        <v>1</v>
      </c>
      <c r="D4" s="18">
        <f t="shared" ca="1" si="0"/>
        <v>0</v>
      </c>
      <c r="E4" s="19">
        <f t="shared" ca="1" si="1"/>
        <v>0</v>
      </c>
    </row>
    <row r="5" spans="1:5" x14ac:dyDescent="0.25">
      <c r="A5" s="12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19410104</v>
      </c>
      <c r="C5" s="13">
        <v>1</v>
      </c>
      <c r="D5" s="18">
        <f t="shared" ca="1" si="0"/>
        <v>0</v>
      </c>
      <c r="E5" s="19">
        <f t="shared" ca="1" si="1"/>
        <v>0</v>
      </c>
    </row>
    <row r="6" spans="1:5" x14ac:dyDescent="0.25">
      <c r="A6" s="12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19410105</v>
      </c>
      <c r="C6" s="13">
        <v>1</v>
      </c>
      <c r="D6" s="18">
        <f t="shared" ca="1" si="0"/>
        <v>0</v>
      </c>
      <c r="E6" s="19">
        <f t="shared" ca="1" si="1"/>
        <v>0</v>
      </c>
    </row>
    <row r="7" spans="1:5" x14ac:dyDescent="0.25">
      <c r="A7" s="12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19410106</v>
      </c>
      <c r="C7" s="13">
        <v>1</v>
      </c>
      <c r="D7" s="18">
        <f t="shared" ca="1" si="0"/>
        <v>0</v>
      </c>
      <c r="E7" s="19">
        <f t="shared" ca="1" si="1"/>
        <v>0</v>
      </c>
    </row>
    <row r="8" spans="1:5" x14ac:dyDescent="0.25">
      <c r="A8" s="12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19410107</v>
      </c>
      <c r="C8" s="13">
        <v>1</v>
      </c>
      <c r="D8" s="18">
        <f t="shared" ca="1" si="0"/>
        <v>17</v>
      </c>
      <c r="E8" s="19">
        <f t="shared" ca="1" si="1"/>
        <v>0</v>
      </c>
    </row>
    <row r="9" spans="1:5" x14ac:dyDescent="0.25">
      <c r="A9" s="12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19410108</v>
      </c>
      <c r="C9" s="13">
        <v>1</v>
      </c>
      <c r="D9" s="18">
        <f t="shared" ca="1" si="0"/>
        <v>0</v>
      </c>
      <c r="E9" s="19">
        <f t="shared" ca="1" si="1"/>
        <v>0</v>
      </c>
    </row>
    <row r="10" spans="1:5" x14ac:dyDescent="0.25">
      <c r="A10" s="12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19410109</v>
      </c>
      <c r="C10" s="13">
        <v>1</v>
      </c>
      <c r="D10" s="18">
        <f t="shared" ca="1" si="0"/>
        <v>0</v>
      </c>
      <c r="E10" s="19">
        <f t="shared" ca="1" si="1"/>
        <v>0</v>
      </c>
    </row>
    <row r="11" spans="1:5" x14ac:dyDescent="0.25">
      <c r="A11" s="12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19410110</v>
      </c>
      <c r="C11" s="13">
        <v>1</v>
      </c>
      <c r="D11" s="18">
        <f t="shared" ca="1" si="0"/>
        <v>0</v>
      </c>
      <c r="E11" s="19">
        <f t="shared" ca="1" si="1"/>
        <v>0</v>
      </c>
    </row>
    <row r="12" spans="1:5" x14ac:dyDescent="0.25">
      <c r="A12" s="12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19410111</v>
      </c>
      <c r="C12" s="13">
        <v>1</v>
      </c>
      <c r="D12" s="18">
        <f t="shared" ca="1" si="0"/>
        <v>0</v>
      </c>
      <c r="E12" s="19">
        <f t="shared" ca="1" si="1"/>
        <v>0</v>
      </c>
    </row>
    <row r="13" spans="1:5" x14ac:dyDescent="0.25">
      <c r="A13" s="12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19410112</v>
      </c>
      <c r="C13" s="13">
        <v>1</v>
      </c>
      <c r="D13" s="18">
        <f t="shared" ca="1" si="0"/>
        <v>0</v>
      </c>
      <c r="E13" s="19">
        <f t="shared" ca="1" si="1"/>
        <v>0</v>
      </c>
    </row>
    <row r="14" spans="1:5" x14ac:dyDescent="0.25">
      <c r="A14" s="12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19410113</v>
      </c>
      <c r="C14" s="13">
        <v>1</v>
      </c>
      <c r="D14" s="18">
        <f t="shared" ca="1" si="0"/>
        <v>34</v>
      </c>
      <c r="E14" s="19">
        <f t="shared" ca="1" si="1"/>
        <v>0</v>
      </c>
    </row>
    <row r="15" spans="1:5" x14ac:dyDescent="0.25">
      <c r="A15" s="12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19410114</v>
      </c>
      <c r="C15" s="13">
        <v>1</v>
      </c>
      <c r="D15" s="18">
        <f t="shared" ca="1" si="0"/>
        <v>34</v>
      </c>
      <c r="E15" s="19">
        <f t="shared" ca="1" si="1"/>
        <v>0</v>
      </c>
    </row>
    <row r="16" spans="1:5" x14ac:dyDescent="0.25">
      <c r="A16" s="12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19410115</v>
      </c>
      <c r="C16" s="13">
        <v>1</v>
      </c>
      <c r="D16" s="18">
        <f t="shared" ca="1" si="0"/>
        <v>0</v>
      </c>
      <c r="E16" s="19">
        <f t="shared" ca="1" si="1"/>
        <v>0</v>
      </c>
    </row>
    <row r="17" spans="1:5" x14ac:dyDescent="0.25">
      <c r="A17" s="12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19410116</v>
      </c>
      <c r="C17" s="13">
        <v>1</v>
      </c>
      <c r="D17" s="18">
        <f t="shared" ca="1" si="0"/>
        <v>0</v>
      </c>
      <c r="E17" s="19">
        <f t="shared" ca="1" si="1"/>
        <v>0</v>
      </c>
    </row>
    <row r="18" spans="1:5" x14ac:dyDescent="0.25">
      <c r="A18" s="12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19410117</v>
      </c>
      <c r="C18" s="13">
        <v>1</v>
      </c>
      <c r="D18" s="18">
        <f t="shared" ca="1" si="0"/>
        <v>0</v>
      </c>
      <c r="E18" s="19">
        <f t="shared" ca="1" si="1"/>
        <v>0</v>
      </c>
    </row>
    <row r="19" spans="1:5" x14ac:dyDescent="0.25">
      <c r="A19" s="12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19410118</v>
      </c>
      <c r="C19" s="13">
        <v>1</v>
      </c>
      <c r="D19" s="18">
        <f t="shared" ca="1" si="0"/>
        <v>0</v>
      </c>
      <c r="E19" s="19">
        <f t="shared" ca="1" si="1"/>
        <v>0</v>
      </c>
    </row>
    <row r="20" spans="1:5" x14ac:dyDescent="0.25">
      <c r="A20" s="12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19410119</v>
      </c>
      <c r="C20" s="13">
        <v>1</v>
      </c>
      <c r="D20" s="18">
        <f t="shared" ca="1" si="0"/>
        <v>0</v>
      </c>
      <c r="E20" s="19">
        <f t="shared" ca="1" si="1"/>
        <v>0</v>
      </c>
    </row>
    <row r="21" spans="1:5" x14ac:dyDescent="0.25">
      <c r="A21" s="12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19410120</v>
      </c>
      <c r="C21" s="13">
        <v>1</v>
      </c>
      <c r="D21" s="18">
        <f t="shared" ca="1" si="0"/>
        <v>20</v>
      </c>
      <c r="E21" s="19">
        <f t="shared" ca="1" si="1"/>
        <v>0</v>
      </c>
    </row>
    <row r="22" spans="1:5" x14ac:dyDescent="0.25">
      <c r="A22" s="12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19410121</v>
      </c>
      <c r="C22" s="13">
        <v>1</v>
      </c>
      <c r="D22" s="18">
        <f t="shared" ca="1" si="0"/>
        <v>0</v>
      </c>
      <c r="E22" s="19">
        <f t="shared" ca="1" si="1"/>
        <v>0</v>
      </c>
    </row>
    <row r="23" spans="1:5" x14ac:dyDescent="0.25">
      <c r="A23" s="12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19410122</v>
      </c>
      <c r="C23" s="13">
        <v>1</v>
      </c>
      <c r="D23" s="18">
        <f t="shared" ca="1" si="0"/>
        <v>0</v>
      </c>
      <c r="E23" s="19">
        <f t="shared" ca="1" si="1"/>
        <v>0</v>
      </c>
    </row>
    <row r="24" spans="1:5" x14ac:dyDescent="0.25">
      <c r="A24" s="12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19410123</v>
      </c>
      <c r="C24" s="13">
        <v>1</v>
      </c>
      <c r="D24" s="18">
        <f t="shared" ca="1" si="0"/>
        <v>0</v>
      </c>
      <c r="E24" s="19">
        <f t="shared" ca="1" si="1"/>
        <v>0</v>
      </c>
    </row>
    <row r="25" spans="1:5" x14ac:dyDescent="0.25">
      <c r="A25" s="12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19410124</v>
      </c>
      <c r="C25" s="13">
        <v>1</v>
      </c>
      <c r="D25" s="18">
        <f t="shared" ca="1" si="0"/>
        <v>0</v>
      </c>
      <c r="E25" s="19">
        <f t="shared" ca="1" si="1"/>
        <v>0</v>
      </c>
    </row>
    <row r="26" spans="1:5" x14ac:dyDescent="0.25">
      <c r="A26" s="12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19410125</v>
      </c>
      <c r="C26" s="13">
        <v>1</v>
      </c>
      <c r="D26" s="18">
        <f t="shared" ca="1" si="0"/>
        <v>0</v>
      </c>
      <c r="E26" s="19">
        <f t="shared" ca="1" si="1"/>
        <v>0</v>
      </c>
    </row>
    <row r="27" spans="1:5" x14ac:dyDescent="0.25">
      <c r="A27" s="12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19410126</v>
      </c>
      <c r="C27" s="13">
        <v>1</v>
      </c>
      <c r="D27" s="18">
        <f t="shared" ca="1" si="0"/>
        <v>0</v>
      </c>
      <c r="E27" s="19">
        <f t="shared" ca="1" si="1"/>
        <v>0</v>
      </c>
    </row>
    <row r="28" spans="1:5" x14ac:dyDescent="0.25">
      <c r="A28" s="12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19410127</v>
      </c>
      <c r="C28" s="13">
        <v>1</v>
      </c>
      <c r="D28" s="18">
        <f t="shared" ca="1" si="0"/>
        <v>0</v>
      </c>
      <c r="E28" s="19">
        <f t="shared" ca="1" si="1"/>
        <v>0</v>
      </c>
    </row>
    <row r="29" spans="1:5" x14ac:dyDescent="0.25">
      <c r="A29" s="12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19410128</v>
      </c>
      <c r="C29" s="13">
        <v>1</v>
      </c>
      <c r="D29" s="18">
        <f t="shared" ca="1" si="0"/>
        <v>0</v>
      </c>
      <c r="E29" s="19">
        <f t="shared" ca="1" si="1"/>
        <v>0</v>
      </c>
    </row>
    <row r="30" spans="1:5" x14ac:dyDescent="0.25">
      <c r="A30" s="12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19410129</v>
      </c>
      <c r="C30" s="13">
        <v>1</v>
      </c>
      <c r="D30" s="18">
        <f t="shared" ca="1" si="0"/>
        <v>0</v>
      </c>
      <c r="E30" s="19">
        <f t="shared" ca="1" si="1"/>
        <v>0</v>
      </c>
    </row>
    <row r="31" spans="1:5" x14ac:dyDescent="0.25">
      <c r="A31" s="12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19410130</v>
      </c>
      <c r="C31" s="13">
        <v>1</v>
      </c>
      <c r="D31" s="18">
        <f t="shared" ca="1" si="0"/>
        <v>0</v>
      </c>
      <c r="E31" s="19">
        <f t="shared" ca="1" si="1"/>
        <v>0</v>
      </c>
    </row>
    <row r="32" spans="1:5" x14ac:dyDescent="0.25">
      <c r="A32" s="12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19410131</v>
      </c>
      <c r="C32" s="13">
        <v>1</v>
      </c>
      <c r="D32" s="18">
        <f t="shared" ca="1" si="0"/>
        <v>0</v>
      </c>
      <c r="E32" s="19">
        <f t="shared" ca="1" si="1"/>
        <v>0</v>
      </c>
    </row>
    <row r="33" spans="1:5" x14ac:dyDescent="0.25">
      <c r="A33" s="12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19410201</v>
      </c>
      <c r="C33" s="13">
        <v>1</v>
      </c>
      <c r="D33" s="18">
        <f t="shared" ca="1" si="0"/>
        <v>0</v>
      </c>
      <c r="E33" s="19">
        <f t="shared" ca="1" si="1"/>
        <v>0</v>
      </c>
    </row>
    <row r="34" spans="1:5" x14ac:dyDescent="0.25">
      <c r="A34" s="12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19410202</v>
      </c>
      <c r="C34" s="13">
        <v>1</v>
      </c>
      <c r="D34" s="18">
        <f t="shared" ca="1" si="0"/>
        <v>0</v>
      </c>
      <c r="E34" s="19">
        <f t="shared" ca="1" si="1"/>
        <v>0</v>
      </c>
    </row>
    <row r="35" spans="1:5" x14ac:dyDescent="0.25">
      <c r="A35" s="12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19410203</v>
      </c>
      <c r="C35" s="13">
        <v>1</v>
      </c>
      <c r="D35" s="18">
        <f t="shared" ca="1" si="0"/>
        <v>0</v>
      </c>
      <c r="E35" s="19">
        <f t="shared" ca="1" si="1"/>
        <v>0</v>
      </c>
    </row>
    <row r="36" spans="1:5" x14ac:dyDescent="0.25">
      <c r="A36" s="12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19410204</v>
      </c>
      <c r="C36" s="13">
        <v>1</v>
      </c>
      <c r="D36" s="18">
        <f t="shared" ca="1" si="0"/>
        <v>0</v>
      </c>
      <c r="E36" s="19">
        <f t="shared" ca="1" si="1"/>
        <v>0</v>
      </c>
    </row>
    <row r="37" spans="1:5" x14ac:dyDescent="0.25">
      <c r="A37" s="12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19410205</v>
      </c>
      <c r="C37" s="13">
        <v>1</v>
      </c>
      <c r="D37" s="18">
        <f t="shared" ca="1" si="0"/>
        <v>0</v>
      </c>
      <c r="E37" s="19">
        <f t="shared" ca="1" si="1"/>
        <v>0</v>
      </c>
    </row>
    <row r="38" spans="1:5" x14ac:dyDescent="0.25">
      <c r="A38" s="12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19410206</v>
      </c>
      <c r="C38" s="13">
        <v>1</v>
      </c>
      <c r="D38" s="18">
        <f t="shared" ca="1" si="0"/>
        <v>0</v>
      </c>
      <c r="E38" s="19">
        <f t="shared" ca="1" si="1"/>
        <v>0</v>
      </c>
    </row>
    <row r="39" spans="1:5" x14ac:dyDescent="0.25">
      <c r="A39" s="12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19410207</v>
      </c>
      <c r="C39" s="13">
        <v>1</v>
      </c>
      <c r="D39" s="18">
        <f t="shared" ca="1" si="0"/>
        <v>0</v>
      </c>
      <c r="E39" s="19">
        <f t="shared" ca="1" si="1"/>
        <v>0</v>
      </c>
    </row>
    <row r="40" spans="1:5" x14ac:dyDescent="0.25">
      <c r="A40" s="12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19410208</v>
      </c>
      <c r="C40" s="13">
        <v>1</v>
      </c>
      <c r="D40" s="18">
        <f t="shared" ca="1" si="0"/>
        <v>0</v>
      </c>
      <c r="E40" s="19">
        <f t="shared" ca="1" si="1"/>
        <v>0</v>
      </c>
    </row>
    <row r="41" spans="1:5" x14ac:dyDescent="0.25">
      <c r="A41" s="12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19410209</v>
      </c>
      <c r="C41" s="13">
        <v>1</v>
      </c>
      <c r="D41" s="18">
        <f t="shared" ca="1" si="0"/>
        <v>0</v>
      </c>
      <c r="E41" s="19">
        <f t="shared" ca="1" si="1"/>
        <v>0</v>
      </c>
    </row>
    <row r="42" spans="1:5" x14ac:dyDescent="0.25">
      <c r="A42" s="12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19410210</v>
      </c>
      <c r="C42" s="13">
        <v>1</v>
      </c>
      <c r="D42" s="18">
        <f t="shared" ca="1" si="0"/>
        <v>0</v>
      </c>
      <c r="E42" s="19">
        <f t="shared" ca="1" si="1"/>
        <v>0</v>
      </c>
    </row>
    <row r="43" spans="1:5" x14ac:dyDescent="0.25">
      <c r="A43" s="12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19410211</v>
      </c>
      <c r="C43" s="13">
        <v>1</v>
      </c>
      <c r="D43" s="18">
        <f t="shared" ca="1" si="0"/>
        <v>0</v>
      </c>
      <c r="E43" s="19">
        <f t="shared" ca="1" si="1"/>
        <v>0</v>
      </c>
    </row>
    <row r="44" spans="1:5" x14ac:dyDescent="0.25">
      <c r="A44" s="12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19410212</v>
      </c>
      <c r="C44" s="13">
        <v>1</v>
      </c>
      <c r="D44" s="18">
        <f t="shared" ca="1" si="0"/>
        <v>0</v>
      </c>
      <c r="E44" s="19">
        <f t="shared" ca="1" si="1"/>
        <v>0</v>
      </c>
    </row>
    <row r="45" spans="1:5" x14ac:dyDescent="0.25">
      <c r="A45" s="12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19410213</v>
      </c>
      <c r="C45" s="13">
        <v>1</v>
      </c>
      <c r="D45" s="18">
        <f t="shared" ca="1" si="0"/>
        <v>0</v>
      </c>
      <c r="E45" s="19">
        <f t="shared" ca="1" si="1"/>
        <v>0</v>
      </c>
    </row>
    <row r="46" spans="1:5" x14ac:dyDescent="0.25">
      <c r="A46" s="12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19410214</v>
      </c>
      <c r="C46" s="13">
        <v>1</v>
      </c>
      <c r="D46" s="18">
        <f t="shared" ca="1" si="0"/>
        <v>0</v>
      </c>
      <c r="E46" s="19">
        <f t="shared" ca="1" si="1"/>
        <v>0</v>
      </c>
    </row>
    <row r="47" spans="1:5" x14ac:dyDescent="0.25">
      <c r="A47" s="12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19410215</v>
      </c>
      <c r="C47" s="13">
        <v>1</v>
      </c>
      <c r="D47" s="18">
        <f t="shared" ca="1" si="0"/>
        <v>0</v>
      </c>
      <c r="E47" s="19">
        <f t="shared" ca="1" si="1"/>
        <v>0</v>
      </c>
    </row>
    <row r="48" spans="1:5" x14ac:dyDescent="0.25">
      <c r="A48" s="12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19410216</v>
      </c>
      <c r="C48" s="13">
        <v>1</v>
      </c>
      <c r="D48" s="18">
        <f t="shared" ca="1" si="0"/>
        <v>0</v>
      </c>
      <c r="E48" s="19">
        <f t="shared" ca="1" si="1"/>
        <v>0</v>
      </c>
    </row>
    <row r="49" spans="1:5" x14ac:dyDescent="0.25">
      <c r="A49" s="12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19410217</v>
      </c>
      <c r="C49" s="13">
        <v>1</v>
      </c>
      <c r="D49" s="18">
        <f t="shared" ca="1" si="0"/>
        <v>0</v>
      </c>
      <c r="E49" s="19">
        <f t="shared" ca="1" si="1"/>
        <v>0</v>
      </c>
    </row>
    <row r="50" spans="1:5" x14ac:dyDescent="0.25">
      <c r="A50" s="12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19410218</v>
      </c>
      <c r="C50" s="13">
        <v>1</v>
      </c>
      <c r="D50" s="18">
        <f t="shared" ca="1" si="0"/>
        <v>0</v>
      </c>
      <c r="E50" s="19">
        <f t="shared" ca="1" si="1"/>
        <v>0</v>
      </c>
    </row>
    <row r="51" spans="1:5" x14ac:dyDescent="0.25">
      <c r="A51" s="12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19410219</v>
      </c>
      <c r="C51" s="13">
        <v>1</v>
      </c>
      <c r="D51" s="18">
        <f t="shared" ca="1" si="0"/>
        <v>0</v>
      </c>
      <c r="E51" s="19">
        <f t="shared" ca="1" si="1"/>
        <v>0</v>
      </c>
    </row>
    <row r="52" spans="1:5" x14ac:dyDescent="0.25">
      <c r="A52" s="12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19410220</v>
      </c>
      <c r="C52" s="13">
        <v>1</v>
      </c>
      <c r="D52" s="18">
        <f t="shared" ca="1" si="0"/>
        <v>0</v>
      </c>
      <c r="E52" s="19">
        <f t="shared" ca="1" si="1"/>
        <v>0</v>
      </c>
    </row>
    <row r="53" spans="1:5" x14ac:dyDescent="0.25">
      <c r="A53" s="12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19410221</v>
      </c>
      <c r="C53" s="13">
        <v>1</v>
      </c>
      <c r="D53" s="18">
        <f t="shared" ca="1" si="0"/>
        <v>0</v>
      </c>
      <c r="E53" s="19">
        <f t="shared" ca="1" si="1"/>
        <v>0</v>
      </c>
    </row>
    <row r="54" spans="1:5" x14ac:dyDescent="0.25">
      <c r="A54" s="12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19410222</v>
      </c>
      <c r="C54" s="13">
        <v>1</v>
      </c>
      <c r="D54" s="18">
        <f t="shared" ca="1" si="0"/>
        <v>0</v>
      </c>
      <c r="E54" s="19">
        <f t="shared" ca="1" si="1"/>
        <v>0</v>
      </c>
    </row>
    <row r="55" spans="1:5" x14ac:dyDescent="0.25">
      <c r="A55" s="12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19410223</v>
      </c>
      <c r="C55" s="13">
        <v>1</v>
      </c>
      <c r="D55" s="18">
        <f t="shared" ca="1" si="0"/>
        <v>0</v>
      </c>
      <c r="E55" s="19">
        <f t="shared" ca="1" si="1"/>
        <v>0</v>
      </c>
    </row>
    <row r="56" spans="1:5" x14ac:dyDescent="0.25">
      <c r="A56" s="12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19410224</v>
      </c>
      <c r="C56" s="13">
        <v>1</v>
      </c>
      <c r="D56" s="18">
        <f t="shared" ca="1" si="0"/>
        <v>0</v>
      </c>
      <c r="E56" s="19">
        <f t="shared" ca="1" si="1"/>
        <v>0</v>
      </c>
    </row>
    <row r="57" spans="1:5" x14ac:dyDescent="0.25">
      <c r="A57" s="12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19410225</v>
      </c>
      <c r="C57" s="13">
        <v>1</v>
      </c>
      <c r="D57" s="18">
        <f t="shared" ca="1" si="0"/>
        <v>0</v>
      </c>
      <c r="E57" s="19">
        <f t="shared" ca="1" si="1"/>
        <v>0</v>
      </c>
    </row>
    <row r="58" spans="1:5" x14ac:dyDescent="0.25">
      <c r="A58" s="12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19410226</v>
      </c>
      <c r="C58" s="13">
        <v>1</v>
      </c>
      <c r="D58" s="18">
        <f t="shared" ca="1" si="0"/>
        <v>0</v>
      </c>
      <c r="E58" s="19">
        <f t="shared" ca="1" si="1"/>
        <v>0</v>
      </c>
    </row>
    <row r="59" spans="1:5" x14ac:dyDescent="0.25">
      <c r="A59" s="12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19410227</v>
      </c>
      <c r="C59" s="13">
        <v>1</v>
      </c>
      <c r="D59" s="18">
        <f t="shared" ca="1" si="0"/>
        <v>0</v>
      </c>
      <c r="E59" s="19">
        <f t="shared" ca="1" si="1"/>
        <v>0</v>
      </c>
    </row>
    <row r="60" spans="1:5" x14ac:dyDescent="0.25">
      <c r="A60" s="12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19410228</v>
      </c>
      <c r="C60" s="13">
        <v>1</v>
      </c>
      <c r="D60" s="18">
        <f t="shared" ca="1" si="0"/>
        <v>0</v>
      </c>
      <c r="E60" s="19">
        <f t="shared" ca="1" si="1"/>
        <v>0</v>
      </c>
    </row>
    <row r="61" spans="1:5" x14ac:dyDescent="0.25">
      <c r="A61" s="12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19410301</v>
      </c>
      <c r="C61" s="13">
        <v>1</v>
      </c>
      <c r="D61" s="18">
        <f t="shared" ca="1" si="0"/>
        <v>0</v>
      </c>
      <c r="E61" s="19">
        <f t="shared" ca="1" si="1"/>
        <v>0</v>
      </c>
    </row>
    <row r="62" spans="1:5" x14ac:dyDescent="0.25">
      <c r="A62" s="12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19410302</v>
      </c>
      <c r="C62" s="13">
        <v>1</v>
      </c>
      <c r="D62" s="18">
        <f t="shared" ca="1" si="0"/>
        <v>0</v>
      </c>
      <c r="E62" s="19">
        <f t="shared" ca="1" si="1"/>
        <v>0</v>
      </c>
    </row>
    <row r="63" spans="1:5" x14ac:dyDescent="0.25">
      <c r="A63" s="12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19410303</v>
      </c>
      <c r="C63" s="13">
        <v>1</v>
      </c>
      <c r="D63" s="18">
        <f t="shared" ca="1" si="0"/>
        <v>0</v>
      </c>
      <c r="E63" s="19">
        <f t="shared" ca="1" si="1"/>
        <v>0</v>
      </c>
    </row>
    <row r="64" spans="1:5" x14ac:dyDescent="0.25">
      <c r="A64" s="12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19410304</v>
      </c>
      <c r="C64" s="13">
        <v>1</v>
      </c>
      <c r="D64" s="18">
        <f t="shared" ca="1" si="0"/>
        <v>0</v>
      </c>
      <c r="E64" s="19">
        <f t="shared" ca="1" si="1"/>
        <v>0</v>
      </c>
    </row>
    <row r="65" spans="1:5" x14ac:dyDescent="0.25">
      <c r="A65" s="12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19410305</v>
      </c>
      <c r="C65" s="13">
        <v>1</v>
      </c>
      <c r="D65" s="18">
        <f t="shared" ca="1" si="0"/>
        <v>0</v>
      </c>
      <c r="E65" s="19">
        <f t="shared" ca="1" si="1"/>
        <v>0</v>
      </c>
    </row>
    <row r="66" spans="1:5" x14ac:dyDescent="0.25">
      <c r="A66" s="12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19410306</v>
      </c>
      <c r="C66" s="13">
        <v>1</v>
      </c>
      <c r="D66" s="18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9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2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19410307</v>
      </c>
      <c r="C67" s="13">
        <v>1</v>
      </c>
      <c r="D67" s="18">
        <f t="shared" ca="1" si="2"/>
        <v>0</v>
      </c>
      <c r="E67" s="19">
        <f t="shared" ca="1" si="3"/>
        <v>0</v>
      </c>
    </row>
    <row r="68" spans="1:5" x14ac:dyDescent="0.25">
      <c r="A68" s="12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19410308</v>
      </c>
      <c r="C68" s="13">
        <v>1</v>
      </c>
      <c r="D68" s="18">
        <f t="shared" ca="1" si="2"/>
        <v>0</v>
      </c>
      <c r="E68" s="19">
        <f t="shared" ca="1" si="3"/>
        <v>0</v>
      </c>
    </row>
    <row r="69" spans="1:5" x14ac:dyDescent="0.25">
      <c r="A69" s="12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19410309</v>
      </c>
      <c r="C69" s="13">
        <v>1</v>
      </c>
      <c r="D69" s="18">
        <f t="shared" ca="1" si="2"/>
        <v>0</v>
      </c>
      <c r="E69" s="19">
        <f t="shared" ca="1" si="3"/>
        <v>0</v>
      </c>
    </row>
    <row r="70" spans="1:5" x14ac:dyDescent="0.25">
      <c r="A70" s="12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19410310</v>
      </c>
      <c r="C70" s="13">
        <v>1</v>
      </c>
      <c r="D70" s="18">
        <f t="shared" ca="1" si="2"/>
        <v>0</v>
      </c>
      <c r="E70" s="19">
        <f t="shared" ca="1" si="3"/>
        <v>0</v>
      </c>
    </row>
    <row r="71" spans="1:5" x14ac:dyDescent="0.25">
      <c r="A71" s="12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19410311</v>
      </c>
      <c r="C71" s="13">
        <v>1</v>
      </c>
      <c r="D71" s="18">
        <f t="shared" ca="1" si="2"/>
        <v>0</v>
      </c>
      <c r="E71" s="19">
        <f t="shared" ca="1" si="3"/>
        <v>0</v>
      </c>
    </row>
    <row r="72" spans="1:5" x14ac:dyDescent="0.25">
      <c r="A72" s="12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19410312</v>
      </c>
      <c r="C72" s="13">
        <v>1</v>
      </c>
      <c r="D72" s="18">
        <f t="shared" ca="1" si="2"/>
        <v>0</v>
      </c>
      <c r="E72" s="19">
        <f t="shared" ca="1" si="3"/>
        <v>0</v>
      </c>
    </row>
    <row r="73" spans="1:5" x14ac:dyDescent="0.25">
      <c r="A73" s="12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19410313</v>
      </c>
      <c r="C73" s="13">
        <v>1</v>
      </c>
      <c r="D73" s="18">
        <f t="shared" ca="1" si="2"/>
        <v>0</v>
      </c>
      <c r="E73" s="19">
        <f t="shared" ca="1" si="3"/>
        <v>0</v>
      </c>
    </row>
    <row r="74" spans="1:5" x14ac:dyDescent="0.25">
      <c r="A74" s="12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19410314</v>
      </c>
      <c r="C74" s="13">
        <v>1</v>
      </c>
      <c r="D74" s="18">
        <f t="shared" ca="1" si="2"/>
        <v>0</v>
      </c>
      <c r="E74" s="19">
        <f t="shared" ca="1" si="3"/>
        <v>0</v>
      </c>
    </row>
    <row r="75" spans="1:5" x14ac:dyDescent="0.25">
      <c r="A75" s="12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19410315</v>
      </c>
      <c r="C75" s="13">
        <v>1</v>
      </c>
      <c r="D75" s="18">
        <f t="shared" ca="1" si="2"/>
        <v>0</v>
      </c>
      <c r="E75" s="19">
        <f t="shared" ca="1" si="3"/>
        <v>0</v>
      </c>
    </row>
    <row r="76" spans="1:5" x14ac:dyDescent="0.25">
      <c r="A76" s="12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19410316</v>
      </c>
      <c r="C76" s="13">
        <v>1</v>
      </c>
      <c r="D76" s="18">
        <f t="shared" ca="1" si="2"/>
        <v>0</v>
      </c>
      <c r="E76" s="19">
        <f t="shared" ca="1" si="3"/>
        <v>0</v>
      </c>
    </row>
    <row r="77" spans="1:5" x14ac:dyDescent="0.25">
      <c r="A77" s="12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19410317</v>
      </c>
      <c r="C77" s="13">
        <v>1</v>
      </c>
      <c r="D77" s="18">
        <f t="shared" ca="1" si="2"/>
        <v>0</v>
      </c>
      <c r="E77" s="19">
        <f t="shared" ca="1" si="3"/>
        <v>0</v>
      </c>
    </row>
    <row r="78" spans="1:5" x14ac:dyDescent="0.25">
      <c r="A78" s="12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19410318</v>
      </c>
      <c r="C78" s="13">
        <v>1</v>
      </c>
      <c r="D78" s="18">
        <f t="shared" ca="1" si="2"/>
        <v>0</v>
      </c>
      <c r="E78" s="19">
        <f t="shared" ca="1" si="3"/>
        <v>0</v>
      </c>
    </row>
    <row r="79" spans="1:5" x14ac:dyDescent="0.25">
      <c r="A79" s="12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19410319</v>
      </c>
      <c r="C79" s="13">
        <v>1</v>
      </c>
      <c r="D79" s="18">
        <f t="shared" ca="1" si="2"/>
        <v>0</v>
      </c>
      <c r="E79" s="19">
        <f t="shared" ca="1" si="3"/>
        <v>0</v>
      </c>
    </row>
    <row r="80" spans="1:5" x14ac:dyDescent="0.25">
      <c r="A80" s="12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19410320</v>
      </c>
      <c r="C80" s="13">
        <v>1</v>
      </c>
      <c r="D80" s="18">
        <f t="shared" ca="1" si="2"/>
        <v>0</v>
      </c>
      <c r="E80" s="19">
        <f t="shared" ca="1" si="3"/>
        <v>0</v>
      </c>
    </row>
    <row r="81" spans="1:5" x14ac:dyDescent="0.25">
      <c r="A81" s="12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19410321</v>
      </c>
      <c r="C81" s="13">
        <v>1</v>
      </c>
      <c r="D81" s="18">
        <f t="shared" ca="1" si="2"/>
        <v>0</v>
      </c>
      <c r="E81" s="19">
        <f t="shared" ca="1" si="3"/>
        <v>0</v>
      </c>
    </row>
    <row r="82" spans="1:5" x14ac:dyDescent="0.25">
      <c r="A82" s="12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19410322</v>
      </c>
      <c r="C82" s="13">
        <v>1</v>
      </c>
      <c r="D82" s="18">
        <f t="shared" ca="1" si="2"/>
        <v>0</v>
      </c>
      <c r="E82" s="19">
        <f t="shared" ca="1" si="3"/>
        <v>0</v>
      </c>
    </row>
    <row r="83" spans="1:5" x14ac:dyDescent="0.25">
      <c r="A83" s="12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19410323</v>
      </c>
      <c r="C83" s="13">
        <v>1</v>
      </c>
      <c r="D83" s="18">
        <f t="shared" ca="1" si="2"/>
        <v>0</v>
      </c>
      <c r="E83" s="19">
        <f t="shared" ca="1" si="3"/>
        <v>0</v>
      </c>
    </row>
    <row r="84" spans="1:5" x14ac:dyDescent="0.25">
      <c r="A84" s="12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19410324</v>
      </c>
      <c r="C84" s="13">
        <v>1</v>
      </c>
      <c r="D84" s="18">
        <f t="shared" ca="1" si="2"/>
        <v>0</v>
      </c>
      <c r="E84" s="19">
        <f t="shared" ca="1" si="3"/>
        <v>0</v>
      </c>
    </row>
    <row r="85" spans="1:5" x14ac:dyDescent="0.25">
      <c r="A85" s="12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19410325</v>
      </c>
      <c r="C85" s="13">
        <v>1</v>
      </c>
      <c r="D85" s="18">
        <f t="shared" ca="1" si="2"/>
        <v>0</v>
      </c>
      <c r="E85" s="19">
        <f t="shared" ca="1" si="3"/>
        <v>0</v>
      </c>
    </row>
    <row r="86" spans="1:5" x14ac:dyDescent="0.25">
      <c r="A86" s="12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19410326</v>
      </c>
      <c r="C86" s="13">
        <v>1</v>
      </c>
      <c r="D86" s="18">
        <f t="shared" ca="1" si="2"/>
        <v>0</v>
      </c>
      <c r="E86" s="19">
        <f t="shared" ca="1" si="3"/>
        <v>0</v>
      </c>
    </row>
    <row r="87" spans="1:5" x14ac:dyDescent="0.25">
      <c r="A87" s="12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19410327</v>
      </c>
      <c r="C87" s="13">
        <v>1</v>
      </c>
      <c r="D87" s="18">
        <f t="shared" ca="1" si="2"/>
        <v>0</v>
      </c>
      <c r="E87" s="19">
        <f t="shared" ca="1" si="3"/>
        <v>0</v>
      </c>
    </row>
    <row r="88" spans="1:5" x14ac:dyDescent="0.25">
      <c r="A88" s="12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19410328</v>
      </c>
      <c r="C88" s="13">
        <v>1</v>
      </c>
      <c r="D88" s="18">
        <f t="shared" ca="1" si="2"/>
        <v>0</v>
      </c>
      <c r="E88" s="19">
        <f t="shared" ca="1" si="3"/>
        <v>0</v>
      </c>
    </row>
    <row r="89" spans="1:5" x14ac:dyDescent="0.25">
      <c r="A89" s="12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19410329</v>
      </c>
      <c r="C89" s="13">
        <v>1</v>
      </c>
      <c r="D89" s="18">
        <f t="shared" ca="1" si="2"/>
        <v>0</v>
      </c>
      <c r="E89" s="19">
        <f t="shared" ca="1" si="3"/>
        <v>0</v>
      </c>
    </row>
    <row r="90" spans="1:5" x14ac:dyDescent="0.25">
      <c r="A90" s="12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19410330</v>
      </c>
      <c r="C90" s="13">
        <v>1</v>
      </c>
      <c r="D90" s="18">
        <f t="shared" ca="1" si="2"/>
        <v>0</v>
      </c>
      <c r="E90" s="19">
        <f t="shared" ca="1" si="3"/>
        <v>0</v>
      </c>
    </row>
    <row r="91" spans="1:5" x14ac:dyDescent="0.25">
      <c r="A91" s="12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19410331</v>
      </c>
      <c r="C91" s="13">
        <v>1</v>
      </c>
      <c r="D91" s="18">
        <f t="shared" ca="1" si="2"/>
        <v>0</v>
      </c>
      <c r="E91" s="19">
        <f t="shared" ca="1" si="3"/>
        <v>0</v>
      </c>
    </row>
    <row r="92" spans="1:5" x14ac:dyDescent="0.25">
      <c r="A92" s="12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19410401</v>
      </c>
      <c r="C92" s="13">
        <v>1</v>
      </c>
      <c r="D92" s="18">
        <f t="shared" ca="1" si="2"/>
        <v>0</v>
      </c>
      <c r="E92" s="19">
        <f t="shared" ca="1" si="3"/>
        <v>0</v>
      </c>
    </row>
    <row r="93" spans="1:5" x14ac:dyDescent="0.25">
      <c r="A93" s="12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19410402</v>
      </c>
      <c r="C93" s="13">
        <v>1</v>
      </c>
      <c r="D93" s="18">
        <f t="shared" ca="1" si="2"/>
        <v>0</v>
      </c>
      <c r="E93" s="19">
        <f t="shared" ca="1" si="3"/>
        <v>0</v>
      </c>
    </row>
    <row r="94" spans="1:5" x14ac:dyDescent="0.25">
      <c r="A94" s="12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19410403</v>
      </c>
      <c r="C94" s="13">
        <v>1</v>
      </c>
      <c r="D94" s="18">
        <f t="shared" ca="1" si="2"/>
        <v>0</v>
      </c>
      <c r="E94" s="19">
        <f t="shared" ca="1" si="3"/>
        <v>0</v>
      </c>
    </row>
    <row r="95" spans="1:5" x14ac:dyDescent="0.25">
      <c r="A95" s="12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19410404</v>
      </c>
      <c r="C95" s="13">
        <v>1</v>
      </c>
      <c r="D95" s="18">
        <f t="shared" ca="1" si="2"/>
        <v>0</v>
      </c>
      <c r="E95" s="19">
        <f t="shared" ca="1" si="3"/>
        <v>0</v>
      </c>
    </row>
    <row r="96" spans="1:5" x14ac:dyDescent="0.25">
      <c r="A96" s="12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19410405</v>
      </c>
      <c r="C96" s="13">
        <v>1</v>
      </c>
      <c r="D96" s="18">
        <f t="shared" ca="1" si="2"/>
        <v>0</v>
      </c>
      <c r="E96" s="19">
        <f t="shared" ca="1" si="3"/>
        <v>0</v>
      </c>
    </row>
    <row r="97" spans="1:5" x14ac:dyDescent="0.25">
      <c r="A97" s="12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19410406</v>
      </c>
      <c r="C97" s="13">
        <v>1</v>
      </c>
      <c r="D97" s="18">
        <f t="shared" ca="1" si="2"/>
        <v>0</v>
      </c>
      <c r="E97" s="19">
        <f t="shared" ca="1" si="3"/>
        <v>0</v>
      </c>
    </row>
    <row r="98" spans="1:5" x14ac:dyDescent="0.25">
      <c r="A98" s="12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19410407</v>
      </c>
      <c r="C98" s="13">
        <v>1</v>
      </c>
      <c r="D98" s="18">
        <f t="shared" ca="1" si="2"/>
        <v>0</v>
      </c>
      <c r="E98" s="19">
        <f t="shared" ca="1" si="3"/>
        <v>0</v>
      </c>
    </row>
    <row r="99" spans="1:5" x14ac:dyDescent="0.25">
      <c r="A99" s="12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19410408</v>
      </c>
      <c r="C99" s="13">
        <v>1</v>
      </c>
      <c r="D99" s="18">
        <f t="shared" ca="1" si="2"/>
        <v>0</v>
      </c>
      <c r="E99" s="19">
        <f t="shared" ca="1" si="3"/>
        <v>0</v>
      </c>
    </row>
    <row r="100" spans="1:5" x14ac:dyDescent="0.25">
      <c r="A100" s="12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19410409</v>
      </c>
      <c r="C100" s="13">
        <v>1</v>
      </c>
      <c r="D100" s="18">
        <f t="shared" ca="1" si="2"/>
        <v>0</v>
      </c>
      <c r="E100" s="19">
        <f t="shared" ca="1" si="3"/>
        <v>0</v>
      </c>
    </row>
    <row r="101" spans="1:5" x14ac:dyDescent="0.25">
      <c r="A101" s="12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19410410</v>
      </c>
      <c r="C101" s="13">
        <v>1</v>
      </c>
      <c r="D101" s="18">
        <f t="shared" ca="1" si="2"/>
        <v>0</v>
      </c>
      <c r="E101" s="19">
        <f t="shared" ca="1" si="3"/>
        <v>0</v>
      </c>
    </row>
    <row r="102" spans="1:5" x14ac:dyDescent="0.25">
      <c r="A102" s="12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19410411</v>
      </c>
      <c r="C102" s="13">
        <v>1</v>
      </c>
      <c r="D102" s="18">
        <f t="shared" ca="1" si="2"/>
        <v>0</v>
      </c>
      <c r="E102" s="19">
        <f t="shared" ca="1" si="3"/>
        <v>0</v>
      </c>
    </row>
    <row r="103" spans="1:5" x14ac:dyDescent="0.25">
      <c r="A103" s="12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19410412</v>
      </c>
      <c r="C103" s="13">
        <v>1</v>
      </c>
      <c r="D103" s="18">
        <f t="shared" ca="1" si="2"/>
        <v>0</v>
      </c>
      <c r="E103" s="19">
        <f t="shared" ca="1" si="3"/>
        <v>0</v>
      </c>
    </row>
    <row r="104" spans="1:5" x14ac:dyDescent="0.25">
      <c r="A104" s="12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19410413</v>
      </c>
      <c r="C104" s="13">
        <v>1</v>
      </c>
      <c r="D104" s="18">
        <f t="shared" ca="1" si="2"/>
        <v>0</v>
      </c>
      <c r="E104" s="19">
        <f t="shared" ca="1" si="3"/>
        <v>0</v>
      </c>
    </row>
    <row r="105" spans="1:5" x14ac:dyDescent="0.25">
      <c r="A105" s="12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19410414</v>
      </c>
      <c r="C105" s="13">
        <v>1</v>
      </c>
      <c r="D105" s="18">
        <f t="shared" ca="1" si="2"/>
        <v>236</v>
      </c>
      <c r="E105" s="19">
        <f t="shared" ca="1" si="3"/>
        <v>0</v>
      </c>
    </row>
    <row r="106" spans="1:5" x14ac:dyDescent="0.25">
      <c r="A106" s="12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19410415</v>
      </c>
      <c r="C106" s="13">
        <v>1</v>
      </c>
      <c r="D106" s="18">
        <f t="shared" ca="1" si="2"/>
        <v>131</v>
      </c>
      <c r="E106" s="19">
        <f t="shared" ca="1" si="3"/>
        <v>0</v>
      </c>
    </row>
    <row r="107" spans="1:5" x14ac:dyDescent="0.25">
      <c r="A107" s="12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19410416</v>
      </c>
      <c r="C107" s="13">
        <v>1</v>
      </c>
      <c r="D107" s="18">
        <f t="shared" ca="1" si="2"/>
        <v>0</v>
      </c>
      <c r="E107" s="19">
        <f t="shared" ca="1" si="3"/>
        <v>0</v>
      </c>
    </row>
    <row r="108" spans="1:5" x14ac:dyDescent="0.25">
      <c r="A108" s="12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19410417</v>
      </c>
      <c r="C108" s="13">
        <v>1</v>
      </c>
      <c r="D108" s="18">
        <f t="shared" ca="1" si="2"/>
        <v>21</v>
      </c>
      <c r="E108" s="19">
        <f t="shared" ca="1" si="3"/>
        <v>0</v>
      </c>
    </row>
    <row r="109" spans="1:5" x14ac:dyDescent="0.25">
      <c r="A109" s="12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19410418</v>
      </c>
      <c r="C109" s="13">
        <v>1</v>
      </c>
      <c r="D109" s="18">
        <f t="shared" ca="1" si="2"/>
        <v>40</v>
      </c>
      <c r="E109" s="19">
        <f t="shared" ca="1" si="3"/>
        <v>0</v>
      </c>
    </row>
    <row r="110" spans="1:5" x14ac:dyDescent="0.25">
      <c r="A110" s="12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19410419</v>
      </c>
      <c r="C110" s="13">
        <v>1</v>
      </c>
      <c r="D110" s="18">
        <f t="shared" ca="1" si="2"/>
        <v>0</v>
      </c>
      <c r="E110" s="19">
        <f t="shared" ca="1" si="3"/>
        <v>0</v>
      </c>
    </row>
    <row r="111" spans="1:5" x14ac:dyDescent="0.25">
      <c r="A111" s="12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19410420</v>
      </c>
      <c r="C111" s="13">
        <v>1</v>
      </c>
      <c r="D111" s="18">
        <f t="shared" ca="1" si="2"/>
        <v>0</v>
      </c>
      <c r="E111" s="19">
        <f t="shared" ca="1" si="3"/>
        <v>0</v>
      </c>
    </row>
    <row r="112" spans="1:5" x14ac:dyDescent="0.25">
      <c r="A112" s="12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19410421</v>
      </c>
      <c r="C112" s="13">
        <v>1</v>
      </c>
      <c r="D112" s="18">
        <f t="shared" ca="1" si="2"/>
        <v>0</v>
      </c>
      <c r="E112" s="19">
        <f t="shared" ca="1" si="3"/>
        <v>0</v>
      </c>
    </row>
    <row r="113" spans="1:5" x14ac:dyDescent="0.25">
      <c r="A113" s="12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19410422</v>
      </c>
      <c r="C113" s="13">
        <v>1</v>
      </c>
      <c r="D113" s="18">
        <f t="shared" ca="1" si="2"/>
        <v>0</v>
      </c>
      <c r="E113" s="19">
        <f t="shared" ca="1" si="3"/>
        <v>0</v>
      </c>
    </row>
    <row r="114" spans="1:5" x14ac:dyDescent="0.25">
      <c r="A114" s="12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19410423</v>
      </c>
      <c r="C114" s="13">
        <v>1</v>
      </c>
      <c r="D114" s="18">
        <f t="shared" ca="1" si="2"/>
        <v>0</v>
      </c>
      <c r="E114" s="19">
        <f t="shared" ca="1" si="3"/>
        <v>0</v>
      </c>
    </row>
    <row r="115" spans="1:5" x14ac:dyDescent="0.25">
      <c r="A115" s="12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19410424</v>
      </c>
      <c r="C115" s="13">
        <v>1</v>
      </c>
      <c r="D115" s="18">
        <f t="shared" ca="1" si="2"/>
        <v>0</v>
      </c>
      <c r="E115" s="19">
        <f t="shared" ca="1" si="3"/>
        <v>0</v>
      </c>
    </row>
    <row r="116" spans="1:5" x14ac:dyDescent="0.25">
      <c r="A116" s="12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19410425</v>
      </c>
      <c r="C116" s="13">
        <v>1</v>
      </c>
      <c r="D116" s="18">
        <f t="shared" ca="1" si="2"/>
        <v>0</v>
      </c>
      <c r="E116" s="19">
        <f t="shared" ca="1" si="3"/>
        <v>0</v>
      </c>
    </row>
    <row r="117" spans="1:5" x14ac:dyDescent="0.25">
      <c r="A117" s="12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19410426</v>
      </c>
      <c r="C117" s="13">
        <v>1</v>
      </c>
      <c r="D117" s="18">
        <f t="shared" ca="1" si="2"/>
        <v>0</v>
      </c>
      <c r="E117" s="19">
        <f t="shared" ca="1" si="3"/>
        <v>0</v>
      </c>
    </row>
    <row r="118" spans="1:5" x14ac:dyDescent="0.25">
      <c r="A118" s="12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19410427</v>
      </c>
      <c r="C118" s="13">
        <v>1</v>
      </c>
      <c r="D118" s="18">
        <f t="shared" ca="1" si="2"/>
        <v>0</v>
      </c>
      <c r="E118" s="19">
        <f t="shared" ca="1" si="3"/>
        <v>0</v>
      </c>
    </row>
    <row r="119" spans="1:5" x14ac:dyDescent="0.25">
      <c r="A119" s="12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19410428</v>
      </c>
      <c r="C119" s="13">
        <v>1</v>
      </c>
      <c r="D119" s="18">
        <f t="shared" ca="1" si="2"/>
        <v>0</v>
      </c>
      <c r="E119" s="19">
        <f t="shared" ca="1" si="3"/>
        <v>0</v>
      </c>
    </row>
    <row r="120" spans="1:5" x14ac:dyDescent="0.25">
      <c r="A120" s="12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19410429</v>
      </c>
      <c r="C120" s="13">
        <v>1</v>
      </c>
      <c r="D120" s="18">
        <f t="shared" ca="1" si="2"/>
        <v>0</v>
      </c>
      <c r="E120" s="19">
        <f t="shared" ca="1" si="3"/>
        <v>0</v>
      </c>
    </row>
    <row r="121" spans="1:5" x14ac:dyDescent="0.25">
      <c r="A121" s="12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19410430</v>
      </c>
      <c r="C121" s="13">
        <v>1</v>
      </c>
      <c r="D121" s="18">
        <f t="shared" ca="1" si="2"/>
        <v>0</v>
      </c>
      <c r="E121" s="19">
        <f t="shared" ca="1" si="3"/>
        <v>0</v>
      </c>
    </row>
    <row r="122" spans="1:5" x14ac:dyDescent="0.25">
      <c r="A122" s="12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19410501</v>
      </c>
      <c r="C122" s="13">
        <v>1</v>
      </c>
      <c r="D122" s="18">
        <f t="shared" ca="1" si="2"/>
        <v>0</v>
      </c>
      <c r="E122" s="19">
        <f t="shared" ca="1" si="3"/>
        <v>0</v>
      </c>
    </row>
    <row r="123" spans="1:5" x14ac:dyDescent="0.25">
      <c r="A123" s="12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19410502</v>
      </c>
      <c r="C123" s="13">
        <v>1</v>
      </c>
      <c r="D123" s="18">
        <f t="shared" ca="1" si="2"/>
        <v>0</v>
      </c>
      <c r="E123" s="19">
        <f t="shared" ca="1" si="3"/>
        <v>0</v>
      </c>
    </row>
    <row r="124" spans="1:5" x14ac:dyDescent="0.25">
      <c r="A124" s="12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19410503</v>
      </c>
      <c r="C124" s="13">
        <v>1</v>
      </c>
      <c r="D124" s="18">
        <f t="shared" ca="1" si="2"/>
        <v>0</v>
      </c>
      <c r="E124" s="19">
        <f t="shared" ca="1" si="3"/>
        <v>0</v>
      </c>
    </row>
    <row r="125" spans="1:5" x14ac:dyDescent="0.25">
      <c r="A125" s="12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19410504</v>
      </c>
      <c r="C125" s="13">
        <v>1</v>
      </c>
      <c r="D125" s="18">
        <f t="shared" ca="1" si="2"/>
        <v>0</v>
      </c>
      <c r="E125" s="19">
        <f t="shared" ca="1" si="3"/>
        <v>0</v>
      </c>
    </row>
    <row r="126" spans="1:5" x14ac:dyDescent="0.25">
      <c r="A126" s="12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19410505</v>
      </c>
      <c r="C126" s="13">
        <v>1</v>
      </c>
      <c r="D126" s="18">
        <f t="shared" ca="1" si="2"/>
        <v>0</v>
      </c>
      <c r="E126" s="19">
        <f t="shared" ca="1" si="3"/>
        <v>0</v>
      </c>
    </row>
    <row r="127" spans="1:5" x14ac:dyDescent="0.25">
      <c r="A127" s="12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19410506</v>
      </c>
      <c r="C127" s="13">
        <v>1</v>
      </c>
      <c r="D127" s="18">
        <f t="shared" ca="1" si="2"/>
        <v>0</v>
      </c>
      <c r="E127" s="19">
        <f t="shared" ca="1" si="3"/>
        <v>0</v>
      </c>
    </row>
    <row r="128" spans="1:5" x14ac:dyDescent="0.25">
      <c r="A128" s="12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19410507</v>
      </c>
      <c r="C128" s="13">
        <v>1</v>
      </c>
      <c r="D128" s="18">
        <f t="shared" ca="1" si="2"/>
        <v>0</v>
      </c>
      <c r="E128" s="19">
        <f t="shared" ca="1" si="3"/>
        <v>0</v>
      </c>
    </row>
    <row r="129" spans="1:5" x14ac:dyDescent="0.25">
      <c r="A129" s="12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19410508</v>
      </c>
      <c r="C129" s="13">
        <v>1</v>
      </c>
      <c r="D129" s="18">
        <f t="shared" ca="1" si="2"/>
        <v>0</v>
      </c>
      <c r="E129" s="19">
        <f t="shared" ca="1" si="3"/>
        <v>0</v>
      </c>
    </row>
    <row r="130" spans="1:5" x14ac:dyDescent="0.25">
      <c r="A130" s="12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19410509</v>
      </c>
      <c r="C130" s="13">
        <v>1</v>
      </c>
      <c r="D130" s="18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9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2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19410510</v>
      </c>
      <c r="C131" s="13">
        <v>1</v>
      </c>
      <c r="D131" s="18">
        <f t="shared" ca="1" si="4"/>
        <v>0</v>
      </c>
      <c r="E131" s="19">
        <f t="shared" ca="1" si="5"/>
        <v>0</v>
      </c>
    </row>
    <row r="132" spans="1:5" x14ac:dyDescent="0.25">
      <c r="A132" s="12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19410511</v>
      </c>
      <c r="C132" s="13">
        <v>1</v>
      </c>
      <c r="D132" s="18">
        <f t="shared" ca="1" si="4"/>
        <v>0</v>
      </c>
      <c r="E132" s="19">
        <f t="shared" ca="1" si="5"/>
        <v>0</v>
      </c>
    </row>
    <row r="133" spans="1:5" x14ac:dyDescent="0.25">
      <c r="A133" s="12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19410512</v>
      </c>
      <c r="C133" s="13">
        <v>1</v>
      </c>
      <c r="D133" s="18">
        <f t="shared" ca="1" si="4"/>
        <v>0</v>
      </c>
      <c r="E133" s="19">
        <f t="shared" ca="1" si="5"/>
        <v>0</v>
      </c>
    </row>
    <row r="134" spans="1:5" x14ac:dyDescent="0.25">
      <c r="A134" s="12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19410513</v>
      </c>
      <c r="C134" s="13">
        <v>1</v>
      </c>
      <c r="D134" s="18">
        <f t="shared" ca="1" si="4"/>
        <v>0</v>
      </c>
      <c r="E134" s="19">
        <f t="shared" ca="1" si="5"/>
        <v>0</v>
      </c>
    </row>
    <row r="135" spans="1:5" x14ac:dyDescent="0.25">
      <c r="A135" s="12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19410514</v>
      </c>
      <c r="C135" s="13">
        <v>1</v>
      </c>
      <c r="D135" s="18">
        <f t="shared" ca="1" si="4"/>
        <v>0</v>
      </c>
      <c r="E135" s="19">
        <f t="shared" ca="1" si="5"/>
        <v>0</v>
      </c>
    </row>
    <row r="136" spans="1:5" x14ac:dyDescent="0.25">
      <c r="A136" s="12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19410515</v>
      </c>
      <c r="C136" s="13">
        <v>1</v>
      </c>
      <c r="D136" s="18">
        <f t="shared" ca="1" si="4"/>
        <v>0</v>
      </c>
      <c r="E136" s="19">
        <f t="shared" ca="1" si="5"/>
        <v>0</v>
      </c>
    </row>
    <row r="137" spans="1:5" x14ac:dyDescent="0.25">
      <c r="A137" s="12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19410516</v>
      </c>
      <c r="C137" s="13">
        <v>1</v>
      </c>
      <c r="D137" s="18">
        <f t="shared" ca="1" si="4"/>
        <v>0</v>
      </c>
      <c r="E137" s="19">
        <f t="shared" ca="1" si="5"/>
        <v>0</v>
      </c>
    </row>
    <row r="138" spans="1:5" x14ac:dyDescent="0.25">
      <c r="A138" s="12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19410517</v>
      </c>
      <c r="C138" s="13">
        <v>1</v>
      </c>
      <c r="D138" s="18">
        <f t="shared" ca="1" si="4"/>
        <v>0</v>
      </c>
      <c r="E138" s="19">
        <f t="shared" ca="1" si="5"/>
        <v>0</v>
      </c>
    </row>
    <row r="139" spans="1:5" x14ac:dyDescent="0.25">
      <c r="A139" s="12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19410518</v>
      </c>
      <c r="C139" s="13">
        <v>1</v>
      </c>
      <c r="D139" s="18">
        <f t="shared" ca="1" si="4"/>
        <v>0</v>
      </c>
      <c r="E139" s="19">
        <f t="shared" ca="1" si="5"/>
        <v>0</v>
      </c>
    </row>
    <row r="140" spans="1:5" x14ac:dyDescent="0.25">
      <c r="A140" s="12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19410519</v>
      </c>
      <c r="C140" s="13">
        <v>1</v>
      </c>
      <c r="D140" s="18">
        <f t="shared" ca="1" si="4"/>
        <v>0</v>
      </c>
      <c r="E140" s="19">
        <f t="shared" ca="1" si="5"/>
        <v>0</v>
      </c>
    </row>
    <row r="141" spans="1:5" x14ac:dyDescent="0.25">
      <c r="A141" s="12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19410520</v>
      </c>
      <c r="C141" s="13">
        <v>1</v>
      </c>
      <c r="D141" s="18">
        <f t="shared" ca="1" si="4"/>
        <v>0</v>
      </c>
      <c r="E141" s="19">
        <f t="shared" ca="1" si="5"/>
        <v>0</v>
      </c>
    </row>
    <row r="142" spans="1:5" x14ac:dyDescent="0.25">
      <c r="A142" s="12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19410521</v>
      </c>
      <c r="C142" s="13">
        <v>1</v>
      </c>
      <c r="D142" s="18">
        <f t="shared" ca="1" si="4"/>
        <v>0</v>
      </c>
      <c r="E142" s="19">
        <f t="shared" ca="1" si="5"/>
        <v>0</v>
      </c>
    </row>
    <row r="143" spans="1:5" x14ac:dyDescent="0.25">
      <c r="A143" s="12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19410522</v>
      </c>
      <c r="C143" s="13">
        <v>1</v>
      </c>
      <c r="D143" s="18">
        <f t="shared" ca="1" si="4"/>
        <v>0</v>
      </c>
      <c r="E143" s="19">
        <f t="shared" ca="1" si="5"/>
        <v>0</v>
      </c>
    </row>
    <row r="144" spans="1:5" x14ac:dyDescent="0.25">
      <c r="A144" s="12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19410523</v>
      </c>
      <c r="C144" s="13">
        <v>1</v>
      </c>
      <c r="D144" s="18">
        <f t="shared" ca="1" si="4"/>
        <v>0</v>
      </c>
      <c r="E144" s="19">
        <f t="shared" ca="1" si="5"/>
        <v>0</v>
      </c>
    </row>
    <row r="145" spans="1:5" x14ac:dyDescent="0.25">
      <c r="A145" s="12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19410524</v>
      </c>
      <c r="C145" s="13">
        <v>1</v>
      </c>
      <c r="D145" s="18">
        <f t="shared" ca="1" si="4"/>
        <v>0</v>
      </c>
      <c r="E145" s="19">
        <f t="shared" ca="1" si="5"/>
        <v>0</v>
      </c>
    </row>
    <row r="146" spans="1:5" x14ac:dyDescent="0.25">
      <c r="A146" s="12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19410525</v>
      </c>
      <c r="C146" s="13">
        <v>1</v>
      </c>
      <c r="D146" s="18">
        <f t="shared" ca="1" si="4"/>
        <v>0</v>
      </c>
      <c r="E146" s="19">
        <f t="shared" ca="1" si="5"/>
        <v>0</v>
      </c>
    </row>
    <row r="147" spans="1:5" x14ac:dyDescent="0.25">
      <c r="A147" s="12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19410526</v>
      </c>
      <c r="C147" s="13">
        <v>1</v>
      </c>
      <c r="D147" s="18">
        <f t="shared" ca="1" si="4"/>
        <v>0</v>
      </c>
      <c r="E147" s="19">
        <f t="shared" ca="1" si="5"/>
        <v>0</v>
      </c>
    </row>
    <row r="148" spans="1:5" x14ac:dyDescent="0.25">
      <c r="A148" s="12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19410527</v>
      </c>
      <c r="C148" s="13">
        <v>1</v>
      </c>
      <c r="D148" s="18">
        <f t="shared" ca="1" si="4"/>
        <v>0</v>
      </c>
      <c r="E148" s="19">
        <f t="shared" ca="1" si="5"/>
        <v>0</v>
      </c>
    </row>
    <row r="149" spans="1:5" x14ac:dyDescent="0.25">
      <c r="A149" s="12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19410528</v>
      </c>
      <c r="C149" s="13">
        <v>1</v>
      </c>
      <c r="D149" s="18">
        <f t="shared" ca="1" si="4"/>
        <v>0</v>
      </c>
      <c r="E149" s="19">
        <f t="shared" ca="1" si="5"/>
        <v>0</v>
      </c>
    </row>
    <row r="150" spans="1:5" x14ac:dyDescent="0.25">
      <c r="A150" s="12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19410529</v>
      </c>
      <c r="C150" s="13">
        <v>1</v>
      </c>
      <c r="D150" s="18">
        <f t="shared" ca="1" si="4"/>
        <v>0</v>
      </c>
      <c r="E150" s="19">
        <f t="shared" ca="1" si="5"/>
        <v>0</v>
      </c>
    </row>
    <row r="151" spans="1:5" x14ac:dyDescent="0.25">
      <c r="A151" s="12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19410530</v>
      </c>
      <c r="C151" s="13">
        <v>1</v>
      </c>
      <c r="D151" s="18">
        <f t="shared" ca="1" si="4"/>
        <v>0</v>
      </c>
      <c r="E151" s="19">
        <f t="shared" ca="1" si="5"/>
        <v>0</v>
      </c>
    </row>
    <row r="152" spans="1:5" x14ac:dyDescent="0.25">
      <c r="A152" s="12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19410531</v>
      </c>
      <c r="C152" s="13">
        <v>1</v>
      </c>
      <c r="D152" s="18">
        <f t="shared" ca="1" si="4"/>
        <v>0</v>
      </c>
      <c r="E152" s="19">
        <f t="shared" ca="1" si="5"/>
        <v>0</v>
      </c>
    </row>
    <row r="153" spans="1:5" x14ac:dyDescent="0.25">
      <c r="A153" s="12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19410601</v>
      </c>
      <c r="C153" s="13">
        <v>1</v>
      </c>
      <c r="D153" s="18" t="str">
        <f t="shared" ca="1" si="4"/>
        <v>—</v>
      </c>
      <c r="E153" s="19">
        <f t="shared" ca="1" si="5"/>
        <v>7</v>
      </c>
    </row>
    <row r="154" spans="1:5" x14ac:dyDescent="0.25">
      <c r="A154" s="12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19410602</v>
      </c>
      <c r="C154" s="13">
        <v>1</v>
      </c>
      <c r="D154" s="18" t="str">
        <f t="shared" ca="1" si="4"/>
        <v>—</v>
      </c>
      <c r="E154" s="19">
        <f t="shared" ca="1" si="5"/>
        <v>7</v>
      </c>
    </row>
    <row r="155" spans="1:5" x14ac:dyDescent="0.25">
      <c r="A155" s="12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19410603</v>
      </c>
      <c r="C155" s="13">
        <v>1</v>
      </c>
      <c r="D155" s="18" t="str">
        <f t="shared" ca="1" si="4"/>
        <v>—</v>
      </c>
      <c r="E155" s="19">
        <f t="shared" ca="1" si="5"/>
        <v>7</v>
      </c>
    </row>
    <row r="156" spans="1:5" x14ac:dyDescent="0.25">
      <c r="A156" s="12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19410604</v>
      </c>
      <c r="C156" s="13">
        <v>1</v>
      </c>
      <c r="D156" s="18" t="str">
        <f t="shared" ca="1" si="4"/>
        <v>—</v>
      </c>
      <c r="E156" s="19">
        <f t="shared" ca="1" si="5"/>
        <v>7</v>
      </c>
    </row>
    <row r="157" spans="1:5" x14ac:dyDescent="0.25">
      <c r="A157" s="12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19410605</v>
      </c>
      <c r="C157" s="13">
        <v>1</v>
      </c>
      <c r="D157" s="18" t="str">
        <f t="shared" ca="1" si="4"/>
        <v>—</v>
      </c>
      <c r="E157" s="19">
        <f t="shared" ca="1" si="5"/>
        <v>7</v>
      </c>
    </row>
    <row r="158" spans="1:5" x14ac:dyDescent="0.25">
      <c r="A158" s="12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19410606</v>
      </c>
      <c r="C158" s="13">
        <v>1</v>
      </c>
      <c r="D158" s="18" t="str">
        <f t="shared" ca="1" si="4"/>
        <v>—</v>
      </c>
      <c r="E158" s="19">
        <f t="shared" ca="1" si="5"/>
        <v>7</v>
      </c>
    </row>
    <row r="159" spans="1:5" x14ac:dyDescent="0.25">
      <c r="A159" s="12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19410607</v>
      </c>
      <c r="C159" s="13">
        <v>1</v>
      </c>
      <c r="D159" s="18" t="str">
        <f t="shared" ca="1" si="4"/>
        <v>—</v>
      </c>
      <c r="E159" s="19">
        <f t="shared" ca="1" si="5"/>
        <v>7</v>
      </c>
    </row>
    <row r="160" spans="1:5" x14ac:dyDescent="0.25">
      <c r="A160" s="12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19410608</v>
      </c>
      <c r="C160" s="13">
        <v>1</v>
      </c>
      <c r="D160" s="18" t="str">
        <f t="shared" ca="1" si="4"/>
        <v>—</v>
      </c>
      <c r="E160" s="19">
        <f t="shared" ca="1" si="5"/>
        <v>7</v>
      </c>
    </row>
    <row r="161" spans="1:5" x14ac:dyDescent="0.25">
      <c r="A161" s="12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19410609</v>
      </c>
      <c r="C161" s="13">
        <v>1</v>
      </c>
      <c r="D161" s="18" t="str">
        <f t="shared" ca="1" si="4"/>
        <v>—</v>
      </c>
      <c r="E161" s="19">
        <f t="shared" ca="1" si="5"/>
        <v>7</v>
      </c>
    </row>
    <row r="162" spans="1:5" x14ac:dyDescent="0.25">
      <c r="A162" s="12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19410610</v>
      </c>
      <c r="C162" s="13">
        <v>1</v>
      </c>
      <c r="D162" s="18" t="str">
        <f t="shared" ca="1" si="4"/>
        <v>—</v>
      </c>
      <c r="E162" s="19">
        <f t="shared" ca="1" si="5"/>
        <v>7</v>
      </c>
    </row>
    <row r="163" spans="1:5" x14ac:dyDescent="0.25">
      <c r="A163" s="12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19410611</v>
      </c>
      <c r="C163" s="13">
        <v>1</v>
      </c>
      <c r="D163" s="18" t="str">
        <f t="shared" ca="1" si="4"/>
        <v>—</v>
      </c>
      <c r="E163" s="19">
        <f t="shared" ca="1" si="5"/>
        <v>7</v>
      </c>
    </row>
    <row r="164" spans="1:5" x14ac:dyDescent="0.25">
      <c r="A164" s="12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19410612</v>
      </c>
      <c r="C164" s="13">
        <v>1</v>
      </c>
      <c r="D164" s="18" t="str">
        <f t="shared" ca="1" si="4"/>
        <v>—</v>
      </c>
      <c r="E164" s="19">
        <f t="shared" ca="1" si="5"/>
        <v>7</v>
      </c>
    </row>
    <row r="165" spans="1:5" x14ac:dyDescent="0.25">
      <c r="A165" s="12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19410613</v>
      </c>
      <c r="C165" s="13">
        <v>1</v>
      </c>
      <c r="D165" s="18" t="str">
        <f t="shared" ca="1" si="4"/>
        <v>—</v>
      </c>
      <c r="E165" s="19">
        <f t="shared" ca="1" si="5"/>
        <v>7</v>
      </c>
    </row>
    <row r="166" spans="1:5" x14ac:dyDescent="0.25">
      <c r="A166" s="12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19410614</v>
      </c>
      <c r="C166" s="13">
        <v>1</v>
      </c>
      <c r="D166" s="18" t="str">
        <f t="shared" ca="1" si="4"/>
        <v>—</v>
      </c>
      <c r="E166" s="19">
        <f t="shared" ca="1" si="5"/>
        <v>7</v>
      </c>
    </row>
    <row r="167" spans="1:5" x14ac:dyDescent="0.25">
      <c r="A167" s="12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19410615</v>
      </c>
      <c r="C167" s="13">
        <v>1</v>
      </c>
      <c r="D167" s="18" t="str">
        <f t="shared" ca="1" si="4"/>
        <v>—</v>
      </c>
      <c r="E167" s="19">
        <f t="shared" ca="1" si="5"/>
        <v>7</v>
      </c>
    </row>
    <row r="168" spans="1:5" x14ac:dyDescent="0.25">
      <c r="A168" s="12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19410616</v>
      </c>
      <c r="C168" s="13">
        <v>1</v>
      </c>
      <c r="D168" s="18" t="str">
        <f t="shared" ca="1" si="4"/>
        <v>—</v>
      </c>
      <c r="E168" s="19">
        <f t="shared" ca="1" si="5"/>
        <v>7</v>
      </c>
    </row>
    <row r="169" spans="1:5" x14ac:dyDescent="0.25">
      <c r="A169" s="12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19410617</v>
      </c>
      <c r="C169" s="13">
        <v>1</v>
      </c>
      <c r="D169" s="18" t="str">
        <f t="shared" ca="1" si="4"/>
        <v>—</v>
      </c>
      <c r="E169" s="19">
        <f t="shared" ca="1" si="5"/>
        <v>7</v>
      </c>
    </row>
    <row r="170" spans="1:5" x14ac:dyDescent="0.25">
      <c r="A170" s="12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19410618</v>
      </c>
      <c r="C170" s="13">
        <v>1</v>
      </c>
      <c r="D170" s="18" t="str">
        <f t="shared" ca="1" si="4"/>
        <v>—</v>
      </c>
      <c r="E170" s="19">
        <f t="shared" ca="1" si="5"/>
        <v>7</v>
      </c>
    </row>
    <row r="171" spans="1:5" x14ac:dyDescent="0.25">
      <c r="A171" s="12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19410619</v>
      </c>
      <c r="C171" s="13">
        <v>1</v>
      </c>
      <c r="D171" s="18" t="str">
        <f t="shared" ca="1" si="4"/>
        <v>—</v>
      </c>
      <c r="E171" s="19">
        <f t="shared" ca="1" si="5"/>
        <v>7</v>
      </c>
    </row>
    <row r="172" spans="1:5" x14ac:dyDescent="0.25">
      <c r="A172" s="12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19410620</v>
      </c>
      <c r="C172" s="13">
        <v>1</v>
      </c>
      <c r="D172" s="18" t="str">
        <f t="shared" ca="1" si="4"/>
        <v>—</v>
      </c>
      <c r="E172" s="19">
        <f t="shared" ca="1" si="5"/>
        <v>7</v>
      </c>
    </row>
    <row r="173" spans="1:5" x14ac:dyDescent="0.25">
      <c r="A173" s="12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19410621</v>
      </c>
      <c r="C173" s="13">
        <v>1</v>
      </c>
      <c r="D173" s="18" t="str">
        <f t="shared" ca="1" si="4"/>
        <v>—</v>
      </c>
      <c r="E173" s="19">
        <f t="shared" ca="1" si="5"/>
        <v>7</v>
      </c>
    </row>
    <row r="174" spans="1:5" x14ac:dyDescent="0.25">
      <c r="A174" s="12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19410622</v>
      </c>
      <c r="C174" s="13">
        <v>1</v>
      </c>
      <c r="D174" s="18" t="str">
        <f t="shared" ca="1" si="4"/>
        <v>—</v>
      </c>
      <c r="E174" s="19">
        <f t="shared" ca="1" si="5"/>
        <v>7</v>
      </c>
    </row>
    <row r="175" spans="1:5" x14ac:dyDescent="0.25">
      <c r="A175" s="12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19410623</v>
      </c>
      <c r="C175" s="13">
        <v>1</v>
      </c>
      <c r="D175" s="18" t="str">
        <f t="shared" ca="1" si="4"/>
        <v>—</v>
      </c>
      <c r="E175" s="19">
        <f t="shared" ca="1" si="5"/>
        <v>7</v>
      </c>
    </row>
    <row r="176" spans="1:5" x14ac:dyDescent="0.25">
      <c r="A176" s="12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19410624</v>
      </c>
      <c r="C176" s="13">
        <v>1</v>
      </c>
      <c r="D176" s="18" t="str">
        <f t="shared" ca="1" si="4"/>
        <v>—</v>
      </c>
      <c r="E176" s="19">
        <f t="shared" ca="1" si="5"/>
        <v>7</v>
      </c>
    </row>
    <row r="177" spans="1:5" x14ac:dyDescent="0.25">
      <c r="A177" s="12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19410625</v>
      </c>
      <c r="C177" s="13">
        <v>1</v>
      </c>
      <c r="D177" s="18" t="str">
        <f t="shared" ca="1" si="4"/>
        <v>—</v>
      </c>
      <c r="E177" s="19">
        <f t="shared" ca="1" si="5"/>
        <v>7</v>
      </c>
    </row>
    <row r="178" spans="1:5" x14ac:dyDescent="0.25">
      <c r="A178" s="12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19410626</v>
      </c>
      <c r="C178" s="13">
        <v>1</v>
      </c>
      <c r="D178" s="18" t="str">
        <f t="shared" ca="1" si="4"/>
        <v>—</v>
      </c>
      <c r="E178" s="19">
        <f t="shared" ca="1" si="5"/>
        <v>7</v>
      </c>
    </row>
    <row r="179" spans="1:5" x14ac:dyDescent="0.25">
      <c r="A179" s="12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19410627</v>
      </c>
      <c r="C179" s="13">
        <v>1</v>
      </c>
      <c r="D179" s="18" t="str">
        <f t="shared" ca="1" si="4"/>
        <v>—</v>
      </c>
      <c r="E179" s="19">
        <f t="shared" ca="1" si="5"/>
        <v>7</v>
      </c>
    </row>
    <row r="180" spans="1:5" x14ac:dyDescent="0.25">
      <c r="A180" s="12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19410628</v>
      </c>
      <c r="C180" s="13">
        <v>1</v>
      </c>
      <c r="D180" s="18" t="str">
        <f t="shared" ca="1" si="4"/>
        <v>—</v>
      </c>
      <c r="E180" s="19">
        <f t="shared" ca="1" si="5"/>
        <v>7</v>
      </c>
    </row>
    <row r="181" spans="1:5" x14ac:dyDescent="0.25">
      <c r="A181" s="12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19410629</v>
      </c>
      <c r="C181" s="13">
        <v>1</v>
      </c>
      <c r="D181" s="18" t="str">
        <f t="shared" ca="1" si="4"/>
        <v>—</v>
      </c>
      <c r="E181" s="19">
        <f t="shared" ca="1" si="5"/>
        <v>7</v>
      </c>
    </row>
    <row r="182" spans="1:5" x14ac:dyDescent="0.25">
      <c r="A182" s="12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19410630</v>
      </c>
      <c r="C182" s="13">
        <v>1</v>
      </c>
      <c r="D182" s="18" t="str">
        <f t="shared" ca="1" si="4"/>
        <v>—</v>
      </c>
      <c r="E182" s="19">
        <f t="shared" ca="1" si="5"/>
        <v>7</v>
      </c>
    </row>
    <row r="183" spans="1:5" x14ac:dyDescent="0.25">
      <c r="A183" s="12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19410701</v>
      </c>
      <c r="C183" s="13">
        <v>1</v>
      </c>
      <c r="D183" s="18" t="str">
        <f t="shared" ca="1" si="4"/>
        <v>—</v>
      </c>
      <c r="E183" s="19">
        <f t="shared" ca="1" si="5"/>
        <v>7</v>
      </c>
    </row>
    <row r="184" spans="1:5" x14ac:dyDescent="0.25">
      <c r="A184" s="12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19410702</v>
      </c>
      <c r="C184" s="13">
        <v>1</v>
      </c>
      <c r="D184" s="18" t="str">
        <f t="shared" ca="1" si="4"/>
        <v>—</v>
      </c>
      <c r="E184" s="19">
        <f t="shared" ca="1" si="5"/>
        <v>7</v>
      </c>
    </row>
    <row r="185" spans="1:5" x14ac:dyDescent="0.25">
      <c r="A185" s="12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19410703</v>
      </c>
      <c r="C185" s="13">
        <v>1</v>
      </c>
      <c r="D185" s="18" t="str">
        <f t="shared" ca="1" si="4"/>
        <v>—</v>
      </c>
      <c r="E185" s="19">
        <f t="shared" ca="1" si="5"/>
        <v>7</v>
      </c>
    </row>
    <row r="186" spans="1:5" x14ac:dyDescent="0.25">
      <c r="A186" s="12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19410704</v>
      </c>
      <c r="C186" s="13">
        <v>1</v>
      </c>
      <c r="D186" s="18" t="str">
        <f t="shared" ca="1" si="4"/>
        <v>—</v>
      </c>
      <c r="E186" s="19">
        <f t="shared" ca="1" si="5"/>
        <v>7</v>
      </c>
    </row>
    <row r="187" spans="1:5" x14ac:dyDescent="0.25">
      <c r="A187" s="12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19410705</v>
      </c>
      <c r="C187" s="13">
        <v>1</v>
      </c>
      <c r="D187" s="18" t="str">
        <f t="shared" ca="1" si="4"/>
        <v>—</v>
      </c>
      <c r="E187" s="19">
        <f t="shared" ca="1" si="5"/>
        <v>7</v>
      </c>
    </row>
    <row r="188" spans="1:5" x14ac:dyDescent="0.25">
      <c r="A188" s="12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19410706</v>
      </c>
      <c r="C188" s="13">
        <v>1</v>
      </c>
      <c r="D188" s="18" t="str">
        <f t="shared" ca="1" si="4"/>
        <v>—</v>
      </c>
      <c r="E188" s="19">
        <f t="shared" ca="1" si="5"/>
        <v>7</v>
      </c>
    </row>
    <row r="189" spans="1:5" x14ac:dyDescent="0.25">
      <c r="A189" s="12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19410707</v>
      </c>
      <c r="C189" s="13">
        <v>1</v>
      </c>
      <c r="D189" s="18" t="str">
        <f t="shared" ca="1" si="4"/>
        <v>—</v>
      </c>
      <c r="E189" s="19">
        <f t="shared" ca="1" si="5"/>
        <v>7</v>
      </c>
    </row>
    <row r="190" spans="1:5" x14ac:dyDescent="0.25">
      <c r="A190" s="12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19410708</v>
      </c>
      <c r="C190" s="13">
        <v>1</v>
      </c>
      <c r="D190" s="18" t="str">
        <f t="shared" ca="1" si="4"/>
        <v>—</v>
      </c>
      <c r="E190" s="19">
        <f t="shared" ca="1" si="5"/>
        <v>7</v>
      </c>
    </row>
    <row r="191" spans="1:5" x14ac:dyDescent="0.25">
      <c r="A191" s="12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19410709</v>
      </c>
      <c r="C191" s="13">
        <v>1</v>
      </c>
      <c r="D191" s="18" t="str">
        <f t="shared" ca="1" si="4"/>
        <v>—</v>
      </c>
      <c r="E191" s="19">
        <f t="shared" ca="1" si="5"/>
        <v>7</v>
      </c>
    </row>
    <row r="192" spans="1:5" x14ac:dyDescent="0.25">
      <c r="A192" s="12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19410710</v>
      </c>
      <c r="C192" s="13">
        <v>1</v>
      </c>
      <c r="D192" s="18" t="str">
        <f t="shared" ca="1" si="4"/>
        <v>—</v>
      </c>
      <c r="E192" s="19">
        <f t="shared" ca="1" si="5"/>
        <v>7</v>
      </c>
    </row>
    <row r="193" spans="1:5" x14ac:dyDescent="0.25">
      <c r="A193" s="12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19410711</v>
      </c>
      <c r="C193" s="13">
        <v>1</v>
      </c>
      <c r="D193" s="18" t="str">
        <f t="shared" ca="1" si="4"/>
        <v>—</v>
      </c>
      <c r="E193" s="19">
        <f t="shared" ca="1" si="5"/>
        <v>7</v>
      </c>
    </row>
    <row r="194" spans="1:5" x14ac:dyDescent="0.25">
      <c r="A194" s="12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19410712</v>
      </c>
      <c r="C194" s="13">
        <v>1</v>
      </c>
      <c r="D194" s="18" t="str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—</v>
      </c>
      <c r="E194" s="19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7</v>
      </c>
    </row>
    <row r="195" spans="1:5" x14ac:dyDescent="0.25">
      <c r="A195" s="12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19410713</v>
      </c>
      <c r="C195" s="13">
        <v>1</v>
      </c>
      <c r="D195" s="18" t="str">
        <f t="shared" ca="1" si="6"/>
        <v>—</v>
      </c>
      <c r="E195" s="19">
        <f t="shared" ca="1" si="7"/>
        <v>7</v>
      </c>
    </row>
    <row r="196" spans="1:5" x14ac:dyDescent="0.25">
      <c r="A196" s="12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19410714</v>
      </c>
      <c r="C196" s="13">
        <v>1</v>
      </c>
      <c r="D196" s="18" t="str">
        <f t="shared" ca="1" si="6"/>
        <v>—</v>
      </c>
      <c r="E196" s="19">
        <f t="shared" ca="1" si="7"/>
        <v>7</v>
      </c>
    </row>
    <row r="197" spans="1:5" x14ac:dyDescent="0.25">
      <c r="A197" s="12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19410715</v>
      </c>
      <c r="C197" s="13">
        <v>1</v>
      </c>
      <c r="D197" s="18" t="str">
        <f t="shared" ca="1" si="6"/>
        <v>—</v>
      </c>
      <c r="E197" s="19">
        <f t="shared" ca="1" si="7"/>
        <v>7</v>
      </c>
    </row>
    <row r="198" spans="1:5" x14ac:dyDescent="0.25">
      <c r="A198" s="12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19410716</v>
      </c>
      <c r="C198" s="13">
        <v>1</v>
      </c>
      <c r="D198" s="18" t="str">
        <f t="shared" ca="1" si="6"/>
        <v>—</v>
      </c>
      <c r="E198" s="19">
        <f t="shared" ca="1" si="7"/>
        <v>7</v>
      </c>
    </row>
    <row r="199" spans="1:5" x14ac:dyDescent="0.25">
      <c r="A199" s="12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19410717</v>
      </c>
      <c r="C199" s="13">
        <v>1</v>
      </c>
      <c r="D199" s="18" t="str">
        <f t="shared" ca="1" si="6"/>
        <v>—</v>
      </c>
      <c r="E199" s="19">
        <f t="shared" ca="1" si="7"/>
        <v>7</v>
      </c>
    </row>
    <row r="200" spans="1:5" x14ac:dyDescent="0.25">
      <c r="A200" s="12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19410718</v>
      </c>
      <c r="C200" s="13">
        <v>1</v>
      </c>
      <c r="D200" s="18" t="str">
        <f t="shared" ca="1" si="6"/>
        <v>—</v>
      </c>
      <c r="E200" s="19">
        <f t="shared" ca="1" si="7"/>
        <v>7</v>
      </c>
    </row>
    <row r="201" spans="1:5" x14ac:dyDescent="0.25">
      <c r="A201" s="12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19410719</v>
      </c>
      <c r="C201" s="13">
        <v>1</v>
      </c>
      <c r="D201" s="18" t="str">
        <f t="shared" ca="1" si="6"/>
        <v>—</v>
      </c>
      <c r="E201" s="19">
        <f t="shared" ca="1" si="7"/>
        <v>7</v>
      </c>
    </row>
    <row r="202" spans="1:5" x14ac:dyDescent="0.25">
      <c r="A202" s="12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19410720</v>
      </c>
      <c r="C202" s="13">
        <v>1</v>
      </c>
      <c r="D202" s="18" t="str">
        <f t="shared" ca="1" si="6"/>
        <v>—</v>
      </c>
      <c r="E202" s="19">
        <f t="shared" ca="1" si="7"/>
        <v>7</v>
      </c>
    </row>
    <row r="203" spans="1:5" x14ac:dyDescent="0.25">
      <c r="A203" s="12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19410721</v>
      </c>
      <c r="C203" s="13">
        <v>1</v>
      </c>
      <c r="D203" s="18" t="str">
        <f t="shared" ca="1" si="6"/>
        <v>—</v>
      </c>
      <c r="E203" s="19">
        <f t="shared" ca="1" si="7"/>
        <v>7</v>
      </c>
    </row>
    <row r="204" spans="1:5" x14ac:dyDescent="0.25">
      <c r="A204" s="12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19410722</v>
      </c>
      <c r="C204" s="13">
        <v>1</v>
      </c>
      <c r="D204" s="18" t="str">
        <f t="shared" ca="1" si="6"/>
        <v>—</v>
      </c>
      <c r="E204" s="19">
        <f t="shared" ca="1" si="7"/>
        <v>7</v>
      </c>
    </row>
    <row r="205" spans="1:5" x14ac:dyDescent="0.25">
      <c r="A205" s="12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19410723</v>
      </c>
      <c r="C205" s="13">
        <v>1</v>
      </c>
      <c r="D205" s="18" t="str">
        <f t="shared" ca="1" si="6"/>
        <v>—</v>
      </c>
      <c r="E205" s="19">
        <f t="shared" ca="1" si="7"/>
        <v>7</v>
      </c>
    </row>
    <row r="206" spans="1:5" x14ac:dyDescent="0.25">
      <c r="A206" s="12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19410724</v>
      </c>
      <c r="C206" s="13">
        <v>1</v>
      </c>
      <c r="D206" s="18" t="str">
        <f t="shared" ca="1" si="6"/>
        <v>—</v>
      </c>
      <c r="E206" s="19">
        <f t="shared" ca="1" si="7"/>
        <v>7</v>
      </c>
    </row>
    <row r="207" spans="1:5" x14ac:dyDescent="0.25">
      <c r="A207" s="12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19410725</v>
      </c>
      <c r="C207" s="13">
        <v>1</v>
      </c>
      <c r="D207" s="18" t="str">
        <f t="shared" ca="1" si="6"/>
        <v>—</v>
      </c>
      <c r="E207" s="19">
        <f t="shared" ca="1" si="7"/>
        <v>7</v>
      </c>
    </row>
    <row r="208" spans="1:5" x14ac:dyDescent="0.25">
      <c r="A208" s="12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19410726</v>
      </c>
      <c r="C208" s="13">
        <v>1</v>
      </c>
      <c r="D208" s="18" t="str">
        <f t="shared" ca="1" si="6"/>
        <v>—</v>
      </c>
      <c r="E208" s="19">
        <f t="shared" ca="1" si="7"/>
        <v>7</v>
      </c>
    </row>
    <row r="209" spans="1:5" x14ac:dyDescent="0.25">
      <c r="A209" s="12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19410727</v>
      </c>
      <c r="C209" s="13">
        <v>1</v>
      </c>
      <c r="D209" s="18" t="str">
        <f t="shared" ca="1" si="6"/>
        <v>—</v>
      </c>
      <c r="E209" s="19">
        <f t="shared" ca="1" si="7"/>
        <v>7</v>
      </c>
    </row>
    <row r="210" spans="1:5" x14ac:dyDescent="0.25">
      <c r="A210" s="12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19410728</v>
      </c>
      <c r="C210" s="13">
        <v>1</v>
      </c>
      <c r="D210" s="18" t="str">
        <f t="shared" ca="1" si="6"/>
        <v>—</v>
      </c>
      <c r="E210" s="19">
        <f t="shared" ca="1" si="7"/>
        <v>7</v>
      </c>
    </row>
    <row r="211" spans="1:5" x14ac:dyDescent="0.25">
      <c r="A211" s="12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19410729</v>
      </c>
      <c r="C211" s="13">
        <v>1</v>
      </c>
      <c r="D211" s="18" t="str">
        <f t="shared" ca="1" si="6"/>
        <v>—</v>
      </c>
      <c r="E211" s="19">
        <f t="shared" ca="1" si="7"/>
        <v>7</v>
      </c>
    </row>
    <row r="212" spans="1:5" x14ac:dyDescent="0.25">
      <c r="A212" s="12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19410730</v>
      </c>
      <c r="C212" s="13">
        <v>1</v>
      </c>
      <c r="D212" s="18" t="str">
        <f t="shared" ca="1" si="6"/>
        <v>—</v>
      </c>
      <c r="E212" s="19">
        <f t="shared" ca="1" si="7"/>
        <v>7</v>
      </c>
    </row>
    <row r="213" spans="1:5" x14ac:dyDescent="0.25">
      <c r="A213" s="12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19410731</v>
      </c>
      <c r="C213" s="13">
        <v>1</v>
      </c>
      <c r="D213" s="18" t="str">
        <f t="shared" ca="1" si="6"/>
        <v>—</v>
      </c>
      <c r="E213" s="19">
        <f t="shared" ca="1" si="7"/>
        <v>7</v>
      </c>
    </row>
    <row r="214" spans="1:5" x14ac:dyDescent="0.25">
      <c r="A214" s="12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19410801</v>
      </c>
      <c r="C214" s="13">
        <v>1</v>
      </c>
      <c r="D214" s="18" t="str">
        <f t="shared" ca="1" si="6"/>
        <v>—</v>
      </c>
      <c r="E214" s="19">
        <f t="shared" ca="1" si="7"/>
        <v>7</v>
      </c>
    </row>
    <row r="215" spans="1:5" x14ac:dyDescent="0.25">
      <c r="A215" s="12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19410802</v>
      </c>
      <c r="C215" s="13">
        <v>1</v>
      </c>
      <c r="D215" s="18" t="str">
        <f t="shared" ca="1" si="6"/>
        <v>—</v>
      </c>
      <c r="E215" s="19">
        <f t="shared" ca="1" si="7"/>
        <v>7</v>
      </c>
    </row>
    <row r="216" spans="1:5" x14ac:dyDescent="0.25">
      <c r="A216" s="12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19410803</v>
      </c>
      <c r="C216" s="13">
        <v>1</v>
      </c>
      <c r="D216" s="18" t="str">
        <f t="shared" ca="1" si="6"/>
        <v>—</v>
      </c>
      <c r="E216" s="19">
        <f t="shared" ca="1" si="7"/>
        <v>7</v>
      </c>
    </row>
    <row r="217" spans="1:5" x14ac:dyDescent="0.25">
      <c r="A217" s="12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19410804</v>
      </c>
      <c r="C217" s="13">
        <v>1</v>
      </c>
      <c r="D217" s="18" t="str">
        <f t="shared" ca="1" si="6"/>
        <v>—</v>
      </c>
      <c r="E217" s="19">
        <f t="shared" ca="1" si="7"/>
        <v>7</v>
      </c>
    </row>
    <row r="218" spans="1:5" x14ac:dyDescent="0.25">
      <c r="A218" s="12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19410805</v>
      </c>
      <c r="C218" s="13">
        <v>1</v>
      </c>
      <c r="D218" s="18" t="str">
        <f t="shared" ca="1" si="6"/>
        <v>—</v>
      </c>
      <c r="E218" s="19">
        <f t="shared" ca="1" si="7"/>
        <v>7</v>
      </c>
    </row>
    <row r="219" spans="1:5" x14ac:dyDescent="0.25">
      <c r="A219" s="12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19410806</v>
      </c>
      <c r="C219" s="13">
        <v>1</v>
      </c>
      <c r="D219" s="18" t="str">
        <f t="shared" ca="1" si="6"/>
        <v>—</v>
      </c>
      <c r="E219" s="19">
        <f t="shared" ca="1" si="7"/>
        <v>7</v>
      </c>
    </row>
    <row r="220" spans="1:5" x14ac:dyDescent="0.25">
      <c r="A220" s="12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19410807</v>
      </c>
      <c r="C220" s="13">
        <v>1</v>
      </c>
      <c r="D220" s="18" t="str">
        <f t="shared" ca="1" si="6"/>
        <v>—</v>
      </c>
      <c r="E220" s="19">
        <f t="shared" ca="1" si="7"/>
        <v>7</v>
      </c>
    </row>
    <row r="221" spans="1:5" x14ac:dyDescent="0.25">
      <c r="A221" s="12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19410808</v>
      </c>
      <c r="C221" s="13">
        <v>1</v>
      </c>
      <c r="D221" s="18" t="str">
        <f t="shared" ca="1" si="6"/>
        <v>—</v>
      </c>
      <c r="E221" s="19">
        <f t="shared" ca="1" si="7"/>
        <v>7</v>
      </c>
    </row>
    <row r="222" spans="1:5" x14ac:dyDescent="0.25">
      <c r="A222" s="12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19410809</v>
      </c>
      <c r="C222" s="13">
        <v>1</v>
      </c>
      <c r="D222" s="18" t="str">
        <f t="shared" ca="1" si="6"/>
        <v>—</v>
      </c>
      <c r="E222" s="19">
        <f t="shared" ca="1" si="7"/>
        <v>7</v>
      </c>
    </row>
    <row r="223" spans="1:5" x14ac:dyDescent="0.25">
      <c r="A223" s="12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19410810</v>
      </c>
      <c r="C223" s="13">
        <v>1</v>
      </c>
      <c r="D223" s="18" t="str">
        <f t="shared" ca="1" si="6"/>
        <v>—</v>
      </c>
      <c r="E223" s="19">
        <f t="shared" ca="1" si="7"/>
        <v>7</v>
      </c>
    </row>
    <row r="224" spans="1:5" x14ac:dyDescent="0.25">
      <c r="A224" s="12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19410811</v>
      </c>
      <c r="C224" s="13">
        <v>1</v>
      </c>
      <c r="D224" s="18" t="str">
        <f t="shared" ca="1" si="6"/>
        <v>—</v>
      </c>
      <c r="E224" s="19">
        <f t="shared" ca="1" si="7"/>
        <v>7</v>
      </c>
    </row>
    <row r="225" spans="1:5" x14ac:dyDescent="0.25">
      <c r="A225" s="12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19410812</v>
      </c>
      <c r="C225" s="13">
        <v>1</v>
      </c>
      <c r="D225" s="18" t="str">
        <f t="shared" ca="1" si="6"/>
        <v>—</v>
      </c>
      <c r="E225" s="19">
        <f t="shared" ca="1" si="7"/>
        <v>7</v>
      </c>
    </row>
    <row r="226" spans="1:5" x14ac:dyDescent="0.25">
      <c r="A226" s="12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19410813</v>
      </c>
      <c r="C226" s="13">
        <v>1</v>
      </c>
      <c r="D226" s="18" t="str">
        <f t="shared" ca="1" si="6"/>
        <v>—</v>
      </c>
      <c r="E226" s="19">
        <f t="shared" ca="1" si="7"/>
        <v>7</v>
      </c>
    </row>
    <row r="227" spans="1:5" x14ac:dyDescent="0.25">
      <c r="A227" s="12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19410814</v>
      </c>
      <c r="C227" s="13">
        <v>1</v>
      </c>
      <c r="D227" s="18" t="str">
        <f t="shared" ca="1" si="6"/>
        <v>—</v>
      </c>
      <c r="E227" s="19">
        <f t="shared" ca="1" si="7"/>
        <v>7</v>
      </c>
    </row>
    <row r="228" spans="1:5" x14ac:dyDescent="0.25">
      <c r="A228" s="12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19410815</v>
      </c>
      <c r="C228" s="13">
        <v>1</v>
      </c>
      <c r="D228" s="18" t="str">
        <f t="shared" ca="1" si="6"/>
        <v>—</v>
      </c>
      <c r="E228" s="19">
        <f t="shared" ca="1" si="7"/>
        <v>7</v>
      </c>
    </row>
    <row r="229" spans="1:5" x14ac:dyDescent="0.25">
      <c r="A229" s="12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19410816</v>
      </c>
      <c r="C229" s="13">
        <v>1</v>
      </c>
      <c r="D229" s="18" t="str">
        <f t="shared" ca="1" si="6"/>
        <v>—</v>
      </c>
      <c r="E229" s="19">
        <f t="shared" ca="1" si="7"/>
        <v>7</v>
      </c>
    </row>
    <row r="230" spans="1:5" x14ac:dyDescent="0.25">
      <c r="A230" s="12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19410817</v>
      </c>
      <c r="C230" s="13">
        <v>1</v>
      </c>
      <c r="D230" s="18" t="str">
        <f t="shared" ca="1" si="6"/>
        <v>—</v>
      </c>
      <c r="E230" s="19">
        <f t="shared" ca="1" si="7"/>
        <v>7</v>
      </c>
    </row>
    <row r="231" spans="1:5" x14ac:dyDescent="0.25">
      <c r="A231" s="12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19410818</v>
      </c>
      <c r="C231" s="13">
        <v>1</v>
      </c>
      <c r="D231" s="18" t="str">
        <f t="shared" ca="1" si="6"/>
        <v>—</v>
      </c>
      <c r="E231" s="19">
        <f t="shared" ca="1" si="7"/>
        <v>7</v>
      </c>
    </row>
    <row r="232" spans="1:5" x14ac:dyDescent="0.25">
      <c r="A232" s="12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19410819</v>
      </c>
      <c r="C232" s="13">
        <v>1</v>
      </c>
      <c r="D232" s="18" t="str">
        <f t="shared" ca="1" si="6"/>
        <v>—</v>
      </c>
      <c r="E232" s="19">
        <f t="shared" ca="1" si="7"/>
        <v>7</v>
      </c>
    </row>
    <row r="233" spans="1:5" x14ac:dyDescent="0.25">
      <c r="A233" s="12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19410820</v>
      </c>
      <c r="C233" s="13">
        <v>1</v>
      </c>
      <c r="D233" s="18" t="str">
        <f t="shared" ca="1" si="6"/>
        <v>—</v>
      </c>
      <c r="E233" s="19">
        <f t="shared" ca="1" si="7"/>
        <v>7</v>
      </c>
    </row>
    <row r="234" spans="1:5" x14ac:dyDescent="0.25">
      <c r="A234" s="12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19410821</v>
      </c>
      <c r="C234" s="13">
        <v>1</v>
      </c>
      <c r="D234" s="18" t="str">
        <f t="shared" ca="1" si="6"/>
        <v>—</v>
      </c>
      <c r="E234" s="19">
        <f t="shared" ca="1" si="7"/>
        <v>7</v>
      </c>
    </row>
    <row r="235" spans="1:5" x14ac:dyDescent="0.25">
      <c r="A235" s="12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19410822</v>
      </c>
      <c r="C235" s="13">
        <v>1</v>
      </c>
      <c r="D235" s="18" t="str">
        <f t="shared" ca="1" si="6"/>
        <v>—</v>
      </c>
      <c r="E235" s="19">
        <f t="shared" ca="1" si="7"/>
        <v>7</v>
      </c>
    </row>
    <row r="236" spans="1:5" x14ac:dyDescent="0.25">
      <c r="A236" s="12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19410823</v>
      </c>
      <c r="C236" s="13">
        <v>1</v>
      </c>
      <c r="D236" s="18" t="str">
        <f t="shared" ca="1" si="6"/>
        <v>—</v>
      </c>
      <c r="E236" s="19">
        <f t="shared" ca="1" si="7"/>
        <v>7</v>
      </c>
    </row>
    <row r="237" spans="1:5" x14ac:dyDescent="0.25">
      <c r="A237" s="12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19410824</v>
      </c>
      <c r="C237" s="13">
        <v>1</v>
      </c>
      <c r="D237" s="18" t="str">
        <f t="shared" ca="1" si="6"/>
        <v>—</v>
      </c>
      <c r="E237" s="19">
        <f t="shared" ca="1" si="7"/>
        <v>7</v>
      </c>
    </row>
    <row r="238" spans="1:5" x14ac:dyDescent="0.25">
      <c r="A238" s="12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19410825</v>
      </c>
      <c r="C238" s="13">
        <v>1</v>
      </c>
      <c r="D238" s="18" t="str">
        <f t="shared" ca="1" si="6"/>
        <v>—</v>
      </c>
      <c r="E238" s="19">
        <f t="shared" ca="1" si="7"/>
        <v>7</v>
      </c>
    </row>
    <row r="239" spans="1:5" x14ac:dyDescent="0.25">
      <c r="A239" s="12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19410826</v>
      </c>
      <c r="C239" s="13">
        <v>1</v>
      </c>
      <c r="D239" s="18" t="str">
        <f t="shared" ca="1" si="6"/>
        <v>—</v>
      </c>
      <c r="E239" s="19">
        <f t="shared" ca="1" si="7"/>
        <v>7</v>
      </c>
    </row>
    <row r="240" spans="1:5" x14ac:dyDescent="0.25">
      <c r="A240" s="12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19410827</v>
      </c>
      <c r="C240" s="13">
        <v>1</v>
      </c>
      <c r="D240" s="18" t="str">
        <f t="shared" ca="1" si="6"/>
        <v>—</v>
      </c>
      <c r="E240" s="19">
        <f t="shared" ca="1" si="7"/>
        <v>7</v>
      </c>
    </row>
    <row r="241" spans="1:5" x14ac:dyDescent="0.25">
      <c r="A241" s="12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19410828</v>
      </c>
      <c r="C241" s="13">
        <v>1</v>
      </c>
      <c r="D241" s="18" t="str">
        <f t="shared" ca="1" si="6"/>
        <v>—</v>
      </c>
      <c r="E241" s="19">
        <f t="shared" ca="1" si="7"/>
        <v>7</v>
      </c>
    </row>
    <row r="242" spans="1:5" x14ac:dyDescent="0.25">
      <c r="A242" s="12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19410829</v>
      </c>
      <c r="C242" s="13">
        <v>1</v>
      </c>
      <c r="D242" s="18" t="str">
        <f t="shared" ca="1" si="6"/>
        <v>—</v>
      </c>
      <c r="E242" s="19">
        <f t="shared" ca="1" si="7"/>
        <v>7</v>
      </c>
    </row>
    <row r="243" spans="1:5" x14ac:dyDescent="0.25">
      <c r="A243" s="12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19410830</v>
      </c>
      <c r="C243" s="13">
        <v>1</v>
      </c>
      <c r="D243" s="18" t="str">
        <f t="shared" ca="1" si="6"/>
        <v>—</v>
      </c>
      <c r="E243" s="19">
        <f t="shared" ca="1" si="7"/>
        <v>7</v>
      </c>
    </row>
    <row r="244" spans="1:5" x14ac:dyDescent="0.25">
      <c r="A244" s="12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19410831</v>
      </c>
      <c r="C244" s="13">
        <v>1</v>
      </c>
      <c r="D244" s="18" t="str">
        <f t="shared" ca="1" si="6"/>
        <v>—</v>
      </c>
      <c r="E244" s="19">
        <f t="shared" ca="1" si="7"/>
        <v>7</v>
      </c>
    </row>
    <row r="245" spans="1:5" x14ac:dyDescent="0.25">
      <c r="A245" s="12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19410901</v>
      </c>
      <c r="C245" s="13">
        <v>1</v>
      </c>
      <c r="D245" s="18" t="str">
        <f t="shared" ca="1" si="6"/>
        <v>—</v>
      </c>
      <c r="E245" s="19">
        <f t="shared" ca="1" si="7"/>
        <v>7</v>
      </c>
    </row>
    <row r="246" spans="1:5" x14ac:dyDescent="0.25">
      <c r="A246" s="12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19410902</v>
      </c>
      <c r="C246" s="13">
        <v>1</v>
      </c>
      <c r="D246" s="18" t="str">
        <f t="shared" ca="1" si="6"/>
        <v>—</v>
      </c>
      <c r="E246" s="19">
        <f t="shared" ca="1" si="7"/>
        <v>7</v>
      </c>
    </row>
    <row r="247" spans="1:5" x14ac:dyDescent="0.25">
      <c r="A247" s="12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19410903</v>
      </c>
      <c r="C247" s="13">
        <v>1</v>
      </c>
      <c r="D247" s="18" t="str">
        <f t="shared" ca="1" si="6"/>
        <v>—</v>
      </c>
      <c r="E247" s="19">
        <f t="shared" ca="1" si="7"/>
        <v>7</v>
      </c>
    </row>
    <row r="248" spans="1:5" x14ac:dyDescent="0.25">
      <c r="A248" s="12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19410904</v>
      </c>
      <c r="C248" s="13">
        <v>1</v>
      </c>
      <c r="D248" s="18" t="str">
        <f t="shared" ca="1" si="6"/>
        <v>—</v>
      </c>
      <c r="E248" s="19">
        <f t="shared" ca="1" si="7"/>
        <v>7</v>
      </c>
    </row>
    <row r="249" spans="1:5" x14ac:dyDescent="0.25">
      <c r="A249" s="12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19410905</v>
      </c>
      <c r="C249" s="13">
        <v>1</v>
      </c>
      <c r="D249" s="18" t="str">
        <f t="shared" ca="1" si="6"/>
        <v>—</v>
      </c>
      <c r="E249" s="19">
        <f t="shared" ca="1" si="7"/>
        <v>7</v>
      </c>
    </row>
    <row r="250" spans="1:5" x14ac:dyDescent="0.25">
      <c r="A250" s="12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19410906</v>
      </c>
      <c r="C250" s="13">
        <v>1</v>
      </c>
      <c r="D250" s="18" t="str">
        <f t="shared" ca="1" si="6"/>
        <v>—</v>
      </c>
      <c r="E250" s="19">
        <f t="shared" ca="1" si="7"/>
        <v>7</v>
      </c>
    </row>
    <row r="251" spans="1:5" x14ac:dyDescent="0.25">
      <c r="A251" s="12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19410907</v>
      </c>
      <c r="C251" s="13">
        <v>1</v>
      </c>
      <c r="D251" s="18" t="str">
        <f t="shared" ca="1" si="6"/>
        <v>—</v>
      </c>
      <c r="E251" s="19">
        <f t="shared" ca="1" si="7"/>
        <v>7</v>
      </c>
    </row>
    <row r="252" spans="1:5" x14ac:dyDescent="0.25">
      <c r="A252" s="12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19410908</v>
      </c>
      <c r="C252" s="13">
        <v>1</v>
      </c>
      <c r="D252" s="18" t="str">
        <f t="shared" ca="1" si="6"/>
        <v>—</v>
      </c>
      <c r="E252" s="19">
        <f t="shared" ca="1" si="7"/>
        <v>7</v>
      </c>
    </row>
    <row r="253" spans="1:5" x14ac:dyDescent="0.25">
      <c r="A253" s="12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19410909</v>
      </c>
      <c r="C253" s="13">
        <v>1</v>
      </c>
      <c r="D253" s="18" t="str">
        <f t="shared" ca="1" si="6"/>
        <v>—</v>
      </c>
      <c r="E253" s="19">
        <f t="shared" ca="1" si="7"/>
        <v>7</v>
      </c>
    </row>
    <row r="254" spans="1:5" x14ac:dyDescent="0.25">
      <c r="A254" s="12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19410910</v>
      </c>
      <c r="C254" s="13">
        <v>1</v>
      </c>
      <c r="D254" s="18" t="str">
        <f t="shared" ca="1" si="6"/>
        <v>—</v>
      </c>
      <c r="E254" s="19">
        <f t="shared" ca="1" si="7"/>
        <v>7</v>
      </c>
    </row>
    <row r="255" spans="1:5" x14ac:dyDescent="0.25">
      <c r="A255" s="12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19410911</v>
      </c>
      <c r="C255" s="13">
        <v>1</v>
      </c>
      <c r="D255" s="18" t="str">
        <f t="shared" ca="1" si="6"/>
        <v>—</v>
      </c>
      <c r="E255" s="19">
        <f t="shared" ca="1" si="7"/>
        <v>7</v>
      </c>
    </row>
    <row r="256" spans="1:5" x14ac:dyDescent="0.25">
      <c r="A256" s="12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19410912</v>
      </c>
      <c r="C256" s="13">
        <v>1</v>
      </c>
      <c r="D256" s="18" t="str">
        <f t="shared" ca="1" si="6"/>
        <v>—</v>
      </c>
      <c r="E256" s="19">
        <f t="shared" ca="1" si="7"/>
        <v>7</v>
      </c>
    </row>
    <row r="257" spans="1:5" x14ac:dyDescent="0.25">
      <c r="A257" s="12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19410913</v>
      </c>
      <c r="C257" s="13">
        <v>1</v>
      </c>
      <c r="D257" s="18" t="str">
        <f t="shared" ca="1" si="6"/>
        <v>—</v>
      </c>
      <c r="E257" s="19">
        <f t="shared" ca="1" si="7"/>
        <v>7</v>
      </c>
    </row>
    <row r="258" spans="1:5" x14ac:dyDescent="0.25">
      <c r="A258" s="12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19410914</v>
      </c>
      <c r="C258" s="13">
        <v>1</v>
      </c>
      <c r="D258" s="18" t="str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—</v>
      </c>
      <c r="E258" s="19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7</v>
      </c>
    </row>
    <row r="259" spans="1:5" x14ac:dyDescent="0.25">
      <c r="A259" s="12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19410915</v>
      </c>
      <c r="C259" s="13">
        <v>1</v>
      </c>
      <c r="D259" s="18" t="str">
        <f t="shared" ca="1" si="8"/>
        <v>—</v>
      </c>
      <c r="E259" s="19">
        <f t="shared" ca="1" si="9"/>
        <v>7</v>
      </c>
    </row>
    <row r="260" spans="1:5" x14ac:dyDescent="0.25">
      <c r="A260" s="12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19410916</v>
      </c>
      <c r="C260" s="13">
        <v>1</v>
      </c>
      <c r="D260" s="18" t="str">
        <f t="shared" ca="1" si="8"/>
        <v>—</v>
      </c>
      <c r="E260" s="19">
        <f t="shared" ca="1" si="9"/>
        <v>7</v>
      </c>
    </row>
    <row r="261" spans="1:5" x14ac:dyDescent="0.25">
      <c r="A261" s="12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19410917</v>
      </c>
      <c r="C261" s="13">
        <v>1</v>
      </c>
      <c r="D261" s="18" t="str">
        <f t="shared" ca="1" si="8"/>
        <v>—</v>
      </c>
      <c r="E261" s="19">
        <f t="shared" ca="1" si="9"/>
        <v>7</v>
      </c>
    </row>
    <row r="262" spans="1:5" x14ac:dyDescent="0.25">
      <c r="A262" s="12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19410918</v>
      </c>
      <c r="C262" s="13">
        <v>1</v>
      </c>
      <c r="D262" s="18" t="str">
        <f t="shared" ca="1" si="8"/>
        <v>—</v>
      </c>
      <c r="E262" s="19">
        <f t="shared" ca="1" si="9"/>
        <v>7</v>
      </c>
    </row>
    <row r="263" spans="1:5" x14ac:dyDescent="0.25">
      <c r="A263" s="12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19410919</v>
      </c>
      <c r="C263" s="13">
        <v>1</v>
      </c>
      <c r="D263" s="18" t="str">
        <f t="shared" ca="1" si="8"/>
        <v>—</v>
      </c>
      <c r="E263" s="19">
        <f t="shared" ca="1" si="9"/>
        <v>7</v>
      </c>
    </row>
    <row r="264" spans="1:5" x14ac:dyDescent="0.25">
      <c r="A264" s="12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19410920</v>
      </c>
      <c r="C264" s="13">
        <v>1</v>
      </c>
      <c r="D264" s="18" t="str">
        <f t="shared" ca="1" si="8"/>
        <v>—</v>
      </c>
      <c r="E264" s="19">
        <f t="shared" ca="1" si="9"/>
        <v>7</v>
      </c>
    </row>
    <row r="265" spans="1:5" x14ac:dyDescent="0.25">
      <c r="A265" s="12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19410921</v>
      </c>
      <c r="C265" s="13">
        <v>1</v>
      </c>
      <c r="D265" s="18" t="str">
        <f t="shared" ca="1" si="8"/>
        <v>—</v>
      </c>
      <c r="E265" s="19">
        <f t="shared" ca="1" si="9"/>
        <v>7</v>
      </c>
    </row>
    <row r="266" spans="1:5" x14ac:dyDescent="0.25">
      <c r="A266" s="12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19410922</v>
      </c>
      <c r="C266" s="13">
        <v>1</v>
      </c>
      <c r="D266" s="18" t="str">
        <f t="shared" ca="1" si="8"/>
        <v>—</v>
      </c>
      <c r="E266" s="19">
        <f t="shared" ca="1" si="9"/>
        <v>7</v>
      </c>
    </row>
    <row r="267" spans="1:5" x14ac:dyDescent="0.25">
      <c r="A267" s="12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19410923</v>
      </c>
      <c r="C267" s="13">
        <v>1</v>
      </c>
      <c r="D267" s="18" t="str">
        <f t="shared" ca="1" si="8"/>
        <v>—</v>
      </c>
      <c r="E267" s="19">
        <f t="shared" ca="1" si="9"/>
        <v>7</v>
      </c>
    </row>
    <row r="268" spans="1:5" x14ac:dyDescent="0.25">
      <c r="A268" s="12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19410924</v>
      </c>
      <c r="C268" s="13">
        <v>1</v>
      </c>
      <c r="D268" s="18" t="str">
        <f t="shared" ca="1" si="8"/>
        <v>—</v>
      </c>
      <c r="E268" s="19">
        <f t="shared" ca="1" si="9"/>
        <v>7</v>
      </c>
    </row>
    <row r="269" spans="1:5" x14ac:dyDescent="0.25">
      <c r="A269" s="12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19410925</v>
      </c>
      <c r="C269" s="13">
        <v>1</v>
      </c>
      <c r="D269" s="18" t="str">
        <f t="shared" ca="1" si="8"/>
        <v>—</v>
      </c>
      <c r="E269" s="19">
        <f t="shared" ca="1" si="9"/>
        <v>7</v>
      </c>
    </row>
    <row r="270" spans="1:5" x14ac:dyDescent="0.25">
      <c r="A270" s="12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19410926</v>
      </c>
      <c r="C270" s="13">
        <v>1</v>
      </c>
      <c r="D270" s="18" t="str">
        <f t="shared" ca="1" si="8"/>
        <v>—</v>
      </c>
      <c r="E270" s="19">
        <f t="shared" ca="1" si="9"/>
        <v>7</v>
      </c>
    </row>
    <row r="271" spans="1:5" x14ac:dyDescent="0.25">
      <c r="A271" s="12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19410927</v>
      </c>
      <c r="C271" s="13">
        <v>1</v>
      </c>
      <c r="D271" s="18" t="str">
        <f t="shared" ca="1" si="8"/>
        <v>—</v>
      </c>
      <c r="E271" s="19">
        <f t="shared" ca="1" si="9"/>
        <v>7</v>
      </c>
    </row>
    <row r="272" spans="1:5" x14ac:dyDescent="0.25">
      <c r="A272" s="12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19410928</v>
      </c>
      <c r="C272" s="13">
        <v>1</v>
      </c>
      <c r="D272" s="18" t="str">
        <f t="shared" ca="1" si="8"/>
        <v>—</v>
      </c>
      <c r="E272" s="19">
        <f t="shared" ca="1" si="9"/>
        <v>7</v>
      </c>
    </row>
    <row r="273" spans="1:5" x14ac:dyDescent="0.25">
      <c r="A273" s="12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19410929</v>
      </c>
      <c r="C273" s="13">
        <v>1</v>
      </c>
      <c r="D273" s="18" t="str">
        <f t="shared" ca="1" si="8"/>
        <v>—</v>
      </c>
      <c r="E273" s="19">
        <f t="shared" ca="1" si="9"/>
        <v>7</v>
      </c>
    </row>
    <row r="274" spans="1:5" x14ac:dyDescent="0.25">
      <c r="A274" s="12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19410930</v>
      </c>
      <c r="C274" s="13">
        <v>1</v>
      </c>
      <c r="D274" s="18" t="str">
        <f t="shared" ca="1" si="8"/>
        <v>—</v>
      </c>
      <c r="E274" s="19">
        <f t="shared" ca="1" si="9"/>
        <v>7</v>
      </c>
    </row>
    <row r="275" spans="1:5" x14ac:dyDescent="0.25">
      <c r="A275" s="12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19411001</v>
      </c>
      <c r="C275" s="13">
        <v>1</v>
      </c>
      <c r="D275" s="18" t="str">
        <f t="shared" ca="1" si="8"/>
        <v>—</v>
      </c>
      <c r="E275" s="19">
        <f t="shared" ca="1" si="9"/>
        <v>7</v>
      </c>
    </row>
    <row r="276" spans="1:5" x14ac:dyDescent="0.25">
      <c r="A276" s="12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19411002</v>
      </c>
      <c r="C276" s="13">
        <v>1</v>
      </c>
      <c r="D276" s="18" t="str">
        <f t="shared" ca="1" si="8"/>
        <v>—</v>
      </c>
      <c r="E276" s="19">
        <f t="shared" ca="1" si="9"/>
        <v>7</v>
      </c>
    </row>
    <row r="277" spans="1:5" x14ac:dyDescent="0.25">
      <c r="A277" s="12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19411003</v>
      </c>
      <c r="C277" s="13">
        <v>1</v>
      </c>
      <c r="D277" s="18" t="str">
        <f t="shared" ca="1" si="8"/>
        <v>—</v>
      </c>
      <c r="E277" s="19">
        <f t="shared" ca="1" si="9"/>
        <v>7</v>
      </c>
    </row>
    <row r="278" spans="1:5" x14ac:dyDescent="0.25">
      <c r="A278" s="12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19411004</v>
      </c>
      <c r="C278" s="13">
        <v>1</v>
      </c>
      <c r="D278" s="18" t="str">
        <f t="shared" ca="1" si="8"/>
        <v>—</v>
      </c>
      <c r="E278" s="19">
        <f t="shared" ca="1" si="9"/>
        <v>7</v>
      </c>
    </row>
    <row r="279" spans="1:5" x14ac:dyDescent="0.25">
      <c r="A279" s="12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19411005</v>
      </c>
      <c r="C279" s="13">
        <v>1</v>
      </c>
      <c r="D279" s="18" t="str">
        <f t="shared" ca="1" si="8"/>
        <v>—</v>
      </c>
      <c r="E279" s="19">
        <f t="shared" ca="1" si="9"/>
        <v>7</v>
      </c>
    </row>
    <row r="280" spans="1:5" x14ac:dyDescent="0.25">
      <c r="A280" s="12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19411006</v>
      </c>
      <c r="C280" s="13">
        <v>1</v>
      </c>
      <c r="D280" s="18" t="str">
        <f t="shared" ca="1" si="8"/>
        <v>—</v>
      </c>
      <c r="E280" s="19">
        <f t="shared" ca="1" si="9"/>
        <v>7</v>
      </c>
    </row>
    <row r="281" spans="1:5" x14ac:dyDescent="0.25">
      <c r="A281" s="12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19411007</v>
      </c>
      <c r="C281" s="13">
        <v>1</v>
      </c>
      <c r="D281" s="18" t="str">
        <f t="shared" ca="1" si="8"/>
        <v>—</v>
      </c>
      <c r="E281" s="19">
        <f t="shared" ca="1" si="9"/>
        <v>7</v>
      </c>
    </row>
    <row r="282" spans="1:5" x14ac:dyDescent="0.25">
      <c r="A282" s="12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19411008</v>
      </c>
      <c r="C282" s="13">
        <v>1</v>
      </c>
      <c r="D282" s="18" t="str">
        <f t="shared" ca="1" si="8"/>
        <v>—</v>
      </c>
      <c r="E282" s="19">
        <f t="shared" ca="1" si="9"/>
        <v>7</v>
      </c>
    </row>
    <row r="283" spans="1:5" x14ac:dyDescent="0.25">
      <c r="A283" s="12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19411009</v>
      </c>
      <c r="C283" s="13">
        <v>1</v>
      </c>
      <c r="D283" s="18" t="str">
        <f t="shared" ca="1" si="8"/>
        <v>—</v>
      </c>
      <c r="E283" s="19">
        <f t="shared" ca="1" si="9"/>
        <v>7</v>
      </c>
    </row>
    <row r="284" spans="1:5" x14ac:dyDescent="0.25">
      <c r="A284" s="12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19411010</v>
      </c>
      <c r="C284" s="13">
        <v>1</v>
      </c>
      <c r="D284" s="18" t="str">
        <f t="shared" ca="1" si="8"/>
        <v>—</v>
      </c>
      <c r="E284" s="19">
        <f t="shared" ca="1" si="9"/>
        <v>7</v>
      </c>
    </row>
    <row r="285" spans="1:5" x14ac:dyDescent="0.25">
      <c r="A285" s="12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19411011</v>
      </c>
      <c r="C285" s="13">
        <v>1</v>
      </c>
      <c r="D285" s="18" t="str">
        <f t="shared" ca="1" si="8"/>
        <v>—</v>
      </c>
      <c r="E285" s="19">
        <f t="shared" ca="1" si="9"/>
        <v>7</v>
      </c>
    </row>
    <row r="286" spans="1:5" x14ac:dyDescent="0.25">
      <c r="A286" s="12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19411012</v>
      </c>
      <c r="C286" s="13">
        <v>1</v>
      </c>
      <c r="D286" s="18" t="str">
        <f t="shared" ca="1" si="8"/>
        <v>—</v>
      </c>
      <c r="E286" s="19">
        <f t="shared" ca="1" si="9"/>
        <v>7</v>
      </c>
    </row>
    <row r="287" spans="1:5" x14ac:dyDescent="0.25">
      <c r="A287" s="12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19411013</v>
      </c>
      <c r="C287" s="13">
        <v>1</v>
      </c>
      <c r="D287" s="18" t="str">
        <f t="shared" ca="1" si="8"/>
        <v>—</v>
      </c>
      <c r="E287" s="19">
        <f t="shared" ca="1" si="9"/>
        <v>7</v>
      </c>
    </row>
    <row r="288" spans="1:5" x14ac:dyDescent="0.25">
      <c r="A288" s="12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19411014</v>
      </c>
      <c r="C288" s="13">
        <v>1</v>
      </c>
      <c r="D288" s="18" t="str">
        <f t="shared" ca="1" si="8"/>
        <v>—</v>
      </c>
      <c r="E288" s="19">
        <f t="shared" ca="1" si="9"/>
        <v>7</v>
      </c>
    </row>
    <row r="289" spans="1:5" x14ac:dyDescent="0.25">
      <c r="A289" s="12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19411015</v>
      </c>
      <c r="C289" s="13">
        <v>1</v>
      </c>
      <c r="D289" s="18" t="str">
        <f t="shared" ca="1" si="8"/>
        <v>—</v>
      </c>
      <c r="E289" s="19">
        <f t="shared" ca="1" si="9"/>
        <v>7</v>
      </c>
    </row>
    <row r="290" spans="1:5" x14ac:dyDescent="0.25">
      <c r="A290" s="12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19411016</v>
      </c>
      <c r="C290" s="13">
        <v>1</v>
      </c>
      <c r="D290" s="18" t="str">
        <f t="shared" ca="1" si="8"/>
        <v>—</v>
      </c>
      <c r="E290" s="19">
        <f t="shared" ca="1" si="9"/>
        <v>7</v>
      </c>
    </row>
    <row r="291" spans="1:5" x14ac:dyDescent="0.25">
      <c r="A291" s="12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19411017</v>
      </c>
      <c r="C291" s="13">
        <v>1</v>
      </c>
      <c r="D291" s="18" t="str">
        <f t="shared" ca="1" si="8"/>
        <v>—</v>
      </c>
      <c r="E291" s="19">
        <f t="shared" ca="1" si="9"/>
        <v>7</v>
      </c>
    </row>
    <row r="292" spans="1:5" x14ac:dyDescent="0.25">
      <c r="A292" s="12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19411018</v>
      </c>
      <c r="C292" s="13">
        <v>1</v>
      </c>
      <c r="D292" s="18" t="str">
        <f t="shared" ca="1" si="8"/>
        <v>—</v>
      </c>
      <c r="E292" s="19">
        <f t="shared" ca="1" si="9"/>
        <v>7</v>
      </c>
    </row>
    <row r="293" spans="1:5" x14ac:dyDescent="0.25">
      <c r="A293" s="12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19411019</v>
      </c>
      <c r="C293" s="13">
        <v>1</v>
      </c>
      <c r="D293" s="18" t="str">
        <f t="shared" ca="1" si="8"/>
        <v>—</v>
      </c>
      <c r="E293" s="19">
        <f t="shared" ca="1" si="9"/>
        <v>7</v>
      </c>
    </row>
    <row r="294" spans="1:5" x14ac:dyDescent="0.25">
      <c r="A294" s="12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19411020</v>
      </c>
      <c r="C294" s="13">
        <v>1</v>
      </c>
      <c r="D294" s="18" t="str">
        <f t="shared" ca="1" si="8"/>
        <v>—</v>
      </c>
      <c r="E294" s="19">
        <f t="shared" ca="1" si="9"/>
        <v>7</v>
      </c>
    </row>
    <row r="295" spans="1:5" x14ac:dyDescent="0.25">
      <c r="A295" s="12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19411021</v>
      </c>
      <c r="C295" s="13">
        <v>1</v>
      </c>
      <c r="D295" s="18" t="str">
        <f t="shared" ca="1" si="8"/>
        <v>—</v>
      </c>
      <c r="E295" s="19">
        <f t="shared" ca="1" si="9"/>
        <v>7</v>
      </c>
    </row>
    <row r="296" spans="1:5" x14ac:dyDescent="0.25">
      <c r="A296" s="12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19411022</v>
      </c>
      <c r="C296" s="13">
        <v>1</v>
      </c>
      <c r="D296" s="18" t="str">
        <f t="shared" ca="1" si="8"/>
        <v>—</v>
      </c>
      <c r="E296" s="19">
        <f t="shared" ca="1" si="9"/>
        <v>7</v>
      </c>
    </row>
    <row r="297" spans="1:5" x14ac:dyDescent="0.25">
      <c r="A297" s="12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19411023</v>
      </c>
      <c r="C297" s="13">
        <v>1</v>
      </c>
      <c r="D297" s="18" t="str">
        <f t="shared" ca="1" si="8"/>
        <v>—</v>
      </c>
      <c r="E297" s="19">
        <f t="shared" ca="1" si="9"/>
        <v>7</v>
      </c>
    </row>
    <row r="298" spans="1:5" x14ac:dyDescent="0.25">
      <c r="A298" s="12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19411024</v>
      </c>
      <c r="C298" s="13">
        <v>1</v>
      </c>
      <c r="D298" s="18" t="str">
        <f t="shared" ca="1" si="8"/>
        <v>—</v>
      </c>
      <c r="E298" s="19">
        <f t="shared" ca="1" si="9"/>
        <v>7</v>
      </c>
    </row>
    <row r="299" spans="1:5" x14ac:dyDescent="0.25">
      <c r="A299" s="12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19411025</v>
      </c>
      <c r="C299" s="13">
        <v>1</v>
      </c>
      <c r="D299" s="18" t="str">
        <f t="shared" ca="1" si="8"/>
        <v>—</v>
      </c>
      <c r="E299" s="19">
        <f t="shared" ca="1" si="9"/>
        <v>7</v>
      </c>
    </row>
    <row r="300" spans="1:5" x14ac:dyDescent="0.25">
      <c r="A300" s="12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19411026</v>
      </c>
      <c r="C300" s="13">
        <v>1</v>
      </c>
      <c r="D300" s="18" t="str">
        <f t="shared" ca="1" si="8"/>
        <v>—</v>
      </c>
      <c r="E300" s="19">
        <f t="shared" ca="1" si="9"/>
        <v>7</v>
      </c>
    </row>
    <row r="301" spans="1:5" x14ac:dyDescent="0.25">
      <c r="A301" s="12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19411027</v>
      </c>
      <c r="C301" s="13">
        <v>1</v>
      </c>
      <c r="D301" s="18" t="str">
        <f t="shared" ca="1" si="8"/>
        <v>—</v>
      </c>
      <c r="E301" s="19">
        <f t="shared" ca="1" si="9"/>
        <v>7</v>
      </c>
    </row>
    <row r="302" spans="1:5" x14ac:dyDescent="0.25">
      <c r="A302" s="12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19411028</v>
      </c>
      <c r="C302" s="13">
        <v>1</v>
      </c>
      <c r="D302" s="18" t="str">
        <f t="shared" ca="1" si="8"/>
        <v>—</v>
      </c>
      <c r="E302" s="19">
        <f t="shared" ca="1" si="9"/>
        <v>7</v>
      </c>
    </row>
    <row r="303" spans="1:5" x14ac:dyDescent="0.25">
      <c r="A303" s="12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19411029</v>
      </c>
      <c r="C303" s="13">
        <v>1</v>
      </c>
      <c r="D303" s="18" t="str">
        <f t="shared" ca="1" si="8"/>
        <v>—</v>
      </c>
      <c r="E303" s="19">
        <f t="shared" ca="1" si="9"/>
        <v>7</v>
      </c>
    </row>
    <row r="304" spans="1:5" x14ac:dyDescent="0.25">
      <c r="A304" s="12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19411030</v>
      </c>
      <c r="C304" s="13">
        <v>1</v>
      </c>
      <c r="D304" s="18" t="str">
        <f t="shared" ca="1" si="8"/>
        <v>—</v>
      </c>
      <c r="E304" s="19">
        <f t="shared" ca="1" si="9"/>
        <v>7</v>
      </c>
    </row>
    <row r="305" spans="1:5" x14ac:dyDescent="0.25">
      <c r="A305" s="12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19411031</v>
      </c>
      <c r="C305" s="13">
        <v>1</v>
      </c>
      <c r="D305" s="18" t="str">
        <f t="shared" ca="1" si="8"/>
        <v>—</v>
      </c>
      <c r="E305" s="19">
        <f t="shared" ca="1" si="9"/>
        <v>7</v>
      </c>
    </row>
    <row r="306" spans="1:5" x14ac:dyDescent="0.25">
      <c r="A306" s="12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19411101</v>
      </c>
      <c r="C306" s="13">
        <v>1</v>
      </c>
      <c r="D306" s="18" t="str">
        <f t="shared" ca="1" si="8"/>
        <v>—</v>
      </c>
      <c r="E306" s="19">
        <f t="shared" ca="1" si="9"/>
        <v>7</v>
      </c>
    </row>
    <row r="307" spans="1:5" x14ac:dyDescent="0.25">
      <c r="A307" s="12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19411102</v>
      </c>
      <c r="C307" s="13">
        <v>1</v>
      </c>
      <c r="D307" s="18" t="str">
        <f t="shared" ca="1" si="8"/>
        <v>—</v>
      </c>
      <c r="E307" s="19">
        <f t="shared" ca="1" si="9"/>
        <v>7</v>
      </c>
    </row>
    <row r="308" spans="1:5" x14ac:dyDescent="0.25">
      <c r="A308" s="12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19411103</v>
      </c>
      <c r="C308" s="13">
        <v>1</v>
      </c>
      <c r="D308" s="18" t="str">
        <f t="shared" ca="1" si="8"/>
        <v>—</v>
      </c>
      <c r="E308" s="19">
        <f t="shared" ca="1" si="9"/>
        <v>7</v>
      </c>
    </row>
    <row r="309" spans="1:5" x14ac:dyDescent="0.25">
      <c r="A309" s="12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19411104</v>
      </c>
      <c r="C309" s="13">
        <v>1</v>
      </c>
      <c r="D309" s="18" t="str">
        <f t="shared" ca="1" si="8"/>
        <v>—</v>
      </c>
      <c r="E309" s="19">
        <f t="shared" ca="1" si="9"/>
        <v>7</v>
      </c>
    </row>
    <row r="310" spans="1:5" x14ac:dyDescent="0.25">
      <c r="A310" s="12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19411105</v>
      </c>
      <c r="C310" s="13">
        <v>1</v>
      </c>
      <c r="D310" s="18" t="str">
        <f t="shared" ca="1" si="8"/>
        <v>—</v>
      </c>
      <c r="E310" s="19">
        <f t="shared" ca="1" si="9"/>
        <v>7</v>
      </c>
    </row>
    <row r="311" spans="1:5" x14ac:dyDescent="0.25">
      <c r="A311" s="12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19411106</v>
      </c>
      <c r="C311" s="13">
        <v>1</v>
      </c>
      <c r="D311" s="18" t="str">
        <f t="shared" ca="1" si="8"/>
        <v>—</v>
      </c>
      <c r="E311" s="19">
        <f t="shared" ca="1" si="9"/>
        <v>7</v>
      </c>
    </row>
    <row r="312" spans="1:5" x14ac:dyDescent="0.25">
      <c r="A312" s="12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19411107</v>
      </c>
      <c r="C312" s="13">
        <v>1</v>
      </c>
      <c r="D312" s="18" t="str">
        <f t="shared" ca="1" si="8"/>
        <v>—</v>
      </c>
      <c r="E312" s="19">
        <f t="shared" ca="1" si="9"/>
        <v>7</v>
      </c>
    </row>
    <row r="313" spans="1:5" x14ac:dyDescent="0.25">
      <c r="A313" s="12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19411108</v>
      </c>
      <c r="C313" s="13">
        <v>1</v>
      </c>
      <c r="D313" s="18" t="str">
        <f t="shared" ca="1" si="8"/>
        <v>—</v>
      </c>
      <c r="E313" s="19">
        <f t="shared" ca="1" si="9"/>
        <v>7</v>
      </c>
    </row>
    <row r="314" spans="1:5" x14ac:dyDescent="0.25">
      <c r="A314" s="12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19411109</v>
      </c>
      <c r="C314" s="13">
        <v>1</v>
      </c>
      <c r="D314" s="18" t="str">
        <f t="shared" ca="1" si="8"/>
        <v>—</v>
      </c>
      <c r="E314" s="19">
        <f t="shared" ca="1" si="9"/>
        <v>7</v>
      </c>
    </row>
    <row r="315" spans="1:5" x14ac:dyDescent="0.25">
      <c r="A315" s="12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19411110</v>
      </c>
      <c r="C315" s="13">
        <v>1</v>
      </c>
      <c r="D315" s="18" t="str">
        <f t="shared" ca="1" si="8"/>
        <v>—</v>
      </c>
      <c r="E315" s="19">
        <f t="shared" ca="1" si="9"/>
        <v>7</v>
      </c>
    </row>
    <row r="316" spans="1:5" x14ac:dyDescent="0.25">
      <c r="A316" s="12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19411111</v>
      </c>
      <c r="C316" s="13">
        <v>1</v>
      </c>
      <c r="D316" s="18" t="str">
        <f t="shared" ca="1" si="8"/>
        <v>—</v>
      </c>
      <c r="E316" s="19">
        <f t="shared" ca="1" si="9"/>
        <v>7</v>
      </c>
    </row>
    <row r="317" spans="1:5" x14ac:dyDescent="0.25">
      <c r="A317" s="12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19411112</v>
      </c>
      <c r="C317" s="13">
        <v>1</v>
      </c>
      <c r="D317" s="18" t="str">
        <f t="shared" ca="1" si="8"/>
        <v>—</v>
      </c>
      <c r="E317" s="19">
        <f t="shared" ca="1" si="9"/>
        <v>7</v>
      </c>
    </row>
    <row r="318" spans="1:5" x14ac:dyDescent="0.25">
      <c r="A318" s="12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19411113</v>
      </c>
      <c r="C318" s="13">
        <v>1</v>
      </c>
      <c r="D318" s="18" t="str">
        <f t="shared" ca="1" si="8"/>
        <v>—</v>
      </c>
      <c r="E318" s="19">
        <f t="shared" ca="1" si="9"/>
        <v>7</v>
      </c>
    </row>
    <row r="319" spans="1:5" x14ac:dyDescent="0.25">
      <c r="A319" s="12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19411114</v>
      </c>
      <c r="C319" s="13">
        <v>1</v>
      </c>
      <c r="D319" s="18" t="str">
        <f t="shared" ca="1" si="8"/>
        <v>—</v>
      </c>
      <c r="E319" s="19">
        <f t="shared" ca="1" si="9"/>
        <v>7</v>
      </c>
    </row>
    <row r="320" spans="1:5" x14ac:dyDescent="0.25">
      <c r="A320" s="12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19411115</v>
      </c>
      <c r="C320" s="13">
        <v>1</v>
      </c>
      <c r="D320" s="18" t="str">
        <f t="shared" ca="1" si="8"/>
        <v>—</v>
      </c>
      <c r="E320" s="19">
        <f t="shared" ca="1" si="9"/>
        <v>7</v>
      </c>
    </row>
    <row r="321" spans="1:5" x14ac:dyDescent="0.25">
      <c r="A321" s="12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19411116</v>
      </c>
      <c r="C321" s="13">
        <v>1</v>
      </c>
      <c r="D321" s="18" t="str">
        <f t="shared" ca="1" si="8"/>
        <v>—</v>
      </c>
      <c r="E321" s="19">
        <f t="shared" ca="1" si="9"/>
        <v>7</v>
      </c>
    </row>
    <row r="322" spans="1:5" x14ac:dyDescent="0.25">
      <c r="A322" s="12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19411117</v>
      </c>
      <c r="C322" s="13">
        <v>1</v>
      </c>
      <c r="D322" s="18" t="str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—</v>
      </c>
      <c r="E322" s="19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7</v>
      </c>
    </row>
    <row r="323" spans="1:5" x14ac:dyDescent="0.25">
      <c r="A323" s="12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19411118</v>
      </c>
      <c r="C323" s="13">
        <v>1</v>
      </c>
      <c r="D323" s="18" t="str">
        <f t="shared" ca="1" si="10"/>
        <v>—</v>
      </c>
      <c r="E323" s="19">
        <f t="shared" ca="1" si="11"/>
        <v>7</v>
      </c>
    </row>
    <row r="324" spans="1:5" x14ac:dyDescent="0.25">
      <c r="A324" s="12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19411119</v>
      </c>
      <c r="C324" s="13">
        <v>1</v>
      </c>
      <c r="D324" s="18" t="str">
        <f t="shared" ca="1" si="10"/>
        <v>—</v>
      </c>
      <c r="E324" s="19">
        <f t="shared" ca="1" si="11"/>
        <v>7</v>
      </c>
    </row>
    <row r="325" spans="1:5" x14ac:dyDescent="0.25">
      <c r="A325" s="12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19411120</v>
      </c>
      <c r="C325" s="13">
        <v>1</v>
      </c>
      <c r="D325" s="18" t="str">
        <f t="shared" ca="1" si="10"/>
        <v>—</v>
      </c>
      <c r="E325" s="19">
        <f t="shared" ca="1" si="11"/>
        <v>7</v>
      </c>
    </row>
    <row r="326" spans="1:5" x14ac:dyDescent="0.25">
      <c r="A326" s="12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19411121</v>
      </c>
      <c r="C326" s="13">
        <v>1</v>
      </c>
      <c r="D326" s="18" t="str">
        <f t="shared" ca="1" si="10"/>
        <v>—</v>
      </c>
      <c r="E326" s="19">
        <f t="shared" ca="1" si="11"/>
        <v>7</v>
      </c>
    </row>
    <row r="327" spans="1:5" x14ac:dyDescent="0.25">
      <c r="A327" s="12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19411122</v>
      </c>
      <c r="C327" s="13">
        <v>1</v>
      </c>
      <c r="D327" s="18" t="str">
        <f t="shared" ca="1" si="10"/>
        <v>—</v>
      </c>
      <c r="E327" s="19">
        <f t="shared" ca="1" si="11"/>
        <v>7</v>
      </c>
    </row>
    <row r="328" spans="1:5" x14ac:dyDescent="0.25">
      <c r="A328" s="12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19411123</v>
      </c>
      <c r="C328" s="13">
        <v>1</v>
      </c>
      <c r="D328" s="18" t="str">
        <f t="shared" ca="1" si="10"/>
        <v>—</v>
      </c>
      <c r="E328" s="19">
        <f t="shared" ca="1" si="11"/>
        <v>7</v>
      </c>
    </row>
    <row r="329" spans="1:5" x14ac:dyDescent="0.25">
      <c r="A329" s="12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19411124</v>
      </c>
      <c r="C329" s="13">
        <v>1</v>
      </c>
      <c r="D329" s="18" t="str">
        <f t="shared" ca="1" si="10"/>
        <v>—</v>
      </c>
      <c r="E329" s="19">
        <f t="shared" ca="1" si="11"/>
        <v>7</v>
      </c>
    </row>
    <row r="330" spans="1:5" x14ac:dyDescent="0.25">
      <c r="A330" s="12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19411125</v>
      </c>
      <c r="C330" s="13">
        <v>1</v>
      </c>
      <c r="D330" s="18" t="str">
        <f t="shared" ca="1" si="10"/>
        <v>—</v>
      </c>
      <c r="E330" s="19">
        <f t="shared" ca="1" si="11"/>
        <v>7</v>
      </c>
    </row>
    <row r="331" spans="1:5" x14ac:dyDescent="0.25">
      <c r="A331" s="12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19411126</v>
      </c>
      <c r="C331" s="13">
        <v>1</v>
      </c>
      <c r="D331" s="18" t="str">
        <f t="shared" ca="1" si="10"/>
        <v>—</v>
      </c>
      <c r="E331" s="19">
        <f t="shared" ca="1" si="11"/>
        <v>7</v>
      </c>
    </row>
    <row r="332" spans="1:5" x14ac:dyDescent="0.25">
      <c r="A332" s="12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19411127</v>
      </c>
      <c r="C332" s="13">
        <v>1</v>
      </c>
      <c r="D332" s="18" t="str">
        <f t="shared" ca="1" si="10"/>
        <v>—</v>
      </c>
      <c r="E332" s="19">
        <f t="shared" ca="1" si="11"/>
        <v>7</v>
      </c>
    </row>
    <row r="333" spans="1:5" x14ac:dyDescent="0.25">
      <c r="A333" s="12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19411128</v>
      </c>
      <c r="C333" s="13">
        <v>1</v>
      </c>
      <c r="D333" s="18" t="str">
        <f t="shared" ca="1" si="10"/>
        <v>—</v>
      </c>
      <c r="E333" s="19">
        <f t="shared" ca="1" si="11"/>
        <v>7</v>
      </c>
    </row>
    <row r="334" spans="1:5" x14ac:dyDescent="0.25">
      <c r="A334" s="12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19411129</v>
      </c>
      <c r="C334" s="13">
        <v>1</v>
      </c>
      <c r="D334" s="18" t="str">
        <f t="shared" ca="1" si="10"/>
        <v>—</v>
      </c>
      <c r="E334" s="19">
        <f t="shared" ca="1" si="11"/>
        <v>7</v>
      </c>
    </row>
    <row r="335" spans="1:5" x14ac:dyDescent="0.25">
      <c r="A335" s="12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19411130</v>
      </c>
      <c r="C335" s="13">
        <v>1</v>
      </c>
      <c r="D335" s="18" t="str">
        <f t="shared" ca="1" si="10"/>
        <v>—</v>
      </c>
      <c r="E335" s="19">
        <f t="shared" ca="1" si="11"/>
        <v>7</v>
      </c>
    </row>
    <row r="336" spans="1:5" x14ac:dyDescent="0.25">
      <c r="A336" s="12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19411201</v>
      </c>
      <c r="C336" s="13">
        <v>1</v>
      </c>
      <c r="D336" s="18" t="str">
        <f t="shared" ca="1" si="10"/>
        <v>—</v>
      </c>
      <c r="E336" s="19">
        <f t="shared" ca="1" si="11"/>
        <v>7</v>
      </c>
    </row>
    <row r="337" spans="1:5" x14ac:dyDescent="0.25">
      <c r="A337" s="12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19411202</v>
      </c>
      <c r="C337" s="13">
        <v>1</v>
      </c>
      <c r="D337" s="18" t="str">
        <f t="shared" ca="1" si="10"/>
        <v>—</v>
      </c>
      <c r="E337" s="19">
        <f t="shared" ca="1" si="11"/>
        <v>7</v>
      </c>
    </row>
    <row r="338" spans="1:5" x14ac:dyDescent="0.25">
      <c r="A338" s="12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19411203</v>
      </c>
      <c r="C338" s="13">
        <v>1</v>
      </c>
      <c r="D338" s="18" t="str">
        <f t="shared" ca="1" si="10"/>
        <v>—</v>
      </c>
      <c r="E338" s="19">
        <f t="shared" ca="1" si="11"/>
        <v>7</v>
      </c>
    </row>
    <row r="339" spans="1:5" x14ac:dyDescent="0.25">
      <c r="A339" s="12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19411204</v>
      </c>
      <c r="C339" s="13">
        <v>1</v>
      </c>
      <c r="D339" s="18" t="str">
        <f t="shared" ca="1" si="10"/>
        <v>—</v>
      </c>
      <c r="E339" s="19">
        <f t="shared" ca="1" si="11"/>
        <v>7</v>
      </c>
    </row>
    <row r="340" spans="1:5" x14ac:dyDescent="0.25">
      <c r="A340" s="12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19411205</v>
      </c>
      <c r="C340" s="13">
        <v>1</v>
      </c>
      <c r="D340" s="18" t="str">
        <f t="shared" ca="1" si="10"/>
        <v>—</v>
      </c>
      <c r="E340" s="19">
        <f t="shared" ca="1" si="11"/>
        <v>7</v>
      </c>
    </row>
    <row r="341" spans="1:5" x14ac:dyDescent="0.25">
      <c r="A341" s="12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19411206</v>
      </c>
      <c r="C341" s="13">
        <v>1</v>
      </c>
      <c r="D341" s="18" t="str">
        <f t="shared" ca="1" si="10"/>
        <v>—</v>
      </c>
      <c r="E341" s="19">
        <f t="shared" ca="1" si="11"/>
        <v>7</v>
      </c>
    </row>
    <row r="342" spans="1:5" x14ac:dyDescent="0.25">
      <c r="A342" s="12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19411207</v>
      </c>
      <c r="C342" s="13">
        <v>1</v>
      </c>
      <c r="D342" s="18" t="str">
        <f t="shared" ca="1" si="10"/>
        <v>—</v>
      </c>
      <c r="E342" s="19">
        <f t="shared" ca="1" si="11"/>
        <v>7</v>
      </c>
    </row>
    <row r="343" spans="1:5" x14ac:dyDescent="0.25">
      <c r="A343" s="12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19411208</v>
      </c>
      <c r="C343" s="13">
        <v>1</v>
      </c>
      <c r="D343" s="18" t="str">
        <f t="shared" ca="1" si="10"/>
        <v>—</v>
      </c>
      <c r="E343" s="19">
        <f t="shared" ca="1" si="11"/>
        <v>7</v>
      </c>
    </row>
    <row r="344" spans="1:5" x14ac:dyDescent="0.25">
      <c r="A344" s="12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19411209</v>
      </c>
      <c r="C344" s="13">
        <v>1</v>
      </c>
      <c r="D344" s="18" t="str">
        <f t="shared" ca="1" si="10"/>
        <v>—</v>
      </c>
      <c r="E344" s="19">
        <f t="shared" ca="1" si="11"/>
        <v>7</v>
      </c>
    </row>
    <row r="345" spans="1:5" x14ac:dyDescent="0.25">
      <c r="A345" s="12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19411210</v>
      </c>
      <c r="C345" s="13">
        <v>1</v>
      </c>
      <c r="D345" s="18" t="str">
        <f t="shared" ca="1" si="10"/>
        <v>—</v>
      </c>
      <c r="E345" s="19">
        <f t="shared" ca="1" si="11"/>
        <v>7</v>
      </c>
    </row>
    <row r="346" spans="1:5" x14ac:dyDescent="0.25">
      <c r="A346" s="12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19411211</v>
      </c>
      <c r="C346" s="13">
        <v>1</v>
      </c>
      <c r="D346" s="18" t="str">
        <f t="shared" ca="1" si="10"/>
        <v>—</v>
      </c>
      <c r="E346" s="19">
        <f t="shared" ca="1" si="11"/>
        <v>7</v>
      </c>
    </row>
    <row r="347" spans="1:5" x14ac:dyDescent="0.25">
      <c r="A347" s="12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19411212</v>
      </c>
      <c r="C347" s="13">
        <v>1</v>
      </c>
      <c r="D347" s="18" t="str">
        <f t="shared" ca="1" si="10"/>
        <v>—</v>
      </c>
      <c r="E347" s="19">
        <f t="shared" ca="1" si="11"/>
        <v>7</v>
      </c>
    </row>
    <row r="348" spans="1:5" x14ac:dyDescent="0.25">
      <c r="A348" s="12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19411213</v>
      </c>
      <c r="C348" s="13">
        <v>1</v>
      </c>
      <c r="D348" s="18" t="str">
        <f t="shared" ca="1" si="10"/>
        <v>—</v>
      </c>
      <c r="E348" s="19">
        <f t="shared" ca="1" si="11"/>
        <v>7</v>
      </c>
    </row>
    <row r="349" spans="1:5" x14ac:dyDescent="0.25">
      <c r="A349" s="12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19411214</v>
      </c>
      <c r="C349" s="13">
        <v>1</v>
      </c>
      <c r="D349" s="18" t="str">
        <f t="shared" ca="1" si="10"/>
        <v>—</v>
      </c>
      <c r="E349" s="19">
        <f t="shared" ca="1" si="11"/>
        <v>7</v>
      </c>
    </row>
    <row r="350" spans="1:5" x14ac:dyDescent="0.25">
      <c r="A350" s="12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19411215</v>
      </c>
      <c r="C350" s="13">
        <v>1</v>
      </c>
      <c r="D350" s="18" t="str">
        <f t="shared" ca="1" si="10"/>
        <v>—</v>
      </c>
      <c r="E350" s="19">
        <f t="shared" ca="1" si="11"/>
        <v>7</v>
      </c>
    </row>
    <row r="351" spans="1:5" x14ac:dyDescent="0.25">
      <c r="A351" s="12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19411216</v>
      </c>
      <c r="C351" s="13">
        <v>1</v>
      </c>
      <c r="D351" s="18" t="str">
        <f t="shared" ca="1" si="10"/>
        <v>—</v>
      </c>
      <c r="E351" s="19">
        <f t="shared" ca="1" si="11"/>
        <v>7</v>
      </c>
    </row>
    <row r="352" spans="1:5" x14ac:dyDescent="0.25">
      <c r="A352" s="12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19411217</v>
      </c>
      <c r="C352" s="13">
        <v>1</v>
      </c>
      <c r="D352" s="18" t="str">
        <f t="shared" ca="1" si="10"/>
        <v>—</v>
      </c>
      <c r="E352" s="19">
        <f t="shared" ca="1" si="11"/>
        <v>7</v>
      </c>
    </row>
    <row r="353" spans="1:5" x14ac:dyDescent="0.25">
      <c r="A353" s="12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19411218</v>
      </c>
      <c r="C353" s="13">
        <v>1</v>
      </c>
      <c r="D353" s="18" t="str">
        <f t="shared" ca="1" si="10"/>
        <v>—</v>
      </c>
      <c r="E353" s="19">
        <f t="shared" ca="1" si="11"/>
        <v>7</v>
      </c>
    </row>
    <row r="354" spans="1:5" x14ac:dyDescent="0.25">
      <c r="A354" s="12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19411219</v>
      </c>
      <c r="C354" s="13">
        <v>1</v>
      </c>
      <c r="D354" s="18" t="str">
        <f t="shared" ca="1" si="10"/>
        <v>—</v>
      </c>
      <c r="E354" s="19">
        <f t="shared" ca="1" si="11"/>
        <v>7</v>
      </c>
    </row>
    <row r="355" spans="1:5" x14ac:dyDescent="0.25">
      <c r="A355" s="12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19411220</v>
      </c>
      <c r="C355" s="13">
        <v>1</v>
      </c>
      <c r="D355" s="18" t="str">
        <f t="shared" ca="1" si="10"/>
        <v>—</v>
      </c>
      <c r="E355" s="19">
        <f t="shared" ca="1" si="11"/>
        <v>7</v>
      </c>
    </row>
    <row r="356" spans="1:5" x14ac:dyDescent="0.25">
      <c r="A356" s="12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19411221</v>
      </c>
      <c r="C356" s="13">
        <v>1</v>
      </c>
      <c r="D356" s="18" t="str">
        <f t="shared" ca="1" si="10"/>
        <v>—</v>
      </c>
      <c r="E356" s="19">
        <f t="shared" ca="1" si="11"/>
        <v>7</v>
      </c>
    </row>
    <row r="357" spans="1:5" x14ac:dyDescent="0.25">
      <c r="A357" s="12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19411222</v>
      </c>
      <c r="C357" s="13">
        <v>1</v>
      </c>
      <c r="D357" s="18" t="str">
        <f t="shared" ca="1" si="10"/>
        <v>—</v>
      </c>
      <c r="E357" s="19">
        <f t="shared" ca="1" si="11"/>
        <v>7</v>
      </c>
    </row>
    <row r="358" spans="1:5" x14ac:dyDescent="0.25">
      <c r="A358" s="12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19411223</v>
      </c>
      <c r="C358" s="13">
        <v>1</v>
      </c>
      <c r="D358" s="18" t="str">
        <f t="shared" ca="1" si="10"/>
        <v>—</v>
      </c>
      <c r="E358" s="19">
        <f t="shared" ca="1" si="11"/>
        <v>7</v>
      </c>
    </row>
    <row r="359" spans="1:5" x14ac:dyDescent="0.25">
      <c r="A359" s="12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19411224</v>
      </c>
      <c r="C359" s="13">
        <v>1</v>
      </c>
      <c r="D359" s="18" t="str">
        <f t="shared" ca="1" si="10"/>
        <v>—</v>
      </c>
      <c r="E359" s="19">
        <f t="shared" ca="1" si="11"/>
        <v>7</v>
      </c>
    </row>
    <row r="360" spans="1:5" x14ac:dyDescent="0.25">
      <c r="A360" s="12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19411225</v>
      </c>
      <c r="C360" s="13">
        <v>1</v>
      </c>
      <c r="D360" s="18" t="str">
        <f t="shared" ca="1" si="10"/>
        <v>—</v>
      </c>
      <c r="E360" s="19">
        <f t="shared" ca="1" si="11"/>
        <v>7</v>
      </c>
    </row>
    <row r="361" spans="1:5" x14ac:dyDescent="0.25">
      <c r="A361" s="12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19411226</v>
      </c>
      <c r="C361" s="13">
        <v>1</v>
      </c>
      <c r="D361" s="18" t="str">
        <f t="shared" ca="1" si="10"/>
        <v>—</v>
      </c>
      <c r="E361" s="19">
        <f t="shared" ca="1" si="11"/>
        <v>7</v>
      </c>
    </row>
    <row r="362" spans="1:5" x14ac:dyDescent="0.25">
      <c r="A362" s="12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19411227</v>
      </c>
      <c r="C362" s="13">
        <v>1</v>
      </c>
      <c r="D362" s="18" t="str">
        <f t="shared" ca="1" si="10"/>
        <v>—</v>
      </c>
      <c r="E362" s="19">
        <f t="shared" ca="1" si="11"/>
        <v>7</v>
      </c>
    </row>
    <row r="363" spans="1:5" x14ac:dyDescent="0.25">
      <c r="A363" s="12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19411228</v>
      </c>
      <c r="C363" s="13">
        <v>1</v>
      </c>
      <c r="D363" s="18" t="str">
        <f t="shared" ca="1" si="10"/>
        <v>—</v>
      </c>
      <c r="E363" s="19">
        <f t="shared" ca="1" si="11"/>
        <v>7</v>
      </c>
    </row>
    <row r="364" spans="1:5" x14ac:dyDescent="0.25">
      <c r="A364" s="12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19411229</v>
      </c>
      <c r="C364" s="13">
        <v>1</v>
      </c>
      <c r="D364" s="18" t="str">
        <f t="shared" ca="1" si="10"/>
        <v>—</v>
      </c>
      <c r="E364" s="19">
        <f t="shared" ca="1" si="11"/>
        <v>7</v>
      </c>
    </row>
    <row r="365" spans="1:5" x14ac:dyDescent="0.25">
      <c r="A365" s="12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19411230</v>
      </c>
      <c r="C365" s="13">
        <v>1</v>
      </c>
      <c r="D365" s="18" t="str">
        <f t="shared" ca="1" si="10"/>
        <v>—</v>
      </c>
      <c r="E365" s="19">
        <f t="shared" ca="1" si="11"/>
        <v>7</v>
      </c>
    </row>
    <row r="366" spans="1:5" x14ac:dyDescent="0.25">
      <c r="A366" s="12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19411231</v>
      </c>
      <c r="C366" s="13">
        <v>1</v>
      </c>
      <c r="D366" s="18" t="str">
        <f t="shared" ca="1" si="10"/>
        <v>—</v>
      </c>
      <c r="E366" s="19">
        <f t="shared" ca="1" si="11"/>
        <v>7</v>
      </c>
    </row>
    <row r="367" spans="1:5" x14ac:dyDescent="0.25">
      <c r="A367" s="12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19410101</v>
      </c>
      <c r="C367" s="13">
        <v>1</v>
      </c>
      <c r="D367" s="18">
        <f t="shared" ca="1" si="10"/>
        <v>21</v>
      </c>
      <c r="E367" s="19">
        <f t="shared" ca="1" si="11"/>
        <v>0</v>
      </c>
    </row>
    <row r="368" spans="1:5" x14ac:dyDescent="0.25">
      <c r="A368" s="12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19410102</v>
      </c>
      <c r="C368" s="13">
        <v>1</v>
      </c>
      <c r="D368" s="18">
        <f t="shared" ca="1" si="10"/>
        <v>0</v>
      </c>
      <c r="E368" s="19">
        <f t="shared" ca="1" si="11"/>
        <v>0</v>
      </c>
    </row>
    <row r="369" spans="1:5" x14ac:dyDescent="0.25">
      <c r="A369" s="12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19410103</v>
      </c>
      <c r="C369" s="13">
        <v>1</v>
      </c>
      <c r="D369" s="18">
        <f t="shared" ca="1" si="10"/>
        <v>0</v>
      </c>
      <c r="E369" s="19">
        <f t="shared" ca="1" si="11"/>
        <v>0</v>
      </c>
    </row>
    <row r="370" spans="1:5" x14ac:dyDescent="0.25">
      <c r="A370" s="12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19410104</v>
      </c>
      <c r="C370" s="13">
        <v>1</v>
      </c>
      <c r="D370" s="18">
        <f t="shared" ca="1" si="10"/>
        <v>0</v>
      </c>
      <c r="E370" s="19">
        <f t="shared" ca="1" si="11"/>
        <v>0</v>
      </c>
    </row>
    <row r="371" spans="1:5" x14ac:dyDescent="0.25">
      <c r="A371" s="12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19410105</v>
      </c>
      <c r="C371" s="13">
        <v>1</v>
      </c>
      <c r="D371" s="18">
        <f t="shared" ca="1" si="10"/>
        <v>7</v>
      </c>
      <c r="E371" s="19">
        <f t="shared" ca="1" si="11"/>
        <v>0</v>
      </c>
    </row>
    <row r="372" spans="1:5" x14ac:dyDescent="0.25">
      <c r="A372" s="12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19410106</v>
      </c>
      <c r="C372" s="13">
        <v>1</v>
      </c>
      <c r="D372" s="18">
        <f t="shared" ca="1" si="10"/>
        <v>18</v>
      </c>
      <c r="E372" s="19">
        <f t="shared" ca="1" si="11"/>
        <v>0</v>
      </c>
    </row>
    <row r="373" spans="1:5" x14ac:dyDescent="0.25">
      <c r="A373" s="12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19410107</v>
      </c>
      <c r="C373" s="13">
        <v>1</v>
      </c>
      <c r="D373" s="18">
        <f t="shared" ca="1" si="10"/>
        <v>0</v>
      </c>
      <c r="E373" s="19">
        <f t="shared" ca="1" si="11"/>
        <v>0</v>
      </c>
    </row>
    <row r="374" spans="1:5" x14ac:dyDescent="0.25">
      <c r="A374" s="12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19410108</v>
      </c>
      <c r="C374" s="13">
        <v>1</v>
      </c>
      <c r="D374" s="18">
        <f t="shared" ca="1" si="10"/>
        <v>6</v>
      </c>
      <c r="E374" s="19">
        <f t="shared" ca="1" si="11"/>
        <v>0</v>
      </c>
    </row>
    <row r="375" spans="1:5" x14ac:dyDescent="0.25">
      <c r="A375" s="12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19410109</v>
      </c>
      <c r="C375" s="13">
        <v>1</v>
      </c>
      <c r="D375" s="18">
        <f t="shared" ca="1" si="10"/>
        <v>0</v>
      </c>
      <c r="E375" s="19">
        <f t="shared" ca="1" si="11"/>
        <v>0</v>
      </c>
    </row>
    <row r="376" spans="1:5" x14ac:dyDescent="0.25">
      <c r="A376" s="12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19410110</v>
      </c>
      <c r="C376" s="13">
        <v>1</v>
      </c>
      <c r="D376" s="18">
        <f t="shared" ca="1" si="10"/>
        <v>0</v>
      </c>
      <c r="E376" s="19">
        <f t="shared" ca="1" si="11"/>
        <v>0</v>
      </c>
    </row>
    <row r="377" spans="1:5" x14ac:dyDescent="0.25">
      <c r="A377" s="12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19410111</v>
      </c>
      <c r="C377" s="13">
        <v>1</v>
      </c>
      <c r="D377" s="18">
        <f t="shared" ca="1" si="10"/>
        <v>0</v>
      </c>
      <c r="E377" s="19">
        <f t="shared" ca="1" si="11"/>
        <v>0</v>
      </c>
    </row>
    <row r="378" spans="1:5" x14ac:dyDescent="0.25">
      <c r="A378" s="12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19410112</v>
      </c>
      <c r="C378" s="13">
        <v>1</v>
      </c>
      <c r="D378" s="18">
        <f t="shared" ca="1" si="10"/>
        <v>0</v>
      </c>
      <c r="E378" s="19">
        <f t="shared" ca="1" si="11"/>
        <v>0</v>
      </c>
    </row>
    <row r="379" spans="1:5" x14ac:dyDescent="0.25">
      <c r="A379" s="12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19410113</v>
      </c>
      <c r="C379" s="13">
        <v>1</v>
      </c>
      <c r="D379" s="18">
        <f t="shared" ca="1" si="10"/>
        <v>6</v>
      </c>
      <c r="E379" s="19">
        <f t="shared" ca="1" si="11"/>
        <v>0</v>
      </c>
    </row>
    <row r="380" spans="1:5" x14ac:dyDescent="0.25">
      <c r="A380" s="12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19410114</v>
      </c>
      <c r="C380" s="13">
        <v>1</v>
      </c>
      <c r="D380" s="18">
        <f t="shared" ca="1" si="10"/>
        <v>2</v>
      </c>
      <c r="E380" s="19">
        <f t="shared" ca="1" si="11"/>
        <v>0</v>
      </c>
    </row>
    <row r="381" spans="1:5" x14ac:dyDescent="0.25">
      <c r="A381" s="12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19410115</v>
      </c>
      <c r="C381" s="13">
        <v>1</v>
      </c>
      <c r="D381" s="18">
        <f t="shared" ca="1" si="10"/>
        <v>0</v>
      </c>
      <c r="E381" s="19">
        <f t="shared" ca="1" si="11"/>
        <v>0</v>
      </c>
    </row>
    <row r="382" spans="1:5" x14ac:dyDescent="0.25">
      <c r="A382" s="12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19410116</v>
      </c>
      <c r="C382" s="13">
        <v>1</v>
      </c>
      <c r="D382" s="18">
        <f t="shared" ca="1" si="10"/>
        <v>0</v>
      </c>
      <c r="E382" s="19">
        <f t="shared" ca="1" si="11"/>
        <v>0</v>
      </c>
    </row>
    <row r="383" spans="1:5" x14ac:dyDescent="0.25">
      <c r="A383" s="12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19410117</v>
      </c>
      <c r="C383" s="13">
        <v>1</v>
      </c>
      <c r="D383" s="18">
        <f t="shared" ca="1" si="10"/>
        <v>0</v>
      </c>
      <c r="E383" s="19">
        <f t="shared" ca="1" si="11"/>
        <v>0</v>
      </c>
    </row>
    <row r="384" spans="1:5" x14ac:dyDescent="0.25">
      <c r="A384" s="12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19410118</v>
      </c>
      <c r="C384" s="13">
        <v>1</v>
      </c>
      <c r="D384" s="18">
        <f t="shared" ca="1" si="10"/>
        <v>0</v>
      </c>
      <c r="E384" s="19">
        <f t="shared" ca="1" si="11"/>
        <v>0</v>
      </c>
    </row>
    <row r="385" spans="1:5" x14ac:dyDescent="0.25">
      <c r="A385" s="12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19410119</v>
      </c>
      <c r="C385" s="13">
        <v>1</v>
      </c>
      <c r="D385" s="18">
        <f t="shared" ca="1" si="10"/>
        <v>15</v>
      </c>
      <c r="E385" s="19">
        <f t="shared" ca="1" si="11"/>
        <v>0</v>
      </c>
    </row>
    <row r="386" spans="1:5" x14ac:dyDescent="0.25">
      <c r="A386" s="12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19410120</v>
      </c>
      <c r="C386" s="13">
        <v>1</v>
      </c>
      <c r="D386" s="18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19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2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19410121</v>
      </c>
      <c r="C387" s="13">
        <v>1</v>
      </c>
      <c r="D387" s="18">
        <f t="shared" ca="1" si="12"/>
        <v>0</v>
      </c>
      <c r="E387" s="19">
        <f t="shared" ca="1" si="13"/>
        <v>0</v>
      </c>
    </row>
    <row r="388" spans="1:5" x14ac:dyDescent="0.25">
      <c r="A388" s="12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19410122</v>
      </c>
      <c r="C388" s="13">
        <v>1</v>
      </c>
      <c r="D388" s="18">
        <f t="shared" ca="1" si="12"/>
        <v>0</v>
      </c>
      <c r="E388" s="19">
        <f t="shared" ca="1" si="13"/>
        <v>0</v>
      </c>
    </row>
    <row r="389" spans="1:5" x14ac:dyDescent="0.25">
      <c r="A389" s="12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19410123</v>
      </c>
      <c r="C389" s="13">
        <v>1</v>
      </c>
      <c r="D389" s="18">
        <f t="shared" ca="1" si="12"/>
        <v>0</v>
      </c>
      <c r="E389" s="19">
        <f t="shared" ca="1" si="13"/>
        <v>0</v>
      </c>
    </row>
    <row r="390" spans="1:5" x14ac:dyDescent="0.25">
      <c r="A390" s="12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19410124</v>
      </c>
      <c r="C390" s="13">
        <v>1</v>
      </c>
      <c r="D390" s="18">
        <f t="shared" ca="1" si="12"/>
        <v>0</v>
      </c>
      <c r="E390" s="19">
        <f t="shared" ca="1" si="13"/>
        <v>0</v>
      </c>
    </row>
    <row r="391" spans="1:5" x14ac:dyDescent="0.25">
      <c r="A391" s="12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19410125</v>
      </c>
      <c r="C391" s="13">
        <v>1</v>
      </c>
      <c r="D391" s="18">
        <f t="shared" ca="1" si="12"/>
        <v>0</v>
      </c>
      <c r="E391" s="19">
        <f t="shared" ca="1" si="13"/>
        <v>0</v>
      </c>
    </row>
    <row r="392" spans="1:5" x14ac:dyDescent="0.25">
      <c r="A392" s="12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19410126</v>
      </c>
      <c r="C392" s="13">
        <v>1</v>
      </c>
      <c r="D392" s="18">
        <f t="shared" ca="1" si="12"/>
        <v>0</v>
      </c>
      <c r="E392" s="19">
        <f t="shared" ca="1" si="13"/>
        <v>0</v>
      </c>
    </row>
    <row r="393" spans="1:5" x14ac:dyDescent="0.25">
      <c r="A393" s="12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19410127</v>
      </c>
      <c r="C393" s="13">
        <v>1</v>
      </c>
      <c r="D393" s="18">
        <f t="shared" ca="1" si="12"/>
        <v>8</v>
      </c>
      <c r="E393" s="19">
        <f t="shared" ca="1" si="13"/>
        <v>0</v>
      </c>
    </row>
    <row r="394" spans="1:5" x14ac:dyDescent="0.25">
      <c r="A394" s="12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19410128</v>
      </c>
      <c r="C394" s="13">
        <v>1</v>
      </c>
      <c r="D394" s="18">
        <f t="shared" ca="1" si="12"/>
        <v>227</v>
      </c>
      <c r="E394" s="19">
        <f t="shared" ca="1" si="13"/>
        <v>0</v>
      </c>
    </row>
    <row r="395" spans="1:5" x14ac:dyDescent="0.25">
      <c r="A395" s="12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19410129</v>
      </c>
      <c r="C395" s="13">
        <v>1</v>
      </c>
      <c r="D395" s="18">
        <f t="shared" ca="1" si="12"/>
        <v>0</v>
      </c>
      <c r="E395" s="19">
        <f t="shared" ca="1" si="13"/>
        <v>0</v>
      </c>
    </row>
    <row r="396" spans="1:5" x14ac:dyDescent="0.25">
      <c r="A396" s="12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19410130</v>
      </c>
      <c r="C396" s="13">
        <v>1</v>
      </c>
      <c r="D396" s="18">
        <f t="shared" ca="1" si="12"/>
        <v>9</v>
      </c>
      <c r="E396" s="19">
        <f t="shared" ca="1" si="13"/>
        <v>0</v>
      </c>
    </row>
    <row r="397" spans="1:5" x14ac:dyDescent="0.25">
      <c r="A397" s="12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19410131</v>
      </c>
      <c r="C397" s="13">
        <v>1</v>
      </c>
      <c r="D397" s="18">
        <f t="shared" ca="1" si="12"/>
        <v>0</v>
      </c>
      <c r="E397" s="19">
        <f t="shared" ca="1" si="13"/>
        <v>0</v>
      </c>
    </row>
    <row r="398" spans="1:5" x14ac:dyDescent="0.25">
      <c r="A398" s="12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19410201</v>
      </c>
      <c r="C398" s="13">
        <v>1</v>
      </c>
      <c r="D398" s="18">
        <f t="shared" ca="1" si="12"/>
        <v>0</v>
      </c>
      <c r="E398" s="19">
        <f t="shared" ca="1" si="13"/>
        <v>0</v>
      </c>
    </row>
    <row r="399" spans="1:5" x14ac:dyDescent="0.25">
      <c r="A399" s="12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19410202</v>
      </c>
      <c r="C399" s="13">
        <v>1</v>
      </c>
      <c r="D399" s="18">
        <f t="shared" ca="1" si="12"/>
        <v>0</v>
      </c>
      <c r="E399" s="19">
        <f t="shared" ca="1" si="13"/>
        <v>0</v>
      </c>
    </row>
    <row r="400" spans="1:5" x14ac:dyDescent="0.25">
      <c r="A400" s="12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19410203</v>
      </c>
      <c r="C400" s="13">
        <v>1</v>
      </c>
      <c r="D400" s="18">
        <f t="shared" ca="1" si="12"/>
        <v>0</v>
      </c>
      <c r="E400" s="19">
        <f t="shared" ca="1" si="13"/>
        <v>0</v>
      </c>
    </row>
    <row r="401" spans="1:5" x14ac:dyDescent="0.25">
      <c r="A401" s="12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19410204</v>
      </c>
      <c r="C401" s="13">
        <v>1</v>
      </c>
      <c r="D401" s="18">
        <f t="shared" ca="1" si="12"/>
        <v>0</v>
      </c>
      <c r="E401" s="19">
        <f t="shared" ca="1" si="13"/>
        <v>0</v>
      </c>
    </row>
    <row r="402" spans="1:5" x14ac:dyDescent="0.25">
      <c r="A402" s="12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19410205</v>
      </c>
      <c r="C402" s="13">
        <v>1</v>
      </c>
      <c r="D402" s="18">
        <f t="shared" ca="1" si="12"/>
        <v>0</v>
      </c>
      <c r="E402" s="19">
        <f t="shared" ca="1" si="13"/>
        <v>0</v>
      </c>
    </row>
    <row r="403" spans="1:5" x14ac:dyDescent="0.25">
      <c r="A403" s="12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19410206</v>
      </c>
      <c r="C403" s="13">
        <v>1</v>
      </c>
      <c r="D403" s="18">
        <f t="shared" ca="1" si="12"/>
        <v>0</v>
      </c>
      <c r="E403" s="19">
        <f t="shared" ca="1" si="13"/>
        <v>0</v>
      </c>
    </row>
    <row r="404" spans="1:5" x14ac:dyDescent="0.25">
      <c r="A404" s="12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19410207</v>
      </c>
      <c r="C404" s="13">
        <v>1</v>
      </c>
      <c r="D404" s="18">
        <f t="shared" ca="1" si="12"/>
        <v>0</v>
      </c>
      <c r="E404" s="19">
        <f t="shared" ca="1" si="13"/>
        <v>0</v>
      </c>
    </row>
    <row r="405" spans="1:5" x14ac:dyDescent="0.25">
      <c r="A405" s="12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19410208</v>
      </c>
      <c r="C405" s="13">
        <v>1</v>
      </c>
      <c r="D405" s="18">
        <f t="shared" ca="1" si="12"/>
        <v>0</v>
      </c>
      <c r="E405" s="19">
        <f t="shared" ca="1" si="13"/>
        <v>0</v>
      </c>
    </row>
    <row r="406" spans="1:5" x14ac:dyDescent="0.25">
      <c r="A406" s="12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19410209</v>
      </c>
      <c r="C406" s="13">
        <v>1</v>
      </c>
      <c r="D406" s="18">
        <f t="shared" ca="1" si="12"/>
        <v>0</v>
      </c>
      <c r="E406" s="19">
        <f t="shared" ca="1" si="13"/>
        <v>0</v>
      </c>
    </row>
    <row r="407" spans="1:5" x14ac:dyDescent="0.25">
      <c r="A407" s="12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19410210</v>
      </c>
      <c r="C407" s="13">
        <v>1</v>
      </c>
      <c r="D407" s="18">
        <f t="shared" ca="1" si="12"/>
        <v>0</v>
      </c>
      <c r="E407" s="19">
        <f t="shared" ca="1" si="13"/>
        <v>0</v>
      </c>
    </row>
    <row r="408" spans="1:5" x14ac:dyDescent="0.25">
      <c r="A408" s="12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19410211</v>
      </c>
      <c r="C408" s="13">
        <v>1</v>
      </c>
      <c r="D408" s="18">
        <f t="shared" ca="1" si="12"/>
        <v>0</v>
      </c>
      <c r="E408" s="19">
        <f t="shared" ca="1" si="13"/>
        <v>0</v>
      </c>
    </row>
    <row r="409" spans="1:5" x14ac:dyDescent="0.25">
      <c r="A409" s="12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19410212</v>
      </c>
      <c r="C409" s="13">
        <v>1</v>
      </c>
      <c r="D409" s="18">
        <f t="shared" ca="1" si="12"/>
        <v>0</v>
      </c>
      <c r="E409" s="19">
        <f t="shared" ca="1" si="13"/>
        <v>0</v>
      </c>
    </row>
    <row r="410" spans="1:5" x14ac:dyDescent="0.25">
      <c r="A410" s="12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19410213</v>
      </c>
      <c r="C410" s="13">
        <v>1</v>
      </c>
      <c r="D410" s="18">
        <f t="shared" ca="1" si="12"/>
        <v>0</v>
      </c>
      <c r="E410" s="19">
        <f t="shared" ca="1" si="13"/>
        <v>0</v>
      </c>
    </row>
    <row r="411" spans="1:5" x14ac:dyDescent="0.25">
      <c r="A411" s="12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19410214</v>
      </c>
      <c r="C411" s="13">
        <v>1</v>
      </c>
      <c r="D411" s="18">
        <f t="shared" ca="1" si="12"/>
        <v>0</v>
      </c>
      <c r="E411" s="19">
        <f t="shared" ca="1" si="13"/>
        <v>0</v>
      </c>
    </row>
    <row r="412" spans="1:5" x14ac:dyDescent="0.25">
      <c r="A412" s="12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19410215</v>
      </c>
      <c r="C412" s="13">
        <v>1</v>
      </c>
      <c r="D412" s="18">
        <f t="shared" ca="1" si="12"/>
        <v>0</v>
      </c>
      <c r="E412" s="19">
        <f t="shared" ca="1" si="13"/>
        <v>0</v>
      </c>
    </row>
    <row r="413" spans="1:5" x14ac:dyDescent="0.25">
      <c r="A413" s="12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19410216</v>
      </c>
      <c r="C413" s="13">
        <v>1</v>
      </c>
      <c r="D413" s="18">
        <f t="shared" ca="1" si="12"/>
        <v>0</v>
      </c>
      <c r="E413" s="19">
        <f t="shared" ca="1" si="13"/>
        <v>0</v>
      </c>
    </row>
    <row r="414" spans="1:5" x14ac:dyDescent="0.25">
      <c r="A414" s="12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19410217</v>
      </c>
      <c r="C414" s="13">
        <v>1</v>
      </c>
      <c r="D414" s="18">
        <f t="shared" ca="1" si="12"/>
        <v>0</v>
      </c>
      <c r="E414" s="19">
        <f t="shared" ca="1" si="13"/>
        <v>0</v>
      </c>
    </row>
    <row r="415" spans="1:5" x14ac:dyDescent="0.25">
      <c r="A415" s="12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19410218</v>
      </c>
      <c r="C415" s="13">
        <v>1</v>
      </c>
      <c r="D415" s="18">
        <f t="shared" ca="1" si="12"/>
        <v>0</v>
      </c>
      <c r="E415" s="19">
        <f t="shared" ca="1" si="13"/>
        <v>0</v>
      </c>
    </row>
    <row r="416" spans="1:5" x14ac:dyDescent="0.25">
      <c r="A416" s="12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19410219</v>
      </c>
      <c r="C416" s="13">
        <v>1</v>
      </c>
      <c r="D416" s="18">
        <f t="shared" ca="1" si="12"/>
        <v>0</v>
      </c>
      <c r="E416" s="19">
        <f t="shared" ca="1" si="13"/>
        <v>0</v>
      </c>
    </row>
    <row r="417" spans="1:5" x14ac:dyDescent="0.25">
      <c r="A417" s="12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19410220</v>
      </c>
      <c r="C417" s="13">
        <v>1</v>
      </c>
      <c r="D417" s="18">
        <f t="shared" ca="1" si="12"/>
        <v>0</v>
      </c>
      <c r="E417" s="19">
        <f t="shared" ca="1" si="13"/>
        <v>0</v>
      </c>
    </row>
    <row r="418" spans="1:5" x14ac:dyDescent="0.25">
      <c r="A418" s="12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19410221</v>
      </c>
      <c r="C418" s="13">
        <v>1</v>
      </c>
      <c r="D418" s="18">
        <f t="shared" ca="1" si="12"/>
        <v>0</v>
      </c>
      <c r="E418" s="19">
        <f t="shared" ca="1" si="13"/>
        <v>0</v>
      </c>
    </row>
    <row r="419" spans="1:5" x14ac:dyDescent="0.25">
      <c r="A419" s="12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19410222</v>
      </c>
      <c r="C419" s="13">
        <v>1</v>
      </c>
      <c r="D419" s="18">
        <f t="shared" ca="1" si="12"/>
        <v>0</v>
      </c>
      <c r="E419" s="19">
        <f t="shared" ca="1" si="13"/>
        <v>0</v>
      </c>
    </row>
    <row r="420" spans="1:5" x14ac:dyDescent="0.25">
      <c r="A420" s="12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19410223</v>
      </c>
      <c r="C420" s="13">
        <v>1</v>
      </c>
      <c r="D420" s="18">
        <f t="shared" ca="1" si="12"/>
        <v>0</v>
      </c>
      <c r="E420" s="19">
        <f t="shared" ca="1" si="13"/>
        <v>0</v>
      </c>
    </row>
    <row r="421" spans="1:5" x14ac:dyDescent="0.25">
      <c r="A421" s="12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19410224</v>
      </c>
      <c r="C421" s="13">
        <v>1</v>
      </c>
      <c r="D421" s="18">
        <f t="shared" ca="1" si="12"/>
        <v>0</v>
      </c>
      <c r="E421" s="19">
        <f t="shared" ca="1" si="13"/>
        <v>0</v>
      </c>
    </row>
    <row r="422" spans="1:5" x14ac:dyDescent="0.25">
      <c r="A422" s="12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19410225</v>
      </c>
      <c r="C422" s="13">
        <v>1</v>
      </c>
      <c r="D422" s="18">
        <f t="shared" ca="1" si="12"/>
        <v>0</v>
      </c>
      <c r="E422" s="19">
        <f t="shared" ca="1" si="13"/>
        <v>0</v>
      </c>
    </row>
    <row r="423" spans="1:5" x14ac:dyDescent="0.25">
      <c r="A423" s="12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19410226</v>
      </c>
      <c r="C423" s="13">
        <v>1</v>
      </c>
      <c r="D423" s="18">
        <f t="shared" ca="1" si="12"/>
        <v>0</v>
      </c>
      <c r="E423" s="19">
        <f t="shared" ca="1" si="13"/>
        <v>0</v>
      </c>
    </row>
    <row r="424" spans="1:5" x14ac:dyDescent="0.25">
      <c r="A424" s="12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19410227</v>
      </c>
      <c r="C424" s="13">
        <v>1</v>
      </c>
      <c r="D424" s="18">
        <f t="shared" ca="1" si="12"/>
        <v>0</v>
      </c>
      <c r="E424" s="19">
        <f t="shared" ca="1" si="13"/>
        <v>0</v>
      </c>
    </row>
    <row r="425" spans="1:5" x14ac:dyDescent="0.25">
      <c r="A425" s="12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19410228</v>
      </c>
      <c r="C425" s="13">
        <v>1</v>
      </c>
      <c r="D425" s="18">
        <f t="shared" ca="1" si="12"/>
        <v>0</v>
      </c>
      <c r="E425" s="19">
        <f t="shared" ca="1" si="13"/>
        <v>0</v>
      </c>
    </row>
    <row r="426" spans="1:5" x14ac:dyDescent="0.25">
      <c r="A426" s="12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19410301</v>
      </c>
      <c r="C426" s="13">
        <v>1</v>
      </c>
      <c r="D426" s="18">
        <f t="shared" ca="1" si="12"/>
        <v>0</v>
      </c>
      <c r="E426" s="19">
        <f t="shared" ca="1" si="13"/>
        <v>0</v>
      </c>
    </row>
    <row r="427" spans="1:5" x14ac:dyDescent="0.25">
      <c r="A427" s="12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19410302</v>
      </c>
      <c r="C427" s="13">
        <v>1</v>
      </c>
      <c r="D427" s="18">
        <f t="shared" ca="1" si="12"/>
        <v>0</v>
      </c>
      <c r="E427" s="19">
        <f t="shared" ca="1" si="13"/>
        <v>0</v>
      </c>
    </row>
    <row r="428" spans="1:5" x14ac:dyDescent="0.25">
      <c r="A428" s="12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19410303</v>
      </c>
      <c r="C428" s="13">
        <v>1</v>
      </c>
      <c r="D428" s="18">
        <f t="shared" ca="1" si="12"/>
        <v>0</v>
      </c>
      <c r="E428" s="19">
        <f t="shared" ca="1" si="13"/>
        <v>0</v>
      </c>
    </row>
    <row r="429" spans="1:5" x14ac:dyDescent="0.25">
      <c r="A429" s="12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19410304</v>
      </c>
      <c r="C429" s="13">
        <v>1</v>
      </c>
      <c r="D429" s="18">
        <f t="shared" ca="1" si="12"/>
        <v>0</v>
      </c>
      <c r="E429" s="19">
        <f t="shared" ca="1" si="13"/>
        <v>0</v>
      </c>
    </row>
    <row r="430" spans="1:5" x14ac:dyDescent="0.25">
      <c r="A430" s="12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19410305</v>
      </c>
      <c r="C430" s="13">
        <v>1</v>
      </c>
      <c r="D430" s="18">
        <f t="shared" ca="1" si="12"/>
        <v>0</v>
      </c>
      <c r="E430" s="19">
        <f t="shared" ca="1" si="13"/>
        <v>0</v>
      </c>
    </row>
    <row r="431" spans="1:5" x14ac:dyDescent="0.25">
      <c r="A431" s="12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19410306</v>
      </c>
      <c r="C431" s="13">
        <v>1</v>
      </c>
      <c r="D431" s="18">
        <f t="shared" ca="1" si="12"/>
        <v>14</v>
      </c>
      <c r="E431" s="19">
        <f t="shared" ca="1" si="13"/>
        <v>0</v>
      </c>
    </row>
    <row r="432" spans="1:5" x14ac:dyDescent="0.25">
      <c r="A432" s="12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19410307</v>
      </c>
      <c r="C432" s="13">
        <v>1</v>
      </c>
      <c r="D432" s="18">
        <f t="shared" ca="1" si="12"/>
        <v>0</v>
      </c>
      <c r="E432" s="19">
        <f t="shared" ca="1" si="13"/>
        <v>0</v>
      </c>
    </row>
    <row r="433" spans="1:5" x14ac:dyDescent="0.25">
      <c r="A433" s="12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19410308</v>
      </c>
      <c r="C433" s="13">
        <v>1</v>
      </c>
      <c r="D433" s="18">
        <f t="shared" ca="1" si="12"/>
        <v>0</v>
      </c>
      <c r="E433" s="19">
        <f t="shared" ca="1" si="13"/>
        <v>0</v>
      </c>
    </row>
    <row r="434" spans="1:5" x14ac:dyDescent="0.25">
      <c r="A434" s="12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19410309</v>
      </c>
      <c r="C434" s="13">
        <v>1</v>
      </c>
      <c r="D434" s="18">
        <f t="shared" ca="1" si="12"/>
        <v>0</v>
      </c>
      <c r="E434" s="19">
        <f t="shared" ca="1" si="13"/>
        <v>0</v>
      </c>
    </row>
    <row r="435" spans="1:5" x14ac:dyDescent="0.25">
      <c r="A435" s="12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19410310</v>
      </c>
      <c r="C435" s="13">
        <v>1</v>
      </c>
      <c r="D435" s="18">
        <f t="shared" ca="1" si="12"/>
        <v>0</v>
      </c>
      <c r="E435" s="19">
        <f t="shared" ca="1" si="13"/>
        <v>0</v>
      </c>
    </row>
    <row r="436" spans="1:5" x14ac:dyDescent="0.25">
      <c r="A436" s="12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19410311</v>
      </c>
      <c r="C436" s="13">
        <v>1</v>
      </c>
      <c r="D436" s="18">
        <f t="shared" ca="1" si="12"/>
        <v>0</v>
      </c>
      <c r="E436" s="19">
        <f t="shared" ca="1" si="13"/>
        <v>0</v>
      </c>
    </row>
    <row r="437" spans="1:5" x14ac:dyDescent="0.25">
      <c r="A437" s="12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19410312</v>
      </c>
      <c r="C437" s="13">
        <v>1</v>
      </c>
      <c r="D437" s="18">
        <f t="shared" ca="1" si="12"/>
        <v>0</v>
      </c>
      <c r="E437" s="19">
        <f t="shared" ca="1" si="13"/>
        <v>0</v>
      </c>
    </row>
    <row r="438" spans="1:5" x14ac:dyDescent="0.25">
      <c r="A438" s="12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19410313</v>
      </c>
      <c r="C438" s="13">
        <v>1</v>
      </c>
      <c r="D438" s="18">
        <f t="shared" ca="1" si="12"/>
        <v>0</v>
      </c>
      <c r="E438" s="19">
        <f t="shared" ca="1" si="13"/>
        <v>0</v>
      </c>
    </row>
    <row r="439" spans="1:5" x14ac:dyDescent="0.25">
      <c r="A439" s="12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19410314</v>
      </c>
      <c r="C439" s="13">
        <v>1</v>
      </c>
      <c r="D439" s="18">
        <f t="shared" ca="1" si="12"/>
        <v>0</v>
      </c>
      <c r="E439" s="19">
        <f t="shared" ca="1" si="13"/>
        <v>0</v>
      </c>
    </row>
    <row r="440" spans="1:5" x14ac:dyDescent="0.25">
      <c r="A440" s="12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19410315</v>
      </c>
      <c r="C440" s="13">
        <v>1</v>
      </c>
      <c r="D440" s="18">
        <f t="shared" ca="1" si="12"/>
        <v>0</v>
      </c>
      <c r="E440" s="19">
        <f t="shared" ca="1" si="13"/>
        <v>0</v>
      </c>
    </row>
    <row r="441" spans="1:5" x14ac:dyDescent="0.25">
      <c r="A441" s="12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19410316</v>
      </c>
      <c r="C441" s="13">
        <v>1</v>
      </c>
      <c r="D441" s="18">
        <f t="shared" ca="1" si="12"/>
        <v>0</v>
      </c>
      <c r="E441" s="19">
        <f t="shared" ca="1" si="13"/>
        <v>0</v>
      </c>
    </row>
    <row r="442" spans="1:5" x14ac:dyDescent="0.25">
      <c r="A442" s="12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19410317</v>
      </c>
      <c r="C442" s="13">
        <v>1</v>
      </c>
      <c r="D442" s="18">
        <f t="shared" ca="1" si="12"/>
        <v>0</v>
      </c>
      <c r="E442" s="19">
        <f t="shared" ca="1" si="13"/>
        <v>0</v>
      </c>
    </row>
    <row r="443" spans="1:5" x14ac:dyDescent="0.25">
      <c r="A443" s="12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19410318</v>
      </c>
      <c r="C443" s="13">
        <v>1</v>
      </c>
      <c r="D443" s="18">
        <f t="shared" ca="1" si="12"/>
        <v>0</v>
      </c>
      <c r="E443" s="19">
        <f t="shared" ca="1" si="13"/>
        <v>0</v>
      </c>
    </row>
    <row r="444" spans="1:5" x14ac:dyDescent="0.25">
      <c r="A444" s="12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19410319</v>
      </c>
      <c r="C444" s="13">
        <v>1</v>
      </c>
      <c r="D444" s="18">
        <f t="shared" ca="1" si="12"/>
        <v>0</v>
      </c>
      <c r="E444" s="19">
        <f t="shared" ca="1" si="13"/>
        <v>0</v>
      </c>
    </row>
    <row r="445" spans="1:5" x14ac:dyDescent="0.25">
      <c r="A445" s="12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19410320</v>
      </c>
      <c r="C445" s="13">
        <v>1</v>
      </c>
      <c r="D445" s="18">
        <f t="shared" ca="1" si="12"/>
        <v>0</v>
      </c>
      <c r="E445" s="19">
        <f t="shared" ca="1" si="13"/>
        <v>0</v>
      </c>
    </row>
    <row r="446" spans="1:5" x14ac:dyDescent="0.25">
      <c r="A446" s="12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19410321</v>
      </c>
      <c r="C446" s="13">
        <v>1</v>
      </c>
      <c r="D446" s="18">
        <f t="shared" ca="1" si="12"/>
        <v>0</v>
      </c>
      <c r="E446" s="19">
        <f t="shared" ca="1" si="13"/>
        <v>0</v>
      </c>
    </row>
    <row r="447" spans="1:5" x14ac:dyDescent="0.25">
      <c r="A447" s="12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19410322</v>
      </c>
      <c r="C447" s="13">
        <v>1</v>
      </c>
      <c r="D447" s="18">
        <f t="shared" ca="1" si="12"/>
        <v>0</v>
      </c>
      <c r="E447" s="19">
        <f t="shared" ca="1" si="13"/>
        <v>0</v>
      </c>
    </row>
    <row r="448" spans="1:5" x14ac:dyDescent="0.25">
      <c r="A448" s="12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19410323</v>
      </c>
      <c r="C448" s="13">
        <v>1</v>
      </c>
      <c r="D448" s="18">
        <f t="shared" ca="1" si="12"/>
        <v>0</v>
      </c>
      <c r="E448" s="19">
        <f t="shared" ca="1" si="13"/>
        <v>0</v>
      </c>
    </row>
    <row r="449" spans="1:5" x14ac:dyDescent="0.25">
      <c r="A449" s="12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19410324</v>
      </c>
      <c r="C449" s="13">
        <v>1</v>
      </c>
      <c r="D449" s="18">
        <f t="shared" ca="1" si="12"/>
        <v>0</v>
      </c>
      <c r="E449" s="19">
        <f t="shared" ca="1" si="13"/>
        <v>0</v>
      </c>
    </row>
    <row r="450" spans="1:5" x14ac:dyDescent="0.25">
      <c r="A450" s="12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19410325</v>
      </c>
      <c r="C450" s="13">
        <v>1</v>
      </c>
      <c r="D450" s="18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9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2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19410326</v>
      </c>
      <c r="C451" s="13">
        <v>1</v>
      </c>
      <c r="D451" s="18">
        <f t="shared" ca="1" si="14"/>
        <v>0</v>
      </c>
      <c r="E451" s="19">
        <f t="shared" ca="1" si="15"/>
        <v>0</v>
      </c>
    </row>
    <row r="452" spans="1:5" x14ac:dyDescent="0.25">
      <c r="A452" s="12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19410327</v>
      </c>
      <c r="C452" s="13">
        <v>1</v>
      </c>
      <c r="D452" s="18">
        <f t="shared" ca="1" si="14"/>
        <v>0</v>
      </c>
      <c r="E452" s="19">
        <f t="shared" ca="1" si="15"/>
        <v>0</v>
      </c>
    </row>
    <row r="453" spans="1:5" x14ac:dyDescent="0.25">
      <c r="A453" s="12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19410328</v>
      </c>
      <c r="C453" s="13">
        <v>1</v>
      </c>
      <c r="D453" s="18">
        <f t="shared" ca="1" si="14"/>
        <v>0</v>
      </c>
      <c r="E453" s="19">
        <f t="shared" ca="1" si="15"/>
        <v>0</v>
      </c>
    </row>
    <row r="454" spans="1:5" x14ac:dyDescent="0.25">
      <c r="A454" s="12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19410329</v>
      </c>
      <c r="C454" s="13">
        <v>1</v>
      </c>
      <c r="D454" s="18">
        <f t="shared" ca="1" si="14"/>
        <v>0</v>
      </c>
      <c r="E454" s="19">
        <f t="shared" ca="1" si="15"/>
        <v>0</v>
      </c>
    </row>
    <row r="455" spans="1:5" x14ac:dyDescent="0.25">
      <c r="A455" s="12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19410330</v>
      </c>
      <c r="C455" s="13">
        <v>1</v>
      </c>
      <c r="D455" s="18">
        <f t="shared" ca="1" si="14"/>
        <v>0</v>
      </c>
      <c r="E455" s="19">
        <f t="shared" ca="1" si="15"/>
        <v>0</v>
      </c>
    </row>
    <row r="456" spans="1:5" x14ac:dyDescent="0.25">
      <c r="A456" s="12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19410331</v>
      </c>
      <c r="C456" s="13">
        <v>1</v>
      </c>
      <c r="D456" s="18">
        <f t="shared" ca="1" si="14"/>
        <v>0</v>
      </c>
      <c r="E456" s="19">
        <f t="shared" ca="1" si="15"/>
        <v>0</v>
      </c>
    </row>
    <row r="457" spans="1:5" x14ac:dyDescent="0.25">
      <c r="A457" s="12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19410401</v>
      </c>
      <c r="C457" s="13">
        <v>1</v>
      </c>
      <c r="D457" s="18">
        <f t="shared" ca="1" si="14"/>
        <v>0</v>
      </c>
      <c r="E457" s="19">
        <f t="shared" ca="1" si="15"/>
        <v>0</v>
      </c>
    </row>
    <row r="458" spans="1:5" x14ac:dyDescent="0.25">
      <c r="A458" s="12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19410402</v>
      </c>
      <c r="C458" s="13">
        <v>1</v>
      </c>
      <c r="D458" s="18">
        <f t="shared" ca="1" si="14"/>
        <v>0</v>
      </c>
      <c r="E458" s="19">
        <f t="shared" ca="1" si="15"/>
        <v>0</v>
      </c>
    </row>
    <row r="459" spans="1:5" x14ac:dyDescent="0.25">
      <c r="A459" s="12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19410403</v>
      </c>
      <c r="C459" s="13">
        <v>1</v>
      </c>
      <c r="D459" s="18">
        <f t="shared" ca="1" si="14"/>
        <v>0</v>
      </c>
      <c r="E459" s="19">
        <f t="shared" ca="1" si="15"/>
        <v>0</v>
      </c>
    </row>
    <row r="460" spans="1:5" x14ac:dyDescent="0.25">
      <c r="A460" s="12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19410404</v>
      </c>
      <c r="C460" s="13">
        <v>1</v>
      </c>
      <c r="D460" s="18">
        <f t="shared" ca="1" si="14"/>
        <v>0</v>
      </c>
      <c r="E460" s="19">
        <f t="shared" ca="1" si="15"/>
        <v>0</v>
      </c>
    </row>
    <row r="461" spans="1:5" x14ac:dyDescent="0.25">
      <c r="A461" s="12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19410405</v>
      </c>
      <c r="C461" s="13">
        <v>1</v>
      </c>
      <c r="D461" s="18">
        <f t="shared" ca="1" si="14"/>
        <v>0</v>
      </c>
      <c r="E461" s="19">
        <f t="shared" ca="1" si="15"/>
        <v>0</v>
      </c>
    </row>
    <row r="462" spans="1:5" x14ac:dyDescent="0.25">
      <c r="A462" s="12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19410406</v>
      </c>
      <c r="C462" s="13">
        <v>1</v>
      </c>
      <c r="D462" s="18">
        <f t="shared" ca="1" si="14"/>
        <v>0</v>
      </c>
      <c r="E462" s="19">
        <f t="shared" ca="1" si="15"/>
        <v>0</v>
      </c>
    </row>
    <row r="463" spans="1:5" x14ac:dyDescent="0.25">
      <c r="A463" s="12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19410407</v>
      </c>
      <c r="C463" s="13">
        <v>1</v>
      </c>
      <c r="D463" s="18">
        <f t="shared" ca="1" si="14"/>
        <v>0</v>
      </c>
      <c r="E463" s="19">
        <f t="shared" ca="1" si="15"/>
        <v>0</v>
      </c>
    </row>
    <row r="464" spans="1:5" x14ac:dyDescent="0.25">
      <c r="A464" s="12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19410408</v>
      </c>
      <c r="C464" s="13">
        <v>1</v>
      </c>
      <c r="D464" s="18">
        <f t="shared" ca="1" si="14"/>
        <v>0</v>
      </c>
      <c r="E464" s="19">
        <f t="shared" ca="1" si="15"/>
        <v>0</v>
      </c>
    </row>
    <row r="465" spans="1:5" x14ac:dyDescent="0.25">
      <c r="A465" s="12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19410409</v>
      </c>
      <c r="C465" s="13">
        <v>1</v>
      </c>
      <c r="D465" s="18">
        <f t="shared" ca="1" si="14"/>
        <v>0</v>
      </c>
      <c r="E465" s="19">
        <f t="shared" ca="1" si="15"/>
        <v>0</v>
      </c>
    </row>
    <row r="466" spans="1:5" x14ac:dyDescent="0.25">
      <c r="A466" s="12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19410410</v>
      </c>
      <c r="C466" s="13">
        <v>1</v>
      </c>
      <c r="D466" s="18">
        <f t="shared" ca="1" si="14"/>
        <v>0</v>
      </c>
      <c r="E466" s="19">
        <f t="shared" ca="1" si="15"/>
        <v>0</v>
      </c>
    </row>
    <row r="467" spans="1:5" x14ac:dyDescent="0.25">
      <c r="A467" s="12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19410411</v>
      </c>
      <c r="C467" s="13">
        <v>1</v>
      </c>
      <c r="D467" s="18">
        <f t="shared" ca="1" si="14"/>
        <v>0</v>
      </c>
      <c r="E467" s="19">
        <f t="shared" ca="1" si="15"/>
        <v>0</v>
      </c>
    </row>
    <row r="468" spans="1:5" x14ac:dyDescent="0.25">
      <c r="A468" s="12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19410412</v>
      </c>
      <c r="C468" s="13">
        <v>1</v>
      </c>
      <c r="D468" s="18">
        <f t="shared" ca="1" si="14"/>
        <v>0</v>
      </c>
      <c r="E468" s="19">
        <f t="shared" ca="1" si="15"/>
        <v>0</v>
      </c>
    </row>
    <row r="469" spans="1:5" x14ac:dyDescent="0.25">
      <c r="A469" s="12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19410413</v>
      </c>
      <c r="C469" s="13">
        <v>1</v>
      </c>
      <c r="D469" s="18">
        <f t="shared" ca="1" si="14"/>
        <v>0</v>
      </c>
      <c r="E469" s="19">
        <f t="shared" ca="1" si="15"/>
        <v>0</v>
      </c>
    </row>
    <row r="470" spans="1:5" x14ac:dyDescent="0.25">
      <c r="A470" s="12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19410414</v>
      </c>
      <c r="C470" s="13">
        <v>1</v>
      </c>
      <c r="D470" s="18">
        <f t="shared" ca="1" si="14"/>
        <v>210</v>
      </c>
      <c r="E470" s="19">
        <f t="shared" ca="1" si="15"/>
        <v>0</v>
      </c>
    </row>
    <row r="471" spans="1:5" x14ac:dyDescent="0.25">
      <c r="A471" s="12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19410415</v>
      </c>
      <c r="C471" s="13">
        <v>1</v>
      </c>
      <c r="D471" s="18">
        <f t="shared" ca="1" si="14"/>
        <v>177</v>
      </c>
      <c r="E471" s="19">
        <f t="shared" ca="1" si="15"/>
        <v>0</v>
      </c>
    </row>
    <row r="472" spans="1:5" x14ac:dyDescent="0.25">
      <c r="A472" s="12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19410416</v>
      </c>
      <c r="C472" s="13">
        <v>1</v>
      </c>
      <c r="D472" s="18">
        <f t="shared" ca="1" si="14"/>
        <v>0</v>
      </c>
      <c r="E472" s="19">
        <f t="shared" ca="1" si="15"/>
        <v>0</v>
      </c>
    </row>
    <row r="473" spans="1:5" x14ac:dyDescent="0.25">
      <c r="A473" s="12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19410417</v>
      </c>
      <c r="C473" s="13">
        <v>1</v>
      </c>
      <c r="D473" s="18">
        <f t="shared" ca="1" si="14"/>
        <v>16</v>
      </c>
      <c r="E473" s="19">
        <f t="shared" ca="1" si="15"/>
        <v>0</v>
      </c>
    </row>
    <row r="474" spans="1:5" x14ac:dyDescent="0.25">
      <c r="A474" s="12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19410418</v>
      </c>
      <c r="C474" s="13">
        <v>1</v>
      </c>
      <c r="D474" s="18">
        <f t="shared" ca="1" si="14"/>
        <v>41</v>
      </c>
      <c r="E474" s="19">
        <f t="shared" ca="1" si="15"/>
        <v>0</v>
      </c>
    </row>
    <row r="475" spans="1:5" x14ac:dyDescent="0.25">
      <c r="A475" s="12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19410419</v>
      </c>
      <c r="C475" s="13">
        <v>1</v>
      </c>
      <c r="D475" s="18">
        <f t="shared" ca="1" si="14"/>
        <v>0</v>
      </c>
      <c r="E475" s="19">
        <f t="shared" ca="1" si="15"/>
        <v>0</v>
      </c>
    </row>
    <row r="476" spans="1:5" x14ac:dyDescent="0.25">
      <c r="A476" s="12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19410420</v>
      </c>
      <c r="C476" s="13">
        <v>1</v>
      </c>
      <c r="D476" s="18">
        <f t="shared" ca="1" si="14"/>
        <v>0</v>
      </c>
      <c r="E476" s="19">
        <f t="shared" ca="1" si="15"/>
        <v>0</v>
      </c>
    </row>
    <row r="477" spans="1:5" x14ac:dyDescent="0.25">
      <c r="A477" s="12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19410421</v>
      </c>
      <c r="C477" s="13">
        <v>1</v>
      </c>
      <c r="D477" s="18">
        <f t="shared" ca="1" si="14"/>
        <v>0</v>
      </c>
      <c r="E477" s="19">
        <f t="shared" ca="1" si="15"/>
        <v>0</v>
      </c>
    </row>
    <row r="478" spans="1:5" x14ac:dyDescent="0.25">
      <c r="A478" s="12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19410422</v>
      </c>
      <c r="C478" s="13">
        <v>1</v>
      </c>
      <c r="D478" s="18">
        <f t="shared" ca="1" si="14"/>
        <v>0</v>
      </c>
      <c r="E478" s="19">
        <f t="shared" ca="1" si="15"/>
        <v>0</v>
      </c>
    </row>
    <row r="479" spans="1:5" x14ac:dyDescent="0.25">
      <c r="A479" s="12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19410423</v>
      </c>
      <c r="C479" s="13">
        <v>1</v>
      </c>
      <c r="D479" s="18">
        <f t="shared" ca="1" si="14"/>
        <v>0</v>
      </c>
      <c r="E479" s="19">
        <f t="shared" ca="1" si="15"/>
        <v>0</v>
      </c>
    </row>
    <row r="480" spans="1:5" x14ac:dyDescent="0.25">
      <c r="A480" s="12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19410424</v>
      </c>
      <c r="C480" s="13">
        <v>1</v>
      </c>
      <c r="D480" s="18">
        <f t="shared" ca="1" si="14"/>
        <v>0</v>
      </c>
      <c r="E480" s="19">
        <f t="shared" ca="1" si="15"/>
        <v>0</v>
      </c>
    </row>
    <row r="481" spans="1:5" x14ac:dyDescent="0.25">
      <c r="A481" s="12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19410425</v>
      </c>
      <c r="C481" s="13">
        <v>1</v>
      </c>
      <c r="D481" s="18">
        <f t="shared" ca="1" si="14"/>
        <v>0</v>
      </c>
      <c r="E481" s="19">
        <f t="shared" ca="1" si="15"/>
        <v>0</v>
      </c>
    </row>
    <row r="482" spans="1:5" x14ac:dyDescent="0.25">
      <c r="A482" s="12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19410426</v>
      </c>
      <c r="C482" s="13">
        <v>1</v>
      </c>
      <c r="D482" s="18">
        <f t="shared" ca="1" si="14"/>
        <v>0</v>
      </c>
      <c r="E482" s="19">
        <f t="shared" ca="1" si="15"/>
        <v>0</v>
      </c>
    </row>
    <row r="483" spans="1:5" x14ac:dyDescent="0.25">
      <c r="A483" s="12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19410427</v>
      </c>
      <c r="C483" s="13">
        <v>1</v>
      </c>
      <c r="D483" s="18">
        <f t="shared" ca="1" si="14"/>
        <v>0</v>
      </c>
      <c r="E483" s="19">
        <f t="shared" ca="1" si="15"/>
        <v>0</v>
      </c>
    </row>
    <row r="484" spans="1:5" x14ac:dyDescent="0.25">
      <c r="A484" s="12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19410428</v>
      </c>
      <c r="C484" s="13">
        <v>1</v>
      </c>
      <c r="D484" s="18">
        <f t="shared" ca="1" si="14"/>
        <v>0</v>
      </c>
      <c r="E484" s="19">
        <f t="shared" ca="1" si="15"/>
        <v>0</v>
      </c>
    </row>
    <row r="485" spans="1:5" x14ac:dyDescent="0.25">
      <c r="A485" s="12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19410429</v>
      </c>
      <c r="C485" s="13">
        <v>1</v>
      </c>
      <c r="D485" s="18">
        <f t="shared" ca="1" si="14"/>
        <v>0</v>
      </c>
      <c r="E485" s="19">
        <f t="shared" ca="1" si="15"/>
        <v>0</v>
      </c>
    </row>
    <row r="486" spans="1:5" x14ac:dyDescent="0.25">
      <c r="A486" s="12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19410430</v>
      </c>
      <c r="C486" s="13">
        <v>1</v>
      </c>
      <c r="D486" s="18">
        <f t="shared" ca="1" si="14"/>
        <v>0</v>
      </c>
      <c r="E486" s="19">
        <f t="shared" ca="1" si="15"/>
        <v>0</v>
      </c>
    </row>
    <row r="487" spans="1:5" x14ac:dyDescent="0.25">
      <c r="A487" s="12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19410501</v>
      </c>
      <c r="C487" s="13">
        <v>1</v>
      </c>
      <c r="D487" s="18">
        <f t="shared" ca="1" si="14"/>
        <v>0</v>
      </c>
      <c r="E487" s="19">
        <f t="shared" ca="1" si="15"/>
        <v>0</v>
      </c>
    </row>
    <row r="488" spans="1:5" x14ac:dyDescent="0.25">
      <c r="A488" s="12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19410502</v>
      </c>
      <c r="C488" s="13">
        <v>1</v>
      </c>
      <c r="D488" s="18">
        <f t="shared" ca="1" si="14"/>
        <v>0</v>
      </c>
      <c r="E488" s="19">
        <f t="shared" ca="1" si="15"/>
        <v>0</v>
      </c>
    </row>
    <row r="489" spans="1:5" x14ac:dyDescent="0.25">
      <c r="A489" s="12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19410503</v>
      </c>
      <c r="C489" s="13">
        <v>1</v>
      </c>
      <c r="D489" s="18">
        <f t="shared" ca="1" si="14"/>
        <v>0</v>
      </c>
      <c r="E489" s="19">
        <f t="shared" ca="1" si="15"/>
        <v>0</v>
      </c>
    </row>
    <row r="490" spans="1:5" x14ac:dyDescent="0.25">
      <c r="A490" s="12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19410504</v>
      </c>
      <c r="C490" s="13">
        <v>1</v>
      </c>
      <c r="D490" s="18">
        <f t="shared" ca="1" si="14"/>
        <v>0</v>
      </c>
      <c r="E490" s="19">
        <f t="shared" ca="1" si="15"/>
        <v>0</v>
      </c>
    </row>
    <row r="491" spans="1:5" x14ac:dyDescent="0.25">
      <c r="A491" s="12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19410505</v>
      </c>
      <c r="C491" s="13">
        <v>1</v>
      </c>
      <c r="D491" s="18">
        <f t="shared" ca="1" si="14"/>
        <v>0</v>
      </c>
      <c r="E491" s="19">
        <f t="shared" ca="1" si="15"/>
        <v>0</v>
      </c>
    </row>
    <row r="492" spans="1:5" x14ac:dyDescent="0.25">
      <c r="A492" s="12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19410506</v>
      </c>
      <c r="C492" s="13">
        <v>1</v>
      </c>
      <c r="D492" s="18">
        <f t="shared" ca="1" si="14"/>
        <v>0</v>
      </c>
      <c r="E492" s="19">
        <f t="shared" ca="1" si="15"/>
        <v>0</v>
      </c>
    </row>
    <row r="493" spans="1:5" x14ac:dyDescent="0.25">
      <c r="A493" s="12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19410507</v>
      </c>
      <c r="C493" s="13">
        <v>1</v>
      </c>
      <c r="D493" s="18">
        <f t="shared" ca="1" si="14"/>
        <v>0</v>
      </c>
      <c r="E493" s="19">
        <f t="shared" ca="1" si="15"/>
        <v>0</v>
      </c>
    </row>
    <row r="494" spans="1:5" x14ac:dyDescent="0.25">
      <c r="A494" s="12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19410508</v>
      </c>
      <c r="C494" s="13">
        <v>1</v>
      </c>
      <c r="D494" s="18">
        <f t="shared" ca="1" si="14"/>
        <v>0</v>
      </c>
      <c r="E494" s="19">
        <f t="shared" ca="1" si="15"/>
        <v>0</v>
      </c>
    </row>
    <row r="495" spans="1:5" x14ac:dyDescent="0.25">
      <c r="A495" s="12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19410509</v>
      </c>
      <c r="C495" s="13">
        <v>1</v>
      </c>
      <c r="D495" s="18">
        <f t="shared" ca="1" si="14"/>
        <v>0</v>
      </c>
      <c r="E495" s="19">
        <f t="shared" ca="1" si="15"/>
        <v>0</v>
      </c>
    </row>
    <row r="496" spans="1:5" x14ac:dyDescent="0.25">
      <c r="A496" s="12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19410510</v>
      </c>
      <c r="C496" s="13">
        <v>1</v>
      </c>
      <c r="D496" s="18">
        <f t="shared" ca="1" si="14"/>
        <v>0</v>
      </c>
      <c r="E496" s="19">
        <f t="shared" ca="1" si="15"/>
        <v>0</v>
      </c>
    </row>
    <row r="497" spans="1:5" x14ac:dyDescent="0.25">
      <c r="A497" s="12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19410511</v>
      </c>
      <c r="C497" s="13">
        <v>1</v>
      </c>
      <c r="D497" s="18">
        <f t="shared" ca="1" si="14"/>
        <v>0</v>
      </c>
      <c r="E497" s="19">
        <f t="shared" ca="1" si="15"/>
        <v>0</v>
      </c>
    </row>
    <row r="498" spans="1:5" x14ac:dyDescent="0.25">
      <c r="A498" s="12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19410512</v>
      </c>
      <c r="C498" s="13">
        <v>1</v>
      </c>
      <c r="D498" s="18">
        <f t="shared" ca="1" si="14"/>
        <v>0</v>
      </c>
      <c r="E498" s="19">
        <f t="shared" ca="1" si="15"/>
        <v>0</v>
      </c>
    </row>
    <row r="499" spans="1:5" x14ac:dyDescent="0.25">
      <c r="A499" s="12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19410513</v>
      </c>
      <c r="C499" s="13">
        <v>1</v>
      </c>
      <c r="D499" s="18">
        <f t="shared" ca="1" si="14"/>
        <v>0</v>
      </c>
      <c r="E499" s="19">
        <f t="shared" ca="1" si="15"/>
        <v>0</v>
      </c>
    </row>
    <row r="500" spans="1:5" x14ac:dyDescent="0.25">
      <c r="A500" s="12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19410514</v>
      </c>
      <c r="C500" s="13">
        <v>1</v>
      </c>
      <c r="D500" s="18">
        <f t="shared" ca="1" si="14"/>
        <v>0</v>
      </c>
      <c r="E500" s="19">
        <f t="shared" ca="1" si="15"/>
        <v>0</v>
      </c>
    </row>
    <row r="501" spans="1:5" x14ac:dyDescent="0.25">
      <c r="A501" s="12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19410515</v>
      </c>
      <c r="C501" s="13">
        <v>1</v>
      </c>
      <c r="D501" s="18">
        <f t="shared" ca="1" si="14"/>
        <v>0</v>
      </c>
      <c r="E501" s="19">
        <f t="shared" ca="1" si="15"/>
        <v>0</v>
      </c>
    </row>
    <row r="502" spans="1:5" x14ac:dyDescent="0.25">
      <c r="A502" s="12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19410516</v>
      </c>
      <c r="C502" s="13">
        <v>1</v>
      </c>
      <c r="D502" s="18">
        <f t="shared" ca="1" si="14"/>
        <v>0</v>
      </c>
      <c r="E502" s="19">
        <f t="shared" ca="1" si="15"/>
        <v>0</v>
      </c>
    </row>
    <row r="503" spans="1:5" x14ac:dyDescent="0.25">
      <c r="A503" s="12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19410517</v>
      </c>
      <c r="C503" s="13">
        <v>1</v>
      </c>
      <c r="D503" s="18">
        <f t="shared" ca="1" si="14"/>
        <v>0</v>
      </c>
      <c r="E503" s="19">
        <f t="shared" ca="1" si="15"/>
        <v>0</v>
      </c>
    </row>
    <row r="504" spans="1:5" x14ac:dyDescent="0.25">
      <c r="A504" s="12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19410518</v>
      </c>
      <c r="C504" s="13">
        <v>1</v>
      </c>
      <c r="D504" s="18">
        <f t="shared" ca="1" si="14"/>
        <v>0</v>
      </c>
      <c r="E504" s="19">
        <f t="shared" ca="1" si="15"/>
        <v>0</v>
      </c>
    </row>
    <row r="505" spans="1:5" x14ac:dyDescent="0.25">
      <c r="A505" s="12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19410519</v>
      </c>
      <c r="C505" s="13">
        <v>1</v>
      </c>
      <c r="D505" s="18">
        <f t="shared" ca="1" si="14"/>
        <v>0</v>
      </c>
      <c r="E505" s="19">
        <f t="shared" ca="1" si="15"/>
        <v>0</v>
      </c>
    </row>
    <row r="506" spans="1:5" x14ac:dyDescent="0.25">
      <c r="A506" s="12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19410520</v>
      </c>
      <c r="C506" s="13">
        <v>1</v>
      </c>
      <c r="D506" s="18">
        <f t="shared" ca="1" si="14"/>
        <v>0</v>
      </c>
      <c r="E506" s="19">
        <f t="shared" ca="1" si="15"/>
        <v>0</v>
      </c>
    </row>
    <row r="507" spans="1:5" x14ac:dyDescent="0.25">
      <c r="A507" s="12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19410521</v>
      </c>
      <c r="C507" s="13">
        <v>1</v>
      </c>
      <c r="D507" s="18">
        <f t="shared" ca="1" si="14"/>
        <v>0</v>
      </c>
      <c r="E507" s="19">
        <f t="shared" ca="1" si="15"/>
        <v>0</v>
      </c>
    </row>
    <row r="508" spans="1:5" x14ac:dyDescent="0.25">
      <c r="A508" s="12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19410522</v>
      </c>
      <c r="C508" s="13">
        <v>1</v>
      </c>
      <c r="D508" s="18">
        <f t="shared" ca="1" si="14"/>
        <v>0</v>
      </c>
      <c r="E508" s="19">
        <f t="shared" ca="1" si="15"/>
        <v>0</v>
      </c>
    </row>
    <row r="509" spans="1:5" x14ac:dyDescent="0.25">
      <c r="A509" s="12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19410523</v>
      </c>
      <c r="C509" s="13">
        <v>1</v>
      </c>
      <c r="D509" s="18">
        <f t="shared" ca="1" si="14"/>
        <v>0</v>
      </c>
      <c r="E509" s="19">
        <f t="shared" ca="1" si="15"/>
        <v>0</v>
      </c>
    </row>
    <row r="510" spans="1:5" x14ac:dyDescent="0.25">
      <c r="A510" s="12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19410524</v>
      </c>
      <c r="C510" s="13">
        <v>1</v>
      </c>
      <c r="D510" s="18">
        <f t="shared" ca="1" si="14"/>
        <v>0</v>
      </c>
      <c r="E510" s="19">
        <f t="shared" ca="1" si="15"/>
        <v>0</v>
      </c>
    </row>
    <row r="511" spans="1:5" x14ac:dyDescent="0.25">
      <c r="A511" s="12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19410525</v>
      </c>
      <c r="C511" s="13">
        <v>1</v>
      </c>
      <c r="D511" s="18">
        <f t="shared" ca="1" si="14"/>
        <v>0</v>
      </c>
      <c r="E511" s="19">
        <f t="shared" ca="1" si="15"/>
        <v>0</v>
      </c>
    </row>
    <row r="512" spans="1:5" x14ac:dyDescent="0.25">
      <c r="A512" s="12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19410526</v>
      </c>
      <c r="C512" s="13">
        <v>1</v>
      </c>
      <c r="D512" s="18">
        <f t="shared" ca="1" si="14"/>
        <v>0</v>
      </c>
      <c r="E512" s="19">
        <f t="shared" ca="1" si="15"/>
        <v>0</v>
      </c>
    </row>
    <row r="513" spans="1:5" x14ac:dyDescent="0.25">
      <c r="A513" s="12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19410527</v>
      </c>
      <c r="C513" s="13">
        <v>1</v>
      </c>
      <c r="D513" s="18">
        <f t="shared" ca="1" si="14"/>
        <v>15</v>
      </c>
      <c r="E513" s="19">
        <f t="shared" ca="1" si="15"/>
        <v>0</v>
      </c>
    </row>
    <row r="514" spans="1:5" x14ac:dyDescent="0.25">
      <c r="A514" s="12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19410528</v>
      </c>
      <c r="C514" s="13">
        <v>1</v>
      </c>
      <c r="D514" s="18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9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2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19410529</v>
      </c>
      <c r="C515" s="13">
        <v>1</v>
      </c>
      <c r="D515" s="18">
        <f t="shared" ca="1" si="16"/>
        <v>0</v>
      </c>
      <c r="E515" s="19">
        <f t="shared" ca="1" si="17"/>
        <v>0</v>
      </c>
    </row>
    <row r="516" spans="1:5" x14ac:dyDescent="0.25">
      <c r="A516" s="12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19410530</v>
      </c>
      <c r="C516" s="13">
        <v>1</v>
      </c>
      <c r="D516" s="18">
        <f t="shared" ca="1" si="16"/>
        <v>0</v>
      </c>
      <c r="E516" s="19">
        <f t="shared" ca="1" si="17"/>
        <v>0</v>
      </c>
    </row>
    <row r="517" spans="1:5" x14ac:dyDescent="0.25">
      <c r="A517" s="12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19410531</v>
      </c>
      <c r="C517" s="13">
        <v>1</v>
      </c>
      <c r="D517" s="18">
        <f t="shared" ca="1" si="16"/>
        <v>0</v>
      </c>
      <c r="E517" s="19">
        <f t="shared" ca="1" si="17"/>
        <v>0</v>
      </c>
    </row>
    <row r="518" spans="1:5" x14ac:dyDescent="0.25">
      <c r="A518" s="12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19410601</v>
      </c>
      <c r="C518" s="13">
        <v>1</v>
      </c>
      <c r="D518" s="18" t="str">
        <f t="shared" ca="1" si="16"/>
        <v>—</v>
      </c>
      <c r="E518" s="19">
        <f t="shared" ca="1" si="17"/>
        <v>7</v>
      </c>
    </row>
    <row r="519" spans="1:5" x14ac:dyDescent="0.25">
      <c r="A519" s="12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19410602</v>
      </c>
      <c r="C519" s="13">
        <v>1</v>
      </c>
      <c r="D519" s="18" t="str">
        <f t="shared" ca="1" si="16"/>
        <v>—</v>
      </c>
      <c r="E519" s="19">
        <f t="shared" ca="1" si="17"/>
        <v>7</v>
      </c>
    </row>
    <row r="520" spans="1:5" x14ac:dyDescent="0.25">
      <c r="A520" s="12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19410603</v>
      </c>
      <c r="C520" s="13">
        <v>1</v>
      </c>
      <c r="D520" s="18" t="str">
        <f t="shared" ca="1" si="16"/>
        <v>—</v>
      </c>
      <c r="E520" s="19">
        <f t="shared" ca="1" si="17"/>
        <v>7</v>
      </c>
    </row>
    <row r="521" spans="1:5" x14ac:dyDescent="0.25">
      <c r="A521" s="12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19410604</v>
      </c>
      <c r="C521" s="13">
        <v>1</v>
      </c>
      <c r="D521" s="18" t="str">
        <f t="shared" ca="1" si="16"/>
        <v>—</v>
      </c>
      <c r="E521" s="19">
        <f t="shared" ca="1" si="17"/>
        <v>7</v>
      </c>
    </row>
    <row r="522" spans="1:5" x14ac:dyDescent="0.25">
      <c r="A522" s="12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19410605</v>
      </c>
      <c r="C522" s="13">
        <v>1</v>
      </c>
      <c r="D522" s="18" t="str">
        <f t="shared" ca="1" si="16"/>
        <v>—</v>
      </c>
      <c r="E522" s="19">
        <f t="shared" ca="1" si="17"/>
        <v>7</v>
      </c>
    </row>
    <row r="523" spans="1:5" x14ac:dyDescent="0.25">
      <c r="A523" s="12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19410606</v>
      </c>
      <c r="C523" s="13">
        <v>1</v>
      </c>
      <c r="D523" s="18" t="str">
        <f t="shared" ca="1" si="16"/>
        <v>—</v>
      </c>
      <c r="E523" s="19">
        <f t="shared" ca="1" si="17"/>
        <v>7</v>
      </c>
    </row>
    <row r="524" spans="1:5" x14ac:dyDescent="0.25">
      <c r="A524" s="12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19410607</v>
      </c>
      <c r="C524" s="13">
        <v>1</v>
      </c>
      <c r="D524" s="18" t="str">
        <f t="shared" ca="1" si="16"/>
        <v>—</v>
      </c>
      <c r="E524" s="19">
        <f t="shared" ca="1" si="17"/>
        <v>7</v>
      </c>
    </row>
    <row r="525" spans="1:5" x14ac:dyDescent="0.25">
      <c r="A525" s="12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19410608</v>
      </c>
      <c r="C525" s="13">
        <v>1</v>
      </c>
      <c r="D525" s="18" t="str">
        <f t="shared" ca="1" si="16"/>
        <v>—</v>
      </c>
      <c r="E525" s="19">
        <f t="shared" ca="1" si="17"/>
        <v>7</v>
      </c>
    </row>
    <row r="526" spans="1:5" x14ac:dyDescent="0.25">
      <c r="A526" s="12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19410609</v>
      </c>
      <c r="C526" s="13">
        <v>1</v>
      </c>
      <c r="D526" s="18" t="str">
        <f t="shared" ca="1" si="16"/>
        <v>—</v>
      </c>
      <c r="E526" s="19">
        <f t="shared" ca="1" si="17"/>
        <v>7</v>
      </c>
    </row>
    <row r="527" spans="1:5" x14ac:dyDescent="0.25">
      <c r="A527" s="12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19410610</v>
      </c>
      <c r="C527" s="13">
        <v>1</v>
      </c>
      <c r="D527" s="18" t="str">
        <f t="shared" ca="1" si="16"/>
        <v>—</v>
      </c>
      <c r="E527" s="19">
        <f t="shared" ca="1" si="17"/>
        <v>7</v>
      </c>
    </row>
    <row r="528" spans="1:5" x14ac:dyDescent="0.25">
      <c r="A528" s="12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19410611</v>
      </c>
      <c r="C528" s="13">
        <v>1</v>
      </c>
      <c r="D528" s="18" t="str">
        <f t="shared" ca="1" si="16"/>
        <v>—</v>
      </c>
      <c r="E528" s="19">
        <f t="shared" ca="1" si="17"/>
        <v>7</v>
      </c>
    </row>
    <row r="529" spans="1:5" x14ac:dyDescent="0.25">
      <c r="A529" s="12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19410612</v>
      </c>
      <c r="C529" s="13">
        <v>1</v>
      </c>
      <c r="D529" s="18" t="str">
        <f t="shared" ca="1" si="16"/>
        <v>—</v>
      </c>
      <c r="E529" s="19">
        <f t="shared" ca="1" si="17"/>
        <v>7</v>
      </c>
    </row>
    <row r="530" spans="1:5" x14ac:dyDescent="0.25">
      <c r="A530" s="12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19410613</v>
      </c>
      <c r="C530" s="13">
        <v>1</v>
      </c>
      <c r="D530" s="18" t="str">
        <f t="shared" ca="1" si="16"/>
        <v>—</v>
      </c>
      <c r="E530" s="19">
        <f t="shared" ca="1" si="17"/>
        <v>7</v>
      </c>
    </row>
    <row r="531" spans="1:5" x14ac:dyDescent="0.25">
      <c r="A531" s="12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19410614</v>
      </c>
      <c r="C531" s="13">
        <v>1</v>
      </c>
      <c r="D531" s="18" t="str">
        <f t="shared" ca="1" si="16"/>
        <v>—</v>
      </c>
      <c r="E531" s="19">
        <f t="shared" ca="1" si="17"/>
        <v>7</v>
      </c>
    </row>
    <row r="532" spans="1:5" x14ac:dyDescent="0.25">
      <c r="A532" s="12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19410615</v>
      </c>
      <c r="C532" s="13">
        <v>1</v>
      </c>
      <c r="D532" s="18" t="str">
        <f t="shared" ca="1" si="16"/>
        <v>—</v>
      </c>
      <c r="E532" s="19">
        <f t="shared" ca="1" si="17"/>
        <v>7</v>
      </c>
    </row>
    <row r="533" spans="1:5" x14ac:dyDescent="0.25">
      <c r="A533" s="12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19410616</v>
      </c>
      <c r="C533" s="13">
        <v>1</v>
      </c>
      <c r="D533" s="18" t="str">
        <f t="shared" ca="1" si="16"/>
        <v>—</v>
      </c>
      <c r="E533" s="19">
        <f t="shared" ca="1" si="17"/>
        <v>7</v>
      </c>
    </row>
    <row r="534" spans="1:5" x14ac:dyDescent="0.25">
      <c r="A534" s="12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19410617</v>
      </c>
      <c r="C534" s="13">
        <v>1</v>
      </c>
      <c r="D534" s="18" t="str">
        <f t="shared" ca="1" si="16"/>
        <v>—</v>
      </c>
      <c r="E534" s="19">
        <f t="shared" ca="1" si="17"/>
        <v>7</v>
      </c>
    </row>
    <row r="535" spans="1:5" x14ac:dyDescent="0.25">
      <c r="A535" s="12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19410618</v>
      </c>
      <c r="C535" s="13">
        <v>1</v>
      </c>
      <c r="D535" s="18" t="str">
        <f t="shared" ca="1" si="16"/>
        <v>—</v>
      </c>
      <c r="E535" s="19">
        <f t="shared" ca="1" si="17"/>
        <v>7</v>
      </c>
    </row>
    <row r="536" spans="1:5" x14ac:dyDescent="0.25">
      <c r="A536" s="12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19410619</v>
      </c>
      <c r="C536" s="13">
        <v>1</v>
      </c>
      <c r="D536" s="18" t="str">
        <f t="shared" ca="1" si="16"/>
        <v>—</v>
      </c>
      <c r="E536" s="19">
        <f t="shared" ca="1" si="17"/>
        <v>7</v>
      </c>
    </row>
    <row r="537" spans="1:5" x14ac:dyDescent="0.25">
      <c r="A537" s="12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19410620</v>
      </c>
      <c r="C537" s="13">
        <v>1</v>
      </c>
      <c r="D537" s="18" t="str">
        <f t="shared" ca="1" si="16"/>
        <v>—</v>
      </c>
      <c r="E537" s="19">
        <f t="shared" ca="1" si="17"/>
        <v>7</v>
      </c>
    </row>
    <row r="538" spans="1:5" x14ac:dyDescent="0.25">
      <c r="A538" s="12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19410621</v>
      </c>
      <c r="C538" s="13">
        <v>1</v>
      </c>
      <c r="D538" s="18" t="str">
        <f t="shared" ca="1" si="16"/>
        <v>—</v>
      </c>
      <c r="E538" s="19">
        <f t="shared" ca="1" si="17"/>
        <v>7</v>
      </c>
    </row>
    <row r="539" spans="1:5" x14ac:dyDescent="0.25">
      <c r="A539" s="12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19410622</v>
      </c>
      <c r="C539" s="13">
        <v>1</v>
      </c>
      <c r="D539" s="18" t="str">
        <f t="shared" ca="1" si="16"/>
        <v>—</v>
      </c>
      <c r="E539" s="19">
        <f t="shared" ca="1" si="17"/>
        <v>7</v>
      </c>
    </row>
    <row r="540" spans="1:5" x14ac:dyDescent="0.25">
      <c r="A540" s="12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19410623</v>
      </c>
      <c r="C540" s="13">
        <v>1</v>
      </c>
      <c r="D540" s="18" t="str">
        <f t="shared" ca="1" si="16"/>
        <v>—</v>
      </c>
      <c r="E540" s="19">
        <f t="shared" ca="1" si="17"/>
        <v>7</v>
      </c>
    </row>
    <row r="541" spans="1:5" x14ac:dyDescent="0.25">
      <c r="A541" s="12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19410624</v>
      </c>
      <c r="C541" s="13">
        <v>1</v>
      </c>
      <c r="D541" s="18" t="str">
        <f t="shared" ca="1" si="16"/>
        <v>—</v>
      </c>
      <c r="E541" s="19">
        <f t="shared" ca="1" si="17"/>
        <v>7</v>
      </c>
    </row>
    <row r="542" spans="1:5" x14ac:dyDescent="0.25">
      <c r="A542" s="12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19410625</v>
      </c>
      <c r="C542" s="13">
        <v>1</v>
      </c>
      <c r="D542" s="18" t="str">
        <f t="shared" ca="1" si="16"/>
        <v>—</v>
      </c>
      <c r="E542" s="19">
        <f t="shared" ca="1" si="17"/>
        <v>7</v>
      </c>
    </row>
    <row r="543" spans="1:5" x14ac:dyDescent="0.25">
      <c r="A543" s="12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19410626</v>
      </c>
      <c r="C543" s="13">
        <v>1</v>
      </c>
      <c r="D543" s="18" t="str">
        <f t="shared" ca="1" si="16"/>
        <v>—</v>
      </c>
      <c r="E543" s="19">
        <f t="shared" ca="1" si="17"/>
        <v>7</v>
      </c>
    </row>
    <row r="544" spans="1:5" x14ac:dyDescent="0.25">
      <c r="A544" s="12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19410627</v>
      </c>
      <c r="C544" s="13">
        <v>1</v>
      </c>
      <c r="D544" s="18" t="str">
        <f t="shared" ca="1" si="16"/>
        <v>—</v>
      </c>
      <c r="E544" s="19">
        <f t="shared" ca="1" si="17"/>
        <v>7</v>
      </c>
    </row>
    <row r="545" spans="1:5" x14ac:dyDescent="0.25">
      <c r="A545" s="12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19410628</v>
      </c>
      <c r="C545" s="13">
        <v>1</v>
      </c>
      <c r="D545" s="18" t="str">
        <f t="shared" ca="1" si="16"/>
        <v>—</v>
      </c>
      <c r="E545" s="19">
        <f t="shared" ca="1" si="17"/>
        <v>7</v>
      </c>
    </row>
    <row r="546" spans="1:5" x14ac:dyDescent="0.25">
      <c r="A546" s="12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19410629</v>
      </c>
      <c r="C546" s="13">
        <v>1</v>
      </c>
      <c r="D546" s="18" t="str">
        <f t="shared" ca="1" si="16"/>
        <v>—</v>
      </c>
      <c r="E546" s="19">
        <f t="shared" ca="1" si="17"/>
        <v>7</v>
      </c>
    </row>
    <row r="547" spans="1:5" x14ac:dyDescent="0.25">
      <c r="A547" s="12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19410630</v>
      </c>
      <c r="C547" s="13">
        <v>1</v>
      </c>
      <c r="D547" s="18" t="str">
        <f t="shared" ca="1" si="16"/>
        <v>—</v>
      </c>
      <c r="E547" s="19">
        <f t="shared" ca="1" si="17"/>
        <v>7</v>
      </c>
    </row>
    <row r="548" spans="1:5" x14ac:dyDescent="0.25">
      <c r="A548" s="12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19410701</v>
      </c>
      <c r="C548" s="13">
        <v>1</v>
      </c>
      <c r="D548" s="18" t="str">
        <f t="shared" ca="1" si="16"/>
        <v>—</v>
      </c>
      <c r="E548" s="19">
        <f t="shared" ca="1" si="17"/>
        <v>7</v>
      </c>
    </row>
    <row r="549" spans="1:5" x14ac:dyDescent="0.25">
      <c r="A549" s="12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19410702</v>
      </c>
      <c r="C549" s="13">
        <v>1</v>
      </c>
      <c r="D549" s="18" t="str">
        <f t="shared" ca="1" si="16"/>
        <v>—</v>
      </c>
      <c r="E549" s="19">
        <f t="shared" ca="1" si="17"/>
        <v>7</v>
      </c>
    </row>
    <row r="550" spans="1:5" x14ac:dyDescent="0.25">
      <c r="A550" s="12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19410703</v>
      </c>
      <c r="C550" s="13">
        <v>1</v>
      </c>
      <c r="D550" s="18" t="str">
        <f t="shared" ca="1" si="16"/>
        <v>—</v>
      </c>
      <c r="E550" s="19">
        <f t="shared" ca="1" si="17"/>
        <v>7</v>
      </c>
    </row>
    <row r="551" spans="1:5" x14ac:dyDescent="0.25">
      <c r="A551" s="12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19410704</v>
      </c>
      <c r="C551" s="13">
        <v>1</v>
      </c>
      <c r="D551" s="18" t="str">
        <f t="shared" ca="1" si="16"/>
        <v>—</v>
      </c>
      <c r="E551" s="19">
        <f t="shared" ca="1" si="17"/>
        <v>7</v>
      </c>
    </row>
    <row r="552" spans="1:5" x14ac:dyDescent="0.25">
      <c r="A552" s="12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19410705</v>
      </c>
      <c r="C552" s="13">
        <v>1</v>
      </c>
      <c r="D552" s="18" t="str">
        <f t="shared" ca="1" si="16"/>
        <v>—</v>
      </c>
      <c r="E552" s="19">
        <f t="shared" ca="1" si="17"/>
        <v>7</v>
      </c>
    </row>
    <row r="553" spans="1:5" x14ac:dyDescent="0.25">
      <c r="A553" s="12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19410706</v>
      </c>
      <c r="C553" s="13">
        <v>1</v>
      </c>
      <c r="D553" s="18" t="str">
        <f t="shared" ca="1" si="16"/>
        <v>—</v>
      </c>
      <c r="E553" s="19">
        <f t="shared" ca="1" si="17"/>
        <v>7</v>
      </c>
    </row>
    <row r="554" spans="1:5" x14ac:dyDescent="0.25">
      <c r="A554" s="12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19410707</v>
      </c>
      <c r="C554" s="13">
        <v>1</v>
      </c>
      <c r="D554" s="18" t="str">
        <f t="shared" ca="1" si="16"/>
        <v>—</v>
      </c>
      <c r="E554" s="19">
        <f t="shared" ca="1" si="17"/>
        <v>7</v>
      </c>
    </row>
    <row r="555" spans="1:5" x14ac:dyDescent="0.25">
      <c r="A555" s="12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19410708</v>
      </c>
      <c r="C555" s="13">
        <v>1</v>
      </c>
      <c r="D555" s="18" t="str">
        <f t="shared" ca="1" si="16"/>
        <v>—</v>
      </c>
      <c r="E555" s="19">
        <f t="shared" ca="1" si="17"/>
        <v>7</v>
      </c>
    </row>
    <row r="556" spans="1:5" x14ac:dyDescent="0.25">
      <c r="A556" s="12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19410709</v>
      </c>
      <c r="C556" s="13">
        <v>1</v>
      </c>
      <c r="D556" s="18" t="str">
        <f t="shared" ca="1" si="16"/>
        <v>—</v>
      </c>
      <c r="E556" s="19">
        <f t="shared" ca="1" si="17"/>
        <v>7</v>
      </c>
    </row>
    <row r="557" spans="1:5" x14ac:dyDescent="0.25">
      <c r="A557" s="12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19410710</v>
      </c>
      <c r="C557" s="13">
        <v>1</v>
      </c>
      <c r="D557" s="18" t="str">
        <f t="shared" ca="1" si="16"/>
        <v>—</v>
      </c>
      <c r="E557" s="19">
        <f t="shared" ca="1" si="17"/>
        <v>7</v>
      </c>
    </row>
    <row r="558" spans="1:5" x14ac:dyDescent="0.25">
      <c r="A558" s="12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19410711</v>
      </c>
      <c r="C558" s="13">
        <v>1</v>
      </c>
      <c r="D558" s="18" t="str">
        <f t="shared" ca="1" si="16"/>
        <v>—</v>
      </c>
      <c r="E558" s="19">
        <f t="shared" ca="1" si="17"/>
        <v>7</v>
      </c>
    </row>
    <row r="559" spans="1:5" x14ac:dyDescent="0.25">
      <c r="A559" s="12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19410712</v>
      </c>
      <c r="C559" s="13">
        <v>1</v>
      </c>
      <c r="D559" s="18" t="str">
        <f t="shared" ca="1" si="16"/>
        <v>—</v>
      </c>
      <c r="E559" s="19">
        <f t="shared" ca="1" si="17"/>
        <v>7</v>
      </c>
    </row>
    <row r="560" spans="1:5" x14ac:dyDescent="0.25">
      <c r="A560" s="12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19410713</v>
      </c>
      <c r="C560" s="13">
        <v>1</v>
      </c>
      <c r="D560" s="18" t="str">
        <f t="shared" ca="1" si="16"/>
        <v>—</v>
      </c>
      <c r="E560" s="19">
        <f t="shared" ca="1" si="17"/>
        <v>7</v>
      </c>
    </row>
    <row r="561" spans="1:5" x14ac:dyDescent="0.25">
      <c r="A561" s="12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19410714</v>
      </c>
      <c r="C561" s="13">
        <v>1</v>
      </c>
      <c r="D561" s="18" t="str">
        <f t="shared" ca="1" si="16"/>
        <v>—</v>
      </c>
      <c r="E561" s="19">
        <f t="shared" ca="1" si="17"/>
        <v>7</v>
      </c>
    </row>
    <row r="562" spans="1:5" x14ac:dyDescent="0.25">
      <c r="A562" s="12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19410715</v>
      </c>
      <c r="C562" s="13">
        <v>1</v>
      </c>
      <c r="D562" s="18" t="str">
        <f t="shared" ca="1" si="16"/>
        <v>—</v>
      </c>
      <c r="E562" s="19">
        <f t="shared" ca="1" si="17"/>
        <v>7</v>
      </c>
    </row>
    <row r="563" spans="1:5" x14ac:dyDescent="0.25">
      <c r="A563" s="12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19410716</v>
      </c>
      <c r="C563" s="13">
        <v>1</v>
      </c>
      <c r="D563" s="18" t="str">
        <f t="shared" ca="1" si="16"/>
        <v>—</v>
      </c>
      <c r="E563" s="19">
        <f t="shared" ca="1" si="17"/>
        <v>7</v>
      </c>
    </row>
    <row r="564" spans="1:5" x14ac:dyDescent="0.25">
      <c r="A564" s="12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19410717</v>
      </c>
      <c r="C564" s="13">
        <v>1</v>
      </c>
      <c r="D564" s="18" t="str">
        <f t="shared" ca="1" si="16"/>
        <v>—</v>
      </c>
      <c r="E564" s="19">
        <f t="shared" ca="1" si="17"/>
        <v>7</v>
      </c>
    </row>
    <row r="565" spans="1:5" x14ac:dyDescent="0.25">
      <c r="A565" s="12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19410718</v>
      </c>
      <c r="C565" s="13">
        <v>1</v>
      </c>
      <c r="D565" s="18" t="str">
        <f t="shared" ca="1" si="16"/>
        <v>—</v>
      </c>
      <c r="E565" s="19">
        <f t="shared" ca="1" si="17"/>
        <v>7</v>
      </c>
    </row>
    <row r="566" spans="1:5" x14ac:dyDescent="0.25">
      <c r="A566" s="12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19410719</v>
      </c>
      <c r="C566" s="13">
        <v>1</v>
      </c>
      <c r="D566" s="18" t="str">
        <f t="shared" ca="1" si="16"/>
        <v>—</v>
      </c>
      <c r="E566" s="19">
        <f t="shared" ca="1" si="17"/>
        <v>7</v>
      </c>
    </row>
    <row r="567" spans="1:5" x14ac:dyDescent="0.25">
      <c r="A567" s="12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19410720</v>
      </c>
      <c r="C567" s="13">
        <v>1</v>
      </c>
      <c r="D567" s="18" t="str">
        <f t="shared" ca="1" si="16"/>
        <v>—</v>
      </c>
      <c r="E567" s="19">
        <f t="shared" ca="1" si="17"/>
        <v>7</v>
      </c>
    </row>
    <row r="568" spans="1:5" x14ac:dyDescent="0.25">
      <c r="A568" s="12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19410721</v>
      </c>
      <c r="C568" s="13">
        <v>1</v>
      </c>
      <c r="D568" s="18" t="str">
        <f t="shared" ca="1" si="16"/>
        <v>—</v>
      </c>
      <c r="E568" s="19">
        <f t="shared" ca="1" si="17"/>
        <v>7</v>
      </c>
    </row>
    <row r="569" spans="1:5" x14ac:dyDescent="0.25">
      <c r="A569" s="12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19410722</v>
      </c>
      <c r="C569" s="13">
        <v>1</v>
      </c>
      <c r="D569" s="18" t="str">
        <f t="shared" ca="1" si="16"/>
        <v>—</v>
      </c>
      <c r="E569" s="19">
        <f t="shared" ca="1" si="17"/>
        <v>7</v>
      </c>
    </row>
    <row r="570" spans="1:5" x14ac:dyDescent="0.25">
      <c r="A570" s="12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19410723</v>
      </c>
      <c r="C570" s="13">
        <v>1</v>
      </c>
      <c r="D570" s="18" t="str">
        <f t="shared" ca="1" si="16"/>
        <v>—</v>
      </c>
      <c r="E570" s="19">
        <f t="shared" ca="1" si="17"/>
        <v>7</v>
      </c>
    </row>
    <row r="571" spans="1:5" x14ac:dyDescent="0.25">
      <c r="A571" s="12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19410724</v>
      </c>
      <c r="C571" s="13">
        <v>1</v>
      </c>
      <c r="D571" s="18" t="str">
        <f t="shared" ca="1" si="16"/>
        <v>—</v>
      </c>
      <c r="E571" s="19">
        <f t="shared" ca="1" si="17"/>
        <v>7</v>
      </c>
    </row>
    <row r="572" spans="1:5" x14ac:dyDescent="0.25">
      <c r="A572" s="12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19410725</v>
      </c>
      <c r="C572" s="13">
        <v>1</v>
      </c>
      <c r="D572" s="18" t="str">
        <f t="shared" ca="1" si="16"/>
        <v>—</v>
      </c>
      <c r="E572" s="19">
        <f t="shared" ca="1" si="17"/>
        <v>7</v>
      </c>
    </row>
    <row r="573" spans="1:5" x14ac:dyDescent="0.25">
      <c r="A573" s="12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19410726</v>
      </c>
      <c r="C573" s="13">
        <v>1</v>
      </c>
      <c r="D573" s="18" t="str">
        <f t="shared" ca="1" si="16"/>
        <v>—</v>
      </c>
      <c r="E573" s="19">
        <f t="shared" ca="1" si="17"/>
        <v>7</v>
      </c>
    </row>
    <row r="574" spans="1:5" x14ac:dyDescent="0.25">
      <c r="A574" s="12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19410727</v>
      </c>
      <c r="C574" s="13">
        <v>1</v>
      </c>
      <c r="D574" s="18" t="str">
        <f t="shared" ca="1" si="16"/>
        <v>—</v>
      </c>
      <c r="E574" s="19">
        <f t="shared" ca="1" si="17"/>
        <v>7</v>
      </c>
    </row>
    <row r="575" spans="1:5" x14ac:dyDescent="0.25">
      <c r="A575" s="12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19410728</v>
      </c>
      <c r="C575" s="13">
        <v>1</v>
      </c>
      <c r="D575" s="18" t="str">
        <f t="shared" ca="1" si="16"/>
        <v>—</v>
      </c>
      <c r="E575" s="19">
        <f t="shared" ca="1" si="17"/>
        <v>7</v>
      </c>
    </row>
    <row r="576" spans="1:5" x14ac:dyDescent="0.25">
      <c r="A576" s="12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19410729</v>
      </c>
      <c r="C576" s="13">
        <v>1</v>
      </c>
      <c r="D576" s="18" t="str">
        <f t="shared" ca="1" si="16"/>
        <v>—</v>
      </c>
      <c r="E576" s="19">
        <f t="shared" ca="1" si="17"/>
        <v>7</v>
      </c>
    </row>
    <row r="577" spans="1:5" x14ac:dyDescent="0.25">
      <c r="A577" s="12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19410730</v>
      </c>
      <c r="C577" s="13">
        <v>1</v>
      </c>
      <c r="D577" s="18" t="str">
        <f t="shared" ca="1" si="16"/>
        <v>—</v>
      </c>
      <c r="E577" s="19">
        <f t="shared" ca="1" si="17"/>
        <v>7</v>
      </c>
    </row>
    <row r="578" spans="1:5" x14ac:dyDescent="0.25">
      <c r="A578" s="12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19410731</v>
      </c>
      <c r="C578" s="13">
        <v>1</v>
      </c>
      <c r="D578" s="18" t="str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—</v>
      </c>
      <c r="E578" s="19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7</v>
      </c>
    </row>
    <row r="579" spans="1:5" x14ac:dyDescent="0.25">
      <c r="A579" s="12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19410801</v>
      </c>
      <c r="C579" s="13">
        <v>1</v>
      </c>
      <c r="D579" s="18" t="str">
        <f t="shared" ca="1" si="18"/>
        <v>—</v>
      </c>
      <c r="E579" s="19">
        <f t="shared" ca="1" si="19"/>
        <v>7</v>
      </c>
    </row>
    <row r="580" spans="1:5" x14ac:dyDescent="0.25">
      <c r="A580" s="12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19410802</v>
      </c>
      <c r="C580" s="13">
        <v>1</v>
      </c>
      <c r="D580" s="18" t="str">
        <f t="shared" ca="1" si="18"/>
        <v>—</v>
      </c>
      <c r="E580" s="19">
        <f t="shared" ca="1" si="19"/>
        <v>7</v>
      </c>
    </row>
    <row r="581" spans="1:5" x14ac:dyDescent="0.25">
      <c r="A581" s="12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19410803</v>
      </c>
      <c r="C581" s="13">
        <v>1</v>
      </c>
      <c r="D581" s="18" t="str">
        <f t="shared" ca="1" si="18"/>
        <v>—</v>
      </c>
      <c r="E581" s="19">
        <f t="shared" ca="1" si="19"/>
        <v>7</v>
      </c>
    </row>
    <row r="582" spans="1:5" x14ac:dyDescent="0.25">
      <c r="A582" s="12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19410804</v>
      </c>
      <c r="C582" s="13">
        <v>1</v>
      </c>
      <c r="D582" s="18" t="str">
        <f t="shared" ca="1" si="18"/>
        <v>—</v>
      </c>
      <c r="E582" s="19">
        <f t="shared" ca="1" si="19"/>
        <v>7</v>
      </c>
    </row>
    <row r="583" spans="1:5" x14ac:dyDescent="0.25">
      <c r="A583" s="12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19410805</v>
      </c>
      <c r="C583" s="13">
        <v>1</v>
      </c>
      <c r="D583" s="18" t="str">
        <f t="shared" ca="1" si="18"/>
        <v>—</v>
      </c>
      <c r="E583" s="19">
        <f t="shared" ca="1" si="19"/>
        <v>7</v>
      </c>
    </row>
    <row r="584" spans="1:5" x14ac:dyDescent="0.25">
      <c r="A584" s="12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19410806</v>
      </c>
      <c r="C584" s="13">
        <v>1</v>
      </c>
      <c r="D584" s="18" t="str">
        <f t="shared" ca="1" si="18"/>
        <v>—</v>
      </c>
      <c r="E584" s="19">
        <f t="shared" ca="1" si="19"/>
        <v>7</v>
      </c>
    </row>
    <row r="585" spans="1:5" x14ac:dyDescent="0.25">
      <c r="A585" s="12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19410807</v>
      </c>
      <c r="C585" s="13">
        <v>1</v>
      </c>
      <c r="D585" s="18" t="str">
        <f t="shared" ca="1" si="18"/>
        <v>—</v>
      </c>
      <c r="E585" s="19">
        <f t="shared" ca="1" si="19"/>
        <v>7</v>
      </c>
    </row>
    <row r="586" spans="1:5" x14ac:dyDescent="0.25">
      <c r="A586" s="12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19410808</v>
      </c>
      <c r="C586" s="13">
        <v>1</v>
      </c>
      <c r="D586" s="18" t="str">
        <f t="shared" ca="1" si="18"/>
        <v>—</v>
      </c>
      <c r="E586" s="19">
        <f t="shared" ca="1" si="19"/>
        <v>7</v>
      </c>
    </row>
    <row r="587" spans="1:5" x14ac:dyDescent="0.25">
      <c r="A587" s="12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19410809</v>
      </c>
      <c r="C587" s="13">
        <v>1</v>
      </c>
      <c r="D587" s="18" t="str">
        <f t="shared" ca="1" si="18"/>
        <v>—</v>
      </c>
      <c r="E587" s="19">
        <f t="shared" ca="1" si="19"/>
        <v>7</v>
      </c>
    </row>
    <row r="588" spans="1:5" x14ac:dyDescent="0.25">
      <c r="A588" s="12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19410810</v>
      </c>
      <c r="C588" s="13">
        <v>1</v>
      </c>
      <c r="D588" s="18" t="str">
        <f t="shared" ca="1" si="18"/>
        <v>—</v>
      </c>
      <c r="E588" s="19">
        <f t="shared" ca="1" si="19"/>
        <v>7</v>
      </c>
    </row>
    <row r="589" spans="1:5" x14ac:dyDescent="0.25">
      <c r="A589" s="12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19410811</v>
      </c>
      <c r="C589" s="13">
        <v>1</v>
      </c>
      <c r="D589" s="18" t="str">
        <f t="shared" ca="1" si="18"/>
        <v>—</v>
      </c>
      <c r="E589" s="19">
        <f t="shared" ca="1" si="19"/>
        <v>7</v>
      </c>
    </row>
    <row r="590" spans="1:5" x14ac:dyDescent="0.25">
      <c r="A590" s="12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19410812</v>
      </c>
      <c r="C590" s="13">
        <v>1</v>
      </c>
      <c r="D590" s="18" t="str">
        <f t="shared" ca="1" si="18"/>
        <v>—</v>
      </c>
      <c r="E590" s="19">
        <f t="shared" ca="1" si="19"/>
        <v>7</v>
      </c>
    </row>
    <row r="591" spans="1:5" x14ac:dyDescent="0.25">
      <c r="A591" s="12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19410813</v>
      </c>
      <c r="C591" s="13">
        <v>1</v>
      </c>
      <c r="D591" s="18" t="str">
        <f t="shared" ca="1" si="18"/>
        <v>—</v>
      </c>
      <c r="E591" s="19">
        <f t="shared" ca="1" si="19"/>
        <v>7</v>
      </c>
    </row>
    <row r="592" spans="1:5" x14ac:dyDescent="0.25">
      <c r="A592" s="12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19410814</v>
      </c>
      <c r="C592" s="13">
        <v>1</v>
      </c>
      <c r="D592" s="18" t="str">
        <f t="shared" ca="1" si="18"/>
        <v>—</v>
      </c>
      <c r="E592" s="19">
        <f t="shared" ca="1" si="19"/>
        <v>7</v>
      </c>
    </row>
    <row r="593" spans="1:5" x14ac:dyDescent="0.25">
      <c r="A593" s="12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19410815</v>
      </c>
      <c r="C593" s="13">
        <v>1</v>
      </c>
      <c r="D593" s="18" t="str">
        <f t="shared" ca="1" si="18"/>
        <v>—</v>
      </c>
      <c r="E593" s="19">
        <f t="shared" ca="1" si="19"/>
        <v>7</v>
      </c>
    </row>
    <row r="594" spans="1:5" x14ac:dyDescent="0.25">
      <c r="A594" s="12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19410816</v>
      </c>
      <c r="C594" s="13">
        <v>1</v>
      </c>
      <c r="D594" s="18" t="str">
        <f t="shared" ca="1" si="18"/>
        <v>—</v>
      </c>
      <c r="E594" s="19">
        <f t="shared" ca="1" si="19"/>
        <v>7</v>
      </c>
    </row>
    <row r="595" spans="1:5" x14ac:dyDescent="0.25">
      <c r="A595" s="12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19410817</v>
      </c>
      <c r="C595" s="13">
        <v>1</v>
      </c>
      <c r="D595" s="18" t="str">
        <f t="shared" ca="1" si="18"/>
        <v>—</v>
      </c>
      <c r="E595" s="19">
        <f t="shared" ca="1" si="19"/>
        <v>7</v>
      </c>
    </row>
    <row r="596" spans="1:5" x14ac:dyDescent="0.25">
      <c r="A596" s="12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19410818</v>
      </c>
      <c r="C596" s="13">
        <v>1</v>
      </c>
      <c r="D596" s="18" t="str">
        <f t="shared" ca="1" si="18"/>
        <v>—</v>
      </c>
      <c r="E596" s="19">
        <f t="shared" ca="1" si="19"/>
        <v>7</v>
      </c>
    </row>
    <row r="597" spans="1:5" x14ac:dyDescent="0.25">
      <c r="A597" s="12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19410819</v>
      </c>
      <c r="C597" s="13">
        <v>1</v>
      </c>
      <c r="D597" s="18" t="str">
        <f t="shared" ca="1" si="18"/>
        <v>—</v>
      </c>
      <c r="E597" s="19">
        <f t="shared" ca="1" si="19"/>
        <v>7</v>
      </c>
    </row>
    <row r="598" spans="1:5" x14ac:dyDescent="0.25">
      <c r="A598" s="12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19410820</v>
      </c>
      <c r="C598" s="13">
        <v>1</v>
      </c>
      <c r="D598" s="18" t="str">
        <f t="shared" ca="1" si="18"/>
        <v>—</v>
      </c>
      <c r="E598" s="19">
        <f t="shared" ca="1" si="19"/>
        <v>7</v>
      </c>
    </row>
    <row r="599" spans="1:5" x14ac:dyDescent="0.25">
      <c r="A599" s="12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19410821</v>
      </c>
      <c r="C599" s="13">
        <v>1</v>
      </c>
      <c r="D599" s="18" t="str">
        <f t="shared" ca="1" si="18"/>
        <v>—</v>
      </c>
      <c r="E599" s="19">
        <f t="shared" ca="1" si="19"/>
        <v>7</v>
      </c>
    </row>
    <row r="600" spans="1:5" x14ac:dyDescent="0.25">
      <c r="A600" s="12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19410822</v>
      </c>
      <c r="C600" s="13">
        <v>1</v>
      </c>
      <c r="D600" s="18" t="str">
        <f t="shared" ca="1" si="18"/>
        <v>—</v>
      </c>
      <c r="E600" s="19">
        <f t="shared" ca="1" si="19"/>
        <v>7</v>
      </c>
    </row>
    <row r="601" spans="1:5" x14ac:dyDescent="0.25">
      <c r="A601" s="12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19410823</v>
      </c>
      <c r="C601" s="13">
        <v>1</v>
      </c>
      <c r="D601" s="18" t="str">
        <f t="shared" ca="1" si="18"/>
        <v>—</v>
      </c>
      <c r="E601" s="19">
        <f t="shared" ca="1" si="19"/>
        <v>7</v>
      </c>
    </row>
    <row r="602" spans="1:5" x14ac:dyDescent="0.25">
      <c r="A602" s="12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19410824</v>
      </c>
      <c r="C602" s="13">
        <v>1</v>
      </c>
      <c r="D602" s="18" t="str">
        <f t="shared" ca="1" si="18"/>
        <v>—</v>
      </c>
      <c r="E602" s="19">
        <f t="shared" ca="1" si="19"/>
        <v>7</v>
      </c>
    </row>
    <row r="603" spans="1:5" x14ac:dyDescent="0.25">
      <c r="A603" s="12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19410825</v>
      </c>
      <c r="C603" s="13">
        <v>1</v>
      </c>
      <c r="D603" s="18" t="str">
        <f t="shared" ca="1" si="18"/>
        <v>—</v>
      </c>
      <c r="E603" s="19">
        <f t="shared" ca="1" si="19"/>
        <v>7</v>
      </c>
    </row>
    <row r="604" spans="1:5" x14ac:dyDescent="0.25">
      <c r="A604" s="12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19410826</v>
      </c>
      <c r="C604" s="13">
        <v>1</v>
      </c>
      <c r="D604" s="18" t="str">
        <f t="shared" ca="1" si="18"/>
        <v>—</v>
      </c>
      <c r="E604" s="19">
        <f t="shared" ca="1" si="19"/>
        <v>7</v>
      </c>
    </row>
    <row r="605" spans="1:5" x14ac:dyDescent="0.25">
      <c r="A605" s="12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19410827</v>
      </c>
      <c r="C605" s="13">
        <v>1</v>
      </c>
      <c r="D605" s="18" t="str">
        <f t="shared" ca="1" si="18"/>
        <v>—</v>
      </c>
      <c r="E605" s="19">
        <f t="shared" ca="1" si="19"/>
        <v>7</v>
      </c>
    </row>
    <row r="606" spans="1:5" x14ac:dyDescent="0.25">
      <c r="A606" s="12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19410828</v>
      </c>
      <c r="C606" s="13">
        <v>1</v>
      </c>
      <c r="D606" s="18" t="str">
        <f t="shared" ca="1" si="18"/>
        <v>—</v>
      </c>
      <c r="E606" s="19">
        <f t="shared" ca="1" si="19"/>
        <v>7</v>
      </c>
    </row>
    <row r="607" spans="1:5" x14ac:dyDescent="0.25">
      <c r="A607" s="12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19410829</v>
      </c>
      <c r="C607" s="13">
        <v>1</v>
      </c>
      <c r="D607" s="18" t="str">
        <f t="shared" ca="1" si="18"/>
        <v>—</v>
      </c>
      <c r="E607" s="19">
        <f t="shared" ca="1" si="19"/>
        <v>7</v>
      </c>
    </row>
    <row r="608" spans="1:5" x14ac:dyDescent="0.25">
      <c r="A608" s="12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19410830</v>
      </c>
      <c r="C608" s="13">
        <v>1</v>
      </c>
      <c r="D608" s="18" t="str">
        <f t="shared" ca="1" si="18"/>
        <v>—</v>
      </c>
      <c r="E608" s="19">
        <f t="shared" ca="1" si="19"/>
        <v>7</v>
      </c>
    </row>
    <row r="609" spans="1:5" x14ac:dyDescent="0.25">
      <c r="A609" s="12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19410831</v>
      </c>
      <c r="C609" s="13">
        <v>1</v>
      </c>
      <c r="D609" s="18" t="str">
        <f t="shared" ca="1" si="18"/>
        <v>—</v>
      </c>
      <c r="E609" s="19">
        <f t="shared" ca="1" si="19"/>
        <v>7</v>
      </c>
    </row>
    <row r="610" spans="1:5" x14ac:dyDescent="0.25">
      <c r="A610" s="12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19410901</v>
      </c>
      <c r="C610" s="13">
        <v>1</v>
      </c>
      <c r="D610" s="18" t="str">
        <f t="shared" ca="1" si="18"/>
        <v>—</v>
      </c>
      <c r="E610" s="19">
        <f t="shared" ca="1" si="19"/>
        <v>7</v>
      </c>
    </row>
    <row r="611" spans="1:5" x14ac:dyDescent="0.25">
      <c r="A611" s="12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19410902</v>
      </c>
      <c r="C611" s="13">
        <v>1</v>
      </c>
      <c r="D611" s="18" t="str">
        <f t="shared" ca="1" si="18"/>
        <v>—</v>
      </c>
      <c r="E611" s="19">
        <f t="shared" ca="1" si="19"/>
        <v>7</v>
      </c>
    </row>
    <row r="612" spans="1:5" x14ac:dyDescent="0.25">
      <c r="A612" s="12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19410903</v>
      </c>
      <c r="C612" s="13">
        <v>1</v>
      </c>
      <c r="D612" s="18" t="str">
        <f t="shared" ca="1" si="18"/>
        <v>—</v>
      </c>
      <c r="E612" s="19">
        <f t="shared" ca="1" si="19"/>
        <v>7</v>
      </c>
    </row>
    <row r="613" spans="1:5" x14ac:dyDescent="0.25">
      <c r="A613" s="12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19410904</v>
      </c>
      <c r="C613" s="13">
        <v>1</v>
      </c>
      <c r="D613" s="18" t="str">
        <f t="shared" ca="1" si="18"/>
        <v>—</v>
      </c>
      <c r="E613" s="19">
        <f t="shared" ca="1" si="19"/>
        <v>7</v>
      </c>
    </row>
    <row r="614" spans="1:5" x14ac:dyDescent="0.25">
      <c r="A614" s="12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19410905</v>
      </c>
      <c r="C614" s="13">
        <v>1</v>
      </c>
      <c r="D614" s="18" t="str">
        <f t="shared" ca="1" si="18"/>
        <v>—</v>
      </c>
      <c r="E614" s="19">
        <f t="shared" ca="1" si="19"/>
        <v>7</v>
      </c>
    </row>
    <row r="615" spans="1:5" x14ac:dyDescent="0.25">
      <c r="A615" s="12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19410906</v>
      </c>
      <c r="C615" s="13">
        <v>1</v>
      </c>
      <c r="D615" s="18" t="str">
        <f t="shared" ca="1" si="18"/>
        <v>—</v>
      </c>
      <c r="E615" s="19">
        <f t="shared" ca="1" si="19"/>
        <v>7</v>
      </c>
    </row>
    <row r="616" spans="1:5" x14ac:dyDescent="0.25">
      <c r="A616" s="12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19410907</v>
      </c>
      <c r="C616" s="13">
        <v>1</v>
      </c>
      <c r="D616" s="18" t="str">
        <f t="shared" ca="1" si="18"/>
        <v>—</v>
      </c>
      <c r="E616" s="19">
        <f t="shared" ca="1" si="19"/>
        <v>7</v>
      </c>
    </row>
    <row r="617" spans="1:5" x14ac:dyDescent="0.25">
      <c r="A617" s="12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19410908</v>
      </c>
      <c r="C617" s="13">
        <v>1</v>
      </c>
      <c r="D617" s="18" t="str">
        <f t="shared" ca="1" si="18"/>
        <v>—</v>
      </c>
      <c r="E617" s="19">
        <f t="shared" ca="1" si="19"/>
        <v>7</v>
      </c>
    </row>
    <row r="618" spans="1:5" x14ac:dyDescent="0.25">
      <c r="A618" s="12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19410909</v>
      </c>
      <c r="C618" s="13">
        <v>1</v>
      </c>
      <c r="D618" s="18" t="str">
        <f t="shared" ca="1" si="18"/>
        <v>—</v>
      </c>
      <c r="E618" s="19">
        <f t="shared" ca="1" si="19"/>
        <v>7</v>
      </c>
    </row>
    <row r="619" spans="1:5" x14ac:dyDescent="0.25">
      <c r="A619" s="12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19410910</v>
      </c>
      <c r="C619" s="13">
        <v>1</v>
      </c>
      <c r="D619" s="18" t="str">
        <f t="shared" ca="1" si="18"/>
        <v>—</v>
      </c>
      <c r="E619" s="19">
        <f t="shared" ca="1" si="19"/>
        <v>7</v>
      </c>
    </row>
    <row r="620" spans="1:5" x14ac:dyDescent="0.25">
      <c r="A620" s="12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19410911</v>
      </c>
      <c r="C620" s="13">
        <v>1</v>
      </c>
      <c r="D620" s="18" t="str">
        <f t="shared" ca="1" si="18"/>
        <v>—</v>
      </c>
      <c r="E620" s="19">
        <f t="shared" ca="1" si="19"/>
        <v>7</v>
      </c>
    </row>
    <row r="621" spans="1:5" x14ac:dyDescent="0.25">
      <c r="A621" s="12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19410912</v>
      </c>
      <c r="C621" s="13">
        <v>1</v>
      </c>
      <c r="D621" s="18" t="str">
        <f t="shared" ca="1" si="18"/>
        <v>—</v>
      </c>
      <c r="E621" s="19">
        <f t="shared" ca="1" si="19"/>
        <v>7</v>
      </c>
    </row>
    <row r="622" spans="1:5" x14ac:dyDescent="0.25">
      <c r="A622" s="12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19410913</v>
      </c>
      <c r="C622" s="13">
        <v>1</v>
      </c>
      <c r="D622" s="18" t="str">
        <f t="shared" ca="1" si="18"/>
        <v>—</v>
      </c>
      <c r="E622" s="19">
        <f t="shared" ca="1" si="19"/>
        <v>7</v>
      </c>
    </row>
    <row r="623" spans="1:5" x14ac:dyDescent="0.25">
      <c r="A623" s="12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19410914</v>
      </c>
      <c r="C623" s="13">
        <v>1</v>
      </c>
      <c r="D623" s="18" t="str">
        <f t="shared" ca="1" si="18"/>
        <v>—</v>
      </c>
      <c r="E623" s="19">
        <f t="shared" ca="1" si="19"/>
        <v>7</v>
      </c>
    </row>
    <row r="624" spans="1:5" x14ac:dyDescent="0.25">
      <c r="A624" s="12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19410915</v>
      </c>
      <c r="C624" s="13">
        <v>1</v>
      </c>
      <c r="D624" s="18" t="str">
        <f t="shared" ca="1" si="18"/>
        <v>—</v>
      </c>
      <c r="E624" s="19">
        <f t="shared" ca="1" si="19"/>
        <v>7</v>
      </c>
    </row>
    <row r="625" spans="1:5" x14ac:dyDescent="0.25">
      <c r="A625" s="12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19410916</v>
      </c>
      <c r="C625" s="13">
        <v>1</v>
      </c>
      <c r="D625" s="18" t="str">
        <f t="shared" ca="1" si="18"/>
        <v>—</v>
      </c>
      <c r="E625" s="19">
        <f t="shared" ca="1" si="19"/>
        <v>7</v>
      </c>
    </row>
    <row r="626" spans="1:5" x14ac:dyDescent="0.25">
      <c r="A626" s="12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19410917</v>
      </c>
      <c r="C626" s="13">
        <v>1</v>
      </c>
      <c r="D626" s="18" t="str">
        <f t="shared" ca="1" si="18"/>
        <v>—</v>
      </c>
      <c r="E626" s="19">
        <f t="shared" ca="1" si="19"/>
        <v>7</v>
      </c>
    </row>
    <row r="627" spans="1:5" x14ac:dyDescent="0.25">
      <c r="A627" s="12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19410918</v>
      </c>
      <c r="C627" s="13">
        <v>1</v>
      </c>
      <c r="D627" s="18" t="str">
        <f t="shared" ca="1" si="18"/>
        <v>—</v>
      </c>
      <c r="E627" s="19">
        <f t="shared" ca="1" si="19"/>
        <v>7</v>
      </c>
    </row>
    <row r="628" spans="1:5" x14ac:dyDescent="0.25">
      <c r="A628" s="12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19410919</v>
      </c>
      <c r="C628" s="13">
        <v>1</v>
      </c>
      <c r="D628" s="18" t="str">
        <f t="shared" ca="1" si="18"/>
        <v>—</v>
      </c>
      <c r="E628" s="19">
        <f t="shared" ca="1" si="19"/>
        <v>7</v>
      </c>
    </row>
    <row r="629" spans="1:5" x14ac:dyDescent="0.25">
      <c r="A629" s="12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19410920</v>
      </c>
      <c r="C629" s="13">
        <v>1</v>
      </c>
      <c r="D629" s="18" t="str">
        <f t="shared" ca="1" si="18"/>
        <v>—</v>
      </c>
      <c r="E629" s="19">
        <f t="shared" ca="1" si="19"/>
        <v>7</v>
      </c>
    </row>
    <row r="630" spans="1:5" x14ac:dyDescent="0.25">
      <c r="A630" s="12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19410921</v>
      </c>
      <c r="C630" s="13">
        <v>1</v>
      </c>
      <c r="D630" s="18" t="str">
        <f t="shared" ca="1" si="18"/>
        <v>—</v>
      </c>
      <c r="E630" s="19">
        <f t="shared" ca="1" si="19"/>
        <v>7</v>
      </c>
    </row>
    <row r="631" spans="1:5" x14ac:dyDescent="0.25">
      <c r="A631" s="12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19410922</v>
      </c>
      <c r="C631" s="13">
        <v>1</v>
      </c>
      <c r="D631" s="18" t="str">
        <f t="shared" ca="1" si="18"/>
        <v>—</v>
      </c>
      <c r="E631" s="19">
        <f t="shared" ca="1" si="19"/>
        <v>7</v>
      </c>
    </row>
    <row r="632" spans="1:5" x14ac:dyDescent="0.25">
      <c r="A632" s="12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19410923</v>
      </c>
      <c r="C632" s="13">
        <v>1</v>
      </c>
      <c r="D632" s="18" t="str">
        <f t="shared" ca="1" si="18"/>
        <v>—</v>
      </c>
      <c r="E632" s="19">
        <f t="shared" ca="1" si="19"/>
        <v>7</v>
      </c>
    </row>
    <row r="633" spans="1:5" x14ac:dyDescent="0.25">
      <c r="A633" s="12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19410924</v>
      </c>
      <c r="C633" s="13">
        <v>1</v>
      </c>
      <c r="D633" s="18" t="str">
        <f t="shared" ca="1" si="18"/>
        <v>—</v>
      </c>
      <c r="E633" s="19">
        <f t="shared" ca="1" si="19"/>
        <v>7</v>
      </c>
    </row>
    <row r="634" spans="1:5" x14ac:dyDescent="0.25">
      <c r="A634" s="12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19410925</v>
      </c>
      <c r="C634" s="13">
        <v>1</v>
      </c>
      <c r="D634" s="18" t="str">
        <f t="shared" ca="1" si="18"/>
        <v>—</v>
      </c>
      <c r="E634" s="19">
        <f t="shared" ca="1" si="19"/>
        <v>7</v>
      </c>
    </row>
    <row r="635" spans="1:5" x14ac:dyDescent="0.25">
      <c r="A635" s="12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19410926</v>
      </c>
      <c r="C635" s="13">
        <v>1</v>
      </c>
      <c r="D635" s="18" t="str">
        <f t="shared" ca="1" si="18"/>
        <v>—</v>
      </c>
      <c r="E635" s="19">
        <f t="shared" ca="1" si="19"/>
        <v>7</v>
      </c>
    </row>
    <row r="636" spans="1:5" x14ac:dyDescent="0.25">
      <c r="A636" s="12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19410927</v>
      </c>
      <c r="C636" s="13">
        <v>1</v>
      </c>
      <c r="D636" s="18" t="str">
        <f t="shared" ca="1" si="18"/>
        <v>—</v>
      </c>
      <c r="E636" s="19">
        <f t="shared" ca="1" si="19"/>
        <v>7</v>
      </c>
    </row>
    <row r="637" spans="1:5" x14ac:dyDescent="0.25">
      <c r="A637" s="12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19410928</v>
      </c>
      <c r="C637" s="13">
        <v>1</v>
      </c>
      <c r="D637" s="18" t="str">
        <f t="shared" ca="1" si="18"/>
        <v>—</v>
      </c>
      <c r="E637" s="19">
        <f t="shared" ca="1" si="19"/>
        <v>7</v>
      </c>
    </row>
    <row r="638" spans="1:5" x14ac:dyDescent="0.25">
      <c r="A638" s="12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19410929</v>
      </c>
      <c r="C638" s="13">
        <v>1</v>
      </c>
      <c r="D638" s="18" t="str">
        <f t="shared" ca="1" si="18"/>
        <v>—</v>
      </c>
      <c r="E638" s="19">
        <f t="shared" ca="1" si="19"/>
        <v>7</v>
      </c>
    </row>
    <row r="639" spans="1:5" x14ac:dyDescent="0.25">
      <c r="A639" s="12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19410930</v>
      </c>
      <c r="C639" s="13">
        <v>1</v>
      </c>
      <c r="D639" s="18" t="str">
        <f t="shared" ca="1" si="18"/>
        <v>—</v>
      </c>
      <c r="E639" s="19">
        <f t="shared" ca="1" si="19"/>
        <v>7</v>
      </c>
    </row>
    <row r="640" spans="1:5" x14ac:dyDescent="0.25">
      <c r="A640" s="12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19411001</v>
      </c>
      <c r="C640" s="13">
        <v>1</v>
      </c>
      <c r="D640" s="18" t="str">
        <f t="shared" ca="1" si="18"/>
        <v>—</v>
      </c>
      <c r="E640" s="19">
        <f t="shared" ca="1" si="19"/>
        <v>7</v>
      </c>
    </row>
    <row r="641" spans="1:5" x14ac:dyDescent="0.25">
      <c r="A641" s="12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19411002</v>
      </c>
      <c r="C641" s="13">
        <v>1</v>
      </c>
      <c r="D641" s="18" t="str">
        <f t="shared" ca="1" si="18"/>
        <v>—</v>
      </c>
      <c r="E641" s="19">
        <f t="shared" ca="1" si="19"/>
        <v>7</v>
      </c>
    </row>
    <row r="642" spans="1:5" x14ac:dyDescent="0.25">
      <c r="A642" s="12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19411003</v>
      </c>
      <c r="C642" s="13">
        <v>1</v>
      </c>
      <c r="D642" s="18" t="str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—</v>
      </c>
      <c r="E642" s="19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7</v>
      </c>
    </row>
    <row r="643" spans="1:5" x14ac:dyDescent="0.25">
      <c r="A643" s="12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19411004</v>
      </c>
      <c r="C643" s="13">
        <v>1</v>
      </c>
      <c r="D643" s="18" t="str">
        <f t="shared" ca="1" si="20"/>
        <v>—</v>
      </c>
      <c r="E643" s="19">
        <f t="shared" ca="1" si="21"/>
        <v>7</v>
      </c>
    </row>
    <row r="644" spans="1:5" x14ac:dyDescent="0.25">
      <c r="A644" s="12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19411005</v>
      </c>
      <c r="C644" s="13">
        <v>1</v>
      </c>
      <c r="D644" s="18" t="str">
        <f t="shared" ca="1" si="20"/>
        <v>—</v>
      </c>
      <c r="E644" s="19">
        <f t="shared" ca="1" si="21"/>
        <v>7</v>
      </c>
    </row>
    <row r="645" spans="1:5" x14ac:dyDescent="0.25">
      <c r="A645" s="12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19411006</v>
      </c>
      <c r="C645" s="13">
        <v>1</v>
      </c>
      <c r="D645" s="18" t="str">
        <f t="shared" ca="1" si="20"/>
        <v>—</v>
      </c>
      <c r="E645" s="19">
        <f t="shared" ca="1" si="21"/>
        <v>7</v>
      </c>
    </row>
    <row r="646" spans="1:5" x14ac:dyDescent="0.25">
      <c r="A646" s="12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19411007</v>
      </c>
      <c r="C646" s="13">
        <v>1</v>
      </c>
      <c r="D646" s="18" t="str">
        <f t="shared" ca="1" si="20"/>
        <v>—</v>
      </c>
      <c r="E646" s="19">
        <f t="shared" ca="1" si="21"/>
        <v>7</v>
      </c>
    </row>
    <row r="647" spans="1:5" x14ac:dyDescent="0.25">
      <c r="A647" s="12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19411008</v>
      </c>
      <c r="C647" s="13">
        <v>1</v>
      </c>
      <c r="D647" s="18" t="str">
        <f t="shared" ca="1" si="20"/>
        <v>—</v>
      </c>
      <c r="E647" s="19">
        <f t="shared" ca="1" si="21"/>
        <v>7</v>
      </c>
    </row>
    <row r="648" spans="1:5" x14ac:dyDescent="0.25">
      <c r="A648" s="12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19411009</v>
      </c>
      <c r="C648" s="13">
        <v>1</v>
      </c>
      <c r="D648" s="18" t="str">
        <f t="shared" ca="1" si="20"/>
        <v>—</v>
      </c>
      <c r="E648" s="19">
        <f t="shared" ca="1" si="21"/>
        <v>7</v>
      </c>
    </row>
    <row r="649" spans="1:5" x14ac:dyDescent="0.25">
      <c r="A649" s="12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19411010</v>
      </c>
      <c r="C649" s="13">
        <v>1</v>
      </c>
      <c r="D649" s="18" t="str">
        <f t="shared" ca="1" si="20"/>
        <v>—</v>
      </c>
      <c r="E649" s="19">
        <f t="shared" ca="1" si="21"/>
        <v>7</v>
      </c>
    </row>
    <row r="650" spans="1:5" x14ac:dyDescent="0.25">
      <c r="A650" s="12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19411011</v>
      </c>
      <c r="C650" s="13">
        <v>1</v>
      </c>
      <c r="D650" s="18" t="str">
        <f t="shared" ca="1" si="20"/>
        <v>—</v>
      </c>
      <c r="E650" s="19">
        <f t="shared" ca="1" si="21"/>
        <v>7</v>
      </c>
    </row>
    <row r="651" spans="1:5" x14ac:dyDescent="0.25">
      <c r="A651" s="12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19411012</v>
      </c>
      <c r="C651" s="13">
        <v>1</v>
      </c>
      <c r="D651" s="18" t="str">
        <f t="shared" ca="1" si="20"/>
        <v>—</v>
      </c>
      <c r="E651" s="19">
        <f t="shared" ca="1" si="21"/>
        <v>7</v>
      </c>
    </row>
    <row r="652" spans="1:5" x14ac:dyDescent="0.25">
      <c r="A652" s="12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19411013</v>
      </c>
      <c r="C652" s="13">
        <v>1</v>
      </c>
      <c r="D652" s="18" t="str">
        <f t="shared" ca="1" si="20"/>
        <v>—</v>
      </c>
      <c r="E652" s="19">
        <f t="shared" ca="1" si="21"/>
        <v>7</v>
      </c>
    </row>
    <row r="653" spans="1:5" x14ac:dyDescent="0.25">
      <c r="A653" s="12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19411014</v>
      </c>
      <c r="C653" s="13">
        <v>1</v>
      </c>
      <c r="D653" s="18" t="str">
        <f t="shared" ca="1" si="20"/>
        <v>—</v>
      </c>
      <c r="E653" s="19">
        <f t="shared" ca="1" si="21"/>
        <v>7</v>
      </c>
    </row>
    <row r="654" spans="1:5" x14ac:dyDescent="0.25">
      <c r="A654" s="12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19411015</v>
      </c>
      <c r="C654" s="13">
        <v>1</v>
      </c>
      <c r="D654" s="18" t="str">
        <f t="shared" ca="1" si="20"/>
        <v>—</v>
      </c>
      <c r="E654" s="19">
        <f t="shared" ca="1" si="21"/>
        <v>7</v>
      </c>
    </row>
    <row r="655" spans="1:5" x14ac:dyDescent="0.25">
      <c r="A655" s="12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19411016</v>
      </c>
      <c r="C655" s="13">
        <v>1</v>
      </c>
      <c r="D655" s="18" t="str">
        <f t="shared" ca="1" si="20"/>
        <v>—</v>
      </c>
      <c r="E655" s="19">
        <f t="shared" ca="1" si="21"/>
        <v>7</v>
      </c>
    </row>
    <row r="656" spans="1:5" x14ac:dyDescent="0.25">
      <c r="A656" s="12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19411017</v>
      </c>
      <c r="C656" s="13">
        <v>1</v>
      </c>
      <c r="D656" s="18" t="str">
        <f t="shared" ca="1" si="20"/>
        <v>—</v>
      </c>
      <c r="E656" s="19">
        <f t="shared" ca="1" si="21"/>
        <v>7</v>
      </c>
    </row>
    <row r="657" spans="1:5" x14ac:dyDescent="0.25">
      <c r="A657" s="12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19411018</v>
      </c>
      <c r="C657" s="13">
        <v>1</v>
      </c>
      <c r="D657" s="18" t="str">
        <f t="shared" ca="1" si="20"/>
        <v>—</v>
      </c>
      <c r="E657" s="19">
        <f t="shared" ca="1" si="21"/>
        <v>7</v>
      </c>
    </row>
    <row r="658" spans="1:5" x14ac:dyDescent="0.25">
      <c r="A658" s="12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19411019</v>
      </c>
      <c r="C658" s="13">
        <v>1</v>
      </c>
      <c r="D658" s="18" t="str">
        <f t="shared" ca="1" si="20"/>
        <v>—</v>
      </c>
      <c r="E658" s="19">
        <f t="shared" ca="1" si="21"/>
        <v>7</v>
      </c>
    </row>
    <row r="659" spans="1:5" x14ac:dyDescent="0.25">
      <c r="A659" s="12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19411020</v>
      </c>
      <c r="C659" s="13">
        <v>1</v>
      </c>
      <c r="D659" s="18" t="str">
        <f t="shared" ca="1" si="20"/>
        <v>—</v>
      </c>
      <c r="E659" s="19">
        <f t="shared" ca="1" si="21"/>
        <v>7</v>
      </c>
    </row>
    <row r="660" spans="1:5" x14ac:dyDescent="0.25">
      <c r="A660" s="12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19411021</v>
      </c>
      <c r="C660" s="13">
        <v>1</v>
      </c>
      <c r="D660" s="18" t="str">
        <f t="shared" ca="1" si="20"/>
        <v>—</v>
      </c>
      <c r="E660" s="19">
        <f t="shared" ca="1" si="21"/>
        <v>7</v>
      </c>
    </row>
    <row r="661" spans="1:5" x14ac:dyDescent="0.25">
      <c r="A661" s="12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19411022</v>
      </c>
      <c r="C661" s="13">
        <v>1</v>
      </c>
      <c r="D661" s="18" t="str">
        <f t="shared" ca="1" si="20"/>
        <v>—</v>
      </c>
      <c r="E661" s="19">
        <f t="shared" ca="1" si="21"/>
        <v>7</v>
      </c>
    </row>
    <row r="662" spans="1:5" x14ac:dyDescent="0.25">
      <c r="A662" s="12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19411023</v>
      </c>
      <c r="C662" s="13">
        <v>1</v>
      </c>
      <c r="D662" s="18" t="str">
        <f t="shared" ca="1" si="20"/>
        <v>—</v>
      </c>
      <c r="E662" s="19">
        <f t="shared" ca="1" si="21"/>
        <v>7</v>
      </c>
    </row>
    <row r="663" spans="1:5" x14ac:dyDescent="0.25">
      <c r="A663" s="12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19411024</v>
      </c>
      <c r="C663" s="13">
        <v>1</v>
      </c>
      <c r="D663" s="18" t="str">
        <f t="shared" ca="1" si="20"/>
        <v>—</v>
      </c>
      <c r="E663" s="19">
        <f t="shared" ca="1" si="21"/>
        <v>7</v>
      </c>
    </row>
    <row r="664" spans="1:5" x14ac:dyDescent="0.25">
      <c r="A664" s="12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19411025</v>
      </c>
      <c r="C664" s="13">
        <v>1</v>
      </c>
      <c r="D664" s="18" t="str">
        <f t="shared" ca="1" si="20"/>
        <v>—</v>
      </c>
      <c r="E664" s="19">
        <f t="shared" ca="1" si="21"/>
        <v>7</v>
      </c>
    </row>
    <row r="665" spans="1:5" x14ac:dyDescent="0.25">
      <c r="A665" s="12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19411026</v>
      </c>
      <c r="C665" s="13">
        <v>1</v>
      </c>
      <c r="D665" s="18" t="str">
        <f t="shared" ca="1" si="20"/>
        <v>—</v>
      </c>
      <c r="E665" s="19">
        <f t="shared" ca="1" si="21"/>
        <v>7</v>
      </c>
    </row>
    <row r="666" spans="1:5" x14ac:dyDescent="0.25">
      <c r="A666" s="12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19411027</v>
      </c>
      <c r="C666" s="13">
        <v>1</v>
      </c>
      <c r="D666" s="18" t="str">
        <f t="shared" ca="1" si="20"/>
        <v>—</v>
      </c>
      <c r="E666" s="19">
        <f t="shared" ca="1" si="21"/>
        <v>7</v>
      </c>
    </row>
    <row r="667" spans="1:5" x14ac:dyDescent="0.25">
      <c r="A667" s="12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19411028</v>
      </c>
      <c r="C667" s="13">
        <v>1</v>
      </c>
      <c r="D667" s="18" t="str">
        <f t="shared" ca="1" si="20"/>
        <v>—</v>
      </c>
      <c r="E667" s="19">
        <f t="shared" ca="1" si="21"/>
        <v>7</v>
      </c>
    </row>
    <row r="668" spans="1:5" x14ac:dyDescent="0.25">
      <c r="A668" s="12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19411029</v>
      </c>
      <c r="C668" s="13">
        <v>1</v>
      </c>
      <c r="D668" s="18" t="str">
        <f t="shared" ca="1" si="20"/>
        <v>—</v>
      </c>
      <c r="E668" s="19">
        <f t="shared" ca="1" si="21"/>
        <v>7</v>
      </c>
    </row>
    <row r="669" spans="1:5" x14ac:dyDescent="0.25">
      <c r="A669" s="12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19411030</v>
      </c>
      <c r="C669" s="13">
        <v>1</v>
      </c>
      <c r="D669" s="18" t="str">
        <f t="shared" ca="1" si="20"/>
        <v>—</v>
      </c>
      <c r="E669" s="19">
        <f t="shared" ca="1" si="21"/>
        <v>7</v>
      </c>
    </row>
    <row r="670" spans="1:5" x14ac:dyDescent="0.25">
      <c r="A670" s="12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19411031</v>
      </c>
      <c r="C670" s="13">
        <v>1</v>
      </c>
      <c r="D670" s="18" t="str">
        <f t="shared" ca="1" si="20"/>
        <v>—</v>
      </c>
      <c r="E670" s="19">
        <f t="shared" ca="1" si="21"/>
        <v>7</v>
      </c>
    </row>
    <row r="671" spans="1:5" x14ac:dyDescent="0.25">
      <c r="A671" s="12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19411101</v>
      </c>
      <c r="C671" s="13">
        <v>1</v>
      </c>
      <c r="D671" s="18" t="str">
        <f t="shared" ca="1" si="20"/>
        <v>—</v>
      </c>
      <c r="E671" s="19">
        <f t="shared" ca="1" si="21"/>
        <v>7</v>
      </c>
    </row>
    <row r="672" spans="1:5" x14ac:dyDescent="0.25">
      <c r="A672" s="12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19411102</v>
      </c>
      <c r="C672" s="13">
        <v>1</v>
      </c>
      <c r="D672" s="18" t="str">
        <f t="shared" ca="1" si="20"/>
        <v>—</v>
      </c>
      <c r="E672" s="19">
        <f t="shared" ca="1" si="21"/>
        <v>7</v>
      </c>
    </row>
    <row r="673" spans="1:5" x14ac:dyDescent="0.25">
      <c r="A673" s="12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19411103</v>
      </c>
      <c r="C673" s="13">
        <v>1</v>
      </c>
      <c r="D673" s="18" t="str">
        <f t="shared" ca="1" si="20"/>
        <v>—</v>
      </c>
      <c r="E673" s="19">
        <f t="shared" ca="1" si="21"/>
        <v>7</v>
      </c>
    </row>
    <row r="674" spans="1:5" x14ac:dyDescent="0.25">
      <c r="A674" s="12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19411104</v>
      </c>
      <c r="C674" s="13">
        <v>1</v>
      </c>
      <c r="D674" s="18" t="str">
        <f t="shared" ca="1" si="20"/>
        <v>—</v>
      </c>
      <c r="E674" s="19">
        <f t="shared" ca="1" si="21"/>
        <v>7</v>
      </c>
    </row>
    <row r="675" spans="1:5" x14ac:dyDescent="0.25">
      <c r="A675" s="12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19411105</v>
      </c>
      <c r="C675" s="13">
        <v>1</v>
      </c>
      <c r="D675" s="18" t="str">
        <f t="shared" ca="1" si="20"/>
        <v>—</v>
      </c>
      <c r="E675" s="19">
        <f t="shared" ca="1" si="21"/>
        <v>7</v>
      </c>
    </row>
    <row r="676" spans="1:5" x14ac:dyDescent="0.25">
      <c r="A676" s="12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19411106</v>
      </c>
      <c r="C676" s="13">
        <v>1</v>
      </c>
      <c r="D676" s="18" t="str">
        <f t="shared" ca="1" si="20"/>
        <v>—</v>
      </c>
      <c r="E676" s="19">
        <f t="shared" ca="1" si="21"/>
        <v>7</v>
      </c>
    </row>
    <row r="677" spans="1:5" x14ac:dyDescent="0.25">
      <c r="A677" s="12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19411107</v>
      </c>
      <c r="C677" s="13">
        <v>1</v>
      </c>
      <c r="D677" s="18" t="str">
        <f t="shared" ca="1" si="20"/>
        <v>—</v>
      </c>
      <c r="E677" s="19">
        <f t="shared" ca="1" si="21"/>
        <v>7</v>
      </c>
    </row>
    <row r="678" spans="1:5" x14ac:dyDescent="0.25">
      <c r="A678" s="12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19411108</v>
      </c>
      <c r="C678" s="13">
        <v>1</v>
      </c>
      <c r="D678" s="18" t="str">
        <f t="shared" ca="1" si="20"/>
        <v>—</v>
      </c>
      <c r="E678" s="19">
        <f t="shared" ca="1" si="21"/>
        <v>7</v>
      </c>
    </row>
    <row r="679" spans="1:5" x14ac:dyDescent="0.25">
      <c r="A679" s="12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19411109</v>
      </c>
      <c r="C679" s="13">
        <v>1</v>
      </c>
      <c r="D679" s="18" t="str">
        <f t="shared" ca="1" si="20"/>
        <v>—</v>
      </c>
      <c r="E679" s="19">
        <f t="shared" ca="1" si="21"/>
        <v>7</v>
      </c>
    </row>
    <row r="680" spans="1:5" x14ac:dyDescent="0.25">
      <c r="A680" s="12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19411110</v>
      </c>
      <c r="C680" s="13">
        <v>1</v>
      </c>
      <c r="D680" s="18" t="str">
        <f t="shared" ca="1" si="20"/>
        <v>—</v>
      </c>
      <c r="E680" s="19">
        <f t="shared" ca="1" si="21"/>
        <v>7</v>
      </c>
    </row>
    <row r="681" spans="1:5" x14ac:dyDescent="0.25">
      <c r="A681" s="12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19411111</v>
      </c>
      <c r="C681" s="13">
        <v>1</v>
      </c>
      <c r="D681" s="18" t="str">
        <f t="shared" ca="1" si="20"/>
        <v>—</v>
      </c>
      <c r="E681" s="19">
        <f t="shared" ca="1" si="21"/>
        <v>7</v>
      </c>
    </row>
    <row r="682" spans="1:5" x14ac:dyDescent="0.25">
      <c r="A682" s="12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19411112</v>
      </c>
      <c r="C682" s="13">
        <v>1</v>
      </c>
      <c r="D682" s="18" t="str">
        <f t="shared" ca="1" si="20"/>
        <v>—</v>
      </c>
      <c r="E682" s="19">
        <f t="shared" ca="1" si="21"/>
        <v>7</v>
      </c>
    </row>
    <row r="683" spans="1:5" x14ac:dyDescent="0.25">
      <c r="A683" s="12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19411113</v>
      </c>
      <c r="C683" s="13">
        <v>1</v>
      </c>
      <c r="D683" s="18" t="str">
        <f t="shared" ca="1" si="20"/>
        <v>—</v>
      </c>
      <c r="E683" s="19">
        <f t="shared" ca="1" si="21"/>
        <v>7</v>
      </c>
    </row>
    <row r="684" spans="1:5" x14ac:dyDescent="0.25">
      <c r="A684" s="12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19411114</v>
      </c>
      <c r="C684" s="13">
        <v>1</v>
      </c>
      <c r="D684" s="18" t="str">
        <f t="shared" ca="1" si="20"/>
        <v>—</v>
      </c>
      <c r="E684" s="19">
        <f t="shared" ca="1" si="21"/>
        <v>7</v>
      </c>
    </row>
    <row r="685" spans="1:5" x14ac:dyDescent="0.25">
      <c r="A685" s="12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19411115</v>
      </c>
      <c r="C685" s="13">
        <v>1</v>
      </c>
      <c r="D685" s="18" t="str">
        <f t="shared" ca="1" si="20"/>
        <v>—</v>
      </c>
      <c r="E685" s="19">
        <f t="shared" ca="1" si="21"/>
        <v>7</v>
      </c>
    </row>
    <row r="686" spans="1:5" x14ac:dyDescent="0.25">
      <c r="A686" s="12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19411116</v>
      </c>
      <c r="C686" s="13">
        <v>1</v>
      </c>
      <c r="D686" s="18" t="str">
        <f t="shared" ca="1" si="20"/>
        <v>—</v>
      </c>
      <c r="E686" s="19">
        <f t="shared" ca="1" si="21"/>
        <v>7</v>
      </c>
    </row>
    <row r="687" spans="1:5" x14ac:dyDescent="0.25">
      <c r="A687" s="12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19411117</v>
      </c>
      <c r="C687" s="13">
        <v>1</v>
      </c>
      <c r="D687" s="18" t="str">
        <f t="shared" ca="1" si="20"/>
        <v>—</v>
      </c>
      <c r="E687" s="19">
        <f t="shared" ca="1" si="21"/>
        <v>7</v>
      </c>
    </row>
    <row r="688" spans="1:5" x14ac:dyDescent="0.25">
      <c r="A688" s="12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19411118</v>
      </c>
      <c r="C688" s="13">
        <v>1</v>
      </c>
      <c r="D688" s="18" t="str">
        <f t="shared" ca="1" si="20"/>
        <v>—</v>
      </c>
      <c r="E688" s="19">
        <f t="shared" ca="1" si="21"/>
        <v>7</v>
      </c>
    </row>
    <row r="689" spans="1:5" x14ac:dyDescent="0.25">
      <c r="A689" s="12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19411119</v>
      </c>
      <c r="C689" s="13">
        <v>1</v>
      </c>
      <c r="D689" s="18" t="str">
        <f t="shared" ca="1" si="20"/>
        <v>—</v>
      </c>
      <c r="E689" s="19">
        <f t="shared" ca="1" si="21"/>
        <v>7</v>
      </c>
    </row>
    <row r="690" spans="1:5" x14ac:dyDescent="0.25">
      <c r="A690" s="12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19411120</v>
      </c>
      <c r="C690" s="13">
        <v>1</v>
      </c>
      <c r="D690" s="18" t="str">
        <f t="shared" ca="1" si="20"/>
        <v>—</v>
      </c>
      <c r="E690" s="19">
        <f t="shared" ca="1" si="21"/>
        <v>7</v>
      </c>
    </row>
    <row r="691" spans="1:5" x14ac:dyDescent="0.25">
      <c r="A691" s="12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19411121</v>
      </c>
      <c r="C691" s="13">
        <v>1</v>
      </c>
      <c r="D691" s="18" t="str">
        <f t="shared" ca="1" si="20"/>
        <v>—</v>
      </c>
      <c r="E691" s="19">
        <f t="shared" ca="1" si="21"/>
        <v>7</v>
      </c>
    </row>
    <row r="692" spans="1:5" x14ac:dyDescent="0.25">
      <c r="A692" s="12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19411122</v>
      </c>
      <c r="C692" s="13">
        <v>1</v>
      </c>
      <c r="D692" s="18" t="str">
        <f t="shared" ca="1" si="20"/>
        <v>—</v>
      </c>
      <c r="E692" s="19">
        <f t="shared" ca="1" si="21"/>
        <v>7</v>
      </c>
    </row>
    <row r="693" spans="1:5" x14ac:dyDescent="0.25">
      <c r="A693" s="12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19411123</v>
      </c>
      <c r="C693" s="13">
        <v>1</v>
      </c>
      <c r="D693" s="18" t="str">
        <f t="shared" ca="1" si="20"/>
        <v>—</v>
      </c>
      <c r="E693" s="19">
        <f t="shared" ca="1" si="21"/>
        <v>7</v>
      </c>
    </row>
    <row r="694" spans="1:5" x14ac:dyDescent="0.25">
      <c r="A694" s="12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19411124</v>
      </c>
      <c r="C694" s="13">
        <v>1</v>
      </c>
      <c r="D694" s="18" t="str">
        <f t="shared" ca="1" si="20"/>
        <v>—</v>
      </c>
      <c r="E694" s="19">
        <f t="shared" ca="1" si="21"/>
        <v>7</v>
      </c>
    </row>
    <row r="695" spans="1:5" x14ac:dyDescent="0.25">
      <c r="A695" s="12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19411125</v>
      </c>
      <c r="C695" s="13">
        <v>1</v>
      </c>
      <c r="D695" s="18" t="str">
        <f t="shared" ca="1" si="20"/>
        <v>—</v>
      </c>
      <c r="E695" s="19">
        <f t="shared" ca="1" si="21"/>
        <v>7</v>
      </c>
    </row>
    <row r="696" spans="1:5" x14ac:dyDescent="0.25">
      <c r="A696" s="12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19411126</v>
      </c>
      <c r="C696" s="13">
        <v>1</v>
      </c>
      <c r="D696" s="18" t="str">
        <f t="shared" ca="1" si="20"/>
        <v>—</v>
      </c>
      <c r="E696" s="19">
        <f t="shared" ca="1" si="21"/>
        <v>7</v>
      </c>
    </row>
    <row r="697" spans="1:5" x14ac:dyDescent="0.25">
      <c r="A697" s="12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19411127</v>
      </c>
      <c r="C697" s="13">
        <v>1</v>
      </c>
      <c r="D697" s="18" t="str">
        <f t="shared" ca="1" si="20"/>
        <v>—</v>
      </c>
      <c r="E697" s="19">
        <f t="shared" ca="1" si="21"/>
        <v>7</v>
      </c>
    </row>
    <row r="698" spans="1:5" x14ac:dyDescent="0.25">
      <c r="A698" s="12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19411128</v>
      </c>
      <c r="C698" s="13">
        <v>1</v>
      </c>
      <c r="D698" s="18" t="str">
        <f t="shared" ca="1" si="20"/>
        <v>—</v>
      </c>
      <c r="E698" s="19">
        <f t="shared" ca="1" si="21"/>
        <v>7</v>
      </c>
    </row>
    <row r="699" spans="1:5" x14ac:dyDescent="0.25">
      <c r="A699" s="12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19411129</v>
      </c>
      <c r="C699" s="13">
        <v>1</v>
      </c>
      <c r="D699" s="18" t="str">
        <f t="shared" ca="1" si="20"/>
        <v>—</v>
      </c>
      <c r="E699" s="19">
        <f t="shared" ca="1" si="21"/>
        <v>7</v>
      </c>
    </row>
    <row r="700" spans="1:5" x14ac:dyDescent="0.25">
      <c r="A700" s="12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19411130</v>
      </c>
      <c r="C700" s="13">
        <v>1</v>
      </c>
      <c r="D700" s="18" t="str">
        <f t="shared" ca="1" si="20"/>
        <v>—</v>
      </c>
      <c r="E700" s="19">
        <f t="shared" ca="1" si="21"/>
        <v>7</v>
      </c>
    </row>
    <row r="701" spans="1:5" x14ac:dyDescent="0.25">
      <c r="A701" s="12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19411201</v>
      </c>
      <c r="C701" s="13">
        <v>1</v>
      </c>
      <c r="D701" s="18" t="str">
        <f t="shared" ca="1" si="20"/>
        <v>—</v>
      </c>
      <c r="E701" s="19">
        <f t="shared" ca="1" si="21"/>
        <v>7</v>
      </c>
    </row>
    <row r="702" spans="1:5" x14ac:dyDescent="0.25">
      <c r="A702" s="12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19411202</v>
      </c>
      <c r="C702" s="13">
        <v>1</v>
      </c>
      <c r="D702" s="18" t="str">
        <f t="shared" ca="1" si="20"/>
        <v>—</v>
      </c>
      <c r="E702" s="19">
        <f t="shared" ca="1" si="21"/>
        <v>7</v>
      </c>
    </row>
    <row r="703" spans="1:5" x14ac:dyDescent="0.25">
      <c r="A703" s="12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19411203</v>
      </c>
      <c r="C703" s="13">
        <v>1</v>
      </c>
      <c r="D703" s="18" t="str">
        <f t="shared" ca="1" si="20"/>
        <v>—</v>
      </c>
      <c r="E703" s="19">
        <f t="shared" ca="1" si="21"/>
        <v>7</v>
      </c>
    </row>
    <row r="704" spans="1:5" x14ac:dyDescent="0.25">
      <c r="A704" s="12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19411204</v>
      </c>
      <c r="C704" s="13">
        <v>1</v>
      </c>
      <c r="D704" s="18" t="str">
        <f t="shared" ca="1" si="20"/>
        <v>—</v>
      </c>
      <c r="E704" s="19">
        <f t="shared" ca="1" si="21"/>
        <v>7</v>
      </c>
    </row>
    <row r="705" spans="1:5" x14ac:dyDescent="0.25">
      <c r="A705" s="12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19411205</v>
      </c>
      <c r="C705" s="13">
        <v>1</v>
      </c>
      <c r="D705" s="18" t="str">
        <f t="shared" ca="1" si="20"/>
        <v>—</v>
      </c>
      <c r="E705" s="19">
        <f t="shared" ca="1" si="21"/>
        <v>7</v>
      </c>
    </row>
    <row r="706" spans="1:5" x14ac:dyDescent="0.25">
      <c r="A706" s="12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19411206</v>
      </c>
      <c r="C706" s="13">
        <v>1</v>
      </c>
      <c r="D706" s="18" t="str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—</v>
      </c>
      <c r="E706" s="19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7</v>
      </c>
    </row>
    <row r="707" spans="1:5" x14ac:dyDescent="0.25">
      <c r="A707" s="12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19411207</v>
      </c>
      <c r="C707" s="13">
        <v>1</v>
      </c>
      <c r="D707" s="18" t="str">
        <f t="shared" ca="1" si="22"/>
        <v>—</v>
      </c>
      <c r="E707" s="19">
        <f t="shared" ca="1" si="23"/>
        <v>7</v>
      </c>
    </row>
    <row r="708" spans="1:5" x14ac:dyDescent="0.25">
      <c r="A708" s="12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19411208</v>
      </c>
      <c r="C708" s="13">
        <v>1</v>
      </c>
      <c r="D708" s="18" t="str">
        <f t="shared" ca="1" si="22"/>
        <v>—</v>
      </c>
      <c r="E708" s="19">
        <f t="shared" ca="1" si="23"/>
        <v>7</v>
      </c>
    </row>
    <row r="709" spans="1:5" x14ac:dyDescent="0.25">
      <c r="A709" s="12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19411209</v>
      </c>
      <c r="C709" s="13">
        <v>1</v>
      </c>
      <c r="D709" s="18" t="str">
        <f t="shared" ca="1" si="22"/>
        <v>—</v>
      </c>
      <c r="E709" s="19">
        <f t="shared" ca="1" si="23"/>
        <v>7</v>
      </c>
    </row>
    <row r="710" spans="1:5" x14ac:dyDescent="0.25">
      <c r="A710" s="12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19411210</v>
      </c>
      <c r="C710" s="13">
        <v>1</v>
      </c>
      <c r="D710" s="18" t="str">
        <f t="shared" ca="1" si="22"/>
        <v>—</v>
      </c>
      <c r="E710" s="19">
        <f t="shared" ca="1" si="23"/>
        <v>7</v>
      </c>
    </row>
    <row r="711" spans="1:5" x14ac:dyDescent="0.25">
      <c r="A711" s="12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19411211</v>
      </c>
      <c r="C711" s="13">
        <v>1</v>
      </c>
      <c r="D711" s="18" t="str">
        <f t="shared" ca="1" si="22"/>
        <v>—</v>
      </c>
      <c r="E711" s="19">
        <f t="shared" ca="1" si="23"/>
        <v>7</v>
      </c>
    </row>
    <row r="712" spans="1:5" x14ac:dyDescent="0.25">
      <c r="A712" s="12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19411212</v>
      </c>
      <c r="C712" s="13">
        <v>1</v>
      </c>
      <c r="D712" s="18" t="str">
        <f t="shared" ca="1" si="22"/>
        <v>—</v>
      </c>
      <c r="E712" s="19">
        <f t="shared" ca="1" si="23"/>
        <v>7</v>
      </c>
    </row>
    <row r="713" spans="1:5" x14ac:dyDescent="0.25">
      <c r="A713" s="12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19411213</v>
      </c>
      <c r="C713" s="13">
        <v>1</v>
      </c>
      <c r="D713" s="18" t="str">
        <f t="shared" ca="1" si="22"/>
        <v>—</v>
      </c>
      <c r="E713" s="19">
        <f t="shared" ca="1" si="23"/>
        <v>7</v>
      </c>
    </row>
    <row r="714" spans="1:5" x14ac:dyDescent="0.25">
      <c r="A714" s="12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19411214</v>
      </c>
      <c r="C714" s="13">
        <v>1</v>
      </c>
      <c r="D714" s="18" t="str">
        <f t="shared" ca="1" si="22"/>
        <v>—</v>
      </c>
      <c r="E714" s="19">
        <f t="shared" ca="1" si="23"/>
        <v>7</v>
      </c>
    </row>
    <row r="715" spans="1:5" x14ac:dyDescent="0.25">
      <c r="A715" s="12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19411215</v>
      </c>
      <c r="C715" s="13">
        <v>1</v>
      </c>
      <c r="D715" s="18" t="str">
        <f t="shared" ca="1" si="22"/>
        <v>—</v>
      </c>
      <c r="E715" s="19">
        <f t="shared" ca="1" si="23"/>
        <v>7</v>
      </c>
    </row>
    <row r="716" spans="1:5" x14ac:dyDescent="0.25">
      <c r="A716" s="12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19411216</v>
      </c>
      <c r="C716" s="13">
        <v>1</v>
      </c>
      <c r="D716" s="18" t="str">
        <f t="shared" ca="1" si="22"/>
        <v>—</v>
      </c>
      <c r="E716" s="19">
        <f t="shared" ca="1" si="23"/>
        <v>7</v>
      </c>
    </row>
    <row r="717" spans="1:5" x14ac:dyDescent="0.25">
      <c r="A717" s="12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19411217</v>
      </c>
      <c r="C717" s="13">
        <v>1</v>
      </c>
      <c r="D717" s="18" t="str">
        <f t="shared" ca="1" si="22"/>
        <v>—</v>
      </c>
      <c r="E717" s="19">
        <f t="shared" ca="1" si="23"/>
        <v>7</v>
      </c>
    </row>
    <row r="718" spans="1:5" x14ac:dyDescent="0.25">
      <c r="A718" s="12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19411218</v>
      </c>
      <c r="C718" s="13">
        <v>1</v>
      </c>
      <c r="D718" s="18" t="str">
        <f t="shared" ca="1" si="22"/>
        <v>—</v>
      </c>
      <c r="E718" s="19">
        <f t="shared" ca="1" si="23"/>
        <v>7</v>
      </c>
    </row>
    <row r="719" spans="1:5" x14ac:dyDescent="0.25">
      <c r="A719" s="12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19411219</v>
      </c>
      <c r="C719" s="13">
        <v>1</v>
      </c>
      <c r="D719" s="18" t="str">
        <f t="shared" ca="1" si="22"/>
        <v>—</v>
      </c>
      <c r="E719" s="19">
        <f t="shared" ca="1" si="23"/>
        <v>7</v>
      </c>
    </row>
    <row r="720" spans="1:5" x14ac:dyDescent="0.25">
      <c r="A720" s="12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19411220</v>
      </c>
      <c r="C720" s="13">
        <v>1</v>
      </c>
      <c r="D720" s="18" t="str">
        <f t="shared" ca="1" si="22"/>
        <v>—</v>
      </c>
      <c r="E720" s="19">
        <f t="shared" ca="1" si="23"/>
        <v>7</v>
      </c>
    </row>
    <row r="721" spans="1:5" x14ac:dyDescent="0.25">
      <c r="A721" s="12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19411221</v>
      </c>
      <c r="C721" s="13">
        <v>1</v>
      </c>
      <c r="D721" s="18" t="str">
        <f t="shared" ca="1" si="22"/>
        <v>—</v>
      </c>
      <c r="E721" s="19">
        <f t="shared" ca="1" si="23"/>
        <v>7</v>
      </c>
    </row>
    <row r="722" spans="1:5" x14ac:dyDescent="0.25">
      <c r="A722" s="12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19411222</v>
      </c>
      <c r="C722" s="13">
        <v>1</v>
      </c>
      <c r="D722" s="18" t="str">
        <f t="shared" ca="1" si="22"/>
        <v>—</v>
      </c>
      <c r="E722" s="19">
        <f t="shared" ca="1" si="23"/>
        <v>7</v>
      </c>
    </row>
    <row r="723" spans="1:5" x14ac:dyDescent="0.25">
      <c r="A723" s="12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19411223</v>
      </c>
      <c r="C723" s="13">
        <v>1</v>
      </c>
      <c r="D723" s="18" t="str">
        <f t="shared" ca="1" si="22"/>
        <v>—</v>
      </c>
      <c r="E723" s="19">
        <f t="shared" ca="1" si="23"/>
        <v>7</v>
      </c>
    </row>
    <row r="724" spans="1:5" x14ac:dyDescent="0.25">
      <c r="A724" s="12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19411224</v>
      </c>
      <c r="C724" s="13">
        <v>1</v>
      </c>
      <c r="D724" s="18" t="str">
        <f t="shared" ca="1" si="22"/>
        <v>—</v>
      </c>
      <c r="E724" s="19">
        <f t="shared" ca="1" si="23"/>
        <v>7</v>
      </c>
    </row>
    <row r="725" spans="1:5" x14ac:dyDescent="0.25">
      <c r="A725" s="12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19411225</v>
      </c>
      <c r="C725" s="13">
        <v>1</v>
      </c>
      <c r="D725" s="18" t="str">
        <f t="shared" ca="1" si="22"/>
        <v>—</v>
      </c>
      <c r="E725" s="19">
        <f t="shared" ca="1" si="23"/>
        <v>7</v>
      </c>
    </row>
    <row r="726" spans="1:5" x14ac:dyDescent="0.25">
      <c r="A726" s="12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19411226</v>
      </c>
      <c r="C726" s="13">
        <v>1</v>
      </c>
      <c r="D726" s="18" t="str">
        <f t="shared" ca="1" si="22"/>
        <v>—</v>
      </c>
      <c r="E726" s="19">
        <f t="shared" ca="1" si="23"/>
        <v>7</v>
      </c>
    </row>
    <row r="727" spans="1:5" x14ac:dyDescent="0.25">
      <c r="A727" s="12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19411227</v>
      </c>
      <c r="C727" s="13">
        <v>1</v>
      </c>
      <c r="D727" s="18" t="str">
        <f t="shared" ca="1" si="22"/>
        <v>—</v>
      </c>
      <c r="E727" s="19">
        <f t="shared" ca="1" si="23"/>
        <v>7</v>
      </c>
    </row>
    <row r="728" spans="1:5" x14ac:dyDescent="0.25">
      <c r="A728" s="12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19411228</v>
      </c>
      <c r="C728" s="13">
        <v>1</v>
      </c>
      <c r="D728" s="18" t="str">
        <f t="shared" ca="1" si="22"/>
        <v>—</v>
      </c>
      <c r="E728" s="19">
        <f t="shared" ca="1" si="23"/>
        <v>7</v>
      </c>
    </row>
    <row r="729" spans="1:5" x14ac:dyDescent="0.25">
      <c r="A729" s="12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19411229</v>
      </c>
      <c r="C729" s="13">
        <v>1</v>
      </c>
      <c r="D729" s="18" t="str">
        <f t="shared" ca="1" si="22"/>
        <v>—</v>
      </c>
      <c r="E729" s="19">
        <f t="shared" ca="1" si="23"/>
        <v>7</v>
      </c>
    </row>
    <row r="730" spans="1:5" x14ac:dyDescent="0.25">
      <c r="A730" s="12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19411230</v>
      </c>
      <c r="C730" s="13">
        <v>1</v>
      </c>
      <c r="D730" s="18" t="str">
        <f t="shared" ca="1" si="22"/>
        <v>—</v>
      </c>
      <c r="E730" s="19">
        <f t="shared" ca="1" si="23"/>
        <v>7</v>
      </c>
    </row>
    <row r="731" spans="1:5" x14ac:dyDescent="0.25">
      <c r="A731" s="12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19411231</v>
      </c>
      <c r="C731" s="13">
        <v>1</v>
      </c>
      <c r="D731" s="18" t="str">
        <f t="shared" ca="1" si="22"/>
        <v>—</v>
      </c>
      <c r="E731" s="19">
        <f t="shared" ca="1" si="23"/>
        <v>7</v>
      </c>
    </row>
    <row r="732" spans="1:5" x14ac:dyDescent="0.25">
      <c r="A732" s="12">
        <f ca="1">INDEX(Stations,INT((ROWS(A$2:A732)-1)/(DATE(YEAR(Invoer!$A$5),12,31)-DATE(YEAR(Invoer!$A$5),1,1)+1))+2,1)</f>
        <v>49</v>
      </c>
      <c r="B732" t="str">
        <f ca="1">TEXT(DATE(YEAR(Invoer!$A$5),1,1)+MOD(ROWS(B$2:B732)-1,DATE(YEAR(Invoer!$A$5),12,31)-DATE(YEAR(Invoer!$A$5),1,1)+1),"jjjjmmdd")</f>
        <v>19410101</v>
      </c>
      <c r="C732" s="13">
        <v>1</v>
      </c>
      <c r="D732" s="18">
        <f t="shared" ca="1" si="22"/>
        <v>0</v>
      </c>
      <c r="E732" s="19">
        <f t="shared" ca="1" si="23"/>
        <v>0</v>
      </c>
    </row>
    <row r="733" spans="1:5" x14ac:dyDescent="0.25">
      <c r="A733" s="12">
        <f ca="1">INDEX(Stations,INT((ROWS(A$2:A733)-1)/(DATE(YEAR(Invoer!$A$5),12,31)-DATE(YEAR(Invoer!$A$5),1,1)+1))+2,1)</f>
        <v>49</v>
      </c>
      <c r="B733" t="str">
        <f ca="1">TEXT(DATE(YEAR(Invoer!$A$5),1,1)+MOD(ROWS(B$2:B733)-1,DATE(YEAR(Invoer!$A$5),12,31)-DATE(YEAR(Invoer!$A$5),1,1)+1),"jjjjmmdd")</f>
        <v>19410102</v>
      </c>
      <c r="C733" s="13">
        <v>1</v>
      </c>
      <c r="D733" s="18">
        <f t="shared" ca="1" si="22"/>
        <v>0</v>
      </c>
      <c r="E733" s="19">
        <f t="shared" ca="1" si="23"/>
        <v>0</v>
      </c>
    </row>
    <row r="734" spans="1:5" x14ac:dyDescent="0.25">
      <c r="A734" s="12">
        <f ca="1">INDEX(Stations,INT((ROWS(A$2:A734)-1)/(DATE(YEAR(Invoer!$A$5),12,31)-DATE(YEAR(Invoer!$A$5),1,1)+1))+2,1)</f>
        <v>49</v>
      </c>
      <c r="B734" t="str">
        <f ca="1">TEXT(DATE(YEAR(Invoer!$A$5),1,1)+MOD(ROWS(B$2:B734)-1,DATE(YEAR(Invoer!$A$5),12,31)-DATE(YEAR(Invoer!$A$5),1,1)+1),"jjjjmmdd")</f>
        <v>19410103</v>
      </c>
      <c r="C734" s="13">
        <v>1</v>
      </c>
      <c r="D734" s="18">
        <f t="shared" ca="1" si="22"/>
        <v>0</v>
      </c>
      <c r="E734" s="19">
        <f t="shared" ca="1" si="23"/>
        <v>0</v>
      </c>
    </row>
    <row r="735" spans="1:5" x14ac:dyDescent="0.25">
      <c r="A735" s="12">
        <f ca="1">INDEX(Stations,INT((ROWS(A$2:A735)-1)/(DATE(YEAR(Invoer!$A$5),12,31)-DATE(YEAR(Invoer!$A$5),1,1)+1))+2,1)</f>
        <v>49</v>
      </c>
      <c r="B735" t="str">
        <f ca="1">TEXT(DATE(YEAR(Invoer!$A$5),1,1)+MOD(ROWS(B$2:B735)-1,DATE(YEAR(Invoer!$A$5),12,31)-DATE(YEAR(Invoer!$A$5),1,1)+1),"jjjjmmdd")</f>
        <v>19410104</v>
      </c>
      <c r="C735" s="13">
        <v>1</v>
      </c>
      <c r="D735" s="18">
        <f t="shared" ca="1" si="22"/>
        <v>0</v>
      </c>
      <c r="E735" s="19">
        <f t="shared" ca="1" si="23"/>
        <v>0</v>
      </c>
    </row>
    <row r="736" spans="1:5" x14ac:dyDescent="0.25">
      <c r="A736" s="12">
        <f ca="1">INDEX(Stations,INT((ROWS(A$2:A736)-1)/(DATE(YEAR(Invoer!$A$5),12,31)-DATE(YEAR(Invoer!$A$5),1,1)+1))+2,1)</f>
        <v>49</v>
      </c>
      <c r="B736" t="str">
        <f ca="1">TEXT(DATE(YEAR(Invoer!$A$5),1,1)+MOD(ROWS(B$2:B736)-1,DATE(YEAR(Invoer!$A$5),12,31)-DATE(YEAR(Invoer!$A$5),1,1)+1),"jjjjmmdd")</f>
        <v>19410105</v>
      </c>
      <c r="C736" s="13">
        <v>1</v>
      </c>
      <c r="D736" s="18">
        <f t="shared" ca="1" si="22"/>
        <v>24</v>
      </c>
      <c r="E736" s="19">
        <f t="shared" ca="1" si="23"/>
        <v>0</v>
      </c>
    </row>
    <row r="737" spans="1:5" x14ac:dyDescent="0.25">
      <c r="A737" s="12">
        <f ca="1">INDEX(Stations,INT((ROWS(A$2:A737)-1)/(DATE(YEAR(Invoer!$A$5),12,31)-DATE(YEAR(Invoer!$A$5),1,1)+1))+2,1)</f>
        <v>49</v>
      </c>
      <c r="B737" t="str">
        <f ca="1">TEXT(DATE(YEAR(Invoer!$A$5),1,1)+MOD(ROWS(B$2:B737)-1,DATE(YEAR(Invoer!$A$5),12,31)-DATE(YEAR(Invoer!$A$5),1,1)+1),"jjjjmmdd")</f>
        <v>19410106</v>
      </c>
      <c r="C737" s="13">
        <v>1</v>
      </c>
      <c r="D737" s="18">
        <f t="shared" ca="1" si="22"/>
        <v>0</v>
      </c>
      <c r="E737" s="19">
        <f t="shared" ca="1" si="23"/>
        <v>0</v>
      </c>
    </row>
    <row r="738" spans="1:5" x14ac:dyDescent="0.25">
      <c r="A738" s="12">
        <f ca="1">INDEX(Stations,INT((ROWS(A$2:A738)-1)/(DATE(YEAR(Invoer!$A$5),12,31)-DATE(YEAR(Invoer!$A$5),1,1)+1))+2,1)</f>
        <v>49</v>
      </c>
      <c r="B738" t="str">
        <f ca="1">TEXT(DATE(YEAR(Invoer!$A$5),1,1)+MOD(ROWS(B$2:B738)-1,DATE(YEAR(Invoer!$A$5),12,31)-DATE(YEAR(Invoer!$A$5),1,1)+1),"jjjjmmdd")</f>
        <v>19410107</v>
      </c>
      <c r="C738" s="13">
        <v>1</v>
      </c>
      <c r="D738" s="18">
        <f t="shared" ca="1" si="22"/>
        <v>12</v>
      </c>
      <c r="E738" s="19">
        <f t="shared" ca="1" si="23"/>
        <v>0</v>
      </c>
    </row>
    <row r="739" spans="1:5" x14ac:dyDescent="0.25">
      <c r="A739" s="12">
        <f ca="1">INDEX(Stations,INT((ROWS(A$2:A739)-1)/(DATE(YEAR(Invoer!$A$5),12,31)-DATE(YEAR(Invoer!$A$5),1,1)+1))+2,1)</f>
        <v>49</v>
      </c>
      <c r="B739" t="str">
        <f ca="1">TEXT(DATE(YEAR(Invoer!$A$5),1,1)+MOD(ROWS(B$2:B739)-1,DATE(YEAR(Invoer!$A$5),12,31)-DATE(YEAR(Invoer!$A$5),1,1)+1),"jjjjmmdd")</f>
        <v>19410108</v>
      </c>
      <c r="C739" s="13">
        <v>1</v>
      </c>
      <c r="D739" s="18">
        <f t="shared" ca="1" si="22"/>
        <v>0</v>
      </c>
      <c r="E739" s="19">
        <f t="shared" ca="1" si="23"/>
        <v>0</v>
      </c>
    </row>
    <row r="740" spans="1:5" x14ac:dyDescent="0.25">
      <c r="A740" s="12">
        <f ca="1">INDEX(Stations,INT((ROWS(A$2:A740)-1)/(DATE(YEAR(Invoer!$A$5),12,31)-DATE(YEAR(Invoer!$A$5),1,1)+1))+2,1)</f>
        <v>49</v>
      </c>
      <c r="B740" t="str">
        <f ca="1">TEXT(DATE(YEAR(Invoer!$A$5),1,1)+MOD(ROWS(B$2:B740)-1,DATE(YEAR(Invoer!$A$5),12,31)-DATE(YEAR(Invoer!$A$5),1,1)+1),"jjjjmmdd")</f>
        <v>19410109</v>
      </c>
      <c r="C740" s="13">
        <v>1</v>
      </c>
      <c r="D740" s="18">
        <f t="shared" ca="1" si="22"/>
        <v>0</v>
      </c>
      <c r="E740" s="19">
        <f t="shared" ca="1" si="23"/>
        <v>0</v>
      </c>
    </row>
    <row r="741" spans="1:5" x14ac:dyDescent="0.25">
      <c r="A741" s="12">
        <f ca="1">INDEX(Stations,INT((ROWS(A$2:A741)-1)/(DATE(YEAR(Invoer!$A$5),12,31)-DATE(YEAR(Invoer!$A$5),1,1)+1))+2,1)</f>
        <v>49</v>
      </c>
      <c r="B741" t="str">
        <f ca="1">TEXT(DATE(YEAR(Invoer!$A$5),1,1)+MOD(ROWS(B$2:B741)-1,DATE(YEAR(Invoer!$A$5),12,31)-DATE(YEAR(Invoer!$A$5),1,1)+1),"jjjjmmdd")</f>
        <v>19410110</v>
      </c>
      <c r="C741" s="13">
        <v>1</v>
      </c>
      <c r="D741" s="18">
        <f t="shared" ca="1" si="22"/>
        <v>0</v>
      </c>
      <c r="E741" s="19">
        <f t="shared" ca="1" si="23"/>
        <v>0</v>
      </c>
    </row>
    <row r="742" spans="1:5" x14ac:dyDescent="0.25">
      <c r="A742" s="12">
        <f ca="1">INDEX(Stations,INT((ROWS(A$2:A742)-1)/(DATE(YEAR(Invoer!$A$5),12,31)-DATE(YEAR(Invoer!$A$5),1,1)+1))+2,1)</f>
        <v>49</v>
      </c>
      <c r="B742" t="str">
        <f ca="1">TEXT(DATE(YEAR(Invoer!$A$5),1,1)+MOD(ROWS(B$2:B742)-1,DATE(YEAR(Invoer!$A$5),12,31)-DATE(YEAR(Invoer!$A$5),1,1)+1),"jjjjmmdd")</f>
        <v>19410111</v>
      </c>
      <c r="C742" s="13">
        <v>1</v>
      </c>
      <c r="D742" s="18">
        <f t="shared" ca="1" si="22"/>
        <v>0</v>
      </c>
      <c r="E742" s="19">
        <f t="shared" ca="1" si="23"/>
        <v>0</v>
      </c>
    </row>
    <row r="743" spans="1:5" x14ac:dyDescent="0.25">
      <c r="A743" s="12">
        <f ca="1">INDEX(Stations,INT((ROWS(A$2:A743)-1)/(DATE(YEAR(Invoer!$A$5),12,31)-DATE(YEAR(Invoer!$A$5),1,1)+1))+2,1)</f>
        <v>49</v>
      </c>
      <c r="B743" t="str">
        <f ca="1">TEXT(DATE(YEAR(Invoer!$A$5),1,1)+MOD(ROWS(B$2:B743)-1,DATE(YEAR(Invoer!$A$5),12,31)-DATE(YEAR(Invoer!$A$5),1,1)+1),"jjjjmmdd")</f>
        <v>19410112</v>
      </c>
      <c r="C743" s="13">
        <v>1</v>
      </c>
      <c r="D743" s="18">
        <f t="shared" ca="1" si="22"/>
        <v>0</v>
      </c>
      <c r="E743" s="19">
        <f t="shared" ca="1" si="23"/>
        <v>0</v>
      </c>
    </row>
    <row r="744" spans="1:5" x14ac:dyDescent="0.25">
      <c r="A744" s="12">
        <f ca="1">INDEX(Stations,INT((ROWS(A$2:A744)-1)/(DATE(YEAR(Invoer!$A$5),12,31)-DATE(YEAR(Invoer!$A$5),1,1)+1))+2,1)</f>
        <v>49</v>
      </c>
      <c r="B744" t="str">
        <f ca="1">TEXT(DATE(YEAR(Invoer!$A$5),1,1)+MOD(ROWS(B$2:B744)-1,DATE(YEAR(Invoer!$A$5),12,31)-DATE(YEAR(Invoer!$A$5),1,1)+1),"jjjjmmdd")</f>
        <v>19410113</v>
      </c>
      <c r="C744" s="13">
        <v>1</v>
      </c>
      <c r="D744" s="18">
        <f t="shared" ca="1" si="22"/>
        <v>46</v>
      </c>
      <c r="E744" s="19">
        <f t="shared" ca="1" si="23"/>
        <v>0</v>
      </c>
    </row>
    <row r="745" spans="1:5" x14ac:dyDescent="0.25">
      <c r="A745" s="12">
        <f ca="1">INDEX(Stations,INT((ROWS(A$2:A745)-1)/(DATE(YEAR(Invoer!$A$5),12,31)-DATE(YEAR(Invoer!$A$5),1,1)+1))+2,1)</f>
        <v>49</v>
      </c>
      <c r="B745" t="str">
        <f ca="1">TEXT(DATE(YEAR(Invoer!$A$5),1,1)+MOD(ROWS(B$2:B745)-1,DATE(YEAR(Invoer!$A$5),12,31)-DATE(YEAR(Invoer!$A$5),1,1)+1),"jjjjmmdd")</f>
        <v>19410114</v>
      </c>
      <c r="C745" s="13">
        <v>1</v>
      </c>
      <c r="D745" s="18">
        <f t="shared" ca="1" si="22"/>
        <v>15</v>
      </c>
      <c r="E745" s="19">
        <f t="shared" ca="1" si="23"/>
        <v>0</v>
      </c>
    </row>
    <row r="746" spans="1:5" x14ac:dyDescent="0.25">
      <c r="A746" s="12">
        <f ca="1">INDEX(Stations,INT((ROWS(A$2:A746)-1)/(DATE(YEAR(Invoer!$A$5),12,31)-DATE(YEAR(Invoer!$A$5),1,1)+1))+2,1)</f>
        <v>49</v>
      </c>
      <c r="B746" t="str">
        <f ca="1">TEXT(DATE(YEAR(Invoer!$A$5),1,1)+MOD(ROWS(B$2:B746)-1,DATE(YEAR(Invoer!$A$5),12,31)-DATE(YEAR(Invoer!$A$5),1,1)+1),"jjjjmmdd")</f>
        <v>19410115</v>
      </c>
      <c r="C746" s="13">
        <v>1</v>
      </c>
      <c r="D746" s="18">
        <f t="shared" ca="1" si="22"/>
        <v>0</v>
      </c>
      <c r="E746" s="19">
        <f t="shared" ca="1" si="23"/>
        <v>0</v>
      </c>
    </row>
    <row r="747" spans="1:5" x14ac:dyDescent="0.25">
      <c r="A747" s="12">
        <f ca="1">INDEX(Stations,INT((ROWS(A$2:A747)-1)/(DATE(YEAR(Invoer!$A$5),12,31)-DATE(YEAR(Invoer!$A$5),1,1)+1))+2,1)</f>
        <v>49</v>
      </c>
      <c r="B747" t="str">
        <f ca="1">TEXT(DATE(YEAR(Invoer!$A$5),1,1)+MOD(ROWS(B$2:B747)-1,DATE(YEAR(Invoer!$A$5),12,31)-DATE(YEAR(Invoer!$A$5),1,1)+1),"jjjjmmdd")</f>
        <v>19410116</v>
      </c>
      <c r="C747" s="13">
        <v>1</v>
      </c>
      <c r="D747" s="18">
        <f t="shared" ca="1" si="22"/>
        <v>0</v>
      </c>
      <c r="E747" s="19">
        <f t="shared" ca="1" si="23"/>
        <v>0</v>
      </c>
    </row>
    <row r="748" spans="1:5" x14ac:dyDescent="0.25">
      <c r="A748" s="12">
        <f ca="1">INDEX(Stations,INT((ROWS(A$2:A748)-1)/(DATE(YEAR(Invoer!$A$5),12,31)-DATE(YEAR(Invoer!$A$5),1,1)+1))+2,1)</f>
        <v>49</v>
      </c>
      <c r="B748" t="str">
        <f ca="1">TEXT(DATE(YEAR(Invoer!$A$5),1,1)+MOD(ROWS(B$2:B748)-1,DATE(YEAR(Invoer!$A$5),12,31)-DATE(YEAR(Invoer!$A$5),1,1)+1),"jjjjmmdd")</f>
        <v>19410117</v>
      </c>
      <c r="C748" s="13">
        <v>1</v>
      </c>
      <c r="D748" s="18">
        <f t="shared" ca="1" si="22"/>
        <v>0</v>
      </c>
      <c r="E748" s="19">
        <f t="shared" ca="1" si="23"/>
        <v>0</v>
      </c>
    </row>
    <row r="749" spans="1:5" x14ac:dyDescent="0.25">
      <c r="A749" s="12">
        <f ca="1">INDEX(Stations,INT((ROWS(A$2:A749)-1)/(DATE(YEAR(Invoer!$A$5),12,31)-DATE(YEAR(Invoer!$A$5),1,1)+1))+2,1)</f>
        <v>49</v>
      </c>
      <c r="B749" t="str">
        <f ca="1">TEXT(DATE(YEAR(Invoer!$A$5),1,1)+MOD(ROWS(B$2:B749)-1,DATE(YEAR(Invoer!$A$5),12,31)-DATE(YEAR(Invoer!$A$5),1,1)+1),"jjjjmmdd")</f>
        <v>19410118</v>
      </c>
      <c r="C749" s="13">
        <v>1</v>
      </c>
      <c r="D749" s="18">
        <f t="shared" ca="1" si="22"/>
        <v>0</v>
      </c>
      <c r="E749" s="19">
        <f t="shared" ca="1" si="23"/>
        <v>0</v>
      </c>
    </row>
    <row r="750" spans="1:5" x14ac:dyDescent="0.25">
      <c r="A750" s="12">
        <f ca="1">INDEX(Stations,INT((ROWS(A$2:A750)-1)/(DATE(YEAR(Invoer!$A$5),12,31)-DATE(YEAR(Invoer!$A$5),1,1)+1))+2,1)</f>
        <v>49</v>
      </c>
      <c r="B750" t="str">
        <f ca="1">TEXT(DATE(YEAR(Invoer!$A$5),1,1)+MOD(ROWS(B$2:B750)-1,DATE(YEAR(Invoer!$A$5),12,31)-DATE(YEAR(Invoer!$A$5),1,1)+1),"jjjjmmdd")</f>
        <v>19410119</v>
      </c>
      <c r="C750" s="13">
        <v>1</v>
      </c>
      <c r="D750" s="18">
        <f t="shared" ca="1" si="22"/>
        <v>13</v>
      </c>
      <c r="E750" s="19">
        <f t="shared" ca="1" si="23"/>
        <v>0</v>
      </c>
    </row>
    <row r="751" spans="1:5" x14ac:dyDescent="0.25">
      <c r="A751" s="12">
        <f ca="1">INDEX(Stations,INT((ROWS(A$2:A751)-1)/(DATE(YEAR(Invoer!$A$5),12,31)-DATE(YEAR(Invoer!$A$5),1,1)+1))+2,1)</f>
        <v>49</v>
      </c>
      <c r="B751" t="str">
        <f ca="1">TEXT(DATE(YEAR(Invoer!$A$5),1,1)+MOD(ROWS(B$2:B751)-1,DATE(YEAR(Invoer!$A$5),12,31)-DATE(YEAR(Invoer!$A$5),1,1)+1),"jjjjmmdd")</f>
        <v>19410120</v>
      </c>
      <c r="C751" s="13">
        <v>1</v>
      </c>
      <c r="D751" s="18">
        <f t="shared" ca="1" si="22"/>
        <v>0</v>
      </c>
      <c r="E751" s="19">
        <f t="shared" ca="1" si="23"/>
        <v>0</v>
      </c>
    </row>
    <row r="752" spans="1:5" x14ac:dyDescent="0.25">
      <c r="A752" s="12">
        <f ca="1">INDEX(Stations,INT((ROWS(A$2:A752)-1)/(DATE(YEAR(Invoer!$A$5),12,31)-DATE(YEAR(Invoer!$A$5),1,1)+1))+2,1)</f>
        <v>49</v>
      </c>
      <c r="B752" t="str">
        <f ca="1">TEXT(DATE(YEAR(Invoer!$A$5),1,1)+MOD(ROWS(B$2:B752)-1,DATE(YEAR(Invoer!$A$5),12,31)-DATE(YEAR(Invoer!$A$5),1,1)+1),"jjjjmmdd")</f>
        <v>19410121</v>
      </c>
      <c r="C752" s="13">
        <v>1</v>
      </c>
      <c r="D752" s="18">
        <f t="shared" ca="1" si="22"/>
        <v>0</v>
      </c>
      <c r="E752" s="19">
        <f t="shared" ca="1" si="23"/>
        <v>0</v>
      </c>
    </row>
    <row r="753" spans="1:5" x14ac:dyDescent="0.25">
      <c r="A753" s="12">
        <f ca="1">INDEX(Stations,INT((ROWS(A$2:A753)-1)/(DATE(YEAR(Invoer!$A$5),12,31)-DATE(YEAR(Invoer!$A$5),1,1)+1))+2,1)</f>
        <v>49</v>
      </c>
      <c r="B753" t="str">
        <f ca="1">TEXT(DATE(YEAR(Invoer!$A$5),1,1)+MOD(ROWS(B$2:B753)-1,DATE(YEAR(Invoer!$A$5),12,31)-DATE(YEAR(Invoer!$A$5),1,1)+1),"jjjjmmdd")</f>
        <v>19410122</v>
      </c>
      <c r="C753" s="13">
        <v>1</v>
      </c>
      <c r="D753" s="18">
        <f t="shared" ca="1" si="22"/>
        <v>0</v>
      </c>
      <c r="E753" s="19">
        <f t="shared" ca="1" si="23"/>
        <v>0</v>
      </c>
    </row>
    <row r="754" spans="1:5" x14ac:dyDescent="0.25">
      <c r="A754" s="12">
        <f ca="1">INDEX(Stations,INT((ROWS(A$2:A754)-1)/(DATE(YEAR(Invoer!$A$5),12,31)-DATE(YEAR(Invoer!$A$5),1,1)+1))+2,1)</f>
        <v>49</v>
      </c>
      <c r="B754" t="str">
        <f ca="1">TEXT(DATE(YEAR(Invoer!$A$5),1,1)+MOD(ROWS(B$2:B754)-1,DATE(YEAR(Invoer!$A$5),12,31)-DATE(YEAR(Invoer!$A$5),1,1)+1),"jjjjmmdd")</f>
        <v>19410123</v>
      </c>
      <c r="C754" s="13">
        <v>1</v>
      </c>
      <c r="D754" s="18">
        <f t="shared" ca="1" si="22"/>
        <v>0</v>
      </c>
      <c r="E754" s="19">
        <f t="shared" ca="1" si="23"/>
        <v>0</v>
      </c>
    </row>
    <row r="755" spans="1:5" x14ac:dyDescent="0.25">
      <c r="A755" s="12">
        <f ca="1">INDEX(Stations,INT((ROWS(A$2:A755)-1)/(DATE(YEAR(Invoer!$A$5),12,31)-DATE(YEAR(Invoer!$A$5),1,1)+1))+2,1)</f>
        <v>49</v>
      </c>
      <c r="B755" t="str">
        <f ca="1">TEXT(DATE(YEAR(Invoer!$A$5),1,1)+MOD(ROWS(B$2:B755)-1,DATE(YEAR(Invoer!$A$5),12,31)-DATE(YEAR(Invoer!$A$5),1,1)+1),"jjjjmmdd")</f>
        <v>19410124</v>
      </c>
      <c r="C755" s="13">
        <v>1</v>
      </c>
      <c r="D755" s="18">
        <f t="shared" ca="1" si="22"/>
        <v>0</v>
      </c>
      <c r="E755" s="19">
        <f t="shared" ca="1" si="23"/>
        <v>0</v>
      </c>
    </row>
    <row r="756" spans="1:5" x14ac:dyDescent="0.25">
      <c r="A756" s="12">
        <f ca="1">INDEX(Stations,INT((ROWS(A$2:A756)-1)/(DATE(YEAR(Invoer!$A$5),12,31)-DATE(YEAR(Invoer!$A$5),1,1)+1))+2,1)</f>
        <v>49</v>
      </c>
      <c r="B756" t="str">
        <f ca="1">TEXT(DATE(YEAR(Invoer!$A$5),1,1)+MOD(ROWS(B$2:B756)-1,DATE(YEAR(Invoer!$A$5),12,31)-DATE(YEAR(Invoer!$A$5),1,1)+1),"jjjjmmdd")</f>
        <v>19410125</v>
      </c>
      <c r="C756" s="13">
        <v>1</v>
      </c>
      <c r="D756" s="18">
        <f t="shared" ca="1" si="22"/>
        <v>0</v>
      </c>
      <c r="E756" s="19">
        <f t="shared" ca="1" si="23"/>
        <v>0</v>
      </c>
    </row>
    <row r="757" spans="1:5" x14ac:dyDescent="0.25">
      <c r="A757" s="12">
        <f ca="1">INDEX(Stations,INT((ROWS(A$2:A757)-1)/(DATE(YEAR(Invoer!$A$5),12,31)-DATE(YEAR(Invoer!$A$5),1,1)+1))+2,1)</f>
        <v>49</v>
      </c>
      <c r="B757" t="str">
        <f ca="1">TEXT(DATE(YEAR(Invoer!$A$5),1,1)+MOD(ROWS(B$2:B757)-1,DATE(YEAR(Invoer!$A$5),12,31)-DATE(YEAR(Invoer!$A$5),1,1)+1),"jjjjmmdd")</f>
        <v>19410126</v>
      </c>
      <c r="C757" s="13">
        <v>1</v>
      </c>
      <c r="D757" s="18">
        <f t="shared" ca="1" si="22"/>
        <v>0</v>
      </c>
      <c r="E757" s="19">
        <f t="shared" ca="1" si="23"/>
        <v>0</v>
      </c>
    </row>
    <row r="758" spans="1:5" x14ac:dyDescent="0.25">
      <c r="A758" s="12">
        <f ca="1">INDEX(Stations,INT((ROWS(A$2:A758)-1)/(DATE(YEAR(Invoer!$A$5),12,31)-DATE(YEAR(Invoer!$A$5),1,1)+1))+2,1)</f>
        <v>49</v>
      </c>
      <c r="B758" t="str">
        <f ca="1">TEXT(DATE(YEAR(Invoer!$A$5),1,1)+MOD(ROWS(B$2:B758)-1,DATE(YEAR(Invoer!$A$5),12,31)-DATE(YEAR(Invoer!$A$5),1,1)+1),"jjjjmmdd")</f>
        <v>19410127</v>
      </c>
      <c r="C758" s="13">
        <v>1</v>
      </c>
      <c r="D758" s="18">
        <f t="shared" ca="1" si="22"/>
        <v>0</v>
      </c>
      <c r="E758" s="19">
        <f t="shared" ca="1" si="23"/>
        <v>0</v>
      </c>
    </row>
    <row r="759" spans="1:5" x14ac:dyDescent="0.25">
      <c r="A759" s="12">
        <f ca="1">INDEX(Stations,INT((ROWS(A$2:A759)-1)/(DATE(YEAR(Invoer!$A$5),12,31)-DATE(YEAR(Invoer!$A$5),1,1)+1))+2,1)</f>
        <v>49</v>
      </c>
      <c r="B759" t="str">
        <f ca="1">TEXT(DATE(YEAR(Invoer!$A$5),1,1)+MOD(ROWS(B$2:B759)-1,DATE(YEAR(Invoer!$A$5),12,31)-DATE(YEAR(Invoer!$A$5),1,1)+1),"jjjjmmdd")</f>
        <v>19410128</v>
      </c>
      <c r="C759" s="13">
        <v>1</v>
      </c>
      <c r="D759" s="18">
        <f t="shared" ca="1" si="22"/>
        <v>0</v>
      </c>
      <c r="E759" s="19">
        <f t="shared" ca="1" si="23"/>
        <v>0</v>
      </c>
    </row>
    <row r="760" spans="1:5" x14ac:dyDescent="0.25">
      <c r="A760" s="12">
        <f ca="1">INDEX(Stations,INT((ROWS(A$2:A760)-1)/(DATE(YEAR(Invoer!$A$5),12,31)-DATE(YEAR(Invoer!$A$5),1,1)+1))+2,1)</f>
        <v>49</v>
      </c>
      <c r="B760" t="str">
        <f ca="1">TEXT(DATE(YEAR(Invoer!$A$5),1,1)+MOD(ROWS(B$2:B760)-1,DATE(YEAR(Invoer!$A$5),12,31)-DATE(YEAR(Invoer!$A$5),1,1)+1),"jjjjmmdd")</f>
        <v>19410129</v>
      </c>
      <c r="C760" s="13">
        <v>1</v>
      </c>
      <c r="D760" s="18">
        <f t="shared" ca="1" si="22"/>
        <v>0</v>
      </c>
      <c r="E760" s="19">
        <f t="shared" ca="1" si="23"/>
        <v>0</v>
      </c>
    </row>
    <row r="761" spans="1:5" x14ac:dyDescent="0.25">
      <c r="A761" s="12">
        <f ca="1">INDEX(Stations,INT((ROWS(A$2:A761)-1)/(DATE(YEAR(Invoer!$A$5),12,31)-DATE(YEAR(Invoer!$A$5),1,1)+1))+2,1)</f>
        <v>49</v>
      </c>
      <c r="B761" t="str">
        <f ca="1">TEXT(DATE(YEAR(Invoer!$A$5),1,1)+MOD(ROWS(B$2:B761)-1,DATE(YEAR(Invoer!$A$5),12,31)-DATE(YEAR(Invoer!$A$5),1,1)+1),"jjjjmmdd")</f>
        <v>19410130</v>
      </c>
      <c r="C761" s="13">
        <v>1</v>
      </c>
      <c r="D761" s="18">
        <f t="shared" ca="1" si="22"/>
        <v>0</v>
      </c>
      <c r="E761" s="19">
        <f t="shared" ca="1" si="23"/>
        <v>0</v>
      </c>
    </row>
    <row r="762" spans="1:5" x14ac:dyDescent="0.25">
      <c r="A762" s="12">
        <f ca="1">INDEX(Stations,INT((ROWS(A$2:A762)-1)/(DATE(YEAR(Invoer!$A$5),12,31)-DATE(YEAR(Invoer!$A$5),1,1)+1))+2,1)</f>
        <v>49</v>
      </c>
      <c r="B762" t="str">
        <f ca="1">TEXT(DATE(YEAR(Invoer!$A$5),1,1)+MOD(ROWS(B$2:B762)-1,DATE(YEAR(Invoer!$A$5),12,31)-DATE(YEAR(Invoer!$A$5),1,1)+1),"jjjjmmdd")</f>
        <v>19410131</v>
      </c>
      <c r="C762" s="13">
        <v>1</v>
      </c>
      <c r="D762" s="18">
        <f t="shared" ca="1" si="22"/>
        <v>0</v>
      </c>
      <c r="E762" s="19">
        <f t="shared" ca="1" si="23"/>
        <v>0</v>
      </c>
    </row>
    <row r="763" spans="1:5" x14ac:dyDescent="0.25">
      <c r="A763" s="12">
        <f ca="1">INDEX(Stations,INT((ROWS(A$2:A763)-1)/(DATE(YEAR(Invoer!$A$5),12,31)-DATE(YEAR(Invoer!$A$5),1,1)+1))+2,1)</f>
        <v>49</v>
      </c>
      <c r="B763" t="str">
        <f ca="1">TEXT(DATE(YEAR(Invoer!$A$5),1,1)+MOD(ROWS(B$2:B763)-1,DATE(YEAR(Invoer!$A$5),12,31)-DATE(YEAR(Invoer!$A$5),1,1)+1),"jjjjmmdd")</f>
        <v>19410201</v>
      </c>
      <c r="C763" s="13">
        <v>1</v>
      </c>
      <c r="D763" s="18">
        <f t="shared" ca="1" si="22"/>
        <v>0</v>
      </c>
      <c r="E763" s="19">
        <f t="shared" ca="1" si="23"/>
        <v>0</v>
      </c>
    </row>
    <row r="764" spans="1:5" x14ac:dyDescent="0.25">
      <c r="A764" s="12">
        <f ca="1">INDEX(Stations,INT((ROWS(A$2:A764)-1)/(DATE(YEAR(Invoer!$A$5),12,31)-DATE(YEAR(Invoer!$A$5),1,1)+1))+2,1)</f>
        <v>49</v>
      </c>
      <c r="B764" t="str">
        <f ca="1">TEXT(DATE(YEAR(Invoer!$A$5),1,1)+MOD(ROWS(B$2:B764)-1,DATE(YEAR(Invoer!$A$5),12,31)-DATE(YEAR(Invoer!$A$5),1,1)+1),"jjjjmmdd")</f>
        <v>19410202</v>
      </c>
      <c r="C764" s="13">
        <v>1</v>
      </c>
      <c r="D764" s="18">
        <f t="shared" ca="1" si="22"/>
        <v>0</v>
      </c>
      <c r="E764" s="19">
        <f t="shared" ca="1" si="23"/>
        <v>0</v>
      </c>
    </row>
    <row r="765" spans="1:5" x14ac:dyDescent="0.25">
      <c r="A765" s="12">
        <f ca="1">INDEX(Stations,INT((ROWS(A$2:A765)-1)/(DATE(YEAR(Invoer!$A$5),12,31)-DATE(YEAR(Invoer!$A$5),1,1)+1))+2,1)</f>
        <v>49</v>
      </c>
      <c r="B765" t="str">
        <f ca="1">TEXT(DATE(YEAR(Invoer!$A$5),1,1)+MOD(ROWS(B$2:B765)-1,DATE(YEAR(Invoer!$A$5),12,31)-DATE(YEAR(Invoer!$A$5),1,1)+1),"jjjjmmdd")</f>
        <v>19410203</v>
      </c>
      <c r="C765" s="13">
        <v>1</v>
      </c>
      <c r="D765" s="18">
        <f t="shared" ca="1" si="22"/>
        <v>0</v>
      </c>
      <c r="E765" s="19">
        <f t="shared" ca="1" si="23"/>
        <v>0</v>
      </c>
    </row>
    <row r="766" spans="1:5" x14ac:dyDescent="0.25">
      <c r="A766" s="12">
        <f ca="1">INDEX(Stations,INT((ROWS(A$2:A766)-1)/(DATE(YEAR(Invoer!$A$5),12,31)-DATE(YEAR(Invoer!$A$5),1,1)+1))+2,1)</f>
        <v>49</v>
      </c>
      <c r="B766" t="str">
        <f ca="1">TEXT(DATE(YEAR(Invoer!$A$5),1,1)+MOD(ROWS(B$2:B766)-1,DATE(YEAR(Invoer!$A$5),12,31)-DATE(YEAR(Invoer!$A$5),1,1)+1),"jjjjmmdd")</f>
        <v>19410204</v>
      </c>
      <c r="C766" s="13">
        <v>1</v>
      </c>
      <c r="D766" s="18">
        <f t="shared" ca="1" si="22"/>
        <v>0</v>
      </c>
      <c r="E766" s="19">
        <f t="shared" ca="1" si="23"/>
        <v>0</v>
      </c>
    </row>
    <row r="767" spans="1:5" x14ac:dyDescent="0.25">
      <c r="A767" s="12">
        <f ca="1">INDEX(Stations,INT((ROWS(A$2:A767)-1)/(DATE(YEAR(Invoer!$A$5),12,31)-DATE(YEAR(Invoer!$A$5),1,1)+1))+2,1)</f>
        <v>49</v>
      </c>
      <c r="B767" t="str">
        <f ca="1">TEXT(DATE(YEAR(Invoer!$A$5),1,1)+MOD(ROWS(B$2:B767)-1,DATE(YEAR(Invoer!$A$5),12,31)-DATE(YEAR(Invoer!$A$5),1,1)+1),"jjjjmmdd")</f>
        <v>19410205</v>
      </c>
      <c r="C767" s="13">
        <v>1</v>
      </c>
      <c r="D767" s="18">
        <f t="shared" ca="1" si="22"/>
        <v>0</v>
      </c>
      <c r="E767" s="19">
        <f t="shared" ca="1" si="23"/>
        <v>0</v>
      </c>
    </row>
    <row r="768" spans="1:5" x14ac:dyDescent="0.25">
      <c r="A768" s="12">
        <f ca="1">INDEX(Stations,INT((ROWS(A$2:A768)-1)/(DATE(YEAR(Invoer!$A$5),12,31)-DATE(YEAR(Invoer!$A$5),1,1)+1))+2,1)</f>
        <v>49</v>
      </c>
      <c r="B768" t="str">
        <f ca="1">TEXT(DATE(YEAR(Invoer!$A$5),1,1)+MOD(ROWS(B$2:B768)-1,DATE(YEAR(Invoer!$A$5),12,31)-DATE(YEAR(Invoer!$A$5),1,1)+1),"jjjjmmdd")</f>
        <v>19410206</v>
      </c>
      <c r="C768" s="13">
        <v>1</v>
      </c>
      <c r="D768" s="18">
        <f t="shared" ca="1" si="22"/>
        <v>0</v>
      </c>
      <c r="E768" s="19">
        <f t="shared" ca="1" si="23"/>
        <v>0</v>
      </c>
    </row>
    <row r="769" spans="1:5" x14ac:dyDescent="0.25">
      <c r="A769" s="12">
        <f ca="1">INDEX(Stations,INT((ROWS(A$2:A769)-1)/(DATE(YEAR(Invoer!$A$5),12,31)-DATE(YEAR(Invoer!$A$5),1,1)+1))+2,1)</f>
        <v>49</v>
      </c>
      <c r="B769" t="str">
        <f ca="1">TEXT(DATE(YEAR(Invoer!$A$5),1,1)+MOD(ROWS(B$2:B769)-1,DATE(YEAR(Invoer!$A$5),12,31)-DATE(YEAR(Invoer!$A$5),1,1)+1),"jjjjmmdd")</f>
        <v>19410207</v>
      </c>
      <c r="C769" s="13">
        <v>1</v>
      </c>
      <c r="D769" s="18">
        <f t="shared" ca="1" si="22"/>
        <v>0</v>
      </c>
      <c r="E769" s="19">
        <f t="shared" ca="1" si="23"/>
        <v>0</v>
      </c>
    </row>
    <row r="770" spans="1:5" x14ac:dyDescent="0.25">
      <c r="A770" s="12">
        <f ca="1">INDEX(Stations,INT((ROWS(A$2:A770)-1)/(DATE(YEAR(Invoer!$A$5),12,31)-DATE(YEAR(Invoer!$A$5),1,1)+1))+2,1)</f>
        <v>49</v>
      </c>
      <c r="B770" t="str">
        <f ca="1">TEXT(DATE(YEAR(Invoer!$A$5),1,1)+MOD(ROWS(B$2:B770)-1,DATE(YEAR(Invoer!$A$5),12,31)-DATE(YEAR(Invoer!$A$5),1,1)+1),"jjjjmmdd")</f>
        <v>19410208</v>
      </c>
      <c r="C770" s="13">
        <v>1</v>
      </c>
      <c r="D770" s="18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19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2">
        <f ca="1">INDEX(Stations,INT((ROWS(A$2:A771)-1)/(DATE(YEAR(Invoer!$A$5),12,31)-DATE(YEAR(Invoer!$A$5),1,1)+1))+2,1)</f>
        <v>49</v>
      </c>
      <c r="B771" t="str">
        <f ca="1">TEXT(DATE(YEAR(Invoer!$A$5),1,1)+MOD(ROWS(B$2:B771)-1,DATE(YEAR(Invoer!$A$5),12,31)-DATE(YEAR(Invoer!$A$5),1,1)+1),"jjjjmmdd")</f>
        <v>19410209</v>
      </c>
      <c r="C771" s="13">
        <v>1</v>
      </c>
      <c r="D771" s="18">
        <f t="shared" ca="1" si="24"/>
        <v>0</v>
      </c>
      <c r="E771" s="19">
        <f t="shared" ca="1" si="25"/>
        <v>0</v>
      </c>
    </row>
    <row r="772" spans="1:5" x14ac:dyDescent="0.25">
      <c r="A772" s="12">
        <f ca="1">INDEX(Stations,INT((ROWS(A$2:A772)-1)/(DATE(YEAR(Invoer!$A$5),12,31)-DATE(YEAR(Invoer!$A$5),1,1)+1))+2,1)</f>
        <v>49</v>
      </c>
      <c r="B772" t="str">
        <f ca="1">TEXT(DATE(YEAR(Invoer!$A$5),1,1)+MOD(ROWS(B$2:B772)-1,DATE(YEAR(Invoer!$A$5),12,31)-DATE(YEAR(Invoer!$A$5),1,1)+1),"jjjjmmdd")</f>
        <v>19410210</v>
      </c>
      <c r="C772" s="13">
        <v>1</v>
      </c>
      <c r="D772" s="18">
        <f t="shared" ca="1" si="24"/>
        <v>0</v>
      </c>
      <c r="E772" s="19">
        <f t="shared" ca="1" si="25"/>
        <v>0</v>
      </c>
    </row>
    <row r="773" spans="1:5" x14ac:dyDescent="0.25">
      <c r="A773" s="12">
        <f ca="1">INDEX(Stations,INT((ROWS(A$2:A773)-1)/(DATE(YEAR(Invoer!$A$5),12,31)-DATE(YEAR(Invoer!$A$5),1,1)+1))+2,1)</f>
        <v>49</v>
      </c>
      <c r="B773" t="str">
        <f ca="1">TEXT(DATE(YEAR(Invoer!$A$5),1,1)+MOD(ROWS(B$2:B773)-1,DATE(YEAR(Invoer!$A$5),12,31)-DATE(YEAR(Invoer!$A$5),1,1)+1),"jjjjmmdd")</f>
        <v>19410211</v>
      </c>
      <c r="C773" s="13">
        <v>1</v>
      </c>
      <c r="D773" s="18">
        <f t="shared" ca="1" si="24"/>
        <v>0</v>
      </c>
      <c r="E773" s="19">
        <f t="shared" ca="1" si="25"/>
        <v>0</v>
      </c>
    </row>
    <row r="774" spans="1:5" x14ac:dyDescent="0.25">
      <c r="A774" s="12">
        <f ca="1">INDEX(Stations,INT((ROWS(A$2:A774)-1)/(DATE(YEAR(Invoer!$A$5),12,31)-DATE(YEAR(Invoer!$A$5),1,1)+1))+2,1)</f>
        <v>49</v>
      </c>
      <c r="B774" t="str">
        <f ca="1">TEXT(DATE(YEAR(Invoer!$A$5),1,1)+MOD(ROWS(B$2:B774)-1,DATE(YEAR(Invoer!$A$5),12,31)-DATE(YEAR(Invoer!$A$5),1,1)+1),"jjjjmmdd")</f>
        <v>19410212</v>
      </c>
      <c r="C774" s="13">
        <v>1</v>
      </c>
      <c r="D774" s="18">
        <f t="shared" ca="1" si="24"/>
        <v>0</v>
      </c>
      <c r="E774" s="19">
        <f t="shared" ca="1" si="25"/>
        <v>0</v>
      </c>
    </row>
    <row r="775" spans="1:5" x14ac:dyDescent="0.25">
      <c r="A775" s="12">
        <f ca="1">INDEX(Stations,INT((ROWS(A$2:A775)-1)/(DATE(YEAR(Invoer!$A$5),12,31)-DATE(YEAR(Invoer!$A$5),1,1)+1))+2,1)</f>
        <v>49</v>
      </c>
      <c r="B775" t="str">
        <f ca="1">TEXT(DATE(YEAR(Invoer!$A$5),1,1)+MOD(ROWS(B$2:B775)-1,DATE(YEAR(Invoer!$A$5),12,31)-DATE(YEAR(Invoer!$A$5),1,1)+1),"jjjjmmdd")</f>
        <v>19410213</v>
      </c>
      <c r="C775" s="13">
        <v>1</v>
      </c>
      <c r="D775" s="18">
        <f t="shared" ca="1" si="24"/>
        <v>0</v>
      </c>
      <c r="E775" s="19">
        <f t="shared" ca="1" si="25"/>
        <v>0</v>
      </c>
    </row>
    <row r="776" spans="1:5" x14ac:dyDescent="0.25">
      <c r="A776" s="12">
        <f ca="1">INDEX(Stations,INT((ROWS(A$2:A776)-1)/(DATE(YEAR(Invoer!$A$5),12,31)-DATE(YEAR(Invoer!$A$5),1,1)+1))+2,1)</f>
        <v>49</v>
      </c>
      <c r="B776" t="str">
        <f ca="1">TEXT(DATE(YEAR(Invoer!$A$5),1,1)+MOD(ROWS(B$2:B776)-1,DATE(YEAR(Invoer!$A$5),12,31)-DATE(YEAR(Invoer!$A$5),1,1)+1),"jjjjmmdd")</f>
        <v>19410214</v>
      </c>
      <c r="C776" s="13">
        <v>1</v>
      </c>
      <c r="D776" s="18">
        <f t="shared" ca="1" si="24"/>
        <v>0</v>
      </c>
      <c r="E776" s="19">
        <f t="shared" ca="1" si="25"/>
        <v>0</v>
      </c>
    </row>
    <row r="777" spans="1:5" x14ac:dyDescent="0.25">
      <c r="A777" s="12">
        <f ca="1">INDEX(Stations,INT((ROWS(A$2:A777)-1)/(DATE(YEAR(Invoer!$A$5),12,31)-DATE(YEAR(Invoer!$A$5),1,1)+1))+2,1)</f>
        <v>49</v>
      </c>
      <c r="B777" t="str">
        <f ca="1">TEXT(DATE(YEAR(Invoer!$A$5),1,1)+MOD(ROWS(B$2:B777)-1,DATE(YEAR(Invoer!$A$5),12,31)-DATE(YEAR(Invoer!$A$5),1,1)+1),"jjjjmmdd")</f>
        <v>19410215</v>
      </c>
      <c r="C777" s="13">
        <v>1</v>
      </c>
      <c r="D777" s="18">
        <f t="shared" ca="1" si="24"/>
        <v>0</v>
      </c>
      <c r="E777" s="19">
        <f t="shared" ca="1" si="25"/>
        <v>0</v>
      </c>
    </row>
    <row r="778" spans="1:5" x14ac:dyDescent="0.25">
      <c r="A778" s="12">
        <f ca="1">INDEX(Stations,INT((ROWS(A$2:A778)-1)/(DATE(YEAR(Invoer!$A$5),12,31)-DATE(YEAR(Invoer!$A$5),1,1)+1))+2,1)</f>
        <v>49</v>
      </c>
      <c r="B778" t="str">
        <f ca="1">TEXT(DATE(YEAR(Invoer!$A$5),1,1)+MOD(ROWS(B$2:B778)-1,DATE(YEAR(Invoer!$A$5),12,31)-DATE(YEAR(Invoer!$A$5),1,1)+1),"jjjjmmdd")</f>
        <v>19410216</v>
      </c>
      <c r="C778" s="13">
        <v>1</v>
      </c>
      <c r="D778" s="18">
        <f t="shared" ca="1" si="24"/>
        <v>0</v>
      </c>
      <c r="E778" s="19">
        <f t="shared" ca="1" si="25"/>
        <v>0</v>
      </c>
    </row>
    <row r="779" spans="1:5" x14ac:dyDescent="0.25">
      <c r="A779" s="12">
        <f ca="1">INDEX(Stations,INT((ROWS(A$2:A779)-1)/(DATE(YEAR(Invoer!$A$5),12,31)-DATE(YEAR(Invoer!$A$5),1,1)+1))+2,1)</f>
        <v>49</v>
      </c>
      <c r="B779" t="str">
        <f ca="1">TEXT(DATE(YEAR(Invoer!$A$5),1,1)+MOD(ROWS(B$2:B779)-1,DATE(YEAR(Invoer!$A$5),12,31)-DATE(YEAR(Invoer!$A$5),1,1)+1),"jjjjmmdd")</f>
        <v>19410217</v>
      </c>
      <c r="C779" s="13">
        <v>1</v>
      </c>
      <c r="D779" s="18">
        <f t="shared" ca="1" si="24"/>
        <v>0</v>
      </c>
      <c r="E779" s="19">
        <f t="shared" ca="1" si="25"/>
        <v>0</v>
      </c>
    </row>
    <row r="780" spans="1:5" x14ac:dyDescent="0.25">
      <c r="A780" s="12">
        <f ca="1">INDEX(Stations,INT((ROWS(A$2:A780)-1)/(DATE(YEAR(Invoer!$A$5),12,31)-DATE(YEAR(Invoer!$A$5),1,1)+1))+2,1)</f>
        <v>49</v>
      </c>
      <c r="B780" t="str">
        <f ca="1">TEXT(DATE(YEAR(Invoer!$A$5),1,1)+MOD(ROWS(B$2:B780)-1,DATE(YEAR(Invoer!$A$5),12,31)-DATE(YEAR(Invoer!$A$5),1,1)+1),"jjjjmmdd")</f>
        <v>19410218</v>
      </c>
      <c r="C780" s="13">
        <v>1</v>
      </c>
      <c r="D780" s="18">
        <f t="shared" ca="1" si="24"/>
        <v>0</v>
      </c>
      <c r="E780" s="19">
        <f t="shared" ca="1" si="25"/>
        <v>0</v>
      </c>
    </row>
    <row r="781" spans="1:5" x14ac:dyDescent="0.25">
      <c r="A781" s="12">
        <f ca="1">INDEX(Stations,INT((ROWS(A$2:A781)-1)/(DATE(YEAR(Invoer!$A$5),12,31)-DATE(YEAR(Invoer!$A$5),1,1)+1))+2,1)</f>
        <v>49</v>
      </c>
      <c r="B781" t="str">
        <f ca="1">TEXT(DATE(YEAR(Invoer!$A$5),1,1)+MOD(ROWS(B$2:B781)-1,DATE(YEAR(Invoer!$A$5),12,31)-DATE(YEAR(Invoer!$A$5),1,1)+1),"jjjjmmdd")</f>
        <v>19410219</v>
      </c>
      <c r="C781" s="13">
        <v>1</v>
      </c>
      <c r="D781" s="18">
        <f t="shared" ca="1" si="24"/>
        <v>0</v>
      </c>
      <c r="E781" s="19">
        <f t="shared" ca="1" si="25"/>
        <v>0</v>
      </c>
    </row>
    <row r="782" spans="1:5" x14ac:dyDescent="0.25">
      <c r="A782" s="12">
        <f ca="1">INDEX(Stations,INT((ROWS(A$2:A782)-1)/(DATE(YEAR(Invoer!$A$5),12,31)-DATE(YEAR(Invoer!$A$5),1,1)+1))+2,1)</f>
        <v>49</v>
      </c>
      <c r="B782" t="str">
        <f ca="1">TEXT(DATE(YEAR(Invoer!$A$5),1,1)+MOD(ROWS(B$2:B782)-1,DATE(YEAR(Invoer!$A$5),12,31)-DATE(YEAR(Invoer!$A$5),1,1)+1),"jjjjmmdd")</f>
        <v>19410220</v>
      </c>
      <c r="C782" s="13">
        <v>1</v>
      </c>
      <c r="D782" s="18">
        <f t="shared" ca="1" si="24"/>
        <v>0</v>
      </c>
      <c r="E782" s="19">
        <f t="shared" ca="1" si="25"/>
        <v>0</v>
      </c>
    </row>
    <row r="783" spans="1:5" x14ac:dyDescent="0.25">
      <c r="A783" s="12">
        <f ca="1">INDEX(Stations,INT((ROWS(A$2:A783)-1)/(DATE(YEAR(Invoer!$A$5),12,31)-DATE(YEAR(Invoer!$A$5),1,1)+1))+2,1)</f>
        <v>49</v>
      </c>
      <c r="B783" t="str">
        <f ca="1">TEXT(DATE(YEAR(Invoer!$A$5),1,1)+MOD(ROWS(B$2:B783)-1,DATE(YEAR(Invoer!$A$5),12,31)-DATE(YEAR(Invoer!$A$5),1,1)+1),"jjjjmmdd")</f>
        <v>19410221</v>
      </c>
      <c r="C783" s="13">
        <v>1</v>
      </c>
      <c r="D783" s="18">
        <f t="shared" ca="1" si="24"/>
        <v>0</v>
      </c>
      <c r="E783" s="19">
        <f t="shared" ca="1" si="25"/>
        <v>0</v>
      </c>
    </row>
    <row r="784" spans="1:5" x14ac:dyDescent="0.25">
      <c r="A784" s="12">
        <f ca="1">INDEX(Stations,INT((ROWS(A$2:A784)-1)/(DATE(YEAR(Invoer!$A$5),12,31)-DATE(YEAR(Invoer!$A$5),1,1)+1))+2,1)</f>
        <v>49</v>
      </c>
      <c r="B784" t="str">
        <f ca="1">TEXT(DATE(YEAR(Invoer!$A$5),1,1)+MOD(ROWS(B$2:B784)-1,DATE(YEAR(Invoer!$A$5),12,31)-DATE(YEAR(Invoer!$A$5),1,1)+1),"jjjjmmdd")</f>
        <v>19410222</v>
      </c>
      <c r="C784" s="13">
        <v>1</v>
      </c>
      <c r="D784" s="18">
        <f t="shared" ca="1" si="24"/>
        <v>0</v>
      </c>
      <c r="E784" s="19">
        <f t="shared" ca="1" si="25"/>
        <v>0</v>
      </c>
    </row>
    <row r="785" spans="1:5" x14ac:dyDescent="0.25">
      <c r="A785" s="12">
        <f ca="1">INDEX(Stations,INT((ROWS(A$2:A785)-1)/(DATE(YEAR(Invoer!$A$5),12,31)-DATE(YEAR(Invoer!$A$5),1,1)+1))+2,1)</f>
        <v>49</v>
      </c>
      <c r="B785" t="str">
        <f ca="1">TEXT(DATE(YEAR(Invoer!$A$5),1,1)+MOD(ROWS(B$2:B785)-1,DATE(YEAR(Invoer!$A$5),12,31)-DATE(YEAR(Invoer!$A$5),1,1)+1),"jjjjmmdd")</f>
        <v>19410223</v>
      </c>
      <c r="C785" s="13">
        <v>1</v>
      </c>
      <c r="D785" s="18">
        <f t="shared" ca="1" si="24"/>
        <v>0</v>
      </c>
      <c r="E785" s="19">
        <f t="shared" ca="1" si="25"/>
        <v>0</v>
      </c>
    </row>
    <row r="786" spans="1:5" x14ac:dyDescent="0.25">
      <c r="A786" s="12">
        <f ca="1">INDEX(Stations,INT((ROWS(A$2:A786)-1)/(DATE(YEAR(Invoer!$A$5),12,31)-DATE(YEAR(Invoer!$A$5),1,1)+1))+2,1)</f>
        <v>49</v>
      </c>
      <c r="B786" t="str">
        <f ca="1">TEXT(DATE(YEAR(Invoer!$A$5),1,1)+MOD(ROWS(B$2:B786)-1,DATE(YEAR(Invoer!$A$5),12,31)-DATE(YEAR(Invoer!$A$5),1,1)+1),"jjjjmmdd")</f>
        <v>19410224</v>
      </c>
      <c r="C786" s="13">
        <v>1</v>
      </c>
      <c r="D786" s="18">
        <f t="shared" ca="1" si="24"/>
        <v>0</v>
      </c>
      <c r="E786" s="19">
        <f t="shared" ca="1" si="25"/>
        <v>0</v>
      </c>
    </row>
    <row r="787" spans="1:5" x14ac:dyDescent="0.25">
      <c r="A787" s="12">
        <f ca="1">INDEX(Stations,INT((ROWS(A$2:A787)-1)/(DATE(YEAR(Invoer!$A$5),12,31)-DATE(YEAR(Invoer!$A$5),1,1)+1))+2,1)</f>
        <v>49</v>
      </c>
      <c r="B787" t="str">
        <f ca="1">TEXT(DATE(YEAR(Invoer!$A$5),1,1)+MOD(ROWS(B$2:B787)-1,DATE(YEAR(Invoer!$A$5),12,31)-DATE(YEAR(Invoer!$A$5),1,1)+1),"jjjjmmdd")</f>
        <v>19410225</v>
      </c>
      <c r="C787" s="13">
        <v>1</v>
      </c>
      <c r="D787" s="18">
        <f t="shared" ca="1" si="24"/>
        <v>0</v>
      </c>
      <c r="E787" s="19">
        <f t="shared" ca="1" si="25"/>
        <v>0</v>
      </c>
    </row>
    <row r="788" spans="1:5" x14ac:dyDescent="0.25">
      <c r="A788" s="12">
        <f ca="1">INDEX(Stations,INT((ROWS(A$2:A788)-1)/(DATE(YEAR(Invoer!$A$5),12,31)-DATE(YEAR(Invoer!$A$5),1,1)+1))+2,1)</f>
        <v>49</v>
      </c>
      <c r="B788" t="str">
        <f ca="1">TEXT(DATE(YEAR(Invoer!$A$5),1,1)+MOD(ROWS(B$2:B788)-1,DATE(YEAR(Invoer!$A$5),12,31)-DATE(YEAR(Invoer!$A$5),1,1)+1),"jjjjmmdd")</f>
        <v>19410226</v>
      </c>
      <c r="C788" s="13">
        <v>1</v>
      </c>
      <c r="D788" s="18">
        <f t="shared" ca="1" si="24"/>
        <v>0</v>
      </c>
      <c r="E788" s="19">
        <f t="shared" ca="1" si="25"/>
        <v>0</v>
      </c>
    </row>
    <row r="789" spans="1:5" x14ac:dyDescent="0.25">
      <c r="A789" s="12">
        <f ca="1">INDEX(Stations,INT((ROWS(A$2:A789)-1)/(DATE(YEAR(Invoer!$A$5),12,31)-DATE(YEAR(Invoer!$A$5),1,1)+1))+2,1)</f>
        <v>49</v>
      </c>
      <c r="B789" t="str">
        <f ca="1">TEXT(DATE(YEAR(Invoer!$A$5),1,1)+MOD(ROWS(B$2:B789)-1,DATE(YEAR(Invoer!$A$5),12,31)-DATE(YEAR(Invoer!$A$5),1,1)+1),"jjjjmmdd")</f>
        <v>19410227</v>
      </c>
      <c r="C789" s="13">
        <v>1</v>
      </c>
      <c r="D789" s="18">
        <f t="shared" ca="1" si="24"/>
        <v>0</v>
      </c>
      <c r="E789" s="19">
        <f t="shared" ca="1" si="25"/>
        <v>0</v>
      </c>
    </row>
    <row r="790" spans="1:5" x14ac:dyDescent="0.25">
      <c r="A790" s="12">
        <f ca="1">INDEX(Stations,INT((ROWS(A$2:A790)-1)/(DATE(YEAR(Invoer!$A$5),12,31)-DATE(YEAR(Invoer!$A$5),1,1)+1))+2,1)</f>
        <v>49</v>
      </c>
      <c r="B790" t="str">
        <f ca="1">TEXT(DATE(YEAR(Invoer!$A$5),1,1)+MOD(ROWS(B$2:B790)-1,DATE(YEAR(Invoer!$A$5),12,31)-DATE(YEAR(Invoer!$A$5),1,1)+1),"jjjjmmdd")</f>
        <v>19410228</v>
      </c>
      <c r="C790" s="13">
        <v>1</v>
      </c>
      <c r="D790" s="18">
        <f t="shared" ca="1" si="24"/>
        <v>0</v>
      </c>
      <c r="E790" s="19">
        <f t="shared" ca="1" si="25"/>
        <v>0</v>
      </c>
    </row>
    <row r="791" spans="1:5" x14ac:dyDescent="0.25">
      <c r="A791" s="12">
        <f ca="1">INDEX(Stations,INT((ROWS(A$2:A791)-1)/(DATE(YEAR(Invoer!$A$5),12,31)-DATE(YEAR(Invoer!$A$5),1,1)+1))+2,1)</f>
        <v>49</v>
      </c>
      <c r="B791" t="str">
        <f ca="1">TEXT(DATE(YEAR(Invoer!$A$5),1,1)+MOD(ROWS(B$2:B791)-1,DATE(YEAR(Invoer!$A$5),12,31)-DATE(YEAR(Invoer!$A$5),1,1)+1),"jjjjmmdd")</f>
        <v>19410301</v>
      </c>
      <c r="C791" s="13">
        <v>1</v>
      </c>
      <c r="D791" s="18">
        <f t="shared" ca="1" si="24"/>
        <v>0</v>
      </c>
      <c r="E791" s="19">
        <f t="shared" ca="1" si="25"/>
        <v>0</v>
      </c>
    </row>
    <row r="792" spans="1:5" x14ac:dyDescent="0.25">
      <c r="A792" s="12">
        <f ca="1">INDEX(Stations,INT((ROWS(A$2:A792)-1)/(DATE(YEAR(Invoer!$A$5),12,31)-DATE(YEAR(Invoer!$A$5),1,1)+1))+2,1)</f>
        <v>49</v>
      </c>
      <c r="B792" t="str">
        <f ca="1">TEXT(DATE(YEAR(Invoer!$A$5),1,1)+MOD(ROWS(B$2:B792)-1,DATE(YEAR(Invoer!$A$5),12,31)-DATE(YEAR(Invoer!$A$5),1,1)+1),"jjjjmmdd")</f>
        <v>19410302</v>
      </c>
      <c r="C792" s="13">
        <v>1</v>
      </c>
      <c r="D792" s="18">
        <f t="shared" ca="1" si="24"/>
        <v>0</v>
      </c>
      <c r="E792" s="19">
        <f t="shared" ca="1" si="25"/>
        <v>0</v>
      </c>
    </row>
    <row r="793" spans="1:5" x14ac:dyDescent="0.25">
      <c r="A793" s="12">
        <f ca="1">INDEX(Stations,INT((ROWS(A$2:A793)-1)/(DATE(YEAR(Invoer!$A$5),12,31)-DATE(YEAR(Invoer!$A$5),1,1)+1))+2,1)</f>
        <v>49</v>
      </c>
      <c r="B793" t="str">
        <f ca="1">TEXT(DATE(YEAR(Invoer!$A$5),1,1)+MOD(ROWS(B$2:B793)-1,DATE(YEAR(Invoer!$A$5),12,31)-DATE(YEAR(Invoer!$A$5),1,1)+1),"jjjjmmdd")</f>
        <v>19410303</v>
      </c>
      <c r="C793" s="13">
        <v>1</v>
      </c>
      <c r="D793" s="18">
        <f t="shared" ca="1" si="24"/>
        <v>0</v>
      </c>
      <c r="E793" s="19">
        <f t="shared" ca="1" si="25"/>
        <v>0</v>
      </c>
    </row>
    <row r="794" spans="1:5" x14ac:dyDescent="0.25">
      <c r="A794" s="12">
        <f ca="1">INDEX(Stations,INT((ROWS(A$2:A794)-1)/(DATE(YEAR(Invoer!$A$5),12,31)-DATE(YEAR(Invoer!$A$5),1,1)+1))+2,1)</f>
        <v>49</v>
      </c>
      <c r="B794" t="str">
        <f ca="1">TEXT(DATE(YEAR(Invoer!$A$5),1,1)+MOD(ROWS(B$2:B794)-1,DATE(YEAR(Invoer!$A$5),12,31)-DATE(YEAR(Invoer!$A$5),1,1)+1),"jjjjmmdd")</f>
        <v>19410304</v>
      </c>
      <c r="C794" s="13">
        <v>1</v>
      </c>
      <c r="D794" s="18">
        <f t="shared" ca="1" si="24"/>
        <v>0</v>
      </c>
      <c r="E794" s="19">
        <f t="shared" ca="1" si="25"/>
        <v>0</v>
      </c>
    </row>
    <row r="795" spans="1:5" x14ac:dyDescent="0.25">
      <c r="A795" s="12">
        <f ca="1">INDEX(Stations,INT((ROWS(A$2:A795)-1)/(DATE(YEAR(Invoer!$A$5),12,31)-DATE(YEAR(Invoer!$A$5),1,1)+1))+2,1)</f>
        <v>49</v>
      </c>
      <c r="B795" t="str">
        <f ca="1">TEXT(DATE(YEAR(Invoer!$A$5),1,1)+MOD(ROWS(B$2:B795)-1,DATE(YEAR(Invoer!$A$5),12,31)-DATE(YEAR(Invoer!$A$5),1,1)+1),"jjjjmmdd")</f>
        <v>19410305</v>
      </c>
      <c r="C795" s="13">
        <v>1</v>
      </c>
      <c r="D795" s="18">
        <f t="shared" ca="1" si="24"/>
        <v>0</v>
      </c>
      <c r="E795" s="19">
        <f t="shared" ca="1" si="25"/>
        <v>0</v>
      </c>
    </row>
    <row r="796" spans="1:5" x14ac:dyDescent="0.25">
      <c r="A796" s="12">
        <f ca="1">INDEX(Stations,INT((ROWS(A$2:A796)-1)/(DATE(YEAR(Invoer!$A$5),12,31)-DATE(YEAR(Invoer!$A$5),1,1)+1))+2,1)</f>
        <v>49</v>
      </c>
      <c r="B796" t="str">
        <f ca="1">TEXT(DATE(YEAR(Invoer!$A$5),1,1)+MOD(ROWS(B$2:B796)-1,DATE(YEAR(Invoer!$A$5),12,31)-DATE(YEAR(Invoer!$A$5),1,1)+1),"jjjjmmdd")</f>
        <v>19410306</v>
      </c>
      <c r="C796" s="13">
        <v>1</v>
      </c>
      <c r="D796" s="18">
        <f t="shared" ca="1" si="24"/>
        <v>0</v>
      </c>
      <c r="E796" s="19">
        <f t="shared" ca="1" si="25"/>
        <v>0</v>
      </c>
    </row>
    <row r="797" spans="1:5" x14ac:dyDescent="0.25">
      <c r="A797" s="12">
        <f ca="1">INDEX(Stations,INT((ROWS(A$2:A797)-1)/(DATE(YEAR(Invoer!$A$5),12,31)-DATE(YEAR(Invoer!$A$5),1,1)+1))+2,1)</f>
        <v>49</v>
      </c>
      <c r="B797" t="str">
        <f ca="1">TEXT(DATE(YEAR(Invoer!$A$5),1,1)+MOD(ROWS(B$2:B797)-1,DATE(YEAR(Invoer!$A$5),12,31)-DATE(YEAR(Invoer!$A$5),1,1)+1),"jjjjmmdd")</f>
        <v>19410307</v>
      </c>
      <c r="C797" s="13">
        <v>1</v>
      </c>
      <c r="D797" s="18">
        <f t="shared" ca="1" si="24"/>
        <v>0</v>
      </c>
      <c r="E797" s="19">
        <f t="shared" ca="1" si="25"/>
        <v>0</v>
      </c>
    </row>
    <row r="798" spans="1:5" x14ac:dyDescent="0.25">
      <c r="A798" s="12">
        <f ca="1">INDEX(Stations,INT((ROWS(A$2:A798)-1)/(DATE(YEAR(Invoer!$A$5),12,31)-DATE(YEAR(Invoer!$A$5),1,1)+1))+2,1)</f>
        <v>49</v>
      </c>
      <c r="B798" t="str">
        <f ca="1">TEXT(DATE(YEAR(Invoer!$A$5),1,1)+MOD(ROWS(B$2:B798)-1,DATE(YEAR(Invoer!$A$5),12,31)-DATE(YEAR(Invoer!$A$5),1,1)+1),"jjjjmmdd")</f>
        <v>19410308</v>
      </c>
      <c r="C798" s="13">
        <v>1</v>
      </c>
      <c r="D798" s="18">
        <f t="shared" ca="1" si="24"/>
        <v>0</v>
      </c>
      <c r="E798" s="19">
        <f t="shared" ca="1" si="25"/>
        <v>0</v>
      </c>
    </row>
    <row r="799" spans="1:5" x14ac:dyDescent="0.25">
      <c r="A799" s="12">
        <f ca="1">INDEX(Stations,INT((ROWS(A$2:A799)-1)/(DATE(YEAR(Invoer!$A$5),12,31)-DATE(YEAR(Invoer!$A$5),1,1)+1))+2,1)</f>
        <v>49</v>
      </c>
      <c r="B799" t="str">
        <f ca="1">TEXT(DATE(YEAR(Invoer!$A$5),1,1)+MOD(ROWS(B$2:B799)-1,DATE(YEAR(Invoer!$A$5),12,31)-DATE(YEAR(Invoer!$A$5),1,1)+1),"jjjjmmdd")</f>
        <v>19410309</v>
      </c>
      <c r="C799" s="13">
        <v>1</v>
      </c>
      <c r="D799" s="18">
        <f t="shared" ca="1" si="24"/>
        <v>0</v>
      </c>
      <c r="E799" s="19">
        <f t="shared" ca="1" si="25"/>
        <v>0</v>
      </c>
    </row>
    <row r="800" spans="1:5" x14ac:dyDescent="0.25">
      <c r="A800" s="12">
        <f ca="1">INDEX(Stations,INT((ROWS(A$2:A800)-1)/(DATE(YEAR(Invoer!$A$5),12,31)-DATE(YEAR(Invoer!$A$5),1,1)+1))+2,1)</f>
        <v>49</v>
      </c>
      <c r="B800" t="str">
        <f ca="1">TEXT(DATE(YEAR(Invoer!$A$5),1,1)+MOD(ROWS(B$2:B800)-1,DATE(YEAR(Invoer!$A$5),12,31)-DATE(YEAR(Invoer!$A$5),1,1)+1),"jjjjmmdd")</f>
        <v>19410310</v>
      </c>
      <c r="C800" s="13">
        <v>1</v>
      </c>
      <c r="D800" s="18">
        <f t="shared" ca="1" si="24"/>
        <v>0</v>
      </c>
      <c r="E800" s="19">
        <f t="shared" ca="1" si="25"/>
        <v>0</v>
      </c>
    </row>
    <row r="801" spans="1:5" x14ac:dyDescent="0.25">
      <c r="A801" s="12">
        <f ca="1">INDEX(Stations,INT((ROWS(A$2:A801)-1)/(DATE(YEAR(Invoer!$A$5),12,31)-DATE(YEAR(Invoer!$A$5),1,1)+1))+2,1)</f>
        <v>49</v>
      </c>
      <c r="B801" t="str">
        <f ca="1">TEXT(DATE(YEAR(Invoer!$A$5),1,1)+MOD(ROWS(B$2:B801)-1,DATE(YEAR(Invoer!$A$5),12,31)-DATE(YEAR(Invoer!$A$5),1,1)+1),"jjjjmmdd")</f>
        <v>19410311</v>
      </c>
      <c r="C801" s="13">
        <v>1</v>
      </c>
      <c r="D801" s="18">
        <f t="shared" ca="1" si="24"/>
        <v>0</v>
      </c>
      <c r="E801" s="19">
        <f t="shared" ca="1" si="25"/>
        <v>0</v>
      </c>
    </row>
    <row r="802" spans="1:5" x14ac:dyDescent="0.25">
      <c r="A802" s="12">
        <f ca="1">INDEX(Stations,INT((ROWS(A$2:A802)-1)/(DATE(YEAR(Invoer!$A$5),12,31)-DATE(YEAR(Invoer!$A$5),1,1)+1))+2,1)</f>
        <v>49</v>
      </c>
      <c r="B802" t="str">
        <f ca="1">TEXT(DATE(YEAR(Invoer!$A$5),1,1)+MOD(ROWS(B$2:B802)-1,DATE(YEAR(Invoer!$A$5),12,31)-DATE(YEAR(Invoer!$A$5),1,1)+1),"jjjjmmdd")</f>
        <v>19410312</v>
      </c>
      <c r="C802" s="13">
        <v>1</v>
      </c>
      <c r="D802" s="18">
        <f t="shared" ca="1" si="24"/>
        <v>0</v>
      </c>
      <c r="E802" s="19">
        <f t="shared" ca="1" si="25"/>
        <v>0</v>
      </c>
    </row>
    <row r="803" spans="1:5" x14ac:dyDescent="0.25">
      <c r="A803" s="12">
        <f ca="1">INDEX(Stations,INT((ROWS(A$2:A803)-1)/(DATE(YEAR(Invoer!$A$5),12,31)-DATE(YEAR(Invoer!$A$5),1,1)+1))+2,1)</f>
        <v>49</v>
      </c>
      <c r="B803" t="str">
        <f ca="1">TEXT(DATE(YEAR(Invoer!$A$5),1,1)+MOD(ROWS(B$2:B803)-1,DATE(YEAR(Invoer!$A$5),12,31)-DATE(YEAR(Invoer!$A$5),1,1)+1),"jjjjmmdd")</f>
        <v>19410313</v>
      </c>
      <c r="C803" s="13">
        <v>1</v>
      </c>
      <c r="D803" s="18">
        <f t="shared" ca="1" si="24"/>
        <v>0</v>
      </c>
      <c r="E803" s="19">
        <f t="shared" ca="1" si="25"/>
        <v>0</v>
      </c>
    </row>
    <row r="804" spans="1:5" x14ac:dyDescent="0.25">
      <c r="A804" s="12">
        <f ca="1">INDEX(Stations,INT((ROWS(A$2:A804)-1)/(DATE(YEAR(Invoer!$A$5),12,31)-DATE(YEAR(Invoer!$A$5),1,1)+1))+2,1)</f>
        <v>49</v>
      </c>
      <c r="B804" t="str">
        <f ca="1">TEXT(DATE(YEAR(Invoer!$A$5),1,1)+MOD(ROWS(B$2:B804)-1,DATE(YEAR(Invoer!$A$5),12,31)-DATE(YEAR(Invoer!$A$5),1,1)+1),"jjjjmmdd")</f>
        <v>19410314</v>
      </c>
      <c r="C804" s="13">
        <v>1</v>
      </c>
      <c r="D804" s="18">
        <f t="shared" ca="1" si="24"/>
        <v>0</v>
      </c>
      <c r="E804" s="19">
        <f t="shared" ca="1" si="25"/>
        <v>0</v>
      </c>
    </row>
    <row r="805" spans="1:5" x14ac:dyDescent="0.25">
      <c r="A805" s="12">
        <f ca="1">INDEX(Stations,INT((ROWS(A$2:A805)-1)/(DATE(YEAR(Invoer!$A$5),12,31)-DATE(YEAR(Invoer!$A$5),1,1)+1))+2,1)</f>
        <v>49</v>
      </c>
      <c r="B805" t="str">
        <f ca="1">TEXT(DATE(YEAR(Invoer!$A$5),1,1)+MOD(ROWS(B$2:B805)-1,DATE(YEAR(Invoer!$A$5),12,31)-DATE(YEAR(Invoer!$A$5),1,1)+1),"jjjjmmdd")</f>
        <v>19410315</v>
      </c>
      <c r="C805" s="13">
        <v>1</v>
      </c>
      <c r="D805" s="18">
        <f t="shared" ca="1" si="24"/>
        <v>0</v>
      </c>
      <c r="E805" s="19">
        <f t="shared" ca="1" si="25"/>
        <v>0</v>
      </c>
    </row>
    <row r="806" spans="1:5" x14ac:dyDescent="0.25">
      <c r="A806" s="12">
        <f ca="1">INDEX(Stations,INT((ROWS(A$2:A806)-1)/(DATE(YEAR(Invoer!$A$5),12,31)-DATE(YEAR(Invoer!$A$5),1,1)+1))+2,1)</f>
        <v>49</v>
      </c>
      <c r="B806" t="str">
        <f ca="1">TEXT(DATE(YEAR(Invoer!$A$5),1,1)+MOD(ROWS(B$2:B806)-1,DATE(YEAR(Invoer!$A$5),12,31)-DATE(YEAR(Invoer!$A$5),1,1)+1),"jjjjmmdd")</f>
        <v>19410316</v>
      </c>
      <c r="C806" s="13">
        <v>1</v>
      </c>
      <c r="D806" s="18">
        <f t="shared" ca="1" si="24"/>
        <v>0</v>
      </c>
      <c r="E806" s="19">
        <f t="shared" ca="1" si="25"/>
        <v>0</v>
      </c>
    </row>
    <row r="807" spans="1:5" x14ac:dyDescent="0.25">
      <c r="A807" s="12">
        <f ca="1">INDEX(Stations,INT((ROWS(A$2:A807)-1)/(DATE(YEAR(Invoer!$A$5),12,31)-DATE(YEAR(Invoer!$A$5),1,1)+1))+2,1)</f>
        <v>49</v>
      </c>
      <c r="B807" t="str">
        <f ca="1">TEXT(DATE(YEAR(Invoer!$A$5),1,1)+MOD(ROWS(B$2:B807)-1,DATE(YEAR(Invoer!$A$5),12,31)-DATE(YEAR(Invoer!$A$5),1,1)+1),"jjjjmmdd")</f>
        <v>19410317</v>
      </c>
      <c r="C807" s="13">
        <v>1</v>
      </c>
      <c r="D807" s="18">
        <f t="shared" ca="1" si="24"/>
        <v>0</v>
      </c>
      <c r="E807" s="19">
        <f t="shared" ca="1" si="25"/>
        <v>0</v>
      </c>
    </row>
    <row r="808" spans="1:5" x14ac:dyDescent="0.25">
      <c r="A808" s="12">
        <f ca="1">INDEX(Stations,INT((ROWS(A$2:A808)-1)/(DATE(YEAR(Invoer!$A$5),12,31)-DATE(YEAR(Invoer!$A$5),1,1)+1))+2,1)</f>
        <v>49</v>
      </c>
      <c r="B808" t="str">
        <f ca="1">TEXT(DATE(YEAR(Invoer!$A$5),1,1)+MOD(ROWS(B$2:B808)-1,DATE(YEAR(Invoer!$A$5),12,31)-DATE(YEAR(Invoer!$A$5),1,1)+1),"jjjjmmdd")</f>
        <v>19410318</v>
      </c>
      <c r="C808" s="13">
        <v>1</v>
      </c>
      <c r="D808" s="18">
        <f t="shared" ca="1" si="24"/>
        <v>0</v>
      </c>
      <c r="E808" s="19">
        <f t="shared" ca="1" si="25"/>
        <v>0</v>
      </c>
    </row>
    <row r="809" spans="1:5" x14ac:dyDescent="0.25">
      <c r="A809" s="12">
        <f ca="1">INDEX(Stations,INT((ROWS(A$2:A809)-1)/(DATE(YEAR(Invoer!$A$5),12,31)-DATE(YEAR(Invoer!$A$5),1,1)+1))+2,1)</f>
        <v>49</v>
      </c>
      <c r="B809" t="str">
        <f ca="1">TEXT(DATE(YEAR(Invoer!$A$5),1,1)+MOD(ROWS(B$2:B809)-1,DATE(YEAR(Invoer!$A$5),12,31)-DATE(YEAR(Invoer!$A$5),1,1)+1),"jjjjmmdd")</f>
        <v>19410319</v>
      </c>
      <c r="C809" s="13">
        <v>1</v>
      </c>
      <c r="D809" s="18">
        <f t="shared" ca="1" si="24"/>
        <v>0</v>
      </c>
      <c r="E809" s="19">
        <f t="shared" ca="1" si="25"/>
        <v>0</v>
      </c>
    </row>
    <row r="810" spans="1:5" x14ac:dyDescent="0.25">
      <c r="A810" s="12">
        <f ca="1">INDEX(Stations,INT((ROWS(A$2:A810)-1)/(DATE(YEAR(Invoer!$A$5),12,31)-DATE(YEAR(Invoer!$A$5),1,1)+1))+2,1)</f>
        <v>49</v>
      </c>
      <c r="B810" t="str">
        <f ca="1">TEXT(DATE(YEAR(Invoer!$A$5),1,1)+MOD(ROWS(B$2:B810)-1,DATE(YEAR(Invoer!$A$5),12,31)-DATE(YEAR(Invoer!$A$5),1,1)+1),"jjjjmmdd")</f>
        <v>19410320</v>
      </c>
      <c r="C810" s="13">
        <v>1</v>
      </c>
      <c r="D810" s="18">
        <f t="shared" ca="1" si="24"/>
        <v>0</v>
      </c>
      <c r="E810" s="19">
        <f t="shared" ca="1" si="25"/>
        <v>0</v>
      </c>
    </row>
    <row r="811" spans="1:5" x14ac:dyDescent="0.25">
      <c r="A811" s="12">
        <f ca="1">INDEX(Stations,INT((ROWS(A$2:A811)-1)/(DATE(YEAR(Invoer!$A$5),12,31)-DATE(YEAR(Invoer!$A$5),1,1)+1))+2,1)</f>
        <v>49</v>
      </c>
      <c r="B811" t="str">
        <f ca="1">TEXT(DATE(YEAR(Invoer!$A$5),1,1)+MOD(ROWS(B$2:B811)-1,DATE(YEAR(Invoer!$A$5),12,31)-DATE(YEAR(Invoer!$A$5),1,1)+1),"jjjjmmdd")</f>
        <v>19410321</v>
      </c>
      <c r="C811" s="13">
        <v>1</v>
      </c>
      <c r="D811" s="18">
        <f t="shared" ca="1" si="24"/>
        <v>0</v>
      </c>
      <c r="E811" s="19">
        <f t="shared" ca="1" si="25"/>
        <v>0</v>
      </c>
    </row>
    <row r="812" spans="1:5" x14ac:dyDescent="0.25">
      <c r="A812" s="12">
        <f ca="1">INDEX(Stations,INT((ROWS(A$2:A812)-1)/(DATE(YEAR(Invoer!$A$5),12,31)-DATE(YEAR(Invoer!$A$5),1,1)+1))+2,1)</f>
        <v>49</v>
      </c>
      <c r="B812" t="str">
        <f ca="1">TEXT(DATE(YEAR(Invoer!$A$5),1,1)+MOD(ROWS(B$2:B812)-1,DATE(YEAR(Invoer!$A$5),12,31)-DATE(YEAR(Invoer!$A$5),1,1)+1),"jjjjmmdd")</f>
        <v>19410322</v>
      </c>
      <c r="C812" s="13">
        <v>1</v>
      </c>
      <c r="D812" s="18">
        <f t="shared" ca="1" si="24"/>
        <v>0</v>
      </c>
      <c r="E812" s="19">
        <f t="shared" ca="1" si="25"/>
        <v>0</v>
      </c>
    </row>
    <row r="813" spans="1:5" x14ac:dyDescent="0.25">
      <c r="A813" s="12">
        <f ca="1">INDEX(Stations,INT((ROWS(A$2:A813)-1)/(DATE(YEAR(Invoer!$A$5),12,31)-DATE(YEAR(Invoer!$A$5),1,1)+1))+2,1)</f>
        <v>49</v>
      </c>
      <c r="B813" t="str">
        <f ca="1">TEXT(DATE(YEAR(Invoer!$A$5),1,1)+MOD(ROWS(B$2:B813)-1,DATE(YEAR(Invoer!$A$5),12,31)-DATE(YEAR(Invoer!$A$5),1,1)+1),"jjjjmmdd")</f>
        <v>19410323</v>
      </c>
      <c r="C813" s="13">
        <v>1</v>
      </c>
      <c r="D813" s="18">
        <f t="shared" ca="1" si="24"/>
        <v>0</v>
      </c>
      <c r="E813" s="19">
        <f t="shared" ca="1" si="25"/>
        <v>0</v>
      </c>
    </row>
    <row r="814" spans="1:5" x14ac:dyDescent="0.25">
      <c r="A814" s="12">
        <f ca="1">INDEX(Stations,INT((ROWS(A$2:A814)-1)/(DATE(YEAR(Invoer!$A$5),12,31)-DATE(YEAR(Invoer!$A$5),1,1)+1))+2,1)</f>
        <v>49</v>
      </c>
      <c r="B814" t="str">
        <f ca="1">TEXT(DATE(YEAR(Invoer!$A$5),1,1)+MOD(ROWS(B$2:B814)-1,DATE(YEAR(Invoer!$A$5),12,31)-DATE(YEAR(Invoer!$A$5),1,1)+1),"jjjjmmdd")</f>
        <v>19410324</v>
      </c>
      <c r="C814" s="13">
        <v>1</v>
      </c>
      <c r="D814" s="18">
        <f t="shared" ca="1" si="24"/>
        <v>0</v>
      </c>
      <c r="E814" s="19">
        <f t="shared" ca="1" si="25"/>
        <v>0</v>
      </c>
    </row>
    <row r="815" spans="1:5" x14ac:dyDescent="0.25">
      <c r="A815" s="12">
        <f ca="1">INDEX(Stations,INT((ROWS(A$2:A815)-1)/(DATE(YEAR(Invoer!$A$5),12,31)-DATE(YEAR(Invoer!$A$5),1,1)+1))+2,1)</f>
        <v>49</v>
      </c>
      <c r="B815" t="str">
        <f ca="1">TEXT(DATE(YEAR(Invoer!$A$5),1,1)+MOD(ROWS(B$2:B815)-1,DATE(YEAR(Invoer!$A$5),12,31)-DATE(YEAR(Invoer!$A$5),1,1)+1),"jjjjmmdd")</f>
        <v>19410325</v>
      </c>
      <c r="C815" s="13">
        <v>1</v>
      </c>
      <c r="D815" s="18">
        <f t="shared" ca="1" si="24"/>
        <v>0</v>
      </c>
      <c r="E815" s="19">
        <f t="shared" ca="1" si="25"/>
        <v>0</v>
      </c>
    </row>
    <row r="816" spans="1:5" x14ac:dyDescent="0.25">
      <c r="A816" s="12">
        <f ca="1">INDEX(Stations,INT((ROWS(A$2:A816)-1)/(DATE(YEAR(Invoer!$A$5),12,31)-DATE(YEAR(Invoer!$A$5),1,1)+1))+2,1)</f>
        <v>49</v>
      </c>
      <c r="B816" t="str">
        <f ca="1">TEXT(DATE(YEAR(Invoer!$A$5),1,1)+MOD(ROWS(B$2:B816)-1,DATE(YEAR(Invoer!$A$5),12,31)-DATE(YEAR(Invoer!$A$5),1,1)+1),"jjjjmmdd")</f>
        <v>19410326</v>
      </c>
      <c r="C816" s="13">
        <v>1</v>
      </c>
      <c r="D816" s="18">
        <f t="shared" ca="1" si="24"/>
        <v>0</v>
      </c>
      <c r="E816" s="19">
        <f t="shared" ca="1" si="25"/>
        <v>0</v>
      </c>
    </row>
    <row r="817" spans="1:5" x14ac:dyDescent="0.25">
      <c r="A817" s="12">
        <f ca="1">INDEX(Stations,INT((ROWS(A$2:A817)-1)/(DATE(YEAR(Invoer!$A$5),12,31)-DATE(YEAR(Invoer!$A$5),1,1)+1))+2,1)</f>
        <v>49</v>
      </c>
      <c r="B817" t="str">
        <f ca="1">TEXT(DATE(YEAR(Invoer!$A$5),1,1)+MOD(ROWS(B$2:B817)-1,DATE(YEAR(Invoer!$A$5),12,31)-DATE(YEAR(Invoer!$A$5),1,1)+1),"jjjjmmdd")</f>
        <v>19410327</v>
      </c>
      <c r="C817" s="13">
        <v>1</v>
      </c>
      <c r="D817" s="18">
        <f t="shared" ca="1" si="24"/>
        <v>0</v>
      </c>
      <c r="E817" s="19">
        <f t="shared" ca="1" si="25"/>
        <v>0</v>
      </c>
    </row>
    <row r="818" spans="1:5" x14ac:dyDescent="0.25">
      <c r="A818" s="12">
        <f ca="1">INDEX(Stations,INT((ROWS(A$2:A818)-1)/(DATE(YEAR(Invoer!$A$5),12,31)-DATE(YEAR(Invoer!$A$5),1,1)+1))+2,1)</f>
        <v>49</v>
      </c>
      <c r="B818" t="str">
        <f ca="1">TEXT(DATE(YEAR(Invoer!$A$5),1,1)+MOD(ROWS(B$2:B818)-1,DATE(YEAR(Invoer!$A$5),12,31)-DATE(YEAR(Invoer!$A$5),1,1)+1),"jjjjmmdd")</f>
        <v>19410328</v>
      </c>
      <c r="C818" s="13">
        <v>1</v>
      </c>
      <c r="D818" s="18">
        <f t="shared" ca="1" si="24"/>
        <v>0</v>
      </c>
      <c r="E818" s="19">
        <f t="shared" ca="1" si="25"/>
        <v>0</v>
      </c>
    </row>
    <row r="819" spans="1:5" x14ac:dyDescent="0.25">
      <c r="A819" s="12">
        <f ca="1">INDEX(Stations,INT((ROWS(A$2:A819)-1)/(DATE(YEAR(Invoer!$A$5),12,31)-DATE(YEAR(Invoer!$A$5),1,1)+1))+2,1)</f>
        <v>49</v>
      </c>
      <c r="B819" t="str">
        <f ca="1">TEXT(DATE(YEAR(Invoer!$A$5),1,1)+MOD(ROWS(B$2:B819)-1,DATE(YEAR(Invoer!$A$5),12,31)-DATE(YEAR(Invoer!$A$5),1,1)+1),"jjjjmmdd")</f>
        <v>19410329</v>
      </c>
      <c r="C819" s="13">
        <v>1</v>
      </c>
      <c r="D819" s="18">
        <f t="shared" ca="1" si="24"/>
        <v>0</v>
      </c>
      <c r="E819" s="19">
        <f t="shared" ca="1" si="25"/>
        <v>0</v>
      </c>
    </row>
    <row r="820" spans="1:5" x14ac:dyDescent="0.25">
      <c r="A820" s="12">
        <f ca="1">INDEX(Stations,INT((ROWS(A$2:A820)-1)/(DATE(YEAR(Invoer!$A$5),12,31)-DATE(YEAR(Invoer!$A$5),1,1)+1))+2,1)</f>
        <v>49</v>
      </c>
      <c r="B820" t="str">
        <f ca="1">TEXT(DATE(YEAR(Invoer!$A$5),1,1)+MOD(ROWS(B$2:B820)-1,DATE(YEAR(Invoer!$A$5),12,31)-DATE(YEAR(Invoer!$A$5),1,1)+1),"jjjjmmdd")</f>
        <v>19410330</v>
      </c>
      <c r="C820" s="13">
        <v>1</v>
      </c>
      <c r="D820" s="18">
        <f t="shared" ca="1" si="24"/>
        <v>0</v>
      </c>
      <c r="E820" s="19">
        <f t="shared" ca="1" si="25"/>
        <v>0</v>
      </c>
    </row>
    <row r="821" spans="1:5" x14ac:dyDescent="0.25">
      <c r="A821" s="12">
        <f ca="1">INDEX(Stations,INT((ROWS(A$2:A821)-1)/(DATE(YEAR(Invoer!$A$5),12,31)-DATE(YEAR(Invoer!$A$5),1,1)+1))+2,1)</f>
        <v>49</v>
      </c>
      <c r="B821" t="str">
        <f ca="1">TEXT(DATE(YEAR(Invoer!$A$5),1,1)+MOD(ROWS(B$2:B821)-1,DATE(YEAR(Invoer!$A$5),12,31)-DATE(YEAR(Invoer!$A$5),1,1)+1),"jjjjmmdd")</f>
        <v>19410331</v>
      </c>
      <c r="C821" s="13">
        <v>1</v>
      </c>
      <c r="D821" s="18">
        <f t="shared" ca="1" si="24"/>
        <v>0</v>
      </c>
      <c r="E821" s="19">
        <f t="shared" ca="1" si="25"/>
        <v>0</v>
      </c>
    </row>
    <row r="822" spans="1:5" x14ac:dyDescent="0.25">
      <c r="A822" s="12">
        <f ca="1">INDEX(Stations,INT((ROWS(A$2:A822)-1)/(DATE(YEAR(Invoer!$A$5),12,31)-DATE(YEAR(Invoer!$A$5),1,1)+1))+2,1)</f>
        <v>49</v>
      </c>
      <c r="B822" t="str">
        <f ca="1">TEXT(DATE(YEAR(Invoer!$A$5),1,1)+MOD(ROWS(B$2:B822)-1,DATE(YEAR(Invoer!$A$5),12,31)-DATE(YEAR(Invoer!$A$5),1,1)+1),"jjjjmmdd")</f>
        <v>19410401</v>
      </c>
      <c r="C822" s="13">
        <v>1</v>
      </c>
      <c r="D822" s="18">
        <f t="shared" ca="1" si="24"/>
        <v>0</v>
      </c>
      <c r="E822" s="19">
        <f t="shared" ca="1" si="25"/>
        <v>0</v>
      </c>
    </row>
    <row r="823" spans="1:5" x14ac:dyDescent="0.25">
      <c r="A823" s="12">
        <f ca="1">INDEX(Stations,INT((ROWS(A$2:A823)-1)/(DATE(YEAR(Invoer!$A$5),12,31)-DATE(YEAR(Invoer!$A$5),1,1)+1))+2,1)</f>
        <v>49</v>
      </c>
      <c r="B823" t="str">
        <f ca="1">TEXT(DATE(YEAR(Invoer!$A$5),1,1)+MOD(ROWS(B$2:B823)-1,DATE(YEAR(Invoer!$A$5),12,31)-DATE(YEAR(Invoer!$A$5),1,1)+1),"jjjjmmdd")</f>
        <v>19410402</v>
      </c>
      <c r="C823" s="13">
        <v>1</v>
      </c>
      <c r="D823" s="18">
        <f t="shared" ca="1" si="24"/>
        <v>0</v>
      </c>
      <c r="E823" s="19">
        <f t="shared" ca="1" si="25"/>
        <v>0</v>
      </c>
    </row>
    <row r="824" spans="1:5" x14ac:dyDescent="0.25">
      <c r="A824" s="12">
        <f ca="1">INDEX(Stations,INT((ROWS(A$2:A824)-1)/(DATE(YEAR(Invoer!$A$5),12,31)-DATE(YEAR(Invoer!$A$5),1,1)+1))+2,1)</f>
        <v>49</v>
      </c>
      <c r="B824" t="str">
        <f ca="1">TEXT(DATE(YEAR(Invoer!$A$5),1,1)+MOD(ROWS(B$2:B824)-1,DATE(YEAR(Invoer!$A$5),12,31)-DATE(YEAR(Invoer!$A$5),1,1)+1),"jjjjmmdd")</f>
        <v>19410403</v>
      </c>
      <c r="C824" s="13">
        <v>1</v>
      </c>
      <c r="D824" s="18">
        <f t="shared" ca="1" si="24"/>
        <v>0</v>
      </c>
      <c r="E824" s="19">
        <f t="shared" ca="1" si="25"/>
        <v>0</v>
      </c>
    </row>
    <row r="825" spans="1:5" x14ac:dyDescent="0.25">
      <c r="A825" s="12">
        <f ca="1">INDEX(Stations,INT((ROWS(A$2:A825)-1)/(DATE(YEAR(Invoer!$A$5),12,31)-DATE(YEAR(Invoer!$A$5),1,1)+1))+2,1)</f>
        <v>49</v>
      </c>
      <c r="B825" t="str">
        <f ca="1">TEXT(DATE(YEAR(Invoer!$A$5),1,1)+MOD(ROWS(B$2:B825)-1,DATE(YEAR(Invoer!$A$5),12,31)-DATE(YEAR(Invoer!$A$5),1,1)+1),"jjjjmmdd")</f>
        <v>19410404</v>
      </c>
      <c r="C825" s="13">
        <v>1</v>
      </c>
      <c r="D825" s="18">
        <f t="shared" ca="1" si="24"/>
        <v>0</v>
      </c>
      <c r="E825" s="19">
        <f t="shared" ca="1" si="25"/>
        <v>0</v>
      </c>
    </row>
    <row r="826" spans="1:5" x14ac:dyDescent="0.25">
      <c r="A826" s="12">
        <f ca="1">INDEX(Stations,INT((ROWS(A$2:A826)-1)/(DATE(YEAR(Invoer!$A$5),12,31)-DATE(YEAR(Invoer!$A$5),1,1)+1))+2,1)</f>
        <v>49</v>
      </c>
      <c r="B826" t="str">
        <f ca="1">TEXT(DATE(YEAR(Invoer!$A$5),1,1)+MOD(ROWS(B$2:B826)-1,DATE(YEAR(Invoer!$A$5),12,31)-DATE(YEAR(Invoer!$A$5),1,1)+1),"jjjjmmdd")</f>
        <v>19410405</v>
      </c>
      <c r="C826" s="13">
        <v>1</v>
      </c>
      <c r="D826" s="18">
        <f t="shared" ca="1" si="24"/>
        <v>0</v>
      </c>
      <c r="E826" s="19">
        <f t="shared" ca="1" si="25"/>
        <v>0</v>
      </c>
    </row>
    <row r="827" spans="1:5" x14ac:dyDescent="0.25">
      <c r="A827" s="12">
        <f ca="1">INDEX(Stations,INT((ROWS(A$2:A827)-1)/(DATE(YEAR(Invoer!$A$5),12,31)-DATE(YEAR(Invoer!$A$5),1,1)+1))+2,1)</f>
        <v>49</v>
      </c>
      <c r="B827" t="str">
        <f ca="1">TEXT(DATE(YEAR(Invoer!$A$5),1,1)+MOD(ROWS(B$2:B827)-1,DATE(YEAR(Invoer!$A$5),12,31)-DATE(YEAR(Invoer!$A$5),1,1)+1),"jjjjmmdd")</f>
        <v>19410406</v>
      </c>
      <c r="C827" s="13">
        <v>1</v>
      </c>
      <c r="D827" s="18">
        <f t="shared" ca="1" si="24"/>
        <v>0</v>
      </c>
      <c r="E827" s="19">
        <f t="shared" ca="1" si="25"/>
        <v>0</v>
      </c>
    </row>
    <row r="828" spans="1:5" x14ac:dyDescent="0.25">
      <c r="A828" s="12">
        <f ca="1">INDEX(Stations,INT((ROWS(A$2:A828)-1)/(DATE(YEAR(Invoer!$A$5),12,31)-DATE(YEAR(Invoer!$A$5),1,1)+1))+2,1)</f>
        <v>49</v>
      </c>
      <c r="B828" t="str">
        <f ca="1">TEXT(DATE(YEAR(Invoer!$A$5),1,1)+MOD(ROWS(B$2:B828)-1,DATE(YEAR(Invoer!$A$5),12,31)-DATE(YEAR(Invoer!$A$5),1,1)+1),"jjjjmmdd")</f>
        <v>19410407</v>
      </c>
      <c r="C828" s="13">
        <v>1</v>
      </c>
      <c r="D828" s="18">
        <f t="shared" ca="1" si="24"/>
        <v>0</v>
      </c>
      <c r="E828" s="19">
        <f t="shared" ca="1" si="25"/>
        <v>0</v>
      </c>
    </row>
    <row r="829" spans="1:5" x14ac:dyDescent="0.25">
      <c r="A829" s="12">
        <f ca="1">INDEX(Stations,INT((ROWS(A$2:A829)-1)/(DATE(YEAR(Invoer!$A$5),12,31)-DATE(YEAR(Invoer!$A$5),1,1)+1))+2,1)</f>
        <v>49</v>
      </c>
      <c r="B829" t="str">
        <f ca="1">TEXT(DATE(YEAR(Invoer!$A$5),1,1)+MOD(ROWS(B$2:B829)-1,DATE(YEAR(Invoer!$A$5),12,31)-DATE(YEAR(Invoer!$A$5),1,1)+1),"jjjjmmdd")</f>
        <v>19410408</v>
      </c>
      <c r="C829" s="13">
        <v>1</v>
      </c>
      <c r="D829" s="18">
        <f t="shared" ca="1" si="24"/>
        <v>0</v>
      </c>
      <c r="E829" s="19">
        <f t="shared" ca="1" si="25"/>
        <v>0</v>
      </c>
    </row>
    <row r="830" spans="1:5" x14ac:dyDescent="0.25">
      <c r="A830" s="12">
        <f ca="1">INDEX(Stations,INT((ROWS(A$2:A830)-1)/(DATE(YEAR(Invoer!$A$5),12,31)-DATE(YEAR(Invoer!$A$5),1,1)+1))+2,1)</f>
        <v>49</v>
      </c>
      <c r="B830" t="str">
        <f ca="1">TEXT(DATE(YEAR(Invoer!$A$5),1,1)+MOD(ROWS(B$2:B830)-1,DATE(YEAR(Invoer!$A$5),12,31)-DATE(YEAR(Invoer!$A$5),1,1)+1),"jjjjmmdd")</f>
        <v>19410409</v>
      </c>
      <c r="C830" s="13">
        <v>1</v>
      </c>
      <c r="D830" s="18">
        <f t="shared" ca="1" si="24"/>
        <v>0</v>
      </c>
      <c r="E830" s="19">
        <f t="shared" ca="1" si="25"/>
        <v>0</v>
      </c>
    </row>
    <row r="831" spans="1:5" x14ac:dyDescent="0.25">
      <c r="A831" s="12">
        <f ca="1">INDEX(Stations,INT((ROWS(A$2:A831)-1)/(DATE(YEAR(Invoer!$A$5),12,31)-DATE(YEAR(Invoer!$A$5),1,1)+1))+2,1)</f>
        <v>49</v>
      </c>
      <c r="B831" t="str">
        <f ca="1">TEXT(DATE(YEAR(Invoer!$A$5),1,1)+MOD(ROWS(B$2:B831)-1,DATE(YEAR(Invoer!$A$5),12,31)-DATE(YEAR(Invoer!$A$5),1,1)+1),"jjjjmmdd")</f>
        <v>19410410</v>
      </c>
      <c r="C831" s="13">
        <v>1</v>
      </c>
      <c r="D831" s="18">
        <f t="shared" ca="1" si="24"/>
        <v>0</v>
      </c>
      <c r="E831" s="19">
        <f t="shared" ca="1" si="25"/>
        <v>0</v>
      </c>
    </row>
    <row r="832" spans="1:5" x14ac:dyDescent="0.25">
      <c r="A832" s="12">
        <f ca="1">INDEX(Stations,INT((ROWS(A$2:A832)-1)/(DATE(YEAR(Invoer!$A$5),12,31)-DATE(YEAR(Invoer!$A$5),1,1)+1))+2,1)</f>
        <v>49</v>
      </c>
      <c r="B832" t="str">
        <f ca="1">TEXT(DATE(YEAR(Invoer!$A$5),1,1)+MOD(ROWS(B$2:B832)-1,DATE(YEAR(Invoer!$A$5),12,31)-DATE(YEAR(Invoer!$A$5),1,1)+1),"jjjjmmdd")</f>
        <v>19410411</v>
      </c>
      <c r="C832" s="13">
        <v>1</v>
      </c>
      <c r="D832" s="18">
        <f t="shared" ca="1" si="24"/>
        <v>0</v>
      </c>
      <c r="E832" s="19">
        <f t="shared" ca="1" si="25"/>
        <v>0</v>
      </c>
    </row>
    <row r="833" spans="1:5" x14ac:dyDescent="0.25">
      <c r="A833" s="12">
        <f ca="1">INDEX(Stations,INT((ROWS(A$2:A833)-1)/(DATE(YEAR(Invoer!$A$5),12,31)-DATE(YEAR(Invoer!$A$5),1,1)+1))+2,1)</f>
        <v>49</v>
      </c>
      <c r="B833" t="str">
        <f ca="1">TEXT(DATE(YEAR(Invoer!$A$5),1,1)+MOD(ROWS(B$2:B833)-1,DATE(YEAR(Invoer!$A$5),12,31)-DATE(YEAR(Invoer!$A$5),1,1)+1),"jjjjmmdd")</f>
        <v>19410412</v>
      </c>
      <c r="C833" s="13">
        <v>1</v>
      </c>
      <c r="D833" s="18">
        <f t="shared" ca="1" si="24"/>
        <v>0</v>
      </c>
      <c r="E833" s="19">
        <f t="shared" ca="1" si="25"/>
        <v>0</v>
      </c>
    </row>
    <row r="834" spans="1:5" x14ac:dyDescent="0.25">
      <c r="A834" s="12">
        <f ca="1">INDEX(Stations,INT((ROWS(A$2:A834)-1)/(DATE(YEAR(Invoer!$A$5),12,31)-DATE(YEAR(Invoer!$A$5),1,1)+1))+2,1)</f>
        <v>49</v>
      </c>
      <c r="B834" t="str">
        <f ca="1">TEXT(DATE(YEAR(Invoer!$A$5),1,1)+MOD(ROWS(B$2:B834)-1,DATE(YEAR(Invoer!$A$5),12,31)-DATE(YEAR(Invoer!$A$5),1,1)+1),"jjjjmmdd")</f>
        <v>19410413</v>
      </c>
      <c r="C834" s="13">
        <v>1</v>
      </c>
      <c r="D834" s="18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19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2">
        <f ca="1">INDEX(Stations,INT((ROWS(A$2:A835)-1)/(DATE(YEAR(Invoer!$A$5),12,31)-DATE(YEAR(Invoer!$A$5),1,1)+1))+2,1)</f>
        <v>49</v>
      </c>
      <c r="B835" t="str">
        <f ca="1">TEXT(DATE(YEAR(Invoer!$A$5),1,1)+MOD(ROWS(B$2:B835)-1,DATE(YEAR(Invoer!$A$5),12,31)-DATE(YEAR(Invoer!$A$5),1,1)+1),"jjjjmmdd")</f>
        <v>19410414</v>
      </c>
      <c r="C835" s="13">
        <v>1</v>
      </c>
      <c r="D835" s="18">
        <f t="shared" ca="1" si="26"/>
        <v>240</v>
      </c>
      <c r="E835" s="19">
        <f t="shared" ca="1" si="27"/>
        <v>0</v>
      </c>
    </row>
    <row r="836" spans="1:5" x14ac:dyDescent="0.25">
      <c r="A836" s="12">
        <f ca="1">INDEX(Stations,INT((ROWS(A$2:A836)-1)/(DATE(YEAR(Invoer!$A$5),12,31)-DATE(YEAR(Invoer!$A$5),1,1)+1))+2,1)</f>
        <v>49</v>
      </c>
      <c r="B836" t="str">
        <f ca="1">TEXT(DATE(YEAR(Invoer!$A$5),1,1)+MOD(ROWS(B$2:B836)-1,DATE(YEAR(Invoer!$A$5),12,31)-DATE(YEAR(Invoer!$A$5),1,1)+1),"jjjjmmdd")</f>
        <v>19410415</v>
      </c>
      <c r="C836" s="13">
        <v>1</v>
      </c>
      <c r="D836" s="18">
        <f t="shared" ca="1" si="26"/>
        <v>200</v>
      </c>
      <c r="E836" s="19">
        <f t="shared" ca="1" si="27"/>
        <v>0</v>
      </c>
    </row>
    <row r="837" spans="1:5" x14ac:dyDescent="0.25">
      <c r="A837" s="12">
        <f ca="1">INDEX(Stations,INT((ROWS(A$2:A837)-1)/(DATE(YEAR(Invoer!$A$5),12,31)-DATE(YEAR(Invoer!$A$5),1,1)+1))+2,1)</f>
        <v>49</v>
      </c>
      <c r="B837" t="str">
        <f ca="1">TEXT(DATE(YEAR(Invoer!$A$5),1,1)+MOD(ROWS(B$2:B837)-1,DATE(YEAR(Invoer!$A$5),12,31)-DATE(YEAR(Invoer!$A$5),1,1)+1),"jjjjmmdd")</f>
        <v>19410416</v>
      </c>
      <c r="C837" s="13">
        <v>1</v>
      </c>
      <c r="D837" s="18">
        <f t="shared" ca="1" si="26"/>
        <v>0</v>
      </c>
      <c r="E837" s="19">
        <f t="shared" ca="1" si="27"/>
        <v>0</v>
      </c>
    </row>
    <row r="838" spans="1:5" x14ac:dyDescent="0.25">
      <c r="A838" s="12">
        <f ca="1">INDEX(Stations,INT((ROWS(A$2:A838)-1)/(DATE(YEAR(Invoer!$A$5),12,31)-DATE(YEAR(Invoer!$A$5),1,1)+1))+2,1)</f>
        <v>49</v>
      </c>
      <c r="B838" t="str">
        <f ca="1">TEXT(DATE(YEAR(Invoer!$A$5),1,1)+MOD(ROWS(B$2:B838)-1,DATE(YEAR(Invoer!$A$5),12,31)-DATE(YEAR(Invoer!$A$5),1,1)+1),"jjjjmmdd")</f>
        <v>19410417</v>
      </c>
      <c r="C838" s="13">
        <v>1</v>
      </c>
      <c r="D838" s="18">
        <f t="shared" ca="1" si="26"/>
        <v>30</v>
      </c>
      <c r="E838" s="19">
        <f t="shared" ca="1" si="27"/>
        <v>0</v>
      </c>
    </row>
    <row r="839" spans="1:5" x14ac:dyDescent="0.25">
      <c r="A839" s="12">
        <f ca="1">INDEX(Stations,INT((ROWS(A$2:A839)-1)/(DATE(YEAR(Invoer!$A$5),12,31)-DATE(YEAR(Invoer!$A$5),1,1)+1))+2,1)</f>
        <v>49</v>
      </c>
      <c r="B839" t="str">
        <f ca="1">TEXT(DATE(YEAR(Invoer!$A$5),1,1)+MOD(ROWS(B$2:B839)-1,DATE(YEAR(Invoer!$A$5),12,31)-DATE(YEAR(Invoer!$A$5),1,1)+1),"jjjjmmdd")</f>
        <v>19410418</v>
      </c>
      <c r="C839" s="13">
        <v>1</v>
      </c>
      <c r="D839" s="18">
        <f t="shared" ca="1" si="26"/>
        <v>50</v>
      </c>
      <c r="E839" s="19">
        <f t="shared" ca="1" si="27"/>
        <v>0</v>
      </c>
    </row>
    <row r="840" spans="1:5" x14ac:dyDescent="0.25">
      <c r="A840" s="12">
        <f ca="1">INDEX(Stations,INT((ROWS(A$2:A840)-1)/(DATE(YEAR(Invoer!$A$5),12,31)-DATE(YEAR(Invoer!$A$5),1,1)+1))+2,1)</f>
        <v>49</v>
      </c>
      <c r="B840" t="str">
        <f ca="1">TEXT(DATE(YEAR(Invoer!$A$5),1,1)+MOD(ROWS(B$2:B840)-1,DATE(YEAR(Invoer!$A$5),12,31)-DATE(YEAR(Invoer!$A$5),1,1)+1),"jjjjmmdd")</f>
        <v>19410419</v>
      </c>
      <c r="C840" s="13">
        <v>1</v>
      </c>
      <c r="D840" s="18">
        <f t="shared" ca="1" si="26"/>
        <v>0</v>
      </c>
      <c r="E840" s="19">
        <f t="shared" ca="1" si="27"/>
        <v>0</v>
      </c>
    </row>
    <row r="841" spans="1:5" x14ac:dyDescent="0.25">
      <c r="A841" s="12">
        <f ca="1">INDEX(Stations,INT((ROWS(A$2:A841)-1)/(DATE(YEAR(Invoer!$A$5),12,31)-DATE(YEAR(Invoer!$A$5),1,1)+1))+2,1)</f>
        <v>49</v>
      </c>
      <c r="B841" t="str">
        <f ca="1">TEXT(DATE(YEAR(Invoer!$A$5),1,1)+MOD(ROWS(B$2:B841)-1,DATE(YEAR(Invoer!$A$5),12,31)-DATE(YEAR(Invoer!$A$5),1,1)+1),"jjjjmmdd")</f>
        <v>19410420</v>
      </c>
      <c r="C841" s="13">
        <v>1</v>
      </c>
      <c r="D841" s="18">
        <f t="shared" ca="1" si="26"/>
        <v>0</v>
      </c>
      <c r="E841" s="19">
        <f t="shared" ca="1" si="27"/>
        <v>0</v>
      </c>
    </row>
    <row r="842" spans="1:5" x14ac:dyDescent="0.25">
      <c r="A842" s="12">
        <f ca="1">INDEX(Stations,INT((ROWS(A$2:A842)-1)/(DATE(YEAR(Invoer!$A$5),12,31)-DATE(YEAR(Invoer!$A$5),1,1)+1))+2,1)</f>
        <v>49</v>
      </c>
      <c r="B842" t="str">
        <f ca="1">TEXT(DATE(YEAR(Invoer!$A$5),1,1)+MOD(ROWS(B$2:B842)-1,DATE(YEAR(Invoer!$A$5),12,31)-DATE(YEAR(Invoer!$A$5),1,1)+1),"jjjjmmdd")</f>
        <v>19410421</v>
      </c>
      <c r="C842" s="13">
        <v>1</v>
      </c>
      <c r="D842" s="18">
        <f t="shared" ca="1" si="26"/>
        <v>0</v>
      </c>
      <c r="E842" s="19">
        <f t="shared" ca="1" si="27"/>
        <v>0</v>
      </c>
    </row>
    <row r="843" spans="1:5" x14ac:dyDescent="0.25">
      <c r="A843" s="12">
        <f ca="1">INDEX(Stations,INT((ROWS(A$2:A843)-1)/(DATE(YEAR(Invoer!$A$5),12,31)-DATE(YEAR(Invoer!$A$5),1,1)+1))+2,1)</f>
        <v>49</v>
      </c>
      <c r="B843" t="str">
        <f ca="1">TEXT(DATE(YEAR(Invoer!$A$5),1,1)+MOD(ROWS(B$2:B843)-1,DATE(YEAR(Invoer!$A$5),12,31)-DATE(YEAR(Invoer!$A$5),1,1)+1),"jjjjmmdd")</f>
        <v>19410422</v>
      </c>
      <c r="C843" s="13">
        <v>1</v>
      </c>
      <c r="D843" s="18">
        <f t="shared" ca="1" si="26"/>
        <v>0</v>
      </c>
      <c r="E843" s="19">
        <f t="shared" ca="1" si="27"/>
        <v>0</v>
      </c>
    </row>
    <row r="844" spans="1:5" x14ac:dyDescent="0.25">
      <c r="A844" s="12">
        <f ca="1">INDEX(Stations,INT((ROWS(A$2:A844)-1)/(DATE(YEAR(Invoer!$A$5),12,31)-DATE(YEAR(Invoer!$A$5),1,1)+1))+2,1)</f>
        <v>49</v>
      </c>
      <c r="B844" t="str">
        <f ca="1">TEXT(DATE(YEAR(Invoer!$A$5),1,1)+MOD(ROWS(B$2:B844)-1,DATE(YEAR(Invoer!$A$5),12,31)-DATE(YEAR(Invoer!$A$5),1,1)+1),"jjjjmmdd")</f>
        <v>19410423</v>
      </c>
      <c r="C844" s="13">
        <v>1</v>
      </c>
      <c r="D844" s="18">
        <f t="shared" ca="1" si="26"/>
        <v>0</v>
      </c>
      <c r="E844" s="19">
        <f t="shared" ca="1" si="27"/>
        <v>0</v>
      </c>
    </row>
    <row r="845" spans="1:5" x14ac:dyDescent="0.25">
      <c r="A845" s="12">
        <f ca="1">INDEX(Stations,INT((ROWS(A$2:A845)-1)/(DATE(YEAR(Invoer!$A$5),12,31)-DATE(YEAR(Invoer!$A$5),1,1)+1))+2,1)</f>
        <v>49</v>
      </c>
      <c r="B845" t="str">
        <f ca="1">TEXT(DATE(YEAR(Invoer!$A$5),1,1)+MOD(ROWS(B$2:B845)-1,DATE(YEAR(Invoer!$A$5),12,31)-DATE(YEAR(Invoer!$A$5),1,1)+1),"jjjjmmdd")</f>
        <v>19410424</v>
      </c>
      <c r="C845" s="13">
        <v>1</v>
      </c>
      <c r="D845" s="18">
        <f t="shared" ca="1" si="26"/>
        <v>0</v>
      </c>
      <c r="E845" s="19">
        <f t="shared" ca="1" si="27"/>
        <v>0</v>
      </c>
    </row>
    <row r="846" spans="1:5" x14ac:dyDescent="0.25">
      <c r="A846" s="12">
        <f ca="1">INDEX(Stations,INT((ROWS(A$2:A846)-1)/(DATE(YEAR(Invoer!$A$5),12,31)-DATE(YEAR(Invoer!$A$5),1,1)+1))+2,1)</f>
        <v>49</v>
      </c>
      <c r="B846" t="str">
        <f ca="1">TEXT(DATE(YEAR(Invoer!$A$5),1,1)+MOD(ROWS(B$2:B846)-1,DATE(YEAR(Invoer!$A$5),12,31)-DATE(YEAR(Invoer!$A$5),1,1)+1),"jjjjmmdd")</f>
        <v>19410425</v>
      </c>
      <c r="C846" s="13">
        <v>1</v>
      </c>
      <c r="D846" s="18">
        <f t="shared" ca="1" si="26"/>
        <v>0</v>
      </c>
      <c r="E846" s="19">
        <f t="shared" ca="1" si="27"/>
        <v>0</v>
      </c>
    </row>
    <row r="847" spans="1:5" x14ac:dyDescent="0.25">
      <c r="A847" s="12">
        <f ca="1">INDEX(Stations,INT((ROWS(A$2:A847)-1)/(DATE(YEAR(Invoer!$A$5),12,31)-DATE(YEAR(Invoer!$A$5),1,1)+1))+2,1)</f>
        <v>49</v>
      </c>
      <c r="B847" t="str">
        <f ca="1">TEXT(DATE(YEAR(Invoer!$A$5),1,1)+MOD(ROWS(B$2:B847)-1,DATE(YEAR(Invoer!$A$5),12,31)-DATE(YEAR(Invoer!$A$5),1,1)+1),"jjjjmmdd")</f>
        <v>19410426</v>
      </c>
      <c r="C847" s="13">
        <v>1</v>
      </c>
      <c r="D847" s="18">
        <f t="shared" ca="1" si="26"/>
        <v>0</v>
      </c>
      <c r="E847" s="19">
        <f t="shared" ca="1" si="27"/>
        <v>0</v>
      </c>
    </row>
    <row r="848" spans="1:5" x14ac:dyDescent="0.25">
      <c r="A848" s="12">
        <f ca="1">INDEX(Stations,INT((ROWS(A$2:A848)-1)/(DATE(YEAR(Invoer!$A$5),12,31)-DATE(YEAR(Invoer!$A$5),1,1)+1))+2,1)</f>
        <v>49</v>
      </c>
      <c r="B848" t="str">
        <f ca="1">TEXT(DATE(YEAR(Invoer!$A$5),1,1)+MOD(ROWS(B$2:B848)-1,DATE(YEAR(Invoer!$A$5),12,31)-DATE(YEAR(Invoer!$A$5),1,1)+1),"jjjjmmdd")</f>
        <v>19410427</v>
      </c>
      <c r="C848" s="13">
        <v>1</v>
      </c>
      <c r="D848" s="18">
        <f t="shared" ca="1" si="26"/>
        <v>0</v>
      </c>
      <c r="E848" s="19">
        <f t="shared" ca="1" si="27"/>
        <v>0</v>
      </c>
    </row>
    <row r="849" spans="1:5" x14ac:dyDescent="0.25">
      <c r="A849" s="12">
        <f ca="1">INDEX(Stations,INT((ROWS(A$2:A849)-1)/(DATE(YEAR(Invoer!$A$5),12,31)-DATE(YEAR(Invoer!$A$5),1,1)+1))+2,1)</f>
        <v>49</v>
      </c>
      <c r="B849" t="str">
        <f ca="1">TEXT(DATE(YEAR(Invoer!$A$5),1,1)+MOD(ROWS(B$2:B849)-1,DATE(YEAR(Invoer!$A$5),12,31)-DATE(YEAR(Invoer!$A$5),1,1)+1),"jjjjmmdd")</f>
        <v>19410428</v>
      </c>
      <c r="C849" s="13">
        <v>1</v>
      </c>
      <c r="D849" s="18">
        <f t="shared" ca="1" si="26"/>
        <v>0</v>
      </c>
      <c r="E849" s="19">
        <f t="shared" ca="1" si="27"/>
        <v>0</v>
      </c>
    </row>
    <row r="850" spans="1:5" x14ac:dyDescent="0.25">
      <c r="A850" s="12">
        <f ca="1">INDEX(Stations,INT((ROWS(A$2:A850)-1)/(DATE(YEAR(Invoer!$A$5),12,31)-DATE(YEAR(Invoer!$A$5),1,1)+1))+2,1)</f>
        <v>49</v>
      </c>
      <c r="B850" t="str">
        <f ca="1">TEXT(DATE(YEAR(Invoer!$A$5),1,1)+MOD(ROWS(B$2:B850)-1,DATE(YEAR(Invoer!$A$5),12,31)-DATE(YEAR(Invoer!$A$5),1,1)+1),"jjjjmmdd")</f>
        <v>19410429</v>
      </c>
      <c r="C850" s="13">
        <v>1</v>
      </c>
      <c r="D850" s="18">
        <f t="shared" ca="1" si="26"/>
        <v>0</v>
      </c>
      <c r="E850" s="19">
        <f t="shared" ca="1" si="27"/>
        <v>0</v>
      </c>
    </row>
    <row r="851" spans="1:5" x14ac:dyDescent="0.25">
      <c r="A851" s="12">
        <f ca="1">INDEX(Stations,INT((ROWS(A$2:A851)-1)/(DATE(YEAR(Invoer!$A$5),12,31)-DATE(YEAR(Invoer!$A$5),1,1)+1))+2,1)</f>
        <v>49</v>
      </c>
      <c r="B851" t="str">
        <f ca="1">TEXT(DATE(YEAR(Invoer!$A$5),1,1)+MOD(ROWS(B$2:B851)-1,DATE(YEAR(Invoer!$A$5),12,31)-DATE(YEAR(Invoer!$A$5),1,1)+1),"jjjjmmdd")</f>
        <v>19410430</v>
      </c>
      <c r="C851" s="13">
        <v>1</v>
      </c>
      <c r="D851" s="18">
        <f t="shared" ca="1" si="26"/>
        <v>0</v>
      </c>
      <c r="E851" s="19">
        <f t="shared" ca="1" si="27"/>
        <v>0</v>
      </c>
    </row>
    <row r="852" spans="1:5" x14ac:dyDescent="0.25">
      <c r="A852" s="12">
        <f ca="1">INDEX(Stations,INT((ROWS(A$2:A852)-1)/(DATE(YEAR(Invoer!$A$5),12,31)-DATE(YEAR(Invoer!$A$5),1,1)+1))+2,1)</f>
        <v>49</v>
      </c>
      <c r="B852" t="str">
        <f ca="1">TEXT(DATE(YEAR(Invoer!$A$5),1,1)+MOD(ROWS(B$2:B852)-1,DATE(YEAR(Invoer!$A$5),12,31)-DATE(YEAR(Invoer!$A$5),1,1)+1),"jjjjmmdd")</f>
        <v>19410501</v>
      </c>
      <c r="C852" s="13">
        <v>1</v>
      </c>
      <c r="D852" s="18">
        <f t="shared" ca="1" si="26"/>
        <v>0</v>
      </c>
      <c r="E852" s="19">
        <f t="shared" ca="1" si="27"/>
        <v>0</v>
      </c>
    </row>
    <row r="853" spans="1:5" x14ac:dyDescent="0.25">
      <c r="A853" s="12">
        <f ca="1">INDEX(Stations,INT((ROWS(A$2:A853)-1)/(DATE(YEAR(Invoer!$A$5),12,31)-DATE(YEAR(Invoer!$A$5),1,1)+1))+2,1)</f>
        <v>49</v>
      </c>
      <c r="B853" t="str">
        <f ca="1">TEXT(DATE(YEAR(Invoer!$A$5),1,1)+MOD(ROWS(B$2:B853)-1,DATE(YEAR(Invoer!$A$5),12,31)-DATE(YEAR(Invoer!$A$5),1,1)+1),"jjjjmmdd")</f>
        <v>19410502</v>
      </c>
      <c r="C853" s="13">
        <v>1</v>
      </c>
      <c r="D853" s="18">
        <f t="shared" ca="1" si="26"/>
        <v>0</v>
      </c>
      <c r="E853" s="19">
        <f t="shared" ca="1" si="27"/>
        <v>0</v>
      </c>
    </row>
    <row r="854" spans="1:5" x14ac:dyDescent="0.25">
      <c r="A854" s="12">
        <f ca="1">INDEX(Stations,INT((ROWS(A$2:A854)-1)/(DATE(YEAR(Invoer!$A$5),12,31)-DATE(YEAR(Invoer!$A$5),1,1)+1))+2,1)</f>
        <v>49</v>
      </c>
      <c r="B854" t="str">
        <f ca="1">TEXT(DATE(YEAR(Invoer!$A$5),1,1)+MOD(ROWS(B$2:B854)-1,DATE(YEAR(Invoer!$A$5),12,31)-DATE(YEAR(Invoer!$A$5),1,1)+1),"jjjjmmdd")</f>
        <v>19410503</v>
      </c>
      <c r="C854" s="13">
        <v>1</v>
      </c>
      <c r="D854" s="18">
        <f t="shared" ca="1" si="26"/>
        <v>0</v>
      </c>
      <c r="E854" s="19">
        <f t="shared" ca="1" si="27"/>
        <v>0</v>
      </c>
    </row>
    <row r="855" spans="1:5" x14ac:dyDescent="0.25">
      <c r="A855" s="12">
        <f ca="1">INDEX(Stations,INT((ROWS(A$2:A855)-1)/(DATE(YEAR(Invoer!$A$5),12,31)-DATE(YEAR(Invoer!$A$5),1,1)+1))+2,1)</f>
        <v>49</v>
      </c>
      <c r="B855" t="str">
        <f ca="1">TEXT(DATE(YEAR(Invoer!$A$5),1,1)+MOD(ROWS(B$2:B855)-1,DATE(YEAR(Invoer!$A$5),12,31)-DATE(YEAR(Invoer!$A$5),1,1)+1),"jjjjmmdd")</f>
        <v>19410504</v>
      </c>
      <c r="C855" s="13">
        <v>1</v>
      </c>
      <c r="D855" s="18">
        <f t="shared" ca="1" si="26"/>
        <v>0</v>
      </c>
      <c r="E855" s="19">
        <f t="shared" ca="1" si="27"/>
        <v>0</v>
      </c>
    </row>
    <row r="856" spans="1:5" x14ac:dyDescent="0.25">
      <c r="A856" s="12">
        <f ca="1">INDEX(Stations,INT((ROWS(A$2:A856)-1)/(DATE(YEAR(Invoer!$A$5),12,31)-DATE(YEAR(Invoer!$A$5),1,1)+1))+2,1)</f>
        <v>49</v>
      </c>
      <c r="B856" t="str">
        <f ca="1">TEXT(DATE(YEAR(Invoer!$A$5),1,1)+MOD(ROWS(B$2:B856)-1,DATE(YEAR(Invoer!$A$5),12,31)-DATE(YEAR(Invoer!$A$5),1,1)+1),"jjjjmmdd")</f>
        <v>19410505</v>
      </c>
      <c r="C856" s="13">
        <v>1</v>
      </c>
      <c r="D856" s="18">
        <f t="shared" ca="1" si="26"/>
        <v>0</v>
      </c>
      <c r="E856" s="19">
        <f t="shared" ca="1" si="27"/>
        <v>0</v>
      </c>
    </row>
    <row r="857" spans="1:5" x14ac:dyDescent="0.25">
      <c r="A857" s="12">
        <f ca="1">INDEX(Stations,INT((ROWS(A$2:A857)-1)/(DATE(YEAR(Invoer!$A$5),12,31)-DATE(YEAR(Invoer!$A$5),1,1)+1))+2,1)</f>
        <v>49</v>
      </c>
      <c r="B857" t="str">
        <f ca="1">TEXT(DATE(YEAR(Invoer!$A$5),1,1)+MOD(ROWS(B$2:B857)-1,DATE(YEAR(Invoer!$A$5),12,31)-DATE(YEAR(Invoer!$A$5),1,1)+1),"jjjjmmdd")</f>
        <v>19410506</v>
      </c>
      <c r="C857" s="13">
        <v>1</v>
      </c>
      <c r="D857" s="18">
        <f t="shared" ca="1" si="26"/>
        <v>0</v>
      </c>
      <c r="E857" s="19">
        <f t="shared" ca="1" si="27"/>
        <v>0</v>
      </c>
    </row>
    <row r="858" spans="1:5" x14ac:dyDescent="0.25">
      <c r="A858" s="12">
        <f ca="1">INDEX(Stations,INT((ROWS(A$2:A858)-1)/(DATE(YEAR(Invoer!$A$5),12,31)-DATE(YEAR(Invoer!$A$5),1,1)+1))+2,1)</f>
        <v>49</v>
      </c>
      <c r="B858" t="str">
        <f ca="1">TEXT(DATE(YEAR(Invoer!$A$5),1,1)+MOD(ROWS(B$2:B858)-1,DATE(YEAR(Invoer!$A$5),12,31)-DATE(YEAR(Invoer!$A$5),1,1)+1),"jjjjmmdd")</f>
        <v>19410507</v>
      </c>
      <c r="C858" s="13">
        <v>1</v>
      </c>
      <c r="D858" s="18">
        <f t="shared" ca="1" si="26"/>
        <v>0</v>
      </c>
      <c r="E858" s="19">
        <f t="shared" ca="1" si="27"/>
        <v>0</v>
      </c>
    </row>
    <row r="859" spans="1:5" x14ac:dyDescent="0.25">
      <c r="A859" s="12">
        <f ca="1">INDEX(Stations,INT((ROWS(A$2:A859)-1)/(DATE(YEAR(Invoer!$A$5),12,31)-DATE(YEAR(Invoer!$A$5),1,1)+1))+2,1)</f>
        <v>49</v>
      </c>
      <c r="B859" t="str">
        <f ca="1">TEXT(DATE(YEAR(Invoer!$A$5),1,1)+MOD(ROWS(B$2:B859)-1,DATE(YEAR(Invoer!$A$5),12,31)-DATE(YEAR(Invoer!$A$5),1,1)+1),"jjjjmmdd")</f>
        <v>19410508</v>
      </c>
      <c r="C859" s="13">
        <v>1</v>
      </c>
      <c r="D859" s="18">
        <f t="shared" ca="1" si="26"/>
        <v>0</v>
      </c>
      <c r="E859" s="19">
        <f t="shared" ca="1" si="27"/>
        <v>0</v>
      </c>
    </row>
    <row r="860" spans="1:5" x14ac:dyDescent="0.25">
      <c r="A860" s="12">
        <f ca="1">INDEX(Stations,INT((ROWS(A$2:A860)-1)/(DATE(YEAR(Invoer!$A$5),12,31)-DATE(YEAR(Invoer!$A$5),1,1)+1))+2,1)</f>
        <v>49</v>
      </c>
      <c r="B860" t="str">
        <f ca="1">TEXT(DATE(YEAR(Invoer!$A$5),1,1)+MOD(ROWS(B$2:B860)-1,DATE(YEAR(Invoer!$A$5),12,31)-DATE(YEAR(Invoer!$A$5),1,1)+1),"jjjjmmdd")</f>
        <v>19410509</v>
      </c>
      <c r="C860" s="13">
        <v>1</v>
      </c>
      <c r="D860" s="18">
        <f t="shared" ca="1" si="26"/>
        <v>0</v>
      </c>
      <c r="E860" s="19">
        <f t="shared" ca="1" si="27"/>
        <v>0</v>
      </c>
    </row>
    <row r="861" spans="1:5" x14ac:dyDescent="0.25">
      <c r="A861" s="12">
        <f ca="1">INDEX(Stations,INT((ROWS(A$2:A861)-1)/(DATE(YEAR(Invoer!$A$5),12,31)-DATE(YEAR(Invoer!$A$5),1,1)+1))+2,1)</f>
        <v>49</v>
      </c>
      <c r="B861" t="str">
        <f ca="1">TEXT(DATE(YEAR(Invoer!$A$5),1,1)+MOD(ROWS(B$2:B861)-1,DATE(YEAR(Invoer!$A$5),12,31)-DATE(YEAR(Invoer!$A$5),1,1)+1),"jjjjmmdd")</f>
        <v>19410510</v>
      </c>
      <c r="C861" s="13">
        <v>1</v>
      </c>
      <c r="D861" s="18">
        <f t="shared" ca="1" si="26"/>
        <v>0</v>
      </c>
      <c r="E861" s="19">
        <f t="shared" ca="1" si="27"/>
        <v>0</v>
      </c>
    </row>
    <row r="862" spans="1:5" x14ac:dyDescent="0.25">
      <c r="A862" s="12">
        <f ca="1">INDEX(Stations,INT((ROWS(A$2:A862)-1)/(DATE(YEAR(Invoer!$A$5),12,31)-DATE(YEAR(Invoer!$A$5),1,1)+1))+2,1)</f>
        <v>49</v>
      </c>
      <c r="B862" t="str">
        <f ca="1">TEXT(DATE(YEAR(Invoer!$A$5),1,1)+MOD(ROWS(B$2:B862)-1,DATE(YEAR(Invoer!$A$5),12,31)-DATE(YEAR(Invoer!$A$5),1,1)+1),"jjjjmmdd")</f>
        <v>19410511</v>
      </c>
      <c r="C862" s="13">
        <v>1</v>
      </c>
      <c r="D862" s="18">
        <f t="shared" ca="1" si="26"/>
        <v>0</v>
      </c>
      <c r="E862" s="19">
        <f t="shared" ca="1" si="27"/>
        <v>0</v>
      </c>
    </row>
    <row r="863" spans="1:5" x14ac:dyDescent="0.25">
      <c r="A863" s="12">
        <f ca="1">INDEX(Stations,INT((ROWS(A$2:A863)-1)/(DATE(YEAR(Invoer!$A$5),12,31)-DATE(YEAR(Invoer!$A$5),1,1)+1))+2,1)</f>
        <v>49</v>
      </c>
      <c r="B863" t="str">
        <f ca="1">TEXT(DATE(YEAR(Invoer!$A$5),1,1)+MOD(ROWS(B$2:B863)-1,DATE(YEAR(Invoer!$A$5),12,31)-DATE(YEAR(Invoer!$A$5),1,1)+1),"jjjjmmdd")</f>
        <v>19410512</v>
      </c>
      <c r="C863" s="13">
        <v>1</v>
      </c>
      <c r="D863" s="18">
        <f t="shared" ca="1" si="26"/>
        <v>0</v>
      </c>
      <c r="E863" s="19">
        <f t="shared" ca="1" si="27"/>
        <v>0</v>
      </c>
    </row>
    <row r="864" spans="1:5" x14ac:dyDescent="0.25">
      <c r="A864" s="12">
        <f ca="1">INDEX(Stations,INT((ROWS(A$2:A864)-1)/(DATE(YEAR(Invoer!$A$5),12,31)-DATE(YEAR(Invoer!$A$5),1,1)+1))+2,1)</f>
        <v>49</v>
      </c>
      <c r="B864" t="str">
        <f ca="1">TEXT(DATE(YEAR(Invoer!$A$5),1,1)+MOD(ROWS(B$2:B864)-1,DATE(YEAR(Invoer!$A$5),12,31)-DATE(YEAR(Invoer!$A$5),1,1)+1),"jjjjmmdd")</f>
        <v>19410513</v>
      </c>
      <c r="C864" s="13">
        <v>1</v>
      </c>
      <c r="D864" s="18">
        <f t="shared" ca="1" si="26"/>
        <v>0</v>
      </c>
      <c r="E864" s="19">
        <f t="shared" ca="1" si="27"/>
        <v>0</v>
      </c>
    </row>
    <row r="865" spans="1:5" x14ac:dyDescent="0.25">
      <c r="A865" s="12">
        <f ca="1">INDEX(Stations,INT((ROWS(A$2:A865)-1)/(DATE(YEAR(Invoer!$A$5),12,31)-DATE(YEAR(Invoer!$A$5),1,1)+1))+2,1)</f>
        <v>49</v>
      </c>
      <c r="B865" t="str">
        <f ca="1">TEXT(DATE(YEAR(Invoer!$A$5),1,1)+MOD(ROWS(B$2:B865)-1,DATE(YEAR(Invoer!$A$5),12,31)-DATE(YEAR(Invoer!$A$5),1,1)+1),"jjjjmmdd")</f>
        <v>19410514</v>
      </c>
      <c r="C865" s="13">
        <v>1</v>
      </c>
      <c r="D865" s="18">
        <f t="shared" ca="1" si="26"/>
        <v>0</v>
      </c>
      <c r="E865" s="19">
        <f t="shared" ca="1" si="27"/>
        <v>0</v>
      </c>
    </row>
    <row r="866" spans="1:5" x14ac:dyDescent="0.25">
      <c r="A866" s="12">
        <f ca="1">INDEX(Stations,INT((ROWS(A$2:A866)-1)/(DATE(YEAR(Invoer!$A$5),12,31)-DATE(YEAR(Invoer!$A$5),1,1)+1))+2,1)</f>
        <v>49</v>
      </c>
      <c r="B866" t="str">
        <f ca="1">TEXT(DATE(YEAR(Invoer!$A$5),1,1)+MOD(ROWS(B$2:B866)-1,DATE(YEAR(Invoer!$A$5),12,31)-DATE(YEAR(Invoer!$A$5),1,1)+1),"jjjjmmdd")</f>
        <v>19410515</v>
      </c>
      <c r="C866" s="13">
        <v>1</v>
      </c>
      <c r="D866" s="18">
        <f t="shared" ca="1" si="26"/>
        <v>0</v>
      </c>
      <c r="E866" s="19">
        <f t="shared" ca="1" si="27"/>
        <v>0</v>
      </c>
    </row>
    <row r="867" spans="1:5" x14ac:dyDescent="0.25">
      <c r="A867" s="12">
        <f ca="1">INDEX(Stations,INT((ROWS(A$2:A867)-1)/(DATE(YEAR(Invoer!$A$5),12,31)-DATE(YEAR(Invoer!$A$5),1,1)+1))+2,1)</f>
        <v>49</v>
      </c>
      <c r="B867" t="str">
        <f ca="1">TEXT(DATE(YEAR(Invoer!$A$5),1,1)+MOD(ROWS(B$2:B867)-1,DATE(YEAR(Invoer!$A$5),12,31)-DATE(YEAR(Invoer!$A$5),1,1)+1),"jjjjmmdd")</f>
        <v>19410516</v>
      </c>
      <c r="C867" s="13">
        <v>1</v>
      </c>
      <c r="D867" s="18">
        <f t="shared" ca="1" si="26"/>
        <v>0</v>
      </c>
      <c r="E867" s="19">
        <f t="shared" ca="1" si="27"/>
        <v>0</v>
      </c>
    </row>
    <row r="868" spans="1:5" x14ac:dyDescent="0.25">
      <c r="A868" s="12">
        <f ca="1">INDEX(Stations,INT((ROWS(A$2:A868)-1)/(DATE(YEAR(Invoer!$A$5),12,31)-DATE(YEAR(Invoer!$A$5),1,1)+1))+2,1)</f>
        <v>49</v>
      </c>
      <c r="B868" t="str">
        <f ca="1">TEXT(DATE(YEAR(Invoer!$A$5),1,1)+MOD(ROWS(B$2:B868)-1,DATE(YEAR(Invoer!$A$5),12,31)-DATE(YEAR(Invoer!$A$5),1,1)+1),"jjjjmmdd")</f>
        <v>19410517</v>
      </c>
      <c r="C868" s="13">
        <v>1</v>
      </c>
      <c r="D868" s="18">
        <f t="shared" ca="1" si="26"/>
        <v>0</v>
      </c>
      <c r="E868" s="19">
        <f t="shared" ca="1" si="27"/>
        <v>0</v>
      </c>
    </row>
    <row r="869" spans="1:5" x14ac:dyDescent="0.25">
      <c r="A869" s="12">
        <f ca="1">INDEX(Stations,INT((ROWS(A$2:A869)-1)/(DATE(YEAR(Invoer!$A$5),12,31)-DATE(YEAR(Invoer!$A$5),1,1)+1))+2,1)</f>
        <v>49</v>
      </c>
      <c r="B869" t="str">
        <f ca="1">TEXT(DATE(YEAR(Invoer!$A$5),1,1)+MOD(ROWS(B$2:B869)-1,DATE(YEAR(Invoer!$A$5),12,31)-DATE(YEAR(Invoer!$A$5),1,1)+1),"jjjjmmdd")</f>
        <v>19410518</v>
      </c>
      <c r="C869" s="13">
        <v>1</v>
      </c>
      <c r="D869" s="18">
        <f t="shared" ca="1" si="26"/>
        <v>0</v>
      </c>
      <c r="E869" s="19">
        <f t="shared" ca="1" si="27"/>
        <v>0</v>
      </c>
    </row>
    <row r="870" spans="1:5" x14ac:dyDescent="0.25">
      <c r="A870" s="12">
        <f ca="1">INDEX(Stations,INT((ROWS(A$2:A870)-1)/(DATE(YEAR(Invoer!$A$5),12,31)-DATE(YEAR(Invoer!$A$5),1,1)+1))+2,1)</f>
        <v>49</v>
      </c>
      <c r="B870" t="str">
        <f ca="1">TEXT(DATE(YEAR(Invoer!$A$5),1,1)+MOD(ROWS(B$2:B870)-1,DATE(YEAR(Invoer!$A$5),12,31)-DATE(YEAR(Invoer!$A$5),1,1)+1),"jjjjmmdd")</f>
        <v>19410519</v>
      </c>
      <c r="C870" s="13">
        <v>1</v>
      </c>
      <c r="D870" s="18">
        <f t="shared" ca="1" si="26"/>
        <v>0</v>
      </c>
      <c r="E870" s="19">
        <f t="shared" ca="1" si="27"/>
        <v>0</v>
      </c>
    </row>
    <row r="871" spans="1:5" x14ac:dyDescent="0.25">
      <c r="A871" s="12">
        <f ca="1">INDEX(Stations,INT((ROWS(A$2:A871)-1)/(DATE(YEAR(Invoer!$A$5),12,31)-DATE(YEAR(Invoer!$A$5),1,1)+1))+2,1)</f>
        <v>49</v>
      </c>
      <c r="B871" t="str">
        <f ca="1">TEXT(DATE(YEAR(Invoer!$A$5),1,1)+MOD(ROWS(B$2:B871)-1,DATE(YEAR(Invoer!$A$5),12,31)-DATE(YEAR(Invoer!$A$5),1,1)+1),"jjjjmmdd")</f>
        <v>19410520</v>
      </c>
      <c r="C871" s="13">
        <v>1</v>
      </c>
      <c r="D871" s="18">
        <f t="shared" ca="1" si="26"/>
        <v>0</v>
      </c>
      <c r="E871" s="19">
        <f t="shared" ca="1" si="27"/>
        <v>0</v>
      </c>
    </row>
    <row r="872" spans="1:5" x14ac:dyDescent="0.25">
      <c r="A872" s="12">
        <f ca="1">INDEX(Stations,INT((ROWS(A$2:A872)-1)/(DATE(YEAR(Invoer!$A$5),12,31)-DATE(YEAR(Invoer!$A$5),1,1)+1))+2,1)</f>
        <v>49</v>
      </c>
      <c r="B872" t="str">
        <f ca="1">TEXT(DATE(YEAR(Invoer!$A$5),1,1)+MOD(ROWS(B$2:B872)-1,DATE(YEAR(Invoer!$A$5),12,31)-DATE(YEAR(Invoer!$A$5),1,1)+1),"jjjjmmdd")</f>
        <v>19410521</v>
      </c>
      <c r="C872" s="13">
        <v>1</v>
      </c>
      <c r="D872" s="18">
        <f t="shared" ca="1" si="26"/>
        <v>0</v>
      </c>
      <c r="E872" s="19">
        <f t="shared" ca="1" si="27"/>
        <v>0</v>
      </c>
    </row>
    <row r="873" spans="1:5" x14ac:dyDescent="0.25">
      <c r="A873" s="12">
        <f ca="1">INDEX(Stations,INT((ROWS(A$2:A873)-1)/(DATE(YEAR(Invoer!$A$5),12,31)-DATE(YEAR(Invoer!$A$5),1,1)+1))+2,1)</f>
        <v>49</v>
      </c>
      <c r="B873" t="str">
        <f ca="1">TEXT(DATE(YEAR(Invoer!$A$5),1,1)+MOD(ROWS(B$2:B873)-1,DATE(YEAR(Invoer!$A$5),12,31)-DATE(YEAR(Invoer!$A$5),1,1)+1),"jjjjmmdd")</f>
        <v>19410522</v>
      </c>
      <c r="C873" s="13">
        <v>1</v>
      </c>
      <c r="D873" s="18">
        <f t="shared" ca="1" si="26"/>
        <v>0</v>
      </c>
      <c r="E873" s="19">
        <f t="shared" ca="1" si="27"/>
        <v>0</v>
      </c>
    </row>
    <row r="874" spans="1:5" x14ac:dyDescent="0.25">
      <c r="A874" s="12">
        <f ca="1">INDEX(Stations,INT((ROWS(A$2:A874)-1)/(DATE(YEAR(Invoer!$A$5),12,31)-DATE(YEAR(Invoer!$A$5),1,1)+1))+2,1)</f>
        <v>49</v>
      </c>
      <c r="B874" t="str">
        <f ca="1">TEXT(DATE(YEAR(Invoer!$A$5),1,1)+MOD(ROWS(B$2:B874)-1,DATE(YEAR(Invoer!$A$5),12,31)-DATE(YEAR(Invoer!$A$5),1,1)+1),"jjjjmmdd")</f>
        <v>19410523</v>
      </c>
      <c r="C874" s="13">
        <v>1</v>
      </c>
      <c r="D874" s="18">
        <f t="shared" ca="1" si="26"/>
        <v>0</v>
      </c>
      <c r="E874" s="19">
        <f t="shared" ca="1" si="27"/>
        <v>0</v>
      </c>
    </row>
    <row r="875" spans="1:5" x14ac:dyDescent="0.25">
      <c r="A875" s="12">
        <f ca="1">INDEX(Stations,INT((ROWS(A$2:A875)-1)/(DATE(YEAR(Invoer!$A$5),12,31)-DATE(YEAR(Invoer!$A$5),1,1)+1))+2,1)</f>
        <v>49</v>
      </c>
      <c r="B875" t="str">
        <f ca="1">TEXT(DATE(YEAR(Invoer!$A$5),1,1)+MOD(ROWS(B$2:B875)-1,DATE(YEAR(Invoer!$A$5),12,31)-DATE(YEAR(Invoer!$A$5),1,1)+1),"jjjjmmdd")</f>
        <v>19410524</v>
      </c>
      <c r="C875" s="13">
        <v>1</v>
      </c>
      <c r="D875" s="18">
        <f t="shared" ca="1" si="26"/>
        <v>0</v>
      </c>
      <c r="E875" s="19">
        <f t="shared" ca="1" si="27"/>
        <v>0</v>
      </c>
    </row>
    <row r="876" spans="1:5" x14ac:dyDescent="0.25">
      <c r="A876" s="12">
        <f ca="1">INDEX(Stations,INT((ROWS(A$2:A876)-1)/(DATE(YEAR(Invoer!$A$5),12,31)-DATE(YEAR(Invoer!$A$5),1,1)+1))+2,1)</f>
        <v>49</v>
      </c>
      <c r="B876" t="str">
        <f ca="1">TEXT(DATE(YEAR(Invoer!$A$5),1,1)+MOD(ROWS(B$2:B876)-1,DATE(YEAR(Invoer!$A$5),12,31)-DATE(YEAR(Invoer!$A$5),1,1)+1),"jjjjmmdd")</f>
        <v>19410525</v>
      </c>
      <c r="C876" s="13">
        <v>1</v>
      </c>
      <c r="D876" s="18">
        <f t="shared" ca="1" si="26"/>
        <v>0</v>
      </c>
      <c r="E876" s="19">
        <f t="shared" ca="1" si="27"/>
        <v>0</v>
      </c>
    </row>
    <row r="877" spans="1:5" x14ac:dyDescent="0.25">
      <c r="A877" s="12">
        <f ca="1">INDEX(Stations,INT((ROWS(A$2:A877)-1)/(DATE(YEAR(Invoer!$A$5),12,31)-DATE(YEAR(Invoer!$A$5),1,1)+1))+2,1)</f>
        <v>49</v>
      </c>
      <c r="B877" t="str">
        <f ca="1">TEXT(DATE(YEAR(Invoer!$A$5),1,1)+MOD(ROWS(B$2:B877)-1,DATE(YEAR(Invoer!$A$5),12,31)-DATE(YEAR(Invoer!$A$5),1,1)+1),"jjjjmmdd")</f>
        <v>19410526</v>
      </c>
      <c r="C877" s="13">
        <v>1</v>
      </c>
      <c r="D877" s="18">
        <f t="shared" ca="1" si="26"/>
        <v>0</v>
      </c>
      <c r="E877" s="19">
        <f t="shared" ca="1" si="27"/>
        <v>0</v>
      </c>
    </row>
    <row r="878" spans="1:5" x14ac:dyDescent="0.25">
      <c r="A878" s="12">
        <f ca="1">INDEX(Stations,INT((ROWS(A$2:A878)-1)/(DATE(YEAR(Invoer!$A$5),12,31)-DATE(YEAR(Invoer!$A$5),1,1)+1))+2,1)</f>
        <v>49</v>
      </c>
      <c r="B878" t="str">
        <f ca="1">TEXT(DATE(YEAR(Invoer!$A$5),1,1)+MOD(ROWS(B$2:B878)-1,DATE(YEAR(Invoer!$A$5),12,31)-DATE(YEAR(Invoer!$A$5),1,1)+1),"jjjjmmdd")</f>
        <v>19410527</v>
      </c>
      <c r="C878" s="13">
        <v>1</v>
      </c>
      <c r="D878" s="18">
        <f t="shared" ca="1" si="26"/>
        <v>0</v>
      </c>
      <c r="E878" s="19">
        <f t="shared" ca="1" si="27"/>
        <v>0</v>
      </c>
    </row>
    <row r="879" spans="1:5" x14ac:dyDescent="0.25">
      <c r="A879" s="12">
        <f ca="1">INDEX(Stations,INT((ROWS(A$2:A879)-1)/(DATE(YEAR(Invoer!$A$5),12,31)-DATE(YEAR(Invoer!$A$5),1,1)+1))+2,1)</f>
        <v>49</v>
      </c>
      <c r="B879" t="str">
        <f ca="1">TEXT(DATE(YEAR(Invoer!$A$5),1,1)+MOD(ROWS(B$2:B879)-1,DATE(YEAR(Invoer!$A$5),12,31)-DATE(YEAR(Invoer!$A$5),1,1)+1),"jjjjmmdd")</f>
        <v>19410528</v>
      </c>
      <c r="C879" s="13">
        <v>1</v>
      </c>
      <c r="D879" s="18">
        <f t="shared" ca="1" si="26"/>
        <v>0</v>
      </c>
      <c r="E879" s="19">
        <f t="shared" ca="1" si="27"/>
        <v>0</v>
      </c>
    </row>
    <row r="880" spans="1:5" x14ac:dyDescent="0.25">
      <c r="A880" s="12">
        <f ca="1">INDEX(Stations,INT((ROWS(A$2:A880)-1)/(DATE(YEAR(Invoer!$A$5),12,31)-DATE(YEAR(Invoer!$A$5),1,1)+1))+2,1)</f>
        <v>49</v>
      </c>
      <c r="B880" t="str">
        <f ca="1">TEXT(DATE(YEAR(Invoer!$A$5),1,1)+MOD(ROWS(B$2:B880)-1,DATE(YEAR(Invoer!$A$5),12,31)-DATE(YEAR(Invoer!$A$5),1,1)+1),"jjjjmmdd")</f>
        <v>19410529</v>
      </c>
      <c r="C880" s="13">
        <v>1</v>
      </c>
      <c r="D880" s="18">
        <f t="shared" ca="1" si="26"/>
        <v>0</v>
      </c>
      <c r="E880" s="19">
        <f t="shared" ca="1" si="27"/>
        <v>0</v>
      </c>
    </row>
    <row r="881" spans="1:5" x14ac:dyDescent="0.25">
      <c r="A881" s="12">
        <f ca="1">INDEX(Stations,INT((ROWS(A$2:A881)-1)/(DATE(YEAR(Invoer!$A$5),12,31)-DATE(YEAR(Invoer!$A$5),1,1)+1))+2,1)</f>
        <v>49</v>
      </c>
      <c r="B881" t="str">
        <f ca="1">TEXT(DATE(YEAR(Invoer!$A$5),1,1)+MOD(ROWS(B$2:B881)-1,DATE(YEAR(Invoer!$A$5),12,31)-DATE(YEAR(Invoer!$A$5),1,1)+1),"jjjjmmdd")</f>
        <v>19410530</v>
      </c>
      <c r="C881" s="13">
        <v>1</v>
      </c>
      <c r="D881" s="18">
        <f t="shared" ca="1" si="26"/>
        <v>0</v>
      </c>
      <c r="E881" s="19">
        <f t="shared" ca="1" si="27"/>
        <v>0</v>
      </c>
    </row>
    <row r="882" spans="1:5" x14ac:dyDescent="0.25">
      <c r="A882" s="12">
        <f ca="1">INDEX(Stations,INT((ROWS(A$2:A882)-1)/(DATE(YEAR(Invoer!$A$5),12,31)-DATE(YEAR(Invoer!$A$5),1,1)+1))+2,1)</f>
        <v>49</v>
      </c>
      <c r="B882" t="str">
        <f ca="1">TEXT(DATE(YEAR(Invoer!$A$5),1,1)+MOD(ROWS(B$2:B882)-1,DATE(YEAR(Invoer!$A$5),12,31)-DATE(YEAR(Invoer!$A$5),1,1)+1),"jjjjmmdd")</f>
        <v>19410531</v>
      </c>
      <c r="C882" s="13">
        <v>1</v>
      </c>
      <c r="D882" s="18">
        <f t="shared" ca="1" si="26"/>
        <v>0</v>
      </c>
      <c r="E882" s="19">
        <f t="shared" ca="1" si="27"/>
        <v>0</v>
      </c>
    </row>
    <row r="883" spans="1:5" x14ac:dyDescent="0.25">
      <c r="A883" s="12">
        <f ca="1">INDEX(Stations,INT((ROWS(A$2:A883)-1)/(DATE(YEAR(Invoer!$A$5),12,31)-DATE(YEAR(Invoer!$A$5),1,1)+1))+2,1)</f>
        <v>49</v>
      </c>
      <c r="B883" t="str">
        <f ca="1">TEXT(DATE(YEAR(Invoer!$A$5),1,1)+MOD(ROWS(B$2:B883)-1,DATE(YEAR(Invoer!$A$5),12,31)-DATE(YEAR(Invoer!$A$5),1,1)+1),"jjjjmmdd")</f>
        <v>19410601</v>
      </c>
      <c r="C883" s="13">
        <v>1</v>
      </c>
      <c r="D883" s="18" t="str">
        <f t="shared" ca="1" si="26"/>
        <v>—</v>
      </c>
      <c r="E883" s="19">
        <f t="shared" ca="1" si="27"/>
        <v>7</v>
      </c>
    </row>
    <row r="884" spans="1:5" x14ac:dyDescent="0.25">
      <c r="A884" s="12">
        <f ca="1">INDEX(Stations,INT((ROWS(A$2:A884)-1)/(DATE(YEAR(Invoer!$A$5),12,31)-DATE(YEAR(Invoer!$A$5),1,1)+1))+2,1)</f>
        <v>49</v>
      </c>
      <c r="B884" t="str">
        <f ca="1">TEXT(DATE(YEAR(Invoer!$A$5),1,1)+MOD(ROWS(B$2:B884)-1,DATE(YEAR(Invoer!$A$5),12,31)-DATE(YEAR(Invoer!$A$5),1,1)+1),"jjjjmmdd")</f>
        <v>19410602</v>
      </c>
      <c r="C884" s="13">
        <v>1</v>
      </c>
      <c r="D884" s="18" t="str">
        <f t="shared" ca="1" si="26"/>
        <v>—</v>
      </c>
      <c r="E884" s="19">
        <f t="shared" ca="1" si="27"/>
        <v>7</v>
      </c>
    </row>
    <row r="885" spans="1:5" x14ac:dyDescent="0.25">
      <c r="A885" s="12">
        <f ca="1">INDEX(Stations,INT((ROWS(A$2:A885)-1)/(DATE(YEAR(Invoer!$A$5),12,31)-DATE(YEAR(Invoer!$A$5),1,1)+1))+2,1)</f>
        <v>49</v>
      </c>
      <c r="B885" t="str">
        <f ca="1">TEXT(DATE(YEAR(Invoer!$A$5),1,1)+MOD(ROWS(B$2:B885)-1,DATE(YEAR(Invoer!$A$5),12,31)-DATE(YEAR(Invoer!$A$5),1,1)+1),"jjjjmmdd")</f>
        <v>19410603</v>
      </c>
      <c r="C885" s="13">
        <v>1</v>
      </c>
      <c r="D885" s="18" t="str">
        <f t="shared" ca="1" si="26"/>
        <v>—</v>
      </c>
      <c r="E885" s="19">
        <f t="shared" ca="1" si="27"/>
        <v>7</v>
      </c>
    </row>
    <row r="886" spans="1:5" x14ac:dyDescent="0.25">
      <c r="A886" s="12">
        <f ca="1">INDEX(Stations,INT((ROWS(A$2:A886)-1)/(DATE(YEAR(Invoer!$A$5),12,31)-DATE(YEAR(Invoer!$A$5),1,1)+1))+2,1)</f>
        <v>49</v>
      </c>
      <c r="B886" t="str">
        <f ca="1">TEXT(DATE(YEAR(Invoer!$A$5),1,1)+MOD(ROWS(B$2:B886)-1,DATE(YEAR(Invoer!$A$5),12,31)-DATE(YEAR(Invoer!$A$5),1,1)+1),"jjjjmmdd")</f>
        <v>19410604</v>
      </c>
      <c r="C886" s="13">
        <v>1</v>
      </c>
      <c r="D886" s="18" t="str">
        <f t="shared" ca="1" si="26"/>
        <v>—</v>
      </c>
      <c r="E886" s="19">
        <f t="shared" ca="1" si="27"/>
        <v>7</v>
      </c>
    </row>
    <row r="887" spans="1:5" x14ac:dyDescent="0.25">
      <c r="A887" s="12">
        <f ca="1">INDEX(Stations,INT((ROWS(A$2:A887)-1)/(DATE(YEAR(Invoer!$A$5),12,31)-DATE(YEAR(Invoer!$A$5),1,1)+1))+2,1)</f>
        <v>49</v>
      </c>
      <c r="B887" t="str">
        <f ca="1">TEXT(DATE(YEAR(Invoer!$A$5),1,1)+MOD(ROWS(B$2:B887)-1,DATE(YEAR(Invoer!$A$5),12,31)-DATE(YEAR(Invoer!$A$5),1,1)+1),"jjjjmmdd")</f>
        <v>19410605</v>
      </c>
      <c r="C887" s="13">
        <v>1</v>
      </c>
      <c r="D887" s="18" t="str">
        <f t="shared" ca="1" si="26"/>
        <v>—</v>
      </c>
      <c r="E887" s="19">
        <f t="shared" ca="1" si="27"/>
        <v>7</v>
      </c>
    </row>
    <row r="888" spans="1:5" x14ac:dyDescent="0.25">
      <c r="A888" s="12">
        <f ca="1">INDEX(Stations,INT((ROWS(A$2:A888)-1)/(DATE(YEAR(Invoer!$A$5),12,31)-DATE(YEAR(Invoer!$A$5),1,1)+1))+2,1)</f>
        <v>49</v>
      </c>
      <c r="B888" t="str">
        <f ca="1">TEXT(DATE(YEAR(Invoer!$A$5),1,1)+MOD(ROWS(B$2:B888)-1,DATE(YEAR(Invoer!$A$5),12,31)-DATE(YEAR(Invoer!$A$5),1,1)+1),"jjjjmmdd")</f>
        <v>19410606</v>
      </c>
      <c r="C888" s="13">
        <v>1</v>
      </c>
      <c r="D888" s="18" t="str">
        <f t="shared" ca="1" si="26"/>
        <v>—</v>
      </c>
      <c r="E888" s="19">
        <f t="shared" ca="1" si="27"/>
        <v>7</v>
      </c>
    </row>
    <row r="889" spans="1:5" x14ac:dyDescent="0.25">
      <c r="A889" s="12">
        <f ca="1">INDEX(Stations,INT((ROWS(A$2:A889)-1)/(DATE(YEAR(Invoer!$A$5),12,31)-DATE(YEAR(Invoer!$A$5),1,1)+1))+2,1)</f>
        <v>49</v>
      </c>
      <c r="B889" t="str">
        <f ca="1">TEXT(DATE(YEAR(Invoer!$A$5),1,1)+MOD(ROWS(B$2:B889)-1,DATE(YEAR(Invoer!$A$5),12,31)-DATE(YEAR(Invoer!$A$5),1,1)+1),"jjjjmmdd")</f>
        <v>19410607</v>
      </c>
      <c r="C889" s="13">
        <v>1</v>
      </c>
      <c r="D889" s="18" t="str">
        <f t="shared" ca="1" si="26"/>
        <v>—</v>
      </c>
      <c r="E889" s="19">
        <f t="shared" ca="1" si="27"/>
        <v>7</v>
      </c>
    </row>
    <row r="890" spans="1:5" x14ac:dyDescent="0.25">
      <c r="A890" s="12">
        <f ca="1">INDEX(Stations,INT((ROWS(A$2:A890)-1)/(DATE(YEAR(Invoer!$A$5),12,31)-DATE(YEAR(Invoer!$A$5),1,1)+1))+2,1)</f>
        <v>49</v>
      </c>
      <c r="B890" t="str">
        <f ca="1">TEXT(DATE(YEAR(Invoer!$A$5),1,1)+MOD(ROWS(B$2:B890)-1,DATE(YEAR(Invoer!$A$5),12,31)-DATE(YEAR(Invoer!$A$5),1,1)+1),"jjjjmmdd")</f>
        <v>19410608</v>
      </c>
      <c r="C890" s="13">
        <v>1</v>
      </c>
      <c r="D890" s="18" t="str">
        <f t="shared" ca="1" si="26"/>
        <v>—</v>
      </c>
      <c r="E890" s="19">
        <f t="shared" ca="1" si="27"/>
        <v>7</v>
      </c>
    </row>
    <row r="891" spans="1:5" x14ac:dyDescent="0.25">
      <c r="A891" s="12">
        <f ca="1">INDEX(Stations,INT((ROWS(A$2:A891)-1)/(DATE(YEAR(Invoer!$A$5),12,31)-DATE(YEAR(Invoer!$A$5),1,1)+1))+2,1)</f>
        <v>49</v>
      </c>
      <c r="B891" t="str">
        <f ca="1">TEXT(DATE(YEAR(Invoer!$A$5),1,1)+MOD(ROWS(B$2:B891)-1,DATE(YEAR(Invoer!$A$5),12,31)-DATE(YEAR(Invoer!$A$5),1,1)+1),"jjjjmmdd")</f>
        <v>19410609</v>
      </c>
      <c r="C891" s="13">
        <v>1</v>
      </c>
      <c r="D891" s="18" t="str">
        <f t="shared" ca="1" si="26"/>
        <v>—</v>
      </c>
      <c r="E891" s="19">
        <f t="shared" ca="1" si="27"/>
        <v>7</v>
      </c>
    </row>
    <row r="892" spans="1:5" x14ac:dyDescent="0.25">
      <c r="A892" s="12">
        <f ca="1">INDEX(Stations,INT((ROWS(A$2:A892)-1)/(DATE(YEAR(Invoer!$A$5),12,31)-DATE(YEAR(Invoer!$A$5),1,1)+1))+2,1)</f>
        <v>49</v>
      </c>
      <c r="B892" t="str">
        <f ca="1">TEXT(DATE(YEAR(Invoer!$A$5),1,1)+MOD(ROWS(B$2:B892)-1,DATE(YEAR(Invoer!$A$5),12,31)-DATE(YEAR(Invoer!$A$5),1,1)+1),"jjjjmmdd")</f>
        <v>19410610</v>
      </c>
      <c r="C892" s="13">
        <v>1</v>
      </c>
      <c r="D892" s="18" t="str">
        <f t="shared" ca="1" si="26"/>
        <v>—</v>
      </c>
      <c r="E892" s="19">
        <f t="shared" ca="1" si="27"/>
        <v>7</v>
      </c>
    </row>
    <row r="893" spans="1:5" x14ac:dyDescent="0.25">
      <c r="A893" s="12">
        <f ca="1">INDEX(Stations,INT((ROWS(A$2:A893)-1)/(DATE(YEAR(Invoer!$A$5),12,31)-DATE(YEAR(Invoer!$A$5),1,1)+1))+2,1)</f>
        <v>49</v>
      </c>
      <c r="B893" t="str">
        <f ca="1">TEXT(DATE(YEAR(Invoer!$A$5),1,1)+MOD(ROWS(B$2:B893)-1,DATE(YEAR(Invoer!$A$5),12,31)-DATE(YEAR(Invoer!$A$5),1,1)+1),"jjjjmmdd")</f>
        <v>19410611</v>
      </c>
      <c r="C893" s="13">
        <v>1</v>
      </c>
      <c r="D893" s="18" t="str">
        <f t="shared" ca="1" si="26"/>
        <v>—</v>
      </c>
      <c r="E893" s="19">
        <f t="shared" ca="1" si="27"/>
        <v>7</v>
      </c>
    </row>
    <row r="894" spans="1:5" x14ac:dyDescent="0.25">
      <c r="A894" s="12">
        <f ca="1">INDEX(Stations,INT((ROWS(A$2:A894)-1)/(DATE(YEAR(Invoer!$A$5),12,31)-DATE(YEAR(Invoer!$A$5),1,1)+1))+2,1)</f>
        <v>49</v>
      </c>
      <c r="B894" t="str">
        <f ca="1">TEXT(DATE(YEAR(Invoer!$A$5),1,1)+MOD(ROWS(B$2:B894)-1,DATE(YEAR(Invoer!$A$5),12,31)-DATE(YEAR(Invoer!$A$5),1,1)+1),"jjjjmmdd")</f>
        <v>19410612</v>
      </c>
      <c r="C894" s="13">
        <v>1</v>
      </c>
      <c r="D894" s="18" t="str">
        <f t="shared" ca="1" si="26"/>
        <v>—</v>
      </c>
      <c r="E894" s="19">
        <f t="shared" ca="1" si="27"/>
        <v>7</v>
      </c>
    </row>
    <row r="895" spans="1:5" x14ac:dyDescent="0.25">
      <c r="A895" s="12">
        <f ca="1">INDEX(Stations,INT((ROWS(A$2:A895)-1)/(DATE(YEAR(Invoer!$A$5),12,31)-DATE(YEAR(Invoer!$A$5),1,1)+1))+2,1)</f>
        <v>49</v>
      </c>
      <c r="B895" t="str">
        <f ca="1">TEXT(DATE(YEAR(Invoer!$A$5),1,1)+MOD(ROWS(B$2:B895)-1,DATE(YEAR(Invoer!$A$5),12,31)-DATE(YEAR(Invoer!$A$5),1,1)+1),"jjjjmmdd")</f>
        <v>19410613</v>
      </c>
      <c r="C895" s="13">
        <v>1</v>
      </c>
      <c r="D895" s="18" t="str">
        <f t="shared" ca="1" si="26"/>
        <v>—</v>
      </c>
      <c r="E895" s="19">
        <f t="shared" ca="1" si="27"/>
        <v>7</v>
      </c>
    </row>
    <row r="896" spans="1:5" x14ac:dyDescent="0.25">
      <c r="A896" s="12">
        <f ca="1">INDEX(Stations,INT((ROWS(A$2:A896)-1)/(DATE(YEAR(Invoer!$A$5),12,31)-DATE(YEAR(Invoer!$A$5),1,1)+1))+2,1)</f>
        <v>49</v>
      </c>
      <c r="B896" t="str">
        <f ca="1">TEXT(DATE(YEAR(Invoer!$A$5),1,1)+MOD(ROWS(B$2:B896)-1,DATE(YEAR(Invoer!$A$5),12,31)-DATE(YEAR(Invoer!$A$5),1,1)+1),"jjjjmmdd")</f>
        <v>19410614</v>
      </c>
      <c r="C896" s="13">
        <v>1</v>
      </c>
      <c r="D896" s="18" t="str">
        <f t="shared" ca="1" si="26"/>
        <v>—</v>
      </c>
      <c r="E896" s="19">
        <f t="shared" ca="1" si="27"/>
        <v>7</v>
      </c>
    </row>
    <row r="897" spans="1:5" x14ac:dyDescent="0.25">
      <c r="A897" s="12">
        <f ca="1">INDEX(Stations,INT((ROWS(A$2:A897)-1)/(DATE(YEAR(Invoer!$A$5),12,31)-DATE(YEAR(Invoer!$A$5),1,1)+1))+2,1)</f>
        <v>49</v>
      </c>
      <c r="B897" t="str">
        <f ca="1">TEXT(DATE(YEAR(Invoer!$A$5),1,1)+MOD(ROWS(B$2:B897)-1,DATE(YEAR(Invoer!$A$5),12,31)-DATE(YEAR(Invoer!$A$5),1,1)+1),"jjjjmmdd")</f>
        <v>19410615</v>
      </c>
      <c r="C897" s="13">
        <v>1</v>
      </c>
      <c r="D897" s="18" t="str">
        <f t="shared" ca="1" si="26"/>
        <v>—</v>
      </c>
      <c r="E897" s="19">
        <f t="shared" ca="1" si="27"/>
        <v>7</v>
      </c>
    </row>
    <row r="898" spans="1:5" x14ac:dyDescent="0.25">
      <c r="A898" s="12">
        <f ca="1">INDEX(Stations,INT((ROWS(A$2:A898)-1)/(DATE(YEAR(Invoer!$A$5),12,31)-DATE(YEAR(Invoer!$A$5),1,1)+1))+2,1)</f>
        <v>49</v>
      </c>
      <c r="B898" t="str">
        <f ca="1">TEXT(DATE(YEAR(Invoer!$A$5),1,1)+MOD(ROWS(B$2:B898)-1,DATE(YEAR(Invoer!$A$5),12,31)-DATE(YEAR(Invoer!$A$5),1,1)+1),"jjjjmmdd")</f>
        <v>19410616</v>
      </c>
      <c r="C898" s="13">
        <v>1</v>
      </c>
      <c r="D898" s="18" t="str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—</v>
      </c>
      <c r="E898" s="19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7</v>
      </c>
    </row>
    <row r="899" spans="1:5" x14ac:dyDescent="0.25">
      <c r="A899" s="12">
        <f ca="1">INDEX(Stations,INT((ROWS(A$2:A899)-1)/(DATE(YEAR(Invoer!$A$5),12,31)-DATE(YEAR(Invoer!$A$5),1,1)+1))+2,1)</f>
        <v>49</v>
      </c>
      <c r="B899" t="str">
        <f ca="1">TEXT(DATE(YEAR(Invoer!$A$5),1,1)+MOD(ROWS(B$2:B899)-1,DATE(YEAR(Invoer!$A$5),12,31)-DATE(YEAR(Invoer!$A$5),1,1)+1),"jjjjmmdd")</f>
        <v>19410617</v>
      </c>
      <c r="C899" s="13">
        <v>1</v>
      </c>
      <c r="D899" s="18" t="str">
        <f t="shared" ca="1" si="28"/>
        <v>—</v>
      </c>
      <c r="E899" s="19">
        <f t="shared" ca="1" si="29"/>
        <v>7</v>
      </c>
    </row>
    <row r="900" spans="1:5" x14ac:dyDescent="0.25">
      <c r="A900" s="12">
        <f ca="1">INDEX(Stations,INT((ROWS(A$2:A900)-1)/(DATE(YEAR(Invoer!$A$5),12,31)-DATE(YEAR(Invoer!$A$5),1,1)+1))+2,1)</f>
        <v>49</v>
      </c>
      <c r="B900" t="str">
        <f ca="1">TEXT(DATE(YEAR(Invoer!$A$5),1,1)+MOD(ROWS(B$2:B900)-1,DATE(YEAR(Invoer!$A$5),12,31)-DATE(YEAR(Invoer!$A$5),1,1)+1),"jjjjmmdd")</f>
        <v>19410618</v>
      </c>
      <c r="C900" s="13">
        <v>1</v>
      </c>
      <c r="D900" s="18" t="str">
        <f t="shared" ca="1" si="28"/>
        <v>—</v>
      </c>
      <c r="E900" s="19">
        <f t="shared" ca="1" si="29"/>
        <v>7</v>
      </c>
    </row>
    <row r="901" spans="1:5" x14ac:dyDescent="0.25">
      <c r="A901" s="12">
        <f ca="1">INDEX(Stations,INT((ROWS(A$2:A901)-1)/(DATE(YEAR(Invoer!$A$5),12,31)-DATE(YEAR(Invoer!$A$5),1,1)+1))+2,1)</f>
        <v>49</v>
      </c>
      <c r="B901" t="str">
        <f ca="1">TEXT(DATE(YEAR(Invoer!$A$5),1,1)+MOD(ROWS(B$2:B901)-1,DATE(YEAR(Invoer!$A$5),12,31)-DATE(YEAR(Invoer!$A$5),1,1)+1),"jjjjmmdd")</f>
        <v>19410619</v>
      </c>
      <c r="C901" s="13">
        <v>1</v>
      </c>
      <c r="D901" s="18" t="str">
        <f t="shared" ca="1" si="28"/>
        <v>—</v>
      </c>
      <c r="E901" s="19">
        <f t="shared" ca="1" si="29"/>
        <v>7</v>
      </c>
    </row>
    <row r="902" spans="1:5" x14ac:dyDescent="0.25">
      <c r="A902" s="12">
        <f ca="1">INDEX(Stations,INT((ROWS(A$2:A902)-1)/(DATE(YEAR(Invoer!$A$5),12,31)-DATE(YEAR(Invoer!$A$5),1,1)+1))+2,1)</f>
        <v>49</v>
      </c>
      <c r="B902" t="str">
        <f ca="1">TEXT(DATE(YEAR(Invoer!$A$5),1,1)+MOD(ROWS(B$2:B902)-1,DATE(YEAR(Invoer!$A$5),12,31)-DATE(YEAR(Invoer!$A$5),1,1)+1),"jjjjmmdd")</f>
        <v>19410620</v>
      </c>
      <c r="C902" s="13">
        <v>1</v>
      </c>
      <c r="D902" s="18" t="str">
        <f t="shared" ca="1" si="28"/>
        <v>—</v>
      </c>
      <c r="E902" s="19">
        <f t="shared" ca="1" si="29"/>
        <v>7</v>
      </c>
    </row>
    <row r="903" spans="1:5" x14ac:dyDescent="0.25">
      <c r="A903" s="12">
        <f ca="1">INDEX(Stations,INT((ROWS(A$2:A903)-1)/(DATE(YEAR(Invoer!$A$5),12,31)-DATE(YEAR(Invoer!$A$5),1,1)+1))+2,1)</f>
        <v>49</v>
      </c>
      <c r="B903" t="str">
        <f ca="1">TEXT(DATE(YEAR(Invoer!$A$5),1,1)+MOD(ROWS(B$2:B903)-1,DATE(YEAR(Invoer!$A$5),12,31)-DATE(YEAR(Invoer!$A$5),1,1)+1),"jjjjmmdd")</f>
        <v>19410621</v>
      </c>
      <c r="C903" s="13">
        <v>1</v>
      </c>
      <c r="D903" s="18" t="str">
        <f t="shared" ca="1" si="28"/>
        <v>—</v>
      </c>
      <c r="E903" s="19">
        <f t="shared" ca="1" si="29"/>
        <v>7</v>
      </c>
    </row>
    <row r="904" spans="1:5" x14ac:dyDescent="0.25">
      <c r="A904" s="12">
        <f ca="1">INDEX(Stations,INT((ROWS(A$2:A904)-1)/(DATE(YEAR(Invoer!$A$5),12,31)-DATE(YEAR(Invoer!$A$5),1,1)+1))+2,1)</f>
        <v>49</v>
      </c>
      <c r="B904" t="str">
        <f ca="1">TEXT(DATE(YEAR(Invoer!$A$5),1,1)+MOD(ROWS(B$2:B904)-1,DATE(YEAR(Invoer!$A$5),12,31)-DATE(YEAR(Invoer!$A$5),1,1)+1),"jjjjmmdd")</f>
        <v>19410622</v>
      </c>
      <c r="C904" s="13">
        <v>1</v>
      </c>
      <c r="D904" s="18" t="str">
        <f t="shared" ca="1" si="28"/>
        <v>—</v>
      </c>
      <c r="E904" s="19">
        <f t="shared" ca="1" si="29"/>
        <v>7</v>
      </c>
    </row>
    <row r="905" spans="1:5" x14ac:dyDescent="0.25">
      <c r="A905" s="12">
        <f ca="1">INDEX(Stations,INT((ROWS(A$2:A905)-1)/(DATE(YEAR(Invoer!$A$5),12,31)-DATE(YEAR(Invoer!$A$5),1,1)+1))+2,1)</f>
        <v>49</v>
      </c>
      <c r="B905" t="str">
        <f ca="1">TEXT(DATE(YEAR(Invoer!$A$5),1,1)+MOD(ROWS(B$2:B905)-1,DATE(YEAR(Invoer!$A$5),12,31)-DATE(YEAR(Invoer!$A$5),1,1)+1),"jjjjmmdd")</f>
        <v>19410623</v>
      </c>
      <c r="C905" s="13">
        <v>1</v>
      </c>
      <c r="D905" s="18" t="str">
        <f t="shared" ca="1" si="28"/>
        <v>—</v>
      </c>
      <c r="E905" s="19">
        <f t="shared" ca="1" si="29"/>
        <v>7</v>
      </c>
    </row>
    <row r="906" spans="1:5" x14ac:dyDescent="0.25">
      <c r="A906" s="12">
        <f ca="1">INDEX(Stations,INT((ROWS(A$2:A906)-1)/(DATE(YEAR(Invoer!$A$5),12,31)-DATE(YEAR(Invoer!$A$5),1,1)+1))+2,1)</f>
        <v>49</v>
      </c>
      <c r="B906" t="str">
        <f ca="1">TEXT(DATE(YEAR(Invoer!$A$5),1,1)+MOD(ROWS(B$2:B906)-1,DATE(YEAR(Invoer!$A$5),12,31)-DATE(YEAR(Invoer!$A$5),1,1)+1),"jjjjmmdd")</f>
        <v>19410624</v>
      </c>
      <c r="C906" s="13">
        <v>1</v>
      </c>
      <c r="D906" s="18" t="str">
        <f t="shared" ca="1" si="28"/>
        <v>—</v>
      </c>
      <c r="E906" s="19">
        <f t="shared" ca="1" si="29"/>
        <v>7</v>
      </c>
    </row>
    <row r="907" spans="1:5" x14ac:dyDescent="0.25">
      <c r="A907" s="12">
        <f ca="1">INDEX(Stations,INT((ROWS(A$2:A907)-1)/(DATE(YEAR(Invoer!$A$5),12,31)-DATE(YEAR(Invoer!$A$5),1,1)+1))+2,1)</f>
        <v>49</v>
      </c>
      <c r="B907" t="str">
        <f ca="1">TEXT(DATE(YEAR(Invoer!$A$5),1,1)+MOD(ROWS(B$2:B907)-1,DATE(YEAR(Invoer!$A$5),12,31)-DATE(YEAR(Invoer!$A$5),1,1)+1),"jjjjmmdd")</f>
        <v>19410625</v>
      </c>
      <c r="C907" s="13">
        <v>1</v>
      </c>
      <c r="D907" s="18" t="str">
        <f t="shared" ca="1" si="28"/>
        <v>—</v>
      </c>
      <c r="E907" s="19">
        <f t="shared" ca="1" si="29"/>
        <v>7</v>
      </c>
    </row>
    <row r="908" spans="1:5" x14ac:dyDescent="0.25">
      <c r="A908" s="12">
        <f ca="1">INDEX(Stations,INT((ROWS(A$2:A908)-1)/(DATE(YEAR(Invoer!$A$5),12,31)-DATE(YEAR(Invoer!$A$5),1,1)+1))+2,1)</f>
        <v>49</v>
      </c>
      <c r="B908" t="str">
        <f ca="1">TEXT(DATE(YEAR(Invoer!$A$5),1,1)+MOD(ROWS(B$2:B908)-1,DATE(YEAR(Invoer!$A$5),12,31)-DATE(YEAR(Invoer!$A$5),1,1)+1),"jjjjmmdd")</f>
        <v>19410626</v>
      </c>
      <c r="C908" s="13">
        <v>1</v>
      </c>
      <c r="D908" s="18" t="str">
        <f t="shared" ca="1" si="28"/>
        <v>—</v>
      </c>
      <c r="E908" s="19">
        <f t="shared" ca="1" si="29"/>
        <v>7</v>
      </c>
    </row>
    <row r="909" spans="1:5" x14ac:dyDescent="0.25">
      <c r="A909" s="12">
        <f ca="1">INDEX(Stations,INT((ROWS(A$2:A909)-1)/(DATE(YEAR(Invoer!$A$5),12,31)-DATE(YEAR(Invoer!$A$5),1,1)+1))+2,1)</f>
        <v>49</v>
      </c>
      <c r="B909" t="str">
        <f ca="1">TEXT(DATE(YEAR(Invoer!$A$5),1,1)+MOD(ROWS(B$2:B909)-1,DATE(YEAR(Invoer!$A$5),12,31)-DATE(YEAR(Invoer!$A$5),1,1)+1),"jjjjmmdd")</f>
        <v>19410627</v>
      </c>
      <c r="C909" s="13">
        <v>1</v>
      </c>
      <c r="D909" s="18" t="str">
        <f t="shared" ca="1" si="28"/>
        <v>—</v>
      </c>
      <c r="E909" s="19">
        <f t="shared" ca="1" si="29"/>
        <v>7</v>
      </c>
    </row>
    <row r="910" spans="1:5" x14ac:dyDescent="0.25">
      <c r="A910" s="12">
        <f ca="1">INDEX(Stations,INT((ROWS(A$2:A910)-1)/(DATE(YEAR(Invoer!$A$5),12,31)-DATE(YEAR(Invoer!$A$5),1,1)+1))+2,1)</f>
        <v>49</v>
      </c>
      <c r="B910" t="str">
        <f ca="1">TEXT(DATE(YEAR(Invoer!$A$5),1,1)+MOD(ROWS(B$2:B910)-1,DATE(YEAR(Invoer!$A$5),12,31)-DATE(YEAR(Invoer!$A$5),1,1)+1),"jjjjmmdd")</f>
        <v>19410628</v>
      </c>
      <c r="C910" s="13">
        <v>1</v>
      </c>
      <c r="D910" s="18" t="str">
        <f t="shared" ca="1" si="28"/>
        <v>—</v>
      </c>
      <c r="E910" s="19">
        <f t="shared" ca="1" si="29"/>
        <v>7</v>
      </c>
    </row>
    <row r="911" spans="1:5" x14ac:dyDescent="0.25">
      <c r="A911" s="12">
        <f ca="1">INDEX(Stations,INT((ROWS(A$2:A911)-1)/(DATE(YEAR(Invoer!$A$5),12,31)-DATE(YEAR(Invoer!$A$5),1,1)+1))+2,1)</f>
        <v>49</v>
      </c>
      <c r="B911" t="str">
        <f ca="1">TEXT(DATE(YEAR(Invoer!$A$5),1,1)+MOD(ROWS(B$2:B911)-1,DATE(YEAR(Invoer!$A$5),12,31)-DATE(YEAR(Invoer!$A$5),1,1)+1),"jjjjmmdd")</f>
        <v>19410629</v>
      </c>
      <c r="C911" s="13">
        <v>1</v>
      </c>
      <c r="D911" s="18" t="str">
        <f t="shared" ca="1" si="28"/>
        <v>—</v>
      </c>
      <c r="E911" s="19">
        <f t="shared" ca="1" si="29"/>
        <v>7</v>
      </c>
    </row>
    <row r="912" spans="1:5" x14ac:dyDescent="0.25">
      <c r="A912" s="12">
        <f ca="1">INDEX(Stations,INT((ROWS(A$2:A912)-1)/(DATE(YEAR(Invoer!$A$5),12,31)-DATE(YEAR(Invoer!$A$5),1,1)+1))+2,1)</f>
        <v>49</v>
      </c>
      <c r="B912" t="str">
        <f ca="1">TEXT(DATE(YEAR(Invoer!$A$5),1,1)+MOD(ROWS(B$2:B912)-1,DATE(YEAR(Invoer!$A$5),12,31)-DATE(YEAR(Invoer!$A$5),1,1)+1),"jjjjmmdd")</f>
        <v>19410630</v>
      </c>
      <c r="C912" s="13">
        <v>1</v>
      </c>
      <c r="D912" s="18" t="str">
        <f t="shared" ca="1" si="28"/>
        <v>—</v>
      </c>
      <c r="E912" s="19">
        <f t="shared" ca="1" si="29"/>
        <v>7</v>
      </c>
    </row>
    <row r="913" spans="1:5" x14ac:dyDescent="0.25">
      <c r="A913" s="12">
        <f ca="1">INDEX(Stations,INT((ROWS(A$2:A913)-1)/(DATE(YEAR(Invoer!$A$5),12,31)-DATE(YEAR(Invoer!$A$5),1,1)+1))+2,1)</f>
        <v>49</v>
      </c>
      <c r="B913" t="str">
        <f ca="1">TEXT(DATE(YEAR(Invoer!$A$5),1,1)+MOD(ROWS(B$2:B913)-1,DATE(YEAR(Invoer!$A$5),12,31)-DATE(YEAR(Invoer!$A$5),1,1)+1),"jjjjmmdd")</f>
        <v>19410701</v>
      </c>
      <c r="C913" s="13">
        <v>1</v>
      </c>
      <c r="D913" s="18" t="str">
        <f t="shared" ca="1" si="28"/>
        <v>—</v>
      </c>
      <c r="E913" s="19">
        <f t="shared" ca="1" si="29"/>
        <v>7</v>
      </c>
    </row>
    <row r="914" spans="1:5" x14ac:dyDescent="0.25">
      <c r="A914" s="12">
        <f ca="1">INDEX(Stations,INT((ROWS(A$2:A914)-1)/(DATE(YEAR(Invoer!$A$5),12,31)-DATE(YEAR(Invoer!$A$5),1,1)+1))+2,1)</f>
        <v>49</v>
      </c>
      <c r="B914" t="str">
        <f ca="1">TEXT(DATE(YEAR(Invoer!$A$5),1,1)+MOD(ROWS(B$2:B914)-1,DATE(YEAR(Invoer!$A$5),12,31)-DATE(YEAR(Invoer!$A$5),1,1)+1),"jjjjmmdd")</f>
        <v>19410702</v>
      </c>
      <c r="C914" s="13">
        <v>1</v>
      </c>
      <c r="D914" s="18" t="str">
        <f t="shared" ca="1" si="28"/>
        <v>—</v>
      </c>
      <c r="E914" s="19">
        <f t="shared" ca="1" si="29"/>
        <v>7</v>
      </c>
    </row>
    <row r="915" spans="1:5" x14ac:dyDescent="0.25">
      <c r="A915" s="12">
        <f ca="1">INDEX(Stations,INT((ROWS(A$2:A915)-1)/(DATE(YEAR(Invoer!$A$5),12,31)-DATE(YEAR(Invoer!$A$5),1,1)+1))+2,1)</f>
        <v>49</v>
      </c>
      <c r="B915" t="str">
        <f ca="1">TEXT(DATE(YEAR(Invoer!$A$5),1,1)+MOD(ROWS(B$2:B915)-1,DATE(YEAR(Invoer!$A$5),12,31)-DATE(YEAR(Invoer!$A$5),1,1)+1),"jjjjmmdd")</f>
        <v>19410703</v>
      </c>
      <c r="C915" s="13">
        <v>1</v>
      </c>
      <c r="D915" s="18" t="str">
        <f t="shared" ca="1" si="28"/>
        <v>—</v>
      </c>
      <c r="E915" s="19">
        <f t="shared" ca="1" si="29"/>
        <v>7</v>
      </c>
    </row>
    <row r="916" spans="1:5" x14ac:dyDescent="0.25">
      <c r="A916" s="12">
        <f ca="1">INDEX(Stations,INT((ROWS(A$2:A916)-1)/(DATE(YEAR(Invoer!$A$5),12,31)-DATE(YEAR(Invoer!$A$5),1,1)+1))+2,1)</f>
        <v>49</v>
      </c>
      <c r="B916" t="str">
        <f ca="1">TEXT(DATE(YEAR(Invoer!$A$5),1,1)+MOD(ROWS(B$2:B916)-1,DATE(YEAR(Invoer!$A$5),12,31)-DATE(YEAR(Invoer!$A$5),1,1)+1),"jjjjmmdd")</f>
        <v>19410704</v>
      </c>
      <c r="C916" s="13">
        <v>1</v>
      </c>
      <c r="D916" s="18" t="str">
        <f t="shared" ca="1" si="28"/>
        <v>—</v>
      </c>
      <c r="E916" s="19">
        <f t="shared" ca="1" si="29"/>
        <v>7</v>
      </c>
    </row>
    <row r="917" spans="1:5" x14ac:dyDescent="0.25">
      <c r="A917" s="12">
        <f ca="1">INDEX(Stations,INT((ROWS(A$2:A917)-1)/(DATE(YEAR(Invoer!$A$5),12,31)-DATE(YEAR(Invoer!$A$5),1,1)+1))+2,1)</f>
        <v>49</v>
      </c>
      <c r="B917" t="str">
        <f ca="1">TEXT(DATE(YEAR(Invoer!$A$5),1,1)+MOD(ROWS(B$2:B917)-1,DATE(YEAR(Invoer!$A$5),12,31)-DATE(YEAR(Invoer!$A$5),1,1)+1),"jjjjmmdd")</f>
        <v>19410705</v>
      </c>
      <c r="C917" s="13">
        <v>1</v>
      </c>
      <c r="D917" s="18" t="str">
        <f t="shared" ca="1" si="28"/>
        <v>—</v>
      </c>
      <c r="E917" s="19">
        <f t="shared" ca="1" si="29"/>
        <v>7</v>
      </c>
    </row>
    <row r="918" spans="1:5" x14ac:dyDescent="0.25">
      <c r="A918" s="12">
        <f ca="1">INDEX(Stations,INT((ROWS(A$2:A918)-1)/(DATE(YEAR(Invoer!$A$5),12,31)-DATE(YEAR(Invoer!$A$5),1,1)+1))+2,1)</f>
        <v>49</v>
      </c>
      <c r="B918" t="str">
        <f ca="1">TEXT(DATE(YEAR(Invoer!$A$5),1,1)+MOD(ROWS(B$2:B918)-1,DATE(YEAR(Invoer!$A$5),12,31)-DATE(YEAR(Invoer!$A$5),1,1)+1),"jjjjmmdd")</f>
        <v>19410706</v>
      </c>
      <c r="C918" s="13">
        <v>1</v>
      </c>
      <c r="D918" s="18" t="str">
        <f t="shared" ca="1" si="28"/>
        <v>—</v>
      </c>
      <c r="E918" s="19">
        <f t="shared" ca="1" si="29"/>
        <v>7</v>
      </c>
    </row>
    <row r="919" spans="1:5" x14ac:dyDescent="0.25">
      <c r="A919" s="12">
        <f ca="1">INDEX(Stations,INT((ROWS(A$2:A919)-1)/(DATE(YEAR(Invoer!$A$5),12,31)-DATE(YEAR(Invoer!$A$5),1,1)+1))+2,1)</f>
        <v>49</v>
      </c>
      <c r="B919" t="str">
        <f ca="1">TEXT(DATE(YEAR(Invoer!$A$5),1,1)+MOD(ROWS(B$2:B919)-1,DATE(YEAR(Invoer!$A$5),12,31)-DATE(YEAR(Invoer!$A$5),1,1)+1),"jjjjmmdd")</f>
        <v>19410707</v>
      </c>
      <c r="C919" s="13">
        <v>1</v>
      </c>
      <c r="D919" s="18" t="str">
        <f t="shared" ca="1" si="28"/>
        <v>—</v>
      </c>
      <c r="E919" s="19">
        <f t="shared" ca="1" si="29"/>
        <v>7</v>
      </c>
    </row>
    <row r="920" spans="1:5" x14ac:dyDescent="0.25">
      <c r="A920" s="12">
        <f ca="1">INDEX(Stations,INT((ROWS(A$2:A920)-1)/(DATE(YEAR(Invoer!$A$5),12,31)-DATE(YEAR(Invoer!$A$5),1,1)+1))+2,1)</f>
        <v>49</v>
      </c>
      <c r="B920" t="str">
        <f ca="1">TEXT(DATE(YEAR(Invoer!$A$5),1,1)+MOD(ROWS(B$2:B920)-1,DATE(YEAR(Invoer!$A$5),12,31)-DATE(YEAR(Invoer!$A$5),1,1)+1),"jjjjmmdd")</f>
        <v>19410708</v>
      </c>
      <c r="C920" s="13">
        <v>1</v>
      </c>
      <c r="D920" s="18" t="str">
        <f t="shared" ca="1" si="28"/>
        <v>—</v>
      </c>
      <c r="E920" s="19">
        <f t="shared" ca="1" si="29"/>
        <v>7</v>
      </c>
    </row>
    <row r="921" spans="1:5" x14ac:dyDescent="0.25">
      <c r="A921" s="12">
        <f ca="1">INDEX(Stations,INT((ROWS(A$2:A921)-1)/(DATE(YEAR(Invoer!$A$5),12,31)-DATE(YEAR(Invoer!$A$5),1,1)+1))+2,1)</f>
        <v>49</v>
      </c>
      <c r="B921" t="str">
        <f ca="1">TEXT(DATE(YEAR(Invoer!$A$5),1,1)+MOD(ROWS(B$2:B921)-1,DATE(YEAR(Invoer!$A$5),12,31)-DATE(YEAR(Invoer!$A$5),1,1)+1),"jjjjmmdd")</f>
        <v>19410709</v>
      </c>
      <c r="C921" s="13">
        <v>1</v>
      </c>
      <c r="D921" s="18" t="str">
        <f t="shared" ca="1" si="28"/>
        <v>—</v>
      </c>
      <c r="E921" s="19">
        <f t="shared" ca="1" si="29"/>
        <v>7</v>
      </c>
    </row>
    <row r="922" spans="1:5" x14ac:dyDescent="0.25">
      <c r="A922" s="12">
        <f ca="1">INDEX(Stations,INT((ROWS(A$2:A922)-1)/(DATE(YEAR(Invoer!$A$5),12,31)-DATE(YEAR(Invoer!$A$5),1,1)+1))+2,1)</f>
        <v>49</v>
      </c>
      <c r="B922" t="str">
        <f ca="1">TEXT(DATE(YEAR(Invoer!$A$5),1,1)+MOD(ROWS(B$2:B922)-1,DATE(YEAR(Invoer!$A$5),12,31)-DATE(YEAR(Invoer!$A$5),1,1)+1),"jjjjmmdd")</f>
        <v>19410710</v>
      </c>
      <c r="C922" s="13">
        <v>1</v>
      </c>
      <c r="D922" s="18" t="str">
        <f t="shared" ca="1" si="28"/>
        <v>—</v>
      </c>
      <c r="E922" s="19">
        <f t="shared" ca="1" si="29"/>
        <v>7</v>
      </c>
    </row>
    <row r="923" spans="1:5" x14ac:dyDescent="0.25">
      <c r="A923" s="12">
        <f ca="1">INDEX(Stations,INT((ROWS(A$2:A923)-1)/(DATE(YEAR(Invoer!$A$5),12,31)-DATE(YEAR(Invoer!$A$5),1,1)+1))+2,1)</f>
        <v>49</v>
      </c>
      <c r="B923" t="str">
        <f ca="1">TEXT(DATE(YEAR(Invoer!$A$5),1,1)+MOD(ROWS(B$2:B923)-1,DATE(YEAR(Invoer!$A$5),12,31)-DATE(YEAR(Invoer!$A$5),1,1)+1),"jjjjmmdd")</f>
        <v>19410711</v>
      </c>
      <c r="C923" s="13">
        <v>1</v>
      </c>
      <c r="D923" s="18" t="str">
        <f t="shared" ca="1" si="28"/>
        <v>—</v>
      </c>
      <c r="E923" s="19">
        <f t="shared" ca="1" si="29"/>
        <v>7</v>
      </c>
    </row>
    <row r="924" spans="1:5" x14ac:dyDescent="0.25">
      <c r="A924" s="12">
        <f ca="1">INDEX(Stations,INT((ROWS(A$2:A924)-1)/(DATE(YEAR(Invoer!$A$5),12,31)-DATE(YEAR(Invoer!$A$5),1,1)+1))+2,1)</f>
        <v>49</v>
      </c>
      <c r="B924" t="str">
        <f ca="1">TEXT(DATE(YEAR(Invoer!$A$5),1,1)+MOD(ROWS(B$2:B924)-1,DATE(YEAR(Invoer!$A$5),12,31)-DATE(YEAR(Invoer!$A$5),1,1)+1),"jjjjmmdd")</f>
        <v>19410712</v>
      </c>
      <c r="C924" s="13">
        <v>1</v>
      </c>
      <c r="D924" s="18" t="str">
        <f t="shared" ca="1" si="28"/>
        <v>—</v>
      </c>
      <c r="E924" s="19">
        <f t="shared" ca="1" si="29"/>
        <v>7</v>
      </c>
    </row>
    <row r="925" spans="1:5" x14ac:dyDescent="0.25">
      <c r="A925" s="12">
        <f ca="1">INDEX(Stations,INT((ROWS(A$2:A925)-1)/(DATE(YEAR(Invoer!$A$5),12,31)-DATE(YEAR(Invoer!$A$5),1,1)+1))+2,1)</f>
        <v>49</v>
      </c>
      <c r="B925" t="str">
        <f ca="1">TEXT(DATE(YEAR(Invoer!$A$5),1,1)+MOD(ROWS(B$2:B925)-1,DATE(YEAR(Invoer!$A$5),12,31)-DATE(YEAR(Invoer!$A$5),1,1)+1),"jjjjmmdd")</f>
        <v>19410713</v>
      </c>
      <c r="C925" s="13">
        <v>1</v>
      </c>
      <c r="D925" s="18" t="str">
        <f t="shared" ca="1" si="28"/>
        <v>—</v>
      </c>
      <c r="E925" s="19">
        <f t="shared" ca="1" si="29"/>
        <v>7</v>
      </c>
    </row>
    <row r="926" spans="1:5" x14ac:dyDescent="0.25">
      <c r="A926" s="12">
        <f ca="1">INDEX(Stations,INT((ROWS(A$2:A926)-1)/(DATE(YEAR(Invoer!$A$5),12,31)-DATE(YEAR(Invoer!$A$5),1,1)+1))+2,1)</f>
        <v>49</v>
      </c>
      <c r="B926" t="str">
        <f ca="1">TEXT(DATE(YEAR(Invoer!$A$5),1,1)+MOD(ROWS(B$2:B926)-1,DATE(YEAR(Invoer!$A$5),12,31)-DATE(YEAR(Invoer!$A$5),1,1)+1),"jjjjmmdd")</f>
        <v>19410714</v>
      </c>
      <c r="C926" s="13">
        <v>1</v>
      </c>
      <c r="D926" s="18" t="str">
        <f t="shared" ca="1" si="28"/>
        <v>—</v>
      </c>
      <c r="E926" s="19">
        <f t="shared" ca="1" si="29"/>
        <v>7</v>
      </c>
    </row>
    <row r="927" spans="1:5" x14ac:dyDescent="0.25">
      <c r="A927" s="12">
        <f ca="1">INDEX(Stations,INT((ROWS(A$2:A927)-1)/(DATE(YEAR(Invoer!$A$5),12,31)-DATE(YEAR(Invoer!$A$5),1,1)+1))+2,1)</f>
        <v>49</v>
      </c>
      <c r="B927" t="str">
        <f ca="1">TEXT(DATE(YEAR(Invoer!$A$5),1,1)+MOD(ROWS(B$2:B927)-1,DATE(YEAR(Invoer!$A$5),12,31)-DATE(YEAR(Invoer!$A$5),1,1)+1),"jjjjmmdd")</f>
        <v>19410715</v>
      </c>
      <c r="C927" s="13">
        <v>1</v>
      </c>
      <c r="D927" s="18" t="str">
        <f t="shared" ca="1" si="28"/>
        <v>—</v>
      </c>
      <c r="E927" s="19">
        <f t="shared" ca="1" si="29"/>
        <v>7</v>
      </c>
    </row>
    <row r="928" spans="1:5" x14ac:dyDescent="0.25">
      <c r="A928" s="12">
        <f ca="1">INDEX(Stations,INT((ROWS(A$2:A928)-1)/(DATE(YEAR(Invoer!$A$5),12,31)-DATE(YEAR(Invoer!$A$5),1,1)+1))+2,1)</f>
        <v>49</v>
      </c>
      <c r="B928" t="str">
        <f ca="1">TEXT(DATE(YEAR(Invoer!$A$5),1,1)+MOD(ROWS(B$2:B928)-1,DATE(YEAR(Invoer!$A$5),12,31)-DATE(YEAR(Invoer!$A$5),1,1)+1),"jjjjmmdd")</f>
        <v>19410716</v>
      </c>
      <c r="C928" s="13">
        <v>1</v>
      </c>
      <c r="D928" s="18" t="str">
        <f t="shared" ca="1" si="28"/>
        <v>—</v>
      </c>
      <c r="E928" s="19">
        <f t="shared" ca="1" si="29"/>
        <v>7</v>
      </c>
    </row>
    <row r="929" spans="1:5" x14ac:dyDescent="0.25">
      <c r="A929" s="12">
        <f ca="1">INDEX(Stations,INT((ROWS(A$2:A929)-1)/(DATE(YEAR(Invoer!$A$5),12,31)-DATE(YEAR(Invoer!$A$5),1,1)+1))+2,1)</f>
        <v>49</v>
      </c>
      <c r="B929" t="str">
        <f ca="1">TEXT(DATE(YEAR(Invoer!$A$5),1,1)+MOD(ROWS(B$2:B929)-1,DATE(YEAR(Invoer!$A$5),12,31)-DATE(YEAR(Invoer!$A$5),1,1)+1),"jjjjmmdd")</f>
        <v>19410717</v>
      </c>
      <c r="C929" s="13">
        <v>1</v>
      </c>
      <c r="D929" s="18" t="str">
        <f t="shared" ca="1" si="28"/>
        <v>—</v>
      </c>
      <c r="E929" s="19">
        <f t="shared" ca="1" si="29"/>
        <v>7</v>
      </c>
    </row>
    <row r="930" spans="1:5" x14ac:dyDescent="0.25">
      <c r="A930" s="12">
        <f ca="1">INDEX(Stations,INT((ROWS(A$2:A930)-1)/(DATE(YEAR(Invoer!$A$5),12,31)-DATE(YEAR(Invoer!$A$5),1,1)+1))+2,1)</f>
        <v>49</v>
      </c>
      <c r="B930" t="str">
        <f ca="1">TEXT(DATE(YEAR(Invoer!$A$5),1,1)+MOD(ROWS(B$2:B930)-1,DATE(YEAR(Invoer!$A$5),12,31)-DATE(YEAR(Invoer!$A$5),1,1)+1),"jjjjmmdd")</f>
        <v>19410718</v>
      </c>
      <c r="C930" s="13">
        <v>1</v>
      </c>
      <c r="D930" s="18" t="str">
        <f t="shared" ca="1" si="28"/>
        <v>—</v>
      </c>
      <c r="E930" s="19">
        <f t="shared" ca="1" si="29"/>
        <v>7</v>
      </c>
    </row>
    <row r="931" spans="1:5" x14ac:dyDescent="0.25">
      <c r="A931" s="12">
        <f ca="1">INDEX(Stations,INT((ROWS(A$2:A931)-1)/(DATE(YEAR(Invoer!$A$5),12,31)-DATE(YEAR(Invoer!$A$5),1,1)+1))+2,1)</f>
        <v>49</v>
      </c>
      <c r="B931" t="str">
        <f ca="1">TEXT(DATE(YEAR(Invoer!$A$5),1,1)+MOD(ROWS(B$2:B931)-1,DATE(YEAR(Invoer!$A$5),12,31)-DATE(YEAR(Invoer!$A$5),1,1)+1),"jjjjmmdd")</f>
        <v>19410719</v>
      </c>
      <c r="C931" s="13">
        <v>1</v>
      </c>
      <c r="D931" s="18" t="str">
        <f t="shared" ca="1" si="28"/>
        <v>—</v>
      </c>
      <c r="E931" s="19">
        <f t="shared" ca="1" si="29"/>
        <v>7</v>
      </c>
    </row>
    <row r="932" spans="1:5" x14ac:dyDescent="0.25">
      <c r="A932" s="12">
        <f ca="1">INDEX(Stations,INT((ROWS(A$2:A932)-1)/(DATE(YEAR(Invoer!$A$5),12,31)-DATE(YEAR(Invoer!$A$5),1,1)+1))+2,1)</f>
        <v>49</v>
      </c>
      <c r="B932" t="str">
        <f ca="1">TEXT(DATE(YEAR(Invoer!$A$5),1,1)+MOD(ROWS(B$2:B932)-1,DATE(YEAR(Invoer!$A$5),12,31)-DATE(YEAR(Invoer!$A$5),1,1)+1),"jjjjmmdd")</f>
        <v>19410720</v>
      </c>
      <c r="C932" s="13">
        <v>1</v>
      </c>
      <c r="D932" s="18" t="str">
        <f t="shared" ca="1" si="28"/>
        <v>—</v>
      </c>
      <c r="E932" s="19">
        <f t="shared" ca="1" si="29"/>
        <v>7</v>
      </c>
    </row>
    <row r="933" spans="1:5" x14ac:dyDescent="0.25">
      <c r="A933" s="12">
        <f ca="1">INDEX(Stations,INT((ROWS(A$2:A933)-1)/(DATE(YEAR(Invoer!$A$5),12,31)-DATE(YEAR(Invoer!$A$5),1,1)+1))+2,1)</f>
        <v>49</v>
      </c>
      <c r="B933" t="str">
        <f ca="1">TEXT(DATE(YEAR(Invoer!$A$5),1,1)+MOD(ROWS(B$2:B933)-1,DATE(YEAR(Invoer!$A$5),12,31)-DATE(YEAR(Invoer!$A$5),1,1)+1),"jjjjmmdd")</f>
        <v>19410721</v>
      </c>
      <c r="C933" s="13">
        <v>1</v>
      </c>
      <c r="D933" s="18" t="str">
        <f t="shared" ca="1" si="28"/>
        <v>—</v>
      </c>
      <c r="E933" s="19">
        <f t="shared" ca="1" si="29"/>
        <v>7</v>
      </c>
    </row>
    <row r="934" spans="1:5" x14ac:dyDescent="0.25">
      <c r="A934" s="12">
        <f ca="1">INDEX(Stations,INT((ROWS(A$2:A934)-1)/(DATE(YEAR(Invoer!$A$5),12,31)-DATE(YEAR(Invoer!$A$5),1,1)+1))+2,1)</f>
        <v>49</v>
      </c>
      <c r="B934" t="str">
        <f ca="1">TEXT(DATE(YEAR(Invoer!$A$5),1,1)+MOD(ROWS(B$2:B934)-1,DATE(YEAR(Invoer!$A$5),12,31)-DATE(YEAR(Invoer!$A$5),1,1)+1),"jjjjmmdd")</f>
        <v>19410722</v>
      </c>
      <c r="C934" s="13">
        <v>1</v>
      </c>
      <c r="D934" s="18" t="str">
        <f t="shared" ca="1" si="28"/>
        <v>—</v>
      </c>
      <c r="E934" s="19">
        <f t="shared" ca="1" si="29"/>
        <v>7</v>
      </c>
    </row>
    <row r="935" spans="1:5" x14ac:dyDescent="0.25">
      <c r="A935" s="12">
        <f ca="1">INDEX(Stations,INT((ROWS(A$2:A935)-1)/(DATE(YEAR(Invoer!$A$5),12,31)-DATE(YEAR(Invoer!$A$5),1,1)+1))+2,1)</f>
        <v>49</v>
      </c>
      <c r="B935" t="str">
        <f ca="1">TEXT(DATE(YEAR(Invoer!$A$5),1,1)+MOD(ROWS(B$2:B935)-1,DATE(YEAR(Invoer!$A$5),12,31)-DATE(YEAR(Invoer!$A$5),1,1)+1),"jjjjmmdd")</f>
        <v>19410723</v>
      </c>
      <c r="C935" s="13">
        <v>1</v>
      </c>
      <c r="D935" s="18" t="str">
        <f t="shared" ca="1" si="28"/>
        <v>—</v>
      </c>
      <c r="E935" s="19">
        <f t="shared" ca="1" si="29"/>
        <v>7</v>
      </c>
    </row>
    <row r="936" spans="1:5" x14ac:dyDescent="0.25">
      <c r="A936" s="12">
        <f ca="1">INDEX(Stations,INT((ROWS(A$2:A936)-1)/(DATE(YEAR(Invoer!$A$5),12,31)-DATE(YEAR(Invoer!$A$5),1,1)+1))+2,1)</f>
        <v>49</v>
      </c>
      <c r="B936" t="str">
        <f ca="1">TEXT(DATE(YEAR(Invoer!$A$5),1,1)+MOD(ROWS(B$2:B936)-1,DATE(YEAR(Invoer!$A$5),12,31)-DATE(YEAR(Invoer!$A$5),1,1)+1),"jjjjmmdd")</f>
        <v>19410724</v>
      </c>
      <c r="C936" s="13">
        <v>1</v>
      </c>
      <c r="D936" s="18" t="str">
        <f t="shared" ca="1" si="28"/>
        <v>—</v>
      </c>
      <c r="E936" s="19">
        <f t="shared" ca="1" si="29"/>
        <v>7</v>
      </c>
    </row>
    <row r="937" spans="1:5" x14ac:dyDescent="0.25">
      <c r="A937" s="12">
        <f ca="1">INDEX(Stations,INT((ROWS(A$2:A937)-1)/(DATE(YEAR(Invoer!$A$5),12,31)-DATE(YEAR(Invoer!$A$5),1,1)+1))+2,1)</f>
        <v>49</v>
      </c>
      <c r="B937" t="str">
        <f ca="1">TEXT(DATE(YEAR(Invoer!$A$5),1,1)+MOD(ROWS(B$2:B937)-1,DATE(YEAR(Invoer!$A$5),12,31)-DATE(YEAR(Invoer!$A$5),1,1)+1),"jjjjmmdd")</f>
        <v>19410725</v>
      </c>
      <c r="C937" s="13">
        <v>1</v>
      </c>
      <c r="D937" s="18" t="str">
        <f t="shared" ca="1" si="28"/>
        <v>—</v>
      </c>
      <c r="E937" s="19">
        <f t="shared" ca="1" si="29"/>
        <v>7</v>
      </c>
    </row>
    <row r="938" spans="1:5" x14ac:dyDescent="0.25">
      <c r="A938" s="12">
        <f ca="1">INDEX(Stations,INT((ROWS(A$2:A938)-1)/(DATE(YEAR(Invoer!$A$5),12,31)-DATE(YEAR(Invoer!$A$5),1,1)+1))+2,1)</f>
        <v>49</v>
      </c>
      <c r="B938" t="str">
        <f ca="1">TEXT(DATE(YEAR(Invoer!$A$5),1,1)+MOD(ROWS(B$2:B938)-1,DATE(YEAR(Invoer!$A$5),12,31)-DATE(YEAR(Invoer!$A$5),1,1)+1),"jjjjmmdd")</f>
        <v>19410726</v>
      </c>
      <c r="C938" s="13">
        <v>1</v>
      </c>
      <c r="D938" s="18" t="str">
        <f t="shared" ca="1" si="28"/>
        <v>—</v>
      </c>
      <c r="E938" s="19">
        <f t="shared" ca="1" si="29"/>
        <v>7</v>
      </c>
    </row>
    <row r="939" spans="1:5" x14ac:dyDescent="0.25">
      <c r="A939" s="12">
        <f ca="1">INDEX(Stations,INT((ROWS(A$2:A939)-1)/(DATE(YEAR(Invoer!$A$5),12,31)-DATE(YEAR(Invoer!$A$5),1,1)+1))+2,1)</f>
        <v>49</v>
      </c>
      <c r="B939" t="str">
        <f ca="1">TEXT(DATE(YEAR(Invoer!$A$5),1,1)+MOD(ROWS(B$2:B939)-1,DATE(YEAR(Invoer!$A$5),12,31)-DATE(YEAR(Invoer!$A$5),1,1)+1),"jjjjmmdd")</f>
        <v>19410727</v>
      </c>
      <c r="C939" s="13">
        <v>1</v>
      </c>
      <c r="D939" s="18" t="str">
        <f t="shared" ca="1" si="28"/>
        <v>—</v>
      </c>
      <c r="E939" s="19">
        <f t="shared" ca="1" si="29"/>
        <v>7</v>
      </c>
    </row>
    <row r="940" spans="1:5" x14ac:dyDescent="0.25">
      <c r="A940" s="12">
        <f ca="1">INDEX(Stations,INT((ROWS(A$2:A940)-1)/(DATE(YEAR(Invoer!$A$5),12,31)-DATE(YEAR(Invoer!$A$5),1,1)+1))+2,1)</f>
        <v>49</v>
      </c>
      <c r="B940" t="str">
        <f ca="1">TEXT(DATE(YEAR(Invoer!$A$5),1,1)+MOD(ROWS(B$2:B940)-1,DATE(YEAR(Invoer!$A$5),12,31)-DATE(YEAR(Invoer!$A$5),1,1)+1),"jjjjmmdd")</f>
        <v>19410728</v>
      </c>
      <c r="C940" s="13">
        <v>1</v>
      </c>
      <c r="D940" s="18" t="str">
        <f t="shared" ca="1" si="28"/>
        <v>—</v>
      </c>
      <c r="E940" s="19">
        <f t="shared" ca="1" si="29"/>
        <v>7</v>
      </c>
    </row>
    <row r="941" spans="1:5" x14ac:dyDescent="0.25">
      <c r="A941" s="12">
        <f ca="1">INDEX(Stations,INT((ROWS(A$2:A941)-1)/(DATE(YEAR(Invoer!$A$5),12,31)-DATE(YEAR(Invoer!$A$5),1,1)+1))+2,1)</f>
        <v>49</v>
      </c>
      <c r="B941" t="str">
        <f ca="1">TEXT(DATE(YEAR(Invoer!$A$5),1,1)+MOD(ROWS(B$2:B941)-1,DATE(YEAR(Invoer!$A$5),12,31)-DATE(YEAR(Invoer!$A$5),1,1)+1),"jjjjmmdd")</f>
        <v>19410729</v>
      </c>
      <c r="C941" s="13">
        <v>1</v>
      </c>
      <c r="D941" s="18" t="str">
        <f t="shared" ca="1" si="28"/>
        <v>—</v>
      </c>
      <c r="E941" s="19">
        <f t="shared" ca="1" si="29"/>
        <v>7</v>
      </c>
    </row>
    <row r="942" spans="1:5" x14ac:dyDescent="0.25">
      <c r="A942" s="12">
        <f ca="1">INDEX(Stations,INT((ROWS(A$2:A942)-1)/(DATE(YEAR(Invoer!$A$5),12,31)-DATE(YEAR(Invoer!$A$5),1,1)+1))+2,1)</f>
        <v>49</v>
      </c>
      <c r="B942" t="str">
        <f ca="1">TEXT(DATE(YEAR(Invoer!$A$5),1,1)+MOD(ROWS(B$2:B942)-1,DATE(YEAR(Invoer!$A$5),12,31)-DATE(YEAR(Invoer!$A$5),1,1)+1),"jjjjmmdd")</f>
        <v>19410730</v>
      </c>
      <c r="C942" s="13">
        <v>1</v>
      </c>
      <c r="D942" s="18" t="str">
        <f t="shared" ca="1" si="28"/>
        <v>—</v>
      </c>
      <c r="E942" s="19">
        <f t="shared" ca="1" si="29"/>
        <v>7</v>
      </c>
    </row>
    <row r="943" spans="1:5" x14ac:dyDescent="0.25">
      <c r="A943" s="12">
        <f ca="1">INDEX(Stations,INT((ROWS(A$2:A943)-1)/(DATE(YEAR(Invoer!$A$5),12,31)-DATE(YEAR(Invoer!$A$5),1,1)+1))+2,1)</f>
        <v>49</v>
      </c>
      <c r="B943" t="str">
        <f ca="1">TEXT(DATE(YEAR(Invoer!$A$5),1,1)+MOD(ROWS(B$2:B943)-1,DATE(YEAR(Invoer!$A$5),12,31)-DATE(YEAR(Invoer!$A$5),1,1)+1),"jjjjmmdd")</f>
        <v>19410731</v>
      </c>
      <c r="C943" s="13">
        <v>1</v>
      </c>
      <c r="D943" s="18" t="str">
        <f t="shared" ca="1" si="28"/>
        <v>—</v>
      </c>
      <c r="E943" s="19">
        <f t="shared" ca="1" si="29"/>
        <v>7</v>
      </c>
    </row>
    <row r="944" spans="1:5" x14ac:dyDescent="0.25">
      <c r="A944" s="12">
        <f ca="1">INDEX(Stations,INT((ROWS(A$2:A944)-1)/(DATE(YEAR(Invoer!$A$5),12,31)-DATE(YEAR(Invoer!$A$5),1,1)+1))+2,1)</f>
        <v>49</v>
      </c>
      <c r="B944" t="str">
        <f ca="1">TEXT(DATE(YEAR(Invoer!$A$5),1,1)+MOD(ROWS(B$2:B944)-1,DATE(YEAR(Invoer!$A$5),12,31)-DATE(YEAR(Invoer!$A$5),1,1)+1),"jjjjmmdd")</f>
        <v>19410801</v>
      </c>
      <c r="C944" s="13">
        <v>1</v>
      </c>
      <c r="D944" s="18" t="str">
        <f t="shared" ca="1" si="28"/>
        <v>—</v>
      </c>
      <c r="E944" s="19">
        <f t="shared" ca="1" si="29"/>
        <v>7</v>
      </c>
    </row>
    <row r="945" spans="1:5" x14ac:dyDescent="0.25">
      <c r="A945" s="12">
        <f ca="1">INDEX(Stations,INT((ROWS(A$2:A945)-1)/(DATE(YEAR(Invoer!$A$5),12,31)-DATE(YEAR(Invoer!$A$5),1,1)+1))+2,1)</f>
        <v>49</v>
      </c>
      <c r="B945" t="str">
        <f ca="1">TEXT(DATE(YEAR(Invoer!$A$5),1,1)+MOD(ROWS(B$2:B945)-1,DATE(YEAR(Invoer!$A$5),12,31)-DATE(YEAR(Invoer!$A$5),1,1)+1),"jjjjmmdd")</f>
        <v>19410802</v>
      </c>
      <c r="C945" s="13">
        <v>1</v>
      </c>
      <c r="D945" s="18" t="str">
        <f t="shared" ca="1" si="28"/>
        <v>—</v>
      </c>
      <c r="E945" s="19">
        <f t="shared" ca="1" si="29"/>
        <v>7</v>
      </c>
    </row>
    <row r="946" spans="1:5" x14ac:dyDescent="0.25">
      <c r="A946" s="12">
        <f ca="1">INDEX(Stations,INT((ROWS(A$2:A946)-1)/(DATE(YEAR(Invoer!$A$5),12,31)-DATE(YEAR(Invoer!$A$5),1,1)+1))+2,1)</f>
        <v>49</v>
      </c>
      <c r="B946" t="str">
        <f ca="1">TEXT(DATE(YEAR(Invoer!$A$5),1,1)+MOD(ROWS(B$2:B946)-1,DATE(YEAR(Invoer!$A$5),12,31)-DATE(YEAR(Invoer!$A$5),1,1)+1),"jjjjmmdd")</f>
        <v>19410803</v>
      </c>
      <c r="C946" s="13">
        <v>1</v>
      </c>
      <c r="D946" s="18" t="str">
        <f t="shared" ca="1" si="28"/>
        <v>—</v>
      </c>
      <c r="E946" s="19">
        <f t="shared" ca="1" si="29"/>
        <v>7</v>
      </c>
    </row>
    <row r="947" spans="1:5" x14ac:dyDescent="0.25">
      <c r="A947" s="12">
        <f ca="1">INDEX(Stations,INT((ROWS(A$2:A947)-1)/(DATE(YEAR(Invoer!$A$5),12,31)-DATE(YEAR(Invoer!$A$5),1,1)+1))+2,1)</f>
        <v>49</v>
      </c>
      <c r="B947" t="str">
        <f ca="1">TEXT(DATE(YEAR(Invoer!$A$5),1,1)+MOD(ROWS(B$2:B947)-1,DATE(YEAR(Invoer!$A$5),12,31)-DATE(YEAR(Invoer!$A$5),1,1)+1),"jjjjmmdd")</f>
        <v>19410804</v>
      </c>
      <c r="C947" s="13">
        <v>1</v>
      </c>
      <c r="D947" s="18" t="str">
        <f t="shared" ca="1" si="28"/>
        <v>—</v>
      </c>
      <c r="E947" s="19">
        <f t="shared" ca="1" si="29"/>
        <v>7</v>
      </c>
    </row>
    <row r="948" spans="1:5" x14ac:dyDescent="0.25">
      <c r="A948" s="12">
        <f ca="1">INDEX(Stations,INT((ROWS(A$2:A948)-1)/(DATE(YEAR(Invoer!$A$5),12,31)-DATE(YEAR(Invoer!$A$5),1,1)+1))+2,1)</f>
        <v>49</v>
      </c>
      <c r="B948" t="str">
        <f ca="1">TEXT(DATE(YEAR(Invoer!$A$5),1,1)+MOD(ROWS(B$2:B948)-1,DATE(YEAR(Invoer!$A$5),12,31)-DATE(YEAR(Invoer!$A$5),1,1)+1),"jjjjmmdd")</f>
        <v>19410805</v>
      </c>
      <c r="C948" s="13">
        <v>1</v>
      </c>
      <c r="D948" s="18" t="str">
        <f t="shared" ca="1" si="28"/>
        <v>—</v>
      </c>
      <c r="E948" s="19">
        <f t="shared" ca="1" si="29"/>
        <v>7</v>
      </c>
    </row>
    <row r="949" spans="1:5" x14ac:dyDescent="0.25">
      <c r="A949" s="12">
        <f ca="1">INDEX(Stations,INT((ROWS(A$2:A949)-1)/(DATE(YEAR(Invoer!$A$5),12,31)-DATE(YEAR(Invoer!$A$5),1,1)+1))+2,1)</f>
        <v>49</v>
      </c>
      <c r="B949" t="str">
        <f ca="1">TEXT(DATE(YEAR(Invoer!$A$5),1,1)+MOD(ROWS(B$2:B949)-1,DATE(YEAR(Invoer!$A$5),12,31)-DATE(YEAR(Invoer!$A$5),1,1)+1),"jjjjmmdd")</f>
        <v>19410806</v>
      </c>
      <c r="C949" s="13">
        <v>1</v>
      </c>
      <c r="D949" s="18" t="str">
        <f t="shared" ca="1" si="28"/>
        <v>—</v>
      </c>
      <c r="E949" s="19">
        <f t="shared" ca="1" si="29"/>
        <v>7</v>
      </c>
    </row>
    <row r="950" spans="1:5" x14ac:dyDescent="0.25">
      <c r="A950" s="12">
        <f ca="1">INDEX(Stations,INT((ROWS(A$2:A950)-1)/(DATE(YEAR(Invoer!$A$5),12,31)-DATE(YEAR(Invoer!$A$5),1,1)+1))+2,1)</f>
        <v>49</v>
      </c>
      <c r="B950" t="str">
        <f ca="1">TEXT(DATE(YEAR(Invoer!$A$5),1,1)+MOD(ROWS(B$2:B950)-1,DATE(YEAR(Invoer!$A$5),12,31)-DATE(YEAR(Invoer!$A$5),1,1)+1),"jjjjmmdd")</f>
        <v>19410807</v>
      </c>
      <c r="C950" s="13">
        <v>1</v>
      </c>
      <c r="D950" s="18" t="str">
        <f t="shared" ca="1" si="28"/>
        <v>—</v>
      </c>
      <c r="E950" s="19">
        <f t="shared" ca="1" si="29"/>
        <v>7</v>
      </c>
    </row>
    <row r="951" spans="1:5" x14ac:dyDescent="0.25">
      <c r="A951" s="12">
        <f ca="1">INDEX(Stations,INT((ROWS(A$2:A951)-1)/(DATE(YEAR(Invoer!$A$5),12,31)-DATE(YEAR(Invoer!$A$5),1,1)+1))+2,1)</f>
        <v>49</v>
      </c>
      <c r="B951" t="str">
        <f ca="1">TEXT(DATE(YEAR(Invoer!$A$5),1,1)+MOD(ROWS(B$2:B951)-1,DATE(YEAR(Invoer!$A$5),12,31)-DATE(YEAR(Invoer!$A$5),1,1)+1),"jjjjmmdd")</f>
        <v>19410808</v>
      </c>
      <c r="C951" s="13">
        <v>1</v>
      </c>
      <c r="D951" s="18" t="str">
        <f t="shared" ca="1" si="28"/>
        <v>—</v>
      </c>
      <c r="E951" s="19">
        <f t="shared" ca="1" si="29"/>
        <v>7</v>
      </c>
    </row>
    <row r="952" spans="1:5" x14ac:dyDescent="0.25">
      <c r="A952" s="12">
        <f ca="1">INDEX(Stations,INT((ROWS(A$2:A952)-1)/(DATE(YEAR(Invoer!$A$5),12,31)-DATE(YEAR(Invoer!$A$5),1,1)+1))+2,1)</f>
        <v>49</v>
      </c>
      <c r="B952" t="str">
        <f ca="1">TEXT(DATE(YEAR(Invoer!$A$5),1,1)+MOD(ROWS(B$2:B952)-1,DATE(YEAR(Invoer!$A$5),12,31)-DATE(YEAR(Invoer!$A$5),1,1)+1),"jjjjmmdd")</f>
        <v>19410809</v>
      </c>
      <c r="C952" s="13">
        <v>1</v>
      </c>
      <c r="D952" s="18" t="str">
        <f t="shared" ca="1" si="28"/>
        <v>—</v>
      </c>
      <c r="E952" s="19">
        <f t="shared" ca="1" si="29"/>
        <v>7</v>
      </c>
    </row>
    <row r="953" spans="1:5" x14ac:dyDescent="0.25">
      <c r="A953" s="12">
        <f ca="1">INDEX(Stations,INT((ROWS(A$2:A953)-1)/(DATE(YEAR(Invoer!$A$5),12,31)-DATE(YEAR(Invoer!$A$5),1,1)+1))+2,1)</f>
        <v>49</v>
      </c>
      <c r="B953" t="str">
        <f ca="1">TEXT(DATE(YEAR(Invoer!$A$5),1,1)+MOD(ROWS(B$2:B953)-1,DATE(YEAR(Invoer!$A$5),12,31)-DATE(YEAR(Invoer!$A$5),1,1)+1),"jjjjmmdd")</f>
        <v>19410810</v>
      </c>
      <c r="C953" s="13">
        <v>1</v>
      </c>
      <c r="D953" s="18" t="str">
        <f t="shared" ca="1" si="28"/>
        <v>—</v>
      </c>
      <c r="E953" s="19">
        <f t="shared" ca="1" si="29"/>
        <v>7</v>
      </c>
    </row>
    <row r="954" spans="1:5" x14ac:dyDescent="0.25">
      <c r="A954" s="12">
        <f ca="1">INDEX(Stations,INT((ROWS(A$2:A954)-1)/(DATE(YEAR(Invoer!$A$5),12,31)-DATE(YEAR(Invoer!$A$5),1,1)+1))+2,1)</f>
        <v>49</v>
      </c>
      <c r="B954" t="str">
        <f ca="1">TEXT(DATE(YEAR(Invoer!$A$5),1,1)+MOD(ROWS(B$2:B954)-1,DATE(YEAR(Invoer!$A$5),12,31)-DATE(YEAR(Invoer!$A$5),1,1)+1),"jjjjmmdd")</f>
        <v>19410811</v>
      </c>
      <c r="C954" s="13">
        <v>1</v>
      </c>
      <c r="D954" s="18" t="str">
        <f t="shared" ca="1" si="28"/>
        <v>—</v>
      </c>
      <c r="E954" s="19">
        <f t="shared" ca="1" si="29"/>
        <v>7</v>
      </c>
    </row>
    <row r="955" spans="1:5" x14ac:dyDescent="0.25">
      <c r="A955" s="12">
        <f ca="1">INDEX(Stations,INT((ROWS(A$2:A955)-1)/(DATE(YEAR(Invoer!$A$5),12,31)-DATE(YEAR(Invoer!$A$5),1,1)+1))+2,1)</f>
        <v>49</v>
      </c>
      <c r="B955" t="str">
        <f ca="1">TEXT(DATE(YEAR(Invoer!$A$5),1,1)+MOD(ROWS(B$2:B955)-1,DATE(YEAR(Invoer!$A$5),12,31)-DATE(YEAR(Invoer!$A$5),1,1)+1),"jjjjmmdd")</f>
        <v>19410812</v>
      </c>
      <c r="C955" s="13">
        <v>1</v>
      </c>
      <c r="D955" s="18" t="str">
        <f t="shared" ca="1" si="28"/>
        <v>—</v>
      </c>
      <c r="E955" s="19">
        <f t="shared" ca="1" si="29"/>
        <v>7</v>
      </c>
    </row>
    <row r="956" spans="1:5" x14ac:dyDescent="0.25">
      <c r="A956" s="12">
        <f ca="1">INDEX(Stations,INT((ROWS(A$2:A956)-1)/(DATE(YEAR(Invoer!$A$5),12,31)-DATE(YEAR(Invoer!$A$5),1,1)+1))+2,1)</f>
        <v>49</v>
      </c>
      <c r="B956" t="str">
        <f ca="1">TEXT(DATE(YEAR(Invoer!$A$5),1,1)+MOD(ROWS(B$2:B956)-1,DATE(YEAR(Invoer!$A$5),12,31)-DATE(YEAR(Invoer!$A$5),1,1)+1),"jjjjmmdd")</f>
        <v>19410813</v>
      </c>
      <c r="C956" s="13">
        <v>1</v>
      </c>
      <c r="D956" s="18" t="str">
        <f t="shared" ca="1" si="28"/>
        <v>—</v>
      </c>
      <c r="E956" s="19">
        <f t="shared" ca="1" si="29"/>
        <v>7</v>
      </c>
    </row>
    <row r="957" spans="1:5" x14ac:dyDescent="0.25">
      <c r="A957" s="12">
        <f ca="1">INDEX(Stations,INT((ROWS(A$2:A957)-1)/(DATE(YEAR(Invoer!$A$5),12,31)-DATE(YEAR(Invoer!$A$5),1,1)+1))+2,1)</f>
        <v>49</v>
      </c>
      <c r="B957" t="str">
        <f ca="1">TEXT(DATE(YEAR(Invoer!$A$5),1,1)+MOD(ROWS(B$2:B957)-1,DATE(YEAR(Invoer!$A$5),12,31)-DATE(YEAR(Invoer!$A$5),1,1)+1),"jjjjmmdd")</f>
        <v>19410814</v>
      </c>
      <c r="C957" s="13">
        <v>1</v>
      </c>
      <c r="D957" s="18" t="str">
        <f t="shared" ca="1" si="28"/>
        <v>—</v>
      </c>
      <c r="E957" s="19">
        <f t="shared" ca="1" si="29"/>
        <v>7</v>
      </c>
    </row>
    <row r="958" spans="1:5" x14ac:dyDescent="0.25">
      <c r="A958" s="12">
        <f ca="1">INDEX(Stations,INT((ROWS(A$2:A958)-1)/(DATE(YEAR(Invoer!$A$5),12,31)-DATE(YEAR(Invoer!$A$5),1,1)+1))+2,1)</f>
        <v>49</v>
      </c>
      <c r="B958" t="str">
        <f ca="1">TEXT(DATE(YEAR(Invoer!$A$5),1,1)+MOD(ROWS(B$2:B958)-1,DATE(YEAR(Invoer!$A$5),12,31)-DATE(YEAR(Invoer!$A$5),1,1)+1),"jjjjmmdd")</f>
        <v>19410815</v>
      </c>
      <c r="C958" s="13">
        <v>1</v>
      </c>
      <c r="D958" s="18" t="str">
        <f t="shared" ca="1" si="28"/>
        <v>—</v>
      </c>
      <c r="E958" s="19">
        <f t="shared" ca="1" si="29"/>
        <v>7</v>
      </c>
    </row>
    <row r="959" spans="1:5" x14ac:dyDescent="0.25">
      <c r="A959" s="12">
        <f ca="1">INDEX(Stations,INT((ROWS(A$2:A959)-1)/(DATE(YEAR(Invoer!$A$5),12,31)-DATE(YEAR(Invoer!$A$5),1,1)+1))+2,1)</f>
        <v>49</v>
      </c>
      <c r="B959" t="str">
        <f ca="1">TEXT(DATE(YEAR(Invoer!$A$5),1,1)+MOD(ROWS(B$2:B959)-1,DATE(YEAR(Invoer!$A$5),12,31)-DATE(YEAR(Invoer!$A$5),1,1)+1),"jjjjmmdd")</f>
        <v>19410816</v>
      </c>
      <c r="C959" s="13">
        <v>1</v>
      </c>
      <c r="D959" s="18" t="str">
        <f t="shared" ca="1" si="28"/>
        <v>—</v>
      </c>
      <c r="E959" s="19">
        <f t="shared" ca="1" si="29"/>
        <v>7</v>
      </c>
    </row>
    <row r="960" spans="1:5" x14ac:dyDescent="0.25">
      <c r="A960" s="12">
        <f ca="1">INDEX(Stations,INT((ROWS(A$2:A960)-1)/(DATE(YEAR(Invoer!$A$5),12,31)-DATE(YEAR(Invoer!$A$5),1,1)+1))+2,1)</f>
        <v>49</v>
      </c>
      <c r="B960" t="str">
        <f ca="1">TEXT(DATE(YEAR(Invoer!$A$5),1,1)+MOD(ROWS(B$2:B960)-1,DATE(YEAR(Invoer!$A$5),12,31)-DATE(YEAR(Invoer!$A$5),1,1)+1),"jjjjmmdd")</f>
        <v>19410817</v>
      </c>
      <c r="C960" s="13">
        <v>1</v>
      </c>
      <c r="D960" s="18" t="str">
        <f t="shared" ca="1" si="28"/>
        <v>—</v>
      </c>
      <c r="E960" s="19">
        <f t="shared" ca="1" si="29"/>
        <v>7</v>
      </c>
    </row>
    <row r="961" spans="1:5" x14ac:dyDescent="0.25">
      <c r="A961" s="12">
        <f ca="1">INDEX(Stations,INT((ROWS(A$2:A961)-1)/(DATE(YEAR(Invoer!$A$5),12,31)-DATE(YEAR(Invoer!$A$5),1,1)+1))+2,1)</f>
        <v>49</v>
      </c>
      <c r="B961" t="str">
        <f ca="1">TEXT(DATE(YEAR(Invoer!$A$5),1,1)+MOD(ROWS(B$2:B961)-1,DATE(YEAR(Invoer!$A$5),12,31)-DATE(YEAR(Invoer!$A$5),1,1)+1),"jjjjmmdd")</f>
        <v>19410818</v>
      </c>
      <c r="C961" s="13">
        <v>1</v>
      </c>
      <c r="D961" s="18" t="str">
        <f t="shared" ca="1" si="28"/>
        <v>—</v>
      </c>
      <c r="E961" s="19">
        <f t="shared" ca="1" si="29"/>
        <v>7</v>
      </c>
    </row>
    <row r="962" spans="1:5" x14ac:dyDescent="0.25">
      <c r="A962" s="12">
        <f ca="1">INDEX(Stations,INT((ROWS(A$2:A962)-1)/(DATE(YEAR(Invoer!$A$5),12,31)-DATE(YEAR(Invoer!$A$5),1,1)+1))+2,1)</f>
        <v>49</v>
      </c>
      <c r="B962" t="str">
        <f ca="1">TEXT(DATE(YEAR(Invoer!$A$5),1,1)+MOD(ROWS(B$2:B962)-1,DATE(YEAR(Invoer!$A$5),12,31)-DATE(YEAR(Invoer!$A$5),1,1)+1),"jjjjmmdd")</f>
        <v>19410819</v>
      </c>
      <c r="C962" s="13">
        <v>1</v>
      </c>
      <c r="D962" s="18" t="str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—</v>
      </c>
      <c r="E962" s="19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7</v>
      </c>
    </row>
    <row r="963" spans="1:5" x14ac:dyDescent="0.25">
      <c r="A963" s="12">
        <f ca="1">INDEX(Stations,INT((ROWS(A$2:A963)-1)/(DATE(YEAR(Invoer!$A$5),12,31)-DATE(YEAR(Invoer!$A$5),1,1)+1))+2,1)</f>
        <v>49</v>
      </c>
      <c r="B963" t="str">
        <f ca="1">TEXT(DATE(YEAR(Invoer!$A$5),1,1)+MOD(ROWS(B$2:B963)-1,DATE(YEAR(Invoer!$A$5),12,31)-DATE(YEAR(Invoer!$A$5),1,1)+1),"jjjjmmdd")</f>
        <v>19410820</v>
      </c>
      <c r="C963" s="13">
        <v>1</v>
      </c>
      <c r="D963" s="18" t="str">
        <f t="shared" ca="1" si="30"/>
        <v>—</v>
      </c>
      <c r="E963" s="19">
        <f t="shared" ca="1" si="31"/>
        <v>7</v>
      </c>
    </row>
    <row r="964" spans="1:5" x14ac:dyDescent="0.25">
      <c r="A964" s="12">
        <f ca="1">INDEX(Stations,INT((ROWS(A$2:A964)-1)/(DATE(YEAR(Invoer!$A$5),12,31)-DATE(YEAR(Invoer!$A$5),1,1)+1))+2,1)</f>
        <v>49</v>
      </c>
      <c r="B964" t="str">
        <f ca="1">TEXT(DATE(YEAR(Invoer!$A$5),1,1)+MOD(ROWS(B$2:B964)-1,DATE(YEAR(Invoer!$A$5),12,31)-DATE(YEAR(Invoer!$A$5),1,1)+1),"jjjjmmdd")</f>
        <v>19410821</v>
      </c>
      <c r="C964" s="13">
        <v>1</v>
      </c>
      <c r="D964" s="18" t="str">
        <f t="shared" ca="1" si="30"/>
        <v>—</v>
      </c>
      <c r="E964" s="19">
        <f t="shared" ca="1" si="31"/>
        <v>7</v>
      </c>
    </row>
    <row r="965" spans="1:5" x14ac:dyDescent="0.25">
      <c r="A965" s="12">
        <f ca="1">INDEX(Stations,INT((ROWS(A$2:A965)-1)/(DATE(YEAR(Invoer!$A$5),12,31)-DATE(YEAR(Invoer!$A$5),1,1)+1))+2,1)</f>
        <v>49</v>
      </c>
      <c r="B965" t="str">
        <f ca="1">TEXT(DATE(YEAR(Invoer!$A$5),1,1)+MOD(ROWS(B$2:B965)-1,DATE(YEAR(Invoer!$A$5),12,31)-DATE(YEAR(Invoer!$A$5),1,1)+1),"jjjjmmdd")</f>
        <v>19410822</v>
      </c>
      <c r="C965" s="13">
        <v>1</v>
      </c>
      <c r="D965" s="18" t="str">
        <f t="shared" ca="1" si="30"/>
        <v>—</v>
      </c>
      <c r="E965" s="19">
        <f t="shared" ca="1" si="31"/>
        <v>7</v>
      </c>
    </row>
    <row r="966" spans="1:5" x14ac:dyDescent="0.25">
      <c r="A966" s="12">
        <f ca="1">INDEX(Stations,INT((ROWS(A$2:A966)-1)/(DATE(YEAR(Invoer!$A$5),12,31)-DATE(YEAR(Invoer!$A$5),1,1)+1))+2,1)</f>
        <v>49</v>
      </c>
      <c r="B966" t="str">
        <f ca="1">TEXT(DATE(YEAR(Invoer!$A$5),1,1)+MOD(ROWS(B$2:B966)-1,DATE(YEAR(Invoer!$A$5),12,31)-DATE(YEAR(Invoer!$A$5),1,1)+1),"jjjjmmdd")</f>
        <v>19410823</v>
      </c>
      <c r="C966" s="13">
        <v>1</v>
      </c>
      <c r="D966" s="18" t="str">
        <f t="shared" ca="1" si="30"/>
        <v>—</v>
      </c>
      <c r="E966" s="19">
        <f t="shared" ca="1" si="31"/>
        <v>7</v>
      </c>
    </row>
    <row r="967" spans="1:5" x14ac:dyDescent="0.25">
      <c r="A967" s="12">
        <f ca="1">INDEX(Stations,INT((ROWS(A$2:A967)-1)/(DATE(YEAR(Invoer!$A$5),12,31)-DATE(YEAR(Invoer!$A$5),1,1)+1))+2,1)</f>
        <v>49</v>
      </c>
      <c r="B967" t="str">
        <f ca="1">TEXT(DATE(YEAR(Invoer!$A$5),1,1)+MOD(ROWS(B$2:B967)-1,DATE(YEAR(Invoer!$A$5),12,31)-DATE(YEAR(Invoer!$A$5),1,1)+1),"jjjjmmdd")</f>
        <v>19410824</v>
      </c>
      <c r="C967" s="13">
        <v>1</v>
      </c>
      <c r="D967" s="18" t="str">
        <f t="shared" ca="1" si="30"/>
        <v>—</v>
      </c>
      <c r="E967" s="19">
        <f t="shared" ca="1" si="31"/>
        <v>7</v>
      </c>
    </row>
    <row r="968" spans="1:5" x14ac:dyDescent="0.25">
      <c r="A968" s="12">
        <f ca="1">INDEX(Stations,INT((ROWS(A$2:A968)-1)/(DATE(YEAR(Invoer!$A$5),12,31)-DATE(YEAR(Invoer!$A$5),1,1)+1))+2,1)</f>
        <v>49</v>
      </c>
      <c r="B968" t="str">
        <f ca="1">TEXT(DATE(YEAR(Invoer!$A$5),1,1)+MOD(ROWS(B$2:B968)-1,DATE(YEAR(Invoer!$A$5),12,31)-DATE(YEAR(Invoer!$A$5),1,1)+1),"jjjjmmdd")</f>
        <v>19410825</v>
      </c>
      <c r="C968" s="13">
        <v>1</v>
      </c>
      <c r="D968" s="18" t="str">
        <f t="shared" ca="1" si="30"/>
        <v>—</v>
      </c>
      <c r="E968" s="19">
        <f t="shared" ca="1" si="31"/>
        <v>7</v>
      </c>
    </row>
    <row r="969" spans="1:5" x14ac:dyDescent="0.25">
      <c r="A969" s="12">
        <f ca="1">INDEX(Stations,INT((ROWS(A$2:A969)-1)/(DATE(YEAR(Invoer!$A$5),12,31)-DATE(YEAR(Invoer!$A$5),1,1)+1))+2,1)</f>
        <v>49</v>
      </c>
      <c r="B969" t="str">
        <f ca="1">TEXT(DATE(YEAR(Invoer!$A$5),1,1)+MOD(ROWS(B$2:B969)-1,DATE(YEAR(Invoer!$A$5),12,31)-DATE(YEAR(Invoer!$A$5),1,1)+1),"jjjjmmdd")</f>
        <v>19410826</v>
      </c>
      <c r="C969" s="13">
        <v>1</v>
      </c>
      <c r="D969" s="18" t="str">
        <f t="shared" ca="1" si="30"/>
        <v>—</v>
      </c>
      <c r="E969" s="19">
        <f t="shared" ca="1" si="31"/>
        <v>7</v>
      </c>
    </row>
    <row r="970" spans="1:5" x14ac:dyDescent="0.25">
      <c r="A970" s="12">
        <f ca="1">INDEX(Stations,INT((ROWS(A$2:A970)-1)/(DATE(YEAR(Invoer!$A$5),12,31)-DATE(YEAR(Invoer!$A$5),1,1)+1))+2,1)</f>
        <v>49</v>
      </c>
      <c r="B970" t="str">
        <f ca="1">TEXT(DATE(YEAR(Invoer!$A$5),1,1)+MOD(ROWS(B$2:B970)-1,DATE(YEAR(Invoer!$A$5),12,31)-DATE(YEAR(Invoer!$A$5),1,1)+1),"jjjjmmdd")</f>
        <v>19410827</v>
      </c>
      <c r="C970" s="13">
        <v>1</v>
      </c>
      <c r="D970" s="18" t="str">
        <f t="shared" ca="1" si="30"/>
        <v>—</v>
      </c>
      <c r="E970" s="19">
        <f t="shared" ca="1" si="31"/>
        <v>7</v>
      </c>
    </row>
    <row r="971" spans="1:5" x14ac:dyDescent="0.25">
      <c r="A971" s="12">
        <f ca="1">INDEX(Stations,INT((ROWS(A$2:A971)-1)/(DATE(YEAR(Invoer!$A$5),12,31)-DATE(YEAR(Invoer!$A$5),1,1)+1))+2,1)</f>
        <v>49</v>
      </c>
      <c r="B971" t="str">
        <f ca="1">TEXT(DATE(YEAR(Invoer!$A$5),1,1)+MOD(ROWS(B$2:B971)-1,DATE(YEAR(Invoer!$A$5),12,31)-DATE(YEAR(Invoer!$A$5),1,1)+1),"jjjjmmdd")</f>
        <v>19410828</v>
      </c>
      <c r="C971" s="13">
        <v>1</v>
      </c>
      <c r="D971" s="18" t="str">
        <f t="shared" ca="1" si="30"/>
        <v>—</v>
      </c>
      <c r="E971" s="19">
        <f t="shared" ca="1" si="31"/>
        <v>7</v>
      </c>
    </row>
    <row r="972" spans="1:5" x14ac:dyDescent="0.25">
      <c r="A972" s="12">
        <f ca="1">INDEX(Stations,INT((ROWS(A$2:A972)-1)/(DATE(YEAR(Invoer!$A$5),12,31)-DATE(YEAR(Invoer!$A$5),1,1)+1))+2,1)</f>
        <v>49</v>
      </c>
      <c r="B972" t="str">
        <f ca="1">TEXT(DATE(YEAR(Invoer!$A$5),1,1)+MOD(ROWS(B$2:B972)-1,DATE(YEAR(Invoer!$A$5),12,31)-DATE(YEAR(Invoer!$A$5),1,1)+1),"jjjjmmdd")</f>
        <v>19410829</v>
      </c>
      <c r="C972" s="13">
        <v>1</v>
      </c>
      <c r="D972" s="18" t="str">
        <f t="shared" ca="1" si="30"/>
        <v>—</v>
      </c>
      <c r="E972" s="19">
        <f t="shared" ca="1" si="31"/>
        <v>7</v>
      </c>
    </row>
    <row r="973" spans="1:5" x14ac:dyDescent="0.25">
      <c r="A973" s="12">
        <f ca="1">INDEX(Stations,INT((ROWS(A$2:A973)-1)/(DATE(YEAR(Invoer!$A$5),12,31)-DATE(YEAR(Invoer!$A$5),1,1)+1))+2,1)</f>
        <v>49</v>
      </c>
      <c r="B973" t="str">
        <f ca="1">TEXT(DATE(YEAR(Invoer!$A$5),1,1)+MOD(ROWS(B$2:B973)-1,DATE(YEAR(Invoer!$A$5),12,31)-DATE(YEAR(Invoer!$A$5),1,1)+1),"jjjjmmdd")</f>
        <v>19410830</v>
      </c>
      <c r="C973" s="13">
        <v>1</v>
      </c>
      <c r="D973" s="18" t="str">
        <f t="shared" ca="1" si="30"/>
        <v>—</v>
      </c>
      <c r="E973" s="19">
        <f t="shared" ca="1" si="31"/>
        <v>7</v>
      </c>
    </row>
    <row r="974" spans="1:5" x14ac:dyDescent="0.25">
      <c r="A974" s="12">
        <f ca="1">INDEX(Stations,INT((ROWS(A$2:A974)-1)/(DATE(YEAR(Invoer!$A$5),12,31)-DATE(YEAR(Invoer!$A$5),1,1)+1))+2,1)</f>
        <v>49</v>
      </c>
      <c r="B974" t="str">
        <f ca="1">TEXT(DATE(YEAR(Invoer!$A$5),1,1)+MOD(ROWS(B$2:B974)-1,DATE(YEAR(Invoer!$A$5),12,31)-DATE(YEAR(Invoer!$A$5),1,1)+1),"jjjjmmdd")</f>
        <v>19410831</v>
      </c>
      <c r="C974" s="13">
        <v>1</v>
      </c>
      <c r="D974" s="18" t="str">
        <f t="shared" ca="1" si="30"/>
        <v>—</v>
      </c>
      <c r="E974" s="19">
        <f t="shared" ca="1" si="31"/>
        <v>7</v>
      </c>
    </row>
    <row r="975" spans="1:5" x14ac:dyDescent="0.25">
      <c r="A975" s="12">
        <f ca="1">INDEX(Stations,INT((ROWS(A$2:A975)-1)/(DATE(YEAR(Invoer!$A$5),12,31)-DATE(YEAR(Invoer!$A$5),1,1)+1))+2,1)</f>
        <v>49</v>
      </c>
      <c r="B975" t="str">
        <f ca="1">TEXT(DATE(YEAR(Invoer!$A$5),1,1)+MOD(ROWS(B$2:B975)-1,DATE(YEAR(Invoer!$A$5),12,31)-DATE(YEAR(Invoer!$A$5),1,1)+1),"jjjjmmdd")</f>
        <v>19410901</v>
      </c>
      <c r="C975" s="13">
        <v>1</v>
      </c>
      <c r="D975" s="18" t="str">
        <f t="shared" ca="1" si="30"/>
        <v>—</v>
      </c>
      <c r="E975" s="19">
        <f t="shared" ca="1" si="31"/>
        <v>7</v>
      </c>
    </row>
    <row r="976" spans="1:5" x14ac:dyDescent="0.25">
      <c r="A976" s="12">
        <f ca="1">INDEX(Stations,INT((ROWS(A$2:A976)-1)/(DATE(YEAR(Invoer!$A$5),12,31)-DATE(YEAR(Invoer!$A$5),1,1)+1))+2,1)</f>
        <v>49</v>
      </c>
      <c r="B976" t="str">
        <f ca="1">TEXT(DATE(YEAR(Invoer!$A$5),1,1)+MOD(ROWS(B$2:B976)-1,DATE(YEAR(Invoer!$A$5),12,31)-DATE(YEAR(Invoer!$A$5),1,1)+1),"jjjjmmdd")</f>
        <v>19410902</v>
      </c>
      <c r="C976" s="13">
        <v>1</v>
      </c>
      <c r="D976" s="18" t="str">
        <f t="shared" ca="1" si="30"/>
        <v>—</v>
      </c>
      <c r="E976" s="19">
        <f t="shared" ca="1" si="31"/>
        <v>7</v>
      </c>
    </row>
    <row r="977" spans="1:5" x14ac:dyDescent="0.25">
      <c r="A977" s="12">
        <f ca="1">INDEX(Stations,INT((ROWS(A$2:A977)-1)/(DATE(YEAR(Invoer!$A$5),12,31)-DATE(YEAR(Invoer!$A$5),1,1)+1))+2,1)</f>
        <v>49</v>
      </c>
      <c r="B977" t="str">
        <f ca="1">TEXT(DATE(YEAR(Invoer!$A$5),1,1)+MOD(ROWS(B$2:B977)-1,DATE(YEAR(Invoer!$A$5),12,31)-DATE(YEAR(Invoer!$A$5),1,1)+1),"jjjjmmdd")</f>
        <v>19410903</v>
      </c>
      <c r="C977" s="13">
        <v>1</v>
      </c>
      <c r="D977" s="18" t="str">
        <f t="shared" ca="1" si="30"/>
        <v>—</v>
      </c>
      <c r="E977" s="19">
        <f t="shared" ca="1" si="31"/>
        <v>7</v>
      </c>
    </row>
    <row r="978" spans="1:5" x14ac:dyDescent="0.25">
      <c r="A978" s="12">
        <f ca="1">INDEX(Stations,INT((ROWS(A$2:A978)-1)/(DATE(YEAR(Invoer!$A$5),12,31)-DATE(YEAR(Invoer!$A$5),1,1)+1))+2,1)</f>
        <v>49</v>
      </c>
      <c r="B978" t="str">
        <f ca="1">TEXT(DATE(YEAR(Invoer!$A$5),1,1)+MOD(ROWS(B$2:B978)-1,DATE(YEAR(Invoer!$A$5),12,31)-DATE(YEAR(Invoer!$A$5),1,1)+1),"jjjjmmdd")</f>
        <v>19410904</v>
      </c>
      <c r="C978" s="13">
        <v>1</v>
      </c>
      <c r="D978" s="18" t="str">
        <f t="shared" ca="1" si="30"/>
        <v>—</v>
      </c>
      <c r="E978" s="19">
        <f t="shared" ca="1" si="31"/>
        <v>7</v>
      </c>
    </row>
    <row r="979" spans="1:5" x14ac:dyDescent="0.25">
      <c r="A979" s="12">
        <f ca="1">INDEX(Stations,INT((ROWS(A$2:A979)-1)/(DATE(YEAR(Invoer!$A$5),12,31)-DATE(YEAR(Invoer!$A$5),1,1)+1))+2,1)</f>
        <v>49</v>
      </c>
      <c r="B979" t="str">
        <f ca="1">TEXT(DATE(YEAR(Invoer!$A$5),1,1)+MOD(ROWS(B$2:B979)-1,DATE(YEAR(Invoer!$A$5),12,31)-DATE(YEAR(Invoer!$A$5),1,1)+1),"jjjjmmdd")</f>
        <v>19410905</v>
      </c>
      <c r="C979" s="13">
        <v>1</v>
      </c>
      <c r="D979" s="18" t="str">
        <f t="shared" ca="1" si="30"/>
        <v>—</v>
      </c>
      <c r="E979" s="19">
        <f t="shared" ca="1" si="31"/>
        <v>7</v>
      </c>
    </row>
    <row r="980" spans="1:5" x14ac:dyDescent="0.25">
      <c r="A980" s="12">
        <f ca="1">INDEX(Stations,INT((ROWS(A$2:A980)-1)/(DATE(YEAR(Invoer!$A$5),12,31)-DATE(YEAR(Invoer!$A$5),1,1)+1))+2,1)</f>
        <v>49</v>
      </c>
      <c r="B980" t="str">
        <f ca="1">TEXT(DATE(YEAR(Invoer!$A$5),1,1)+MOD(ROWS(B$2:B980)-1,DATE(YEAR(Invoer!$A$5),12,31)-DATE(YEAR(Invoer!$A$5),1,1)+1),"jjjjmmdd")</f>
        <v>19410906</v>
      </c>
      <c r="C980" s="13">
        <v>1</v>
      </c>
      <c r="D980" s="18" t="str">
        <f t="shared" ca="1" si="30"/>
        <v>—</v>
      </c>
      <c r="E980" s="19">
        <f t="shared" ca="1" si="31"/>
        <v>7</v>
      </c>
    </row>
    <row r="981" spans="1:5" x14ac:dyDescent="0.25">
      <c r="A981" s="12">
        <f ca="1">INDEX(Stations,INT((ROWS(A$2:A981)-1)/(DATE(YEAR(Invoer!$A$5),12,31)-DATE(YEAR(Invoer!$A$5),1,1)+1))+2,1)</f>
        <v>49</v>
      </c>
      <c r="B981" t="str">
        <f ca="1">TEXT(DATE(YEAR(Invoer!$A$5),1,1)+MOD(ROWS(B$2:B981)-1,DATE(YEAR(Invoer!$A$5),12,31)-DATE(YEAR(Invoer!$A$5),1,1)+1),"jjjjmmdd")</f>
        <v>19410907</v>
      </c>
      <c r="C981" s="13">
        <v>1</v>
      </c>
      <c r="D981" s="18" t="str">
        <f t="shared" ca="1" si="30"/>
        <v>—</v>
      </c>
      <c r="E981" s="19">
        <f t="shared" ca="1" si="31"/>
        <v>7</v>
      </c>
    </row>
    <row r="982" spans="1:5" x14ac:dyDescent="0.25">
      <c r="A982" s="12">
        <f ca="1">INDEX(Stations,INT((ROWS(A$2:A982)-1)/(DATE(YEAR(Invoer!$A$5),12,31)-DATE(YEAR(Invoer!$A$5),1,1)+1))+2,1)</f>
        <v>49</v>
      </c>
      <c r="B982" t="str">
        <f ca="1">TEXT(DATE(YEAR(Invoer!$A$5),1,1)+MOD(ROWS(B$2:B982)-1,DATE(YEAR(Invoer!$A$5),12,31)-DATE(YEAR(Invoer!$A$5),1,1)+1),"jjjjmmdd")</f>
        <v>19410908</v>
      </c>
      <c r="C982" s="13">
        <v>1</v>
      </c>
      <c r="D982" s="18" t="str">
        <f t="shared" ca="1" si="30"/>
        <v>—</v>
      </c>
      <c r="E982" s="19">
        <f t="shared" ca="1" si="31"/>
        <v>7</v>
      </c>
    </row>
    <row r="983" spans="1:5" x14ac:dyDescent="0.25">
      <c r="A983" s="12">
        <f ca="1">INDEX(Stations,INT((ROWS(A$2:A983)-1)/(DATE(YEAR(Invoer!$A$5),12,31)-DATE(YEAR(Invoer!$A$5),1,1)+1))+2,1)</f>
        <v>49</v>
      </c>
      <c r="B983" t="str">
        <f ca="1">TEXT(DATE(YEAR(Invoer!$A$5),1,1)+MOD(ROWS(B$2:B983)-1,DATE(YEAR(Invoer!$A$5),12,31)-DATE(YEAR(Invoer!$A$5),1,1)+1),"jjjjmmdd")</f>
        <v>19410909</v>
      </c>
      <c r="C983" s="13">
        <v>1</v>
      </c>
      <c r="D983" s="18" t="str">
        <f t="shared" ca="1" si="30"/>
        <v>—</v>
      </c>
      <c r="E983" s="19">
        <f t="shared" ca="1" si="31"/>
        <v>7</v>
      </c>
    </row>
    <row r="984" spans="1:5" x14ac:dyDescent="0.25">
      <c r="A984" s="12">
        <f ca="1">INDEX(Stations,INT((ROWS(A$2:A984)-1)/(DATE(YEAR(Invoer!$A$5),12,31)-DATE(YEAR(Invoer!$A$5),1,1)+1))+2,1)</f>
        <v>49</v>
      </c>
      <c r="B984" t="str">
        <f ca="1">TEXT(DATE(YEAR(Invoer!$A$5),1,1)+MOD(ROWS(B$2:B984)-1,DATE(YEAR(Invoer!$A$5),12,31)-DATE(YEAR(Invoer!$A$5),1,1)+1),"jjjjmmdd")</f>
        <v>19410910</v>
      </c>
      <c r="C984" s="13">
        <v>1</v>
      </c>
      <c r="D984" s="18" t="str">
        <f t="shared" ca="1" si="30"/>
        <v>—</v>
      </c>
      <c r="E984" s="19">
        <f t="shared" ca="1" si="31"/>
        <v>7</v>
      </c>
    </row>
    <row r="985" spans="1:5" x14ac:dyDescent="0.25">
      <c r="A985" s="12">
        <f ca="1">INDEX(Stations,INT((ROWS(A$2:A985)-1)/(DATE(YEAR(Invoer!$A$5),12,31)-DATE(YEAR(Invoer!$A$5),1,1)+1))+2,1)</f>
        <v>49</v>
      </c>
      <c r="B985" t="str">
        <f ca="1">TEXT(DATE(YEAR(Invoer!$A$5),1,1)+MOD(ROWS(B$2:B985)-1,DATE(YEAR(Invoer!$A$5),12,31)-DATE(YEAR(Invoer!$A$5),1,1)+1),"jjjjmmdd")</f>
        <v>19410911</v>
      </c>
      <c r="C985" s="13">
        <v>1</v>
      </c>
      <c r="D985" s="18" t="str">
        <f t="shared" ca="1" si="30"/>
        <v>—</v>
      </c>
      <c r="E985" s="19">
        <f t="shared" ca="1" si="31"/>
        <v>7</v>
      </c>
    </row>
    <row r="986" spans="1:5" x14ac:dyDescent="0.25">
      <c r="A986" s="12">
        <f ca="1">INDEX(Stations,INT((ROWS(A$2:A986)-1)/(DATE(YEAR(Invoer!$A$5),12,31)-DATE(YEAR(Invoer!$A$5),1,1)+1))+2,1)</f>
        <v>49</v>
      </c>
      <c r="B986" t="str">
        <f ca="1">TEXT(DATE(YEAR(Invoer!$A$5),1,1)+MOD(ROWS(B$2:B986)-1,DATE(YEAR(Invoer!$A$5),12,31)-DATE(YEAR(Invoer!$A$5),1,1)+1),"jjjjmmdd")</f>
        <v>19410912</v>
      </c>
      <c r="C986" s="13">
        <v>1</v>
      </c>
      <c r="D986" s="18" t="str">
        <f t="shared" ca="1" si="30"/>
        <v>—</v>
      </c>
      <c r="E986" s="19">
        <f t="shared" ca="1" si="31"/>
        <v>7</v>
      </c>
    </row>
    <row r="987" spans="1:5" x14ac:dyDescent="0.25">
      <c r="A987" s="12">
        <f ca="1">INDEX(Stations,INT((ROWS(A$2:A987)-1)/(DATE(YEAR(Invoer!$A$5),12,31)-DATE(YEAR(Invoer!$A$5),1,1)+1))+2,1)</f>
        <v>49</v>
      </c>
      <c r="B987" t="str">
        <f ca="1">TEXT(DATE(YEAR(Invoer!$A$5),1,1)+MOD(ROWS(B$2:B987)-1,DATE(YEAR(Invoer!$A$5),12,31)-DATE(YEAR(Invoer!$A$5),1,1)+1),"jjjjmmdd")</f>
        <v>19410913</v>
      </c>
      <c r="C987" s="13">
        <v>1</v>
      </c>
      <c r="D987" s="18" t="str">
        <f t="shared" ca="1" si="30"/>
        <v>—</v>
      </c>
      <c r="E987" s="19">
        <f t="shared" ca="1" si="31"/>
        <v>7</v>
      </c>
    </row>
    <row r="988" spans="1:5" x14ac:dyDescent="0.25">
      <c r="A988" s="12">
        <f ca="1">INDEX(Stations,INT((ROWS(A$2:A988)-1)/(DATE(YEAR(Invoer!$A$5),12,31)-DATE(YEAR(Invoer!$A$5),1,1)+1))+2,1)</f>
        <v>49</v>
      </c>
      <c r="B988" t="str">
        <f ca="1">TEXT(DATE(YEAR(Invoer!$A$5),1,1)+MOD(ROWS(B$2:B988)-1,DATE(YEAR(Invoer!$A$5),12,31)-DATE(YEAR(Invoer!$A$5),1,1)+1),"jjjjmmdd")</f>
        <v>19410914</v>
      </c>
      <c r="C988" s="13">
        <v>1</v>
      </c>
      <c r="D988" s="18" t="str">
        <f t="shared" ca="1" si="30"/>
        <v>—</v>
      </c>
      <c r="E988" s="19">
        <f t="shared" ca="1" si="31"/>
        <v>7</v>
      </c>
    </row>
    <row r="989" spans="1:5" x14ac:dyDescent="0.25">
      <c r="A989" s="12">
        <f ca="1">INDEX(Stations,INT((ROWS(A$2:A989)-1)/(DATE(YEAR(Invoer!$A$5),12,31)-DATE(YEAR(Invoer!$A$5),1,1)+1))+2,1)</f>
        <v>49</v>
      </c>
      <c r="B989" t="str">
        <f ca="1">TEXT(DATE(YEAR(Invoer!$A$5),1,1)+MOD(ROWS(B$2:B989)-1,DATE(YEAR(Invoer!$A$5),12,31)-DATE(YEAR(Invoer!$A$5),1,1)+1),"jjjjmmdd")</f>
        <v>19410915</v>
      </c>
      <c r="C989" s="13">
        <v>1</v>
      </c>
      <c r="D989" s="18" t="str">
        <f t="shared" ca="1" si="30"/>
        <v>—</v>
      </c>
      <c r="E989" s="19">
        <f t="shared" ca="1" si="31"/>
        <v>7</v>
      </c>
    </row>
    <row r="990" spans="1:5" x14ac:dyDescent="0.25">
      <c r="A990" s="12">
        <f ca="1">INDEX(Stations,INT((ROWS(A$2:A990)-1)/(DATE(YEAR(Invoer!$A$5),12,31)-DATE(YEAR(Invoer!$A$5),1,1)+1))+2,1)</f>
        <v>49</v>
      </c>
      <c r="B990" t="str">
        <f ca="1">TEXT(DATE(YEAR(Invoer!$A$5),1,1)+MOD(ROWS(B$2:B990)-1,DATE(YEAR(Invoer!$A$5),12,31)-DATE(YEAR(Invoer!$A$5),1,1)+1),"jjjjmmdd")</f>
        <v>19410916</v>
      </c>
      <c r="C990" s="13">
        <v>1</v>
      </c>
      <c r="D990" s="18" t="str">
        <f t="shared" ca="1" si="30"/>
        <v>—</v>
      </c>
      <c r="E990" s="19">
        <f t="shared" ca="1" si="31"/>
        <v>7</v>
      </c>
    </row>
    <row r="991" spans="1:5" x14ac:dyDescent="0.25">
      <c r="A991" s="12">
        <f ca="1">INDEX(Stations,INT((ROWS(A$2:A991)-1)/(DATE(YEAR(Invoer!$A$5),12,31)-DATE(YEAR(Invoer!$A$5),1,1)+1))+2,1)</f>
        <v>49</v>
      </c>
      <c r="B991" t="str">
        <f ca="1">TEXT(DATE(YEAR(Invoer!$A$5),1,1)+MOD(ROWS(B$2:B991)-1,DATE(YEAR(Invoer!$A$5),12,31)-DATE(YEAR(Invoer!$A$5),1,1)+1),"jjjjmmdd")</f>
        <v>19410917</v>
      </c>
      <c r="C991" s="13">
        <v>1</v>
      </c>
      <c r="D991" s="18" t="str">
        <f t="shared" ca="1" si="30"/>
        <v>—</v>
      </c>
      <c r="E991" s="19">
        <f t="shared" ca="1" si="31"/>
        <v>7</v>
      </c>
    </row>
    <row r="992" spans="1:5" x14ac:dyDescent="0.25">
      <c r="A992" s="12">
        <f ca="1">INDEX(Stations,INT((ROWS(A$2:A992)-1)/(DATE(YEAR(Invoer!$A$5),12,31)-DATE(YEAR(Invoer!$A$5),1,1)+1))+2,1)</f>
        <v>49</v>
      </c>
      <c r="B992" t="str">
        <f ca="1">TEXT(DATE(YEAR(Invoer!$A$5),1,1)+MOD(ROWS(B$2:B992)-1,DATE(YEAR(Invoer!$A$5),12,31)-DATE(YEAR(Invoer!$A$5),1,1)+1),"jjjjmmdd")</f>
        <v>19410918</v>
      </c>
      <c r="C992" s="13">
        <v>1</v>
      </c>
      <c r="D992" s="18" t="str">
        <f t="shared" ca="1" si="30"/>
        <v>—</v>
      </c>
      <c r="E992" s="19">
        <f t="shared" ca="1" si="31"/>
        <v>7</v>
      </c>
    </row>
    <row r="993" spans="1:5" x14ac:dyDescent="0.25">
      <c r="A993" s="12">
        <f ca="1">INDEX(Stations,INT((ROWS(A$2:A993)-1)/(DATE(YEAR(Invoer!$A$5),12,31)-DATE(YEAR(Invoer!$A$5),1,1)+1))+2,1)</f>
        <v>49</v>
      </c>
      <c r="B993" t="str">
        <f ca="1">TEXT(DATE(YEAR(Invoer!$A$5),1,1)+MOD(ROWS(B$2:B993)-1,DATE(YEAR(Invoer!$A$5),12,31)-DATE(YEAR(Invoer!$A$5),1,1)+1),"jjjjmmdd")</f>
        <v>19410919</v>
      </c>
      <c r="C993" s="13">
        <v>1</v>
      </c>
      <c r="D993" s="18" t="str">
        <f t="shared" ca="1" si="30"/>
        <v>—</v>
      </c>
      <c r="E993" s="19">
        <f t="shared" ca="1" si="31"/>
        <v>7</v>
      </c>
    </row>
    <row r="994" spans="1:5" x14ac:dyDescent="0.25">
      <c r="A994" s="12">
        <f ca="1">INDEX(Stations,INT((ROWS(A$2:A994)-1)/(DATE(YEAR(Invoer!$A$5),12,31)-DATE(YEAR(Invoer!$A$5),1,1)+1))+2,1)</f>
        <v>49</v>
      </c>
      <c r="B994" t="str">
        <f ca="1">TEXT(DATE(YEAR(Invoer!$A$5),1,1)+MOD(ROWS(B$2:B994)-1,DATE(YEAR(Invoer!$A$5),12,31)-DATE(YEAR(Invoer!$A$5),1,1)+1),"jjjjmmdd")</f>
        <v>19410920</v>
      </c>
      <c r="C994" s="13">
        <v>1</v>
      </c>
      <c r="D994" s="18" t="str">
        <f t="shared" ca="1" si="30"/>
        <v>—</v>
      </c>
      <c r="E994" s="19">
        <f t="shared" ca="1" si="31"/>
        <v>7</v>
      </c>
    </row>
    <row r="995" spans="1:5" x14ac:dyDescent="0.25">
      <c r="A995" s="12">
        <f ca="1">INDEX(Stations,INT((ROWS(A$2:A995)-1)/(DATE(YEAR(Invoer!$A$5),12,31)-DATE(YEAR(Invoer!$A$5),1,1)+1))+2,1)</f>
        <v>49</v>
      </c>
      <c r="B995" t="str">
        <f ca="1">TEXT(DATE(YEAR(Invoer!$A$5),1,1)+MOD(ROWS(B$2:B995)-1,DATE(YEAR(Invoer!$A$5),12,31)-DATE(YEAR(Invoer!$A$5),1,1)+1),"jjjjmmdd")</f>
        <v>19410921</v>
      </c>
      <c r="C995" s="13">
        <v>1</v>
      </c>
      <c r="D995" s="18" t="str">
        <f t="shared" ca="1" si="30"/>
        <v>—</v>
      </c>
      <c r="E995" s="19">
        <f t="shared" ca="1" si="31"/>
        <v>7</v>
      </c>
    </row>
    <row r="996" spans="1:5" x14ac:dyDescent="0.25">
      <c r="A996" s="12">
        <f ca="1">INDEX(Stations,INT((ROWS(A$2:A996)-1)/(DATE(YEAR(Invoer!$A$5),12,31)-DATE(YEAR(Invoer!$A$5),1,1)+1))+2,1)</f>
        <v>49</v>
      </c>
      <c r="B996" t="str">
        <f ca="1">TEXT(DATE(YEAR(Invoer!$A$5),1,1)+MOD(ROWS(B$2:B996)-1,DATE(YEAR(Invoer!$A$5),12,31)-DATE(YEAR(Invoer!$A$5),1,1)+1),"jjjjmmdd")</f>
        <v>19410922</v>
      </c>
      <c r="C996" s="13">
        <v>1</v>
      </c>
      <c r="D996" s="18" t="str">
        <f t="shared" ca="1" si="30"/>
        <v>—</v>
      </c>
      <c r="E996" s="19">
        <f t="shared" ca="1" si="31"/>
        <v>7</v>
      </c>
    </row>
    <row r="997" spans="1:5" x14ac:dyDescent="0.25">
      <c r="A997" s="12">
        <f ca="1">INDEX(Stations,INT((ROWS(A$2:A997)-1)/(DATE(YEAR(Invoer!$A$5),12,31)-DATE(YEAR(Invoer!$A$5),1,1)+1))+2,1)</f>
        <v>49</v>
      </c>
      <c r="B997" t="str">
        <f ca="1">TEXT(DATE(YEAR(Invoer!$A$5),1,1)+MOD(ROWS(B$2:B997)-1,DATE(YEAR(Invoer!$A$5),12,31)-DATE(YEAR(Invoer!$A$5),1,1)+1),"jjjjmmdd")</f>
        <v>19410923</v>
      </c>
      <c r="C997" s="13">
        <v>1</v>
      </c>
      <c r="D997" s="18" t="str">
        <f t="shared" ca="1" si="30"/>
        <v>—</v>
      </c>
      <c r="E997" s="19">
        <f t="shared" ca="1" si="31"/>
        <v>7</v>
      </c>
    </row>
    <row r="998" spans="1:5" x14ac:dyDescent="0.25">
      <c r="A998" s="12">
        <f ca="1">INDEX(Stations,INT((ROWS(A$2:A998)-1)/(DATE(YEAR(Invoer!$A$5),12,31)-DATE(YEAR(Invoer!$A$5),1,1)+1))+2,1)</f>
        <v>49</v>
      </c>
      <c r="B998" t="str">
        <f ca="1">TEXT(DATE(YEAR(Invoer!$A$5),1,1)+MOD(ROWS(B$2:B998)-1,DATE(YEAR(Invoer!$A$5),12,31)-DATE(YEAR(Invoer!$A$5),1,1)+1),"jjjjmmdd")</f>
        <v>19410924</v>
      </c>
      <c r="C998" s="13">
        <v>1</v>
      </c>
      <c r="D998" s="18" t="str">
        <f t="shared" ca="1" si="30"/>
        <v>—</v>
      </c>
      <c r="E998" s="19">
        <f t="shared" ca="1" si="31"/>
        <v>7</v>
      </c>
    </row>
    <row r="999" spans="1:5" x14ac:dyDescent="0.25">
      <c r="A999" s="12">
        <f ca="1">INDEX(Stations,INT((ROWS(A$2:A999)-1)/(DATE(YEAR(Invoer!$A$5),12,31)-DATE(YEAR(Invoer!$A$5),1,1)+1))+2,1)</f>
        <v>49</v>
      </c>
      <c r="B999" t="str">
        <f ca="1">TEXT(DATE(YEAR(Invoer!$A$5),1,1)+MOD(ROWS(B$2:B999)-1,DATE(YEAR(Invoer!$A$5),12,31)-DATE(YEAR(Invoer!$A$5),1,1)+1),"jjjjmmdd")</f>
        <v>19410925</v>
      </c>
      <c r="C999" s="13">
        <v>1</v>
      </c>
      <c r="D999" s="18" t="str">
        <f t="shared" ca="1" si="30"/>
        <v>—</v>
      </c>
      <c r="E999" s="19">
        <f t="shared" ca="1" si="31"/>
        <v>7</v>
      </c>
    </row>
    <row r="1000" spans="1:5" x14ac:dyDescent="0.25">
      <c r="A1000" s="12">
        <f ca="1">INDEX(Stations,INT((ROWS(A$2:A1000)-1)/(DATE(YEAR(Invoer!$A$5),12,31)-DATE(YEAR(Invoer!$A$5),1,1)+1))+2,1)</f>
        <v>49</v>
      </c>
      <c r="B1000" t="str">
        <f ca="1">TEXT(DATE(YEAR(Invoer!$A$5),1,1)+MOD(ROWS(B$2:B1000)-1,DATE(YEAR(Invoer!$A$5),12,31)-DATE(YEAR(Invoer!$A$5),1,1)+1),"jjjjmmdd")</f>
        <v>19410926</v>
      </c>
      <c r="C1000" s="13">
        <v>1</v>
      </c>
      <c r="D1000" s="18" t="str">
        <f t="shared" ca="1" si="30"/>
        <v>—</v>
      </c>
      <c r="E1000" s="19">
        <f t="shared" ca="1" si="31"/>
        <v>7</v>
      </c>
    </row>
    <row r="1001" spans="1:5" x14ac:dyDescent="0.25">
      <c r="A1001" s="12">
        <f ca="1">INDEX(Stations,INT((ROWS(A$2:A1001)-1)/(DATE(YEAR(Invoer!$A$5),12,31)-DATE(YEAR(Invoer!$A$5),1,1)+1))+2,1)</f>
        <v>49</v>
      </c>
      <c r="B1001" t="str">
        <f ca="1">TEXT(DATE(YEAR(Invoer!$A$5),1,1)+MOD(ROWS(B$2:B1001)-1,DATE(YEAR(Invoer!$A$5),12,31)-DATE(YEAR(Invoer!$A$5),1,1)+1),"jjjjmmdd")</f>
        <v>19410927</v>
      </c>
      <c r="C1001" s="13">
        <v>1</v>
      </c>
      <c r="D1001" s="18" t="str">
        <f t="shared" ca="1" si="30"/>
        <v>—</v>
      </c>
      <c r="E1001" s="19">
        <f t="shared" ca="1" si="31"/>
        <v>7</v>
      </c>
    </row>
    <row r="1002" spans="1:5" x14ac:dyDescent="0.25">
      <c r="A1002" s="12">
        <f ca="1">INDEX(Stations,INT((ROWS(A$2:A1002)-1)/(DATE(YEAR(Invoer!$A$5),12,31)-DATE(YEAR(Invoer!$A$5),1,1)+1))+2,1)</f>
        <v>49</v>
      </c>
      <c r="B1002" t="str">
        <f ca="1">TEXT(DATE(YEAR(Invoer!$A$5),1,1)+MOD(ROWS(B$2:B1002)-1,DATE(YEAR(Invoer!$A$5),12,31)-DATE(YEAR(Invoer!$A$5),1,1)+1),"jjjjmmdd")</f>
        <v>19410928</v>
      </c>
      <c r="C1002" s="13">
        <v>1</v>
      </c>
      <c r="D1002" s="18" t="str">
        <f t="shared" ca="1" si="30"/>
        <v>—</v>
      </c>
      <c r="E1002" s="19">
        <f t="shared" ca="1" si="31"/>
        <v>7</v>
      </c>
    </row>
    <row r="1003" spans="1:5" x14ac:dyDescent="0.25">
      <c r="A1003" s="12">
        <f ca="1">INDEX(Stations,INT((ROWS(A$2:A1003)-1)/(DATE(YEAR(Invoer!$A$5),12,31)-DATE(YEAR(Invoer!$A$5),1,1)+1))+2,1)</f>
        <v>49</v>
      </c>
      <c r="B1003" t="str">
        <f ca="1">TEXT(DATE(YEAR(Invoer!$A$5),1,1)+MOD(ROWS(B$2:B1003)-1,DATE(YEAR(Invoer!$A$5),12,31)-DATE(YEAR(Invoer!$A$5),1,1)+1),"jjjjmmdd")</f>
        <v>19410929</v>
      </c>
      <c r="C1003" s="13">
        <v>1</v>
      </c>
      <c r="D1003" s="18" t="str">
        <f t="shared" ca="1" si="30"/>
        <v>—</v>
      </c>
      <c r="E1003" s="19">
        <f t="shared" ca="1" si="31"/>
        <v>7</v>
      </c>
    </row>
    <row r="1004" spans="1:5" x14ac:dyDescent="0.25">
      <c r="A1004" s="12">
        <f ca="1">INDEX(Stations,INT((ROWS(A$2:A1004)-1)/(DATE(YEAR(Invoer!$A$5),12,31)-DATE(YEAR(Invoer!$A$5),1,1)+1))+2,1)</f>
        <v>49</v>
      </c>
      <c r="B1004" t="str">
        <f ca="1">TEXT(DATE(YEAR(Invoer!$A$5),1,1)+MOD(ROWS(B$2:B1004)-1,DATE(YEAR(Invoer!$A$5),12,31)-DATE(YEAR(Invoer!$A$5),1,1)+1),"jjjjmmdd")</f>
        <v>19410930</v>
      </c>
      <c r="C1004" s="13">
        <v>1</v>
      </c>
      <c r="D1004" s="18" t="str">
        <f t="shared" ca="1" si="30"/>
        <v>—</v>
      </c>
      <c r="E1004" s="19">
        <f t="shared" ca="1" si="31"/>
        <v>7</v>
      </c>
    </row>
    <row r="1005" spans="1:5" x14ac:dyDescent="0.25">
      <c r="A1005" s="12">
        <f ca="1">INDEX(Stations,INT((ROWS(A$2:A1005)-1)/(DATE(YEAR(Invoer!$A$5),12,31)-DATE(YEAR(Invoer!$A$5),1,1)+1))+2,1)</f>
        <v>49</v>
      </c>
      <c r="B1005" t="str">
        <f ca="1">TEXT(DATE(YEAR(Invoer!$A$5),1,1)+MOD(ROWS(B$2:B1005)-1,DATE(YEAR(Invoer!$A$5),12,31)-DATE(YEAR(Invoer!$A$5),1,1)+1),"jjjjmmdd")</f>
        <v>19411001</v>
      </c>
      <c r="C1005" s="13">
        <v>1</v>
      </c>
      <c r="D1005" s="18" t="str">
        <f t="shared" ca="1" si="30"/>
        <v>—</v>
      </c>
      <c r="E1005" s="19">
        <f t="shared" ca="1" si="31"/>
        <v>7</v>
      </c>
    </row>
    <row r="1006" spans="1:5" x14ac:dyDescent="0.25">
      <c r="A1006" s="12">
        <f ca="1">INDEX(Stations,INT((ROWS(A$2:A1006)-1)/(DATE(YEAR(Invoer!$A$5),12,31)-DATE(YEAR(Invoer!$A$5),1,1)+1))+2,1)</f>
        <v>49</v>
      </c>
      <c r="B1006" t="str">
        <f ca="1">TEXT(DATE(YEAR(Invoer!$A$5),1,1)+MOD(ROWS(B$2:B1006)-1,DATE(YEAR(Invoer!$A$5),12,31)-DATE(YEAR(Invoer!$A$5),1,1)+1),"jjjjmmdd")</f>
        <v>19411002</v>
      </c>
      <c r="C1006" s="13">
        <v>1</v>
      </c>
      <c r="D1006" s="18" t="str">
        <f t="shared" ca="1" si="30"/>
        <v>—</v>
      </c>
      <c r="E1006" s="19">
        <f t="shared" ca="1" si="31"/>
        <v>7</v>
      </c>
    </row>
    <row r="1007" spans="1:5" x14ac:dyDescent="0.25">
      <c r="A1007" s="12">
        <f ca="1">INDEX(Stations,INT((ROWS(A$2:A1007)-1)/(DATE(YEAR(Invoer!$A$5),12,31)-DATE(YEAR(Invoer!$A$5),1,1)+1))+2,1)</f>
        <v>49</v>
      </c>
      <c r="B1007" t="str">
        <f ca="1">TEXT(DATE(YEAR(Invoer!$A$5),1,1)+MOD(ROWS(B$2:B1007)-1,DATE(YEAR(Invoer!$A$5),12,31)-DATE(YEAR(Invoer!$A$5),1,1)+1),"jjjjmmdd")</f>
        <v>19411003</v>
      </c>
      <c r="C1007" s="13">
        <v>1</v>
      </c>
      <c r="D1007" s="18" t="str">
        <f t="shared" ca="1" si="30"/>
        <v>—</v>
      </c>
      <c r="E1007" s="19">
        <f t="shared" ca="1" si="31"/>
        <v>7</v>
      </c>
    </row>
    <row r="1008" spans="1:5" x14ac:dyDescent="0.25">
      <c r="A1008" s="12">
        <f ca="1">INDEX(Stations,INT((ROWS(A$2:A1008)-1)/(DATE(YEAR(Invoer!$A$5),12,31)-DATE(YEAR(Invoer!$A$5),1,1)+1))+2,1)</f>
        <v>49</v>
      </c>
      <c r="B1008" t="str">
        <f ca="1">TEXT(DATE(YEAR(Invoer!$A$5),1,1)+MOD(ROWS(B$2:B1008)-1,DATE(YEAR(Invoer!$A$5),12,31)-DATE(YEAR(Invoer!$A$5),1,1)+1),"jjjjmmdd")</f>
        <v>19411004</v>
      </c>
      <c r="C1008" s="13">
        <v>1</v>
      </c>
      <c r="D1008" s="18" t="str">
        <f t="shared" ca="1" si="30"/>
        <v>—</v>
      </c>
      <c r="E1008" s="19">
        <f t="shared" ca="1" si="31"/>
        <v>7</v>
      </c>
    </row>
    <row r="1009" spans="1:5" x14ac:dyDescent="0.25">
      <c r="A1009" s="12">
        <f ca="1">INDEX(Stations,INT((ROWS(A$2:A1009)-1)/(DATE(YEAR(Invoer!$A$5),12,31)-DATE(YEAR(Invoer!$A$5),1,1)+1))+2,1)</f>
        <v>49</v>
      </c>
      <c r="B1009" t="str">
        <f ca="1">TEXT(DATE(YEAR(Invoer!$A$5),1,1)+MOD(ROWS(B$2:B1009)-1,DATE(YEAR(Invoer!$A$5),12,31)-DATE(YEAR(Invoer!$A$5),1,1)+1),"jjjjmmdd")</f>
        <v>19411005</v>
      </c>
      <c r="C1009" s="13">
        <v>1</v>
      </c>
      <c r="D1009" s="18" t="str">
        <f t="shared" ca="1" si="30"/>
        <v>—</v>
      </c>
      <c r="E1009" s="19">
        <f t="shared" ca="1" si="31"/>
        <v>7</v>
      </c>
    </row>
    <row r="1010" spans="1:5" x14ac:dyDescent="0.25">
      <c r="A1010" s="12">
        <f ca="1">INDEX(Stations,INT((ROWS(A$2:A1010)-1)/(DATE(YEAR(Invoer!$A$5),12,31)-DATE(YEAR(Invoer!$A$5),1,1)+1))+2,1)</f>
        <v>49</v>
      </c>
      <c r="B1010" t="str">
        <f ca="1">TEXT(DATE(YEAR(Invoer!$A$5),1,1)+MOD(ROWS(B$2:B1010)-1,DATE(YEAR(Invoer!$A$5),12,31)-DATE(YEAR(Invoer!$A$5),1,1)+1),"jjjjmmdd")</f>
        <v>19411006</v>
      </c>
      <c r="C1010" s="13">
        <v>1</v>
      </c>
      <c r="D1010" s="18" t="str">
        <f t="shared" ca="1" si="30"/>
        <v>—</v>
      </c>
      <c r="E1010" s="19">
        <f t="shared" ca="1" si="31"/>
        <v>7</v>
      </c>
    </row>
    <row r="1011" spans="1:5" x14ac:dyDescent="0.25">
      <c r="A1011" s="12">
        <f ca="1">INDEX(Stations,INT((ROWS(A$2:A1011)-1)/(DATE(YEAR(Invoer!$A$5),12,31)-DATE(YEAR(Invoer!$A$5),1,1)+1))+2,1)</f>
        <v>49</v>
      </c>
      <c r="B1011" t="str">
        <f ca="1">TEXT(DATE(YEAR(Invoer!$A$5),1,1)+MOD(ROWS(B$2:B1011)-1,DATE(YEAR(Invoer!$A$5),12,31)-DATE(YEAR(Invoer!$A$5),1,1)+1),"jjjjmmdd")</f>
        <v>19411007</v>
      </c>
      <c r="C1011" s="13">
        <v>1</v>
      </c>
      <c r="D1011" s="18" t="str">
        <f t="shared" ca="1" si="30"/>
        <v>—</v>
      </c>
      <c r="E1011" s="19">
        <f t="shared" ca="1" si="31"/>
        <v>7</v>
      </c>
    </row>
    <row r="1012" spans="1:5" x14ac:dyDescent="0.25">
      <c r="A1012" s="12">
        <f ca="1">INDEX(Stations,INT((ROWS(A$2:A1012)-1)/(DATE(YEAR(Invoer!$A$5),12,31)-DATE(YEAR(Invoer!$A$5),1,1)+1))+2,1)</f>
        <v>49</v>
      </c>
      <c r="B1012" t="str">
        <f ca="1">TEXT(DATE(YEAR(Invoer!$A$5),1,1)+MOD(ROWS(B$2:B1012)-1,DATE(YEAR(Invoer!$A$5),12,31)-DATE(YEAR(Invoer!$A$5),1,1)+1),"jjjjmmdd")</f>
        <v>19411008</v>
      </c>
      <c r="C1012" s="13">
        <v>1</v>
      </c>
      <c r="D1012" s="18" t="str">
        <f t="shared" ca="1" si="30"/>
        <v>—</v>
      </c>
      <c r="E1012" s="19">
        <f t="shared" ca="1" si="31"/>
        <v>7</v>
      </c>
    </row>
    <row r="1013" spans="1:5" x14ac:dyDescent="0.25">
      <c r="A1013" s="12">
        <f ca="1">INDEX(Stations,INT((ROWS(A$2:A1013)-1)/(DATE(YEAR(Invoer!$A$5),12,31)-DATE(YEAR(Invoer!$A$5),1,1)+1))+2,1)</f>
        <v>49</v>
      </c>
      <c r="B1013" t="str">
        <f ca="1">TEXT(DATE(YEAR(Invoer!$A$5),1,1)+MOD(ROWS(B$2:B1013)-1,DATE(YEAR(Invoer!$A$5),12,31)-DATE(YEAR(Invoer!$A$5),1,1)+1),"jjjjmmdd")</f>
        <v>19411009</v>
      </c>
      <c r="C1013" s="13">
        <v>1</v>
      </c>
      <c r="D1013" s="18" t="str">
        <f t="shared" ca="1" si="30"/>
        <v>—</v>
      </c>
      <c r="E1013" s="19">
        <f t="shared" ca="1" si="31"/>
        <v>7</v>
      </c>
    </row>
    <row r="1014" spans="1:5" x14ac:dyDescent="0.25">
      <c r="A1014" s="12">
        <f ca="1">INDEX(Stations,INT((ROWS(A$2:A1014)-1)/(DATE(YEAR(Invoer!$A$5),12,31)-DATE(YEAR(Invoer!$A$5),1,1)+1))+2,1)</f>
        <v>49</v>
      </c>
      <c r="B1014" t="str">
        <f ca="1">TEXT(DATE(YEAR(Invoer!$A$5),1,1)+MOD(ROWS(B$2:B1014)-1,DATE(YEAR(Invoer!$A$5),12,31)-DATE(YEAR(Invoer!$A$5),1,1)+1),"jjjjmmdd")</f>
        <v>19411010</v>
      </c>
      <c r="C1014" s="13">
        <v>1</v>
      </c>
      <c r="D1014" s="18" t="str">
        <f t="shared" ca="1" si="30"/>
        <v>—</v>
      </c>
      <c r="E1014" s="19">
        <f t="shared" ca="1" si="31"/>
        <v>7</v>
      </c>
    </row>
    <row r="1015" spans="1:5" x14ac:dyDescent="0.25">
      <c r="A1015" s="12">
        <f ca="1">INDEX(Stations,INT((ROWS(A$2:A1015)-1)/(DATE(YEAR(Invoer!$A$5),12,31)-DATE(YEAR(Invoer!$A$5),1,1)+1))+2,1)</f>
        <v>49</v>
      </c>
      <c r="B1015" t="str">
        <f ca="1">TEXT(DATE(YEAR(Invoer!$A$5),1,1)+MOD(ROWS(B$2:B1015)-1,DATE(YEAR(Invoer!$A$5),12,31)-DATE(YEAR(Invoer!$A$5),1,1)+1),"jjjjmmdd")</f>
        <v>19411011</v>
      </c>
      <c r="C1015" s="13">
        <v>1</v>
      </c>
      <c r="D1015" s="18" t="str">
        <f t="shared" ca="1" si="30"/>
        <v>—</v>
      </c>
      <c r="E1015" s="19">
        <f t="shared" ca="1" si="31"/>
        <v>7</v>
      </c>
    </row>
    <row r="1016" spans="1:5" x14ac:dyDescent="0.25">
      <c r="A1016" s="12">
        <f ca="1">INDEX(Stations,INT((ROWS(A$2:A1016)-1)/(DATE(YEAR(Invoer!$A$5),12,31)-DATE(YEAR(Invoer!$A$5),1,1)+1))+2,1)</f>
        <v>49</v>
      </c>
      <c r="B1016" t="str">
        <f ca="1">TEXT(DATE(YEAR(Invoer!$A$5),1,1)+MOD(ROWS(B$2:B1016)-1,DATE(YEAR(Invoer!$A$5),12,31)-DATE(YEAR(Invoer!$A$5),1,1)+1),"jjjjmmdd")</f>
        <v>19411012</v>
      </c>
      <c r="C1016" s="13">
        <v>1</v>
      </c>
      <c r="D1016" s="18" t="str">
        <f t="shared" ca="1" si="30"/>
        <v>—</v>
      </c>
      <c r="E1016" s="19">
        <f t="shared" ca="1" si="31"/>
        <v>7</v>
      </c>
    </row>
    <row r="1017" spans="1:5" x14ac:dyDescent="0.25">
      <c r="A1017" s="12">
        <f ca="1">INDEX(Stations,INT((ROWS(A$2:A1017)-1)/(DATE(YEAR(Invoer!$A$5),12,31)-DATE(YEAR(Invoer!$A$5),1,1)+1))+2,1)</f>
        <v>49</v>
      </c>
      <c r="B1017" t="str">
        <f ca="1">TEXT(DATE(YEAR(Invoer!$A$5),1,1)+MOD(ROWS(B$2:B1017)-1,DATE(YEAR(Invoer!$A$5),12,31)-DATE(YEAR(Invoer!$A$5),1,1)+1),"jjjjmmdd")</f>
        <v>19411013</v>
      </c>
      <c r="C1017" s="13">
        <v>1</v>
      </c>
      <c r="D1017" s="18" t="str">
        <f t="shared" ca="1" si="30"/>
        <v>—</v>
      </c>
      <c r="E1017" s="19">
        <f t="shared" ca="1" si="31"/>
        <v>7</v>
      </c>
    </row>
    <row r="1018" spans="1:5" x14ac:dyDescent="0.25">
      <c r="A1018" s="12">
        <f ca="1">INDEX(Stations,INT((ROWS(A$2:A1018)-1)/(DATE(YEAR(Invoer!$A$5),12,31)-DATE(YEAR(Invoer!$A$5),1,1)+1))+2,1)</f>
        <v>49</v>
      </c>
      <c r="B1018" t="str">
        <f ca="1">TEXT(DATE(YEAR(Invoer!$A$5),1,1)+MOD(ROWS(B$2:B1018)-1,DATE(YEAR(Invoer!$A$5),12,31)-DATE(YEAR(Invoer!$A$5),1,1)+1),"jjjjmmdd")</f>
        <v>19411014</v>
      </c>
      <c r="C1018" s="13">
        <v>1</v>
      </c>
      <c r="D1018" s="18" t="str">
        <f t="shared" ca="1" si="30"/>
        <v>—</v>
      </c>
      <c r="E1018" s="19">
        <f t="shared" ca="1" si="31"/>
        <v>7</v>
      </c>
    </row>
    <row r="1019" spans="1:5" x14ac:dyDescent="0.25">
      <c r="A1019" s="12">
        <f ca="1">INDEX(Stations,INT((ROWS(A$2:A1019)-1)/(DATE(YEAR(Invoer!$A$5),12,31)-DATE(YEAR(Invoer!$A$5),1,1)+1))+2,1)</f>
        <v>49</v>
      </c>
      <c r="B1019" t="str">
        <f ca="1">TEXT(DATE(YEAR(Invoer!$A$5),1,1)+MOD(ROWS(B$2:B1019)-1,DATE(YEAR(Invoer!$A$5),12,31)-DATE(YEAR(Invoer!$A$5),1,1)+1),"jjjjmmdd")</f>
        <v>19411015</v>
      </c>
      <c r="C1019" s="13">
        <v>1</v>
      </c>
      <c r="D1019" s="18" t="str">
        <f t="shared" ca="1" si="30"/>
        <v>—</v>
      </c>
      <c r="E1019" s="19">
        <f t="shared" ca="1" si="31"/>
        <v>7</v>
      </c>
    </row>
    <row r="1020" spans="1:5" x14ac:dyDescent="0.25">
      <c r="A1020" s="12">
        <f ca="1">INDEX(Stations,INT((ROWS(A$2:A1020)-1)/(DATE(YEAR(Invoer!$A$5),12,31)-DATE(YEAR(Invoer!$A$5),1,1)+1))+2,1)</f>
        <v>49</v>
      </c>
      <c r="B1020" t="str">
        <f ca="1">TEXT(DATE(YEAR(Invoer!$A$5),1,1)+MOD(ROWS(B$2:B1020)-1,DATE(YEAR(Invoer!$A$5),12,31)-DATE(YEAR(Invoer!$A$5),1,1)+1),"jjjjmmdd")</f>
        <v>19411016</v>
      </c>
      <c r="C1020" s="13">
        <v>1</v>
      </c>
      <c r="D1020" s="18" t="str">
        <f t="shared" ca="1" si="30"/>
        <v>—</v>
      </c>
      <c r="E1020" s="19">
        <f t="shared" ca="1" si="31"/>
        <v>7</v>
      </c>
    </row>
    <row r="1021" spans="1:5" x14ac:dyDescent="0.25">
      <c r="A1021" s="12">
        <f ca="1">INDEX(Stations,INT((ROWS(A$2:A1021)-1)/(DATE(YEAR(Invoer!$A$5),12,31)-DATE(YEAR(Invoer!$A$5),1,1)+1))+2,1)</f>
        <v>49</v>
      </c>
      <c r="B1021" t="str">
        <f ca="1">TEXT(DATE(YEAR(Invoer!$A$5),1,1)+MOD(ROWS(B$2:B1021)-1,DATE(YEAR(Invoer!$A$5),12,31)-DATE(YEAR(Invoer!$A$5),1,1)+1),"jjjjmmdd")</f>
        <v>19411017</v>
      </c>
      <c r="C1021" s="13">
        <v>1</v>
      </c>
      <c r="D1021" s="18" t="str">
        <f t="shared" ca="1" si="30"/>
        <v>—</v>
      </c>
      <c r="E1021" s="19">
        <f t="shared" ca="1" si="31"/>
        <v>7</v>
      </c>
    </row>
    <row r="1022" spans="1:5" x14ac:dyDescent="0.25">
      <c r="A1022" s="12">
        <f ca="1">INDEX(Stations,INT((ROWS(A$2:A1022)-1)/(DATE(YEAR(Invoer!$A$5),12,31)-DATE(YEAR(Invoer!$A$5),1,1)+1))+2,1)</f>
        <v>49</v>
      </c>
      <c r="B1022" t="str">
        <f ca="1">TEXT(DATE(YEAR(Invoer!$A$5),1,1)+MOD(ROWS(B$2:B1022)-1,DATE(YEAR(Invoer!$A$5),12,31)-DATE(YEAR(Invoer!$A$5),1,1)+1),"jjjjmmdd")</f>
        <v>19411018</v>
      </c>
      <c r="C1022" s="13">
        <v>1</v>
      </c>
      <c r="D1022" s="18" t="str">
        <f t="shared" ca="1" si="30"/>
        <v>—</v>
      </c>
      <c r="E1022" s="19">
        <f t="shared" ca="1" si="31"/>
        <v>7</v>
      </c>
    </row>
    <row r="1023" spans="1:5" x14ac:dyDescent="0.25">
      <c r="A1023" s="12">
        <f ca="1">INDEX(Stations,INT((ROWS(A$2:A1023)-1)/(DATE(YEAR(Invoer!$A$5),12,31)-DATE(YEAR(Invoer!$A$5),1,1)+1))+2,1)</f>
        <v>49</v>
      </c>
      <c r="B1023" t="str">
        <f ca="1">TEXT(DATE(YEAR(Invoer!$A$5),1,1)+MOD(ROWS(B$2:B1023)-1,DATE(YEAR(Invoer!$A$5),12,31)-DATE(YEAR(Invoer!$A$5),1,1)+1),"jjjjmmdd")</f>
        <v>19411019</v>
      </c>
      <c r="C1023" s="13">
        <v>1</v>
      </c>
      <c r="D1023" s="18" t="str">
        <f t="shared" ca="1" si="30"/>
        <v>—</v>
      </c>
      <c r="E1023" s="19">
        <f t="shared" ca="1" si="31"/>
        <v>7</v>
      </c>
    </row>
    <row r="1024" spans="1:5" x14ac:dyDescent="0.25">
      <c r="A1024" s="12">
        <f ca="1">INDEX(Stations,INT((ROWS(A$2:A1024)-1)/(DATE(YEAR(Invoer!$A$5),12,31)-DATE(YEAR(Invoer!$A$5),1,1)+1))+2,1)</f>
        <v>49</v>
      </c>
      <c r="B1024" t="str">
        <f ca="1">TEXT(DATE(YEAR(Invoer!$A$5),1,1)+MOD(ROWS(B$2:B1024)-1,DATE(YEAR(Invoer!$A$5),12,31)-DATE(YEAR(Invoer!$A$5),1,1)+1),"jjjjmmdd")</f>
        <v>19411020</v>
      </c>
      <c r="C1024" s="13">
        <v>1</v>
      </c>
      <c r="D1024" s="18" t="str">
        <f t="shared" ca="1" si="30"/>
        <v>—</v>
      </c>
      <c r="E1024" s="19">
        <f t="shared" ca="1" si="31"/>
        <v>7</v>
      </c>
    </row>
    <row r="1025" spans="1:5" x14ac:dyDescent="0.25">
      <c r="A1025" s="12">
        <f ca="1">INDEX(Stations,INT((ROWS(A$2:A1025)-1)/(DATE(YEAR(Invoer!$A$5),12,31)-DATE(YEAR(Invoer!$A$5),1,1)+1))+2,1)</f>
        <v>49</v>
      </c>
      <c r="B1025" t="str">
        <f ca="1">TEXT(DATE(YEAR(Invoer!$A$5),1,1)+MOD(ROWS(B$2:B1025)-1,DATE(YEAR(Invoer!$A$5),12,31)-DATE(YEAR(Invoer!$A$5),1,1)+1),"jjjjmmdd")</f>
        <v>19411021</v>
      </c>
      <c r="C1025" s="13">
        <v>1</v>
      </c>
      <c r="D1025" s="18" t="str">
        <f t="shared" ca="1" si="30"/>
        <v>—</v>
      </c>
      <c r="E1025" s="19">
        <f t="shared" ca="1" si="31"/>
        <v>7</v>
      </c>
    </row>
    <row r="1026" spans="1:5" x14ac:dyDescent="0.25">
      <c r="A1026" s="12">
        <f ca="1">INDEX(Stations,INT((ROWS(A$2:A1026)-1)/(DATE(YEAR(Invoer!$A$5),12,31)-DATE(YEAR(Invoer!$A$5),1,1)+1))+2,1)</f>
        <v>49</v>
      </c>
      <c r="B1026" t="str">
        <f ca="1">TEXT(DATE(YEAR(Invoer!$A$5),1,1)+MOD(ROWS(B$2:B1026)-1,DATE(YEAR(Invoer!$A$5),12,31)-DATE(YEAR(Invoer!$A$5),1,1)+1),"jjjjmmdd")</f>
        <v>19411022</v>
      </c>
      <c r="C1026" s="13">
        <v>1</v>
      </c>
      <c r="D1026" s="18" t="str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—</v>
      </c>
      <c r="E1026" s="19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7</v>
      </c>
    </row>
    <row r="1027" spans="1:5" x14ac:dyDescent="0.25">
      <c r="A1027" s="12">
        <f ca="1">INDEX(Stations,INT((ROWS(A$2:A1027)-1)/(DATE(YEAR(Invoer!$A$5),12,31)-DATE(YEAR(Invoer!$A$5),1,1)+1))+2,1)</f>
        <v>49</v>
      </c>
      <c r="B1027" t="str">
        <f ca="1">TEXT(DATE(YEAR(Invoer!$A$5),1,1)+MOD(ROWS(B$2:B1027)-1,DATE(YEAR(Invoer!$A$5),12,31)-DATE(YEAR(Invoer!$A$5),1,1)+1),"jjjjmmdd")</f>
        <v>19411023</v>
      </c>
      <c r="C1027" s="13">
        <v>1</v>
      </c>
      <c r="D1027" s="18" t="str">
        <f t="shared" ca="1" si="32"/>
        <v>—</v>
      </c>
      <c r="E1027" s="19">
        <f t="shared" ca="1" si="33"/>
        <v>7</v>
      </c>
    </row>
    <row r="1028" spans="1:5" x14ac:dyDescent="0.25">
      <c r="A1028" s="12">
        <f ca="1">INDEX(Stations,INT((ROWS(A$2:A1028)-1)/(DATE(YEAR(Invoer!$A$5),12,31)-DATE(YEAR(Invoer!$A$5),1,1)+1))+2,1)</f>
        <v>49</v>
      </c>
      <c r="B1028" t="str">
        <f ca="1">TEXT(DATE(YEAR(Invoer!$A$5),1,1)+MOD(ROWS(B$2:B1028)-1,DATE(YEAR(Invoer!$A$5),12,31)-DATE(YEAR(Invoer!$A$5),1,1)+1),"jjjjmmdd")</f>
        <v>19411024</v>
      </c>
      <c r="C1028" s="13">
        <v>1</v>
      </c>
      <c r="D1028" s="18" t="str">
        <f t="shared" ca="1" si="32"/>
        <v>—</v>
      </c>
      <c r="E1028" s="19">
        <f t="shared" ca="1" si="33"/>
        <v>7</v>
      </c>
    </row>
    <row r="1029" spans="1:5" x14ac:dyDescent="0.25">
      <c r="A1029" s="12">
        <f ca="1">INDEX(Stations,INT((ROWS(A$2:A1029)-1)/(DATE(YEAR(Invoer!$A$5),12,31)-DATE(YEAR(Invoer!$A$5),1,1)+1))+2,1)</f>
        <v>49</v>
      </c>
      <c r="B1029" t="str">
        <f ca="1">TEXT(DATE(YEAR(Invoer!$A$5),1,1)+MOD(ROWS(B$2:B1029)-1,DATE(YEAR(Invoer!$A$5),12,31)-DATE(YEAR(Invoer!$A$5),1,1)+1),"jjjjmmdd")</f>
        <v>19411025</v>
      </c>
      <c r="C1029" s="13">
        <v>1</v>
      </c>
      <c r="D1029" s="18" t="str">
        <f t="shared" ca="1" si="32"/>
        <v>—</v>
      </c>
      <c r="E1029" s="19">
        <f t="shared" ca="1" si="33"/>
        <v>7</v>
      </c>
    </row>
    <row r="1030" spans="1:5" x14ac:dyDescent="0.25">
      <c r="A1030" s="12">
        <f ca="1">INDEX(Stations,INT((ROWS(A$2:A1030)-1)/(DATE(YEAR(Invoer!$A$5),12,31)-DATE(YEAR(Invoer!$A$5),1,1)+1))+2,1)</f>
        <v>49</v>
      </c>
      <c r="B1030" t="str">
        <f ca="1">TEXT(DATE(YEAR(Invoer!$A$5),1,1)+MOD(ROWS(B$2:B1030)-1,DATE(YEAR(Invoer!$A$5),12,31)-DATE(YEAR(Invoer!$A$5),1,1)+1),"jjjjmmdd")</f>
        <v>19411026</v>
      </c>
      <c r="C1030" s="13">
        <v>1</v>
      </c>
      <c r="D1030" s="18" t="str">
        <f t="shared" ca="1" si="32"/>
        <v>—</v>
      </c>
      <c r="E1030" s="19">
        <f t="shared" ca="1" si="33"/>
        <v>7</v>
      </c>
    </row>
    <row r="1031" spans="1:5" x14ac:dyDescent="0.25">
      <c r="A1031" s="12">
        <f ca="1">INDEX(Stations,INT((ROWS(A$2:A1031)-1)/(DATE(YEAR(Invoer!$A$5),12,31)-DATE(YEAR(Invoer!$A$5),1,1)+1))+2,1)</f>
        <v>49</v>
      </c>
      <c r="B1031" t="str">
        <f ca="1">TEXT(DATE(YEAR(Invoer!$A$5),1,1)+MOD(ROWS(B$2:B1031)-1,DATE(YEAR(Invoer!$A$5),12,31)-DATE(YEAR(Invoer!$A$5),1,1)+1),"jjjjmmdd")</f>
        <v>19411027</v>
      </c>
      <c r="C1031" s="13">
        <v>1</v>
      </c>
      <c r="D1031" s="18" t="str">
        <f t="shared" ca="1" si="32"/>
        <v>—</v>
      </c>
      <c r="E1031" s="19">
        <f t="shared" ca="1" si="33"/>
        <v>7</v>
      </c>
    </row>
    <row r="1032" spans="1:5" x14ac:dyDescent="0.25">
      <c r="A1032" s="12">
        <f ca="1">INDEX(Stations,INT((ROWS(A$2:A1032)-1)/(DATE(YEAR(Invoer!$A$5),12,31)-DATE(YEAR(Invoer!$A$5),1,1)+1))+2,1)</f>
        <v>49</v>
      </c>
      <c r="B1032" t="str">
        <f ca="1">TEXT(DATE(YEAR(Invoer!$A$5),1,1)+MOD(ROWS(B$2:B1032)-1,DATE(YEAR(Invoer!$A$5),12,31)-DATE(YEAR(Invoer!$A$5),1,1)+1),"jjjjmmdd")</f>
        <v>19411028</v>
      </c>
      <c r="C1032" s="13">
        <v>1</v>
      </c>
      <c r="D1032" s="18" t="str">
        <f t="shared" ca="1" si="32"/>
        <v>—</v>
      </c>
      <c r="E1032" s="19">
        <f t="shared" ca="1" si="33"/>
        <v>7</v>
      </c>
    </row>
    <row r="1033" spans="1:5" x14ac:dyDescent="0.25">
      <c r="A1033" s="12">
        <f ca="1">INDEX(Stations,INT((ROWS(A$2:A1033)-1)/(DATE(YEAR(Invoer!$A$5),12,31)-DATE(YEAR(Invoer!$A$5),1,1)+1))+2,1)</f>
        <v>49</v>
      </c>
      <c r="B1033" t="str">
        <f ca="1">TEXT(DATE(YEAR(Invoer!$A$5),1,1)+MOD(ROWS(B$2:B1033)-1,DATE(YEAR(Invoer!$A$5),12,31)-DATE(YEAR(Invoer!$A$5),1,1)+1),"jjjjmmdd")</f>
        <v>19411029</v>
      </c>
      <c r="C1033" s="13">
        <v>1</v>
      </c>
      <c r="D1033" s="18" t="str">
        <f t="shared" ca="1" si="32"/>
        <v>—</v>
      </c>
      <c r="E1033" s="19">
        <f t="shared" ca="1" si="33"/>
        <v>7</v>
      </c>
    </row>
    <row r="1034" spans="1:5" x14ac:dyDescent="0.25">
      <c r="A1034" s="12">
        <f ca="1">INDEX(Stations,INT((ROWS(A$2:A1034)-1)/(DATE(YEAR(Invoer!$A$5),12,31)-DATE(YEAR(Invoer!$A$5),1,1)+1))+2,1)</f>
        <v>49</v>
      </c>
      <c r="B1034" t="str">
        <f ca="1">TEXT(DATE(YEAR(Invoer!$A$5),1,1)+MOD(ROWS(B$2:B1034)-1,DATE(YEAR(Invoer!$A$5),12,31)-DATE(YEAR(Invoer!$A$5),1,1)+1),"jjjjmmdd")</f>
        <v>19411030</v>
      </c>
      <c r="C1034" s="13">
        <v>1</v>
      </c>
      <c r="D1034" s="18" t="str">
        <f t="shared" ca="1" si="32"/>
        <v>—</v>
      </c>
      <c r="E1034" s="19">
        <f t="shared" ca="1" si="33"/>
        <v>7</v>
      </c>
    </row>
    <row r="1035" spans="1:5" x14ac:dyDescent="0.25">
      <c r="A1035" s="12">
        <f ca="1">INDEX(Stations,INT((ROWS(A$2:A1035)-1)/(DATE(YEAR(Invoer!$A$5),12,31)-DATE(YEAR(Invoer!$A$5),1,1)+1))+2,1)</f>
        <v>49</v>
      </c>
      <c r="B1035" t="str">
        <f ca="1">TEXT(DATE(YEAR(Invoer!$A$5),1,1)+MOD(ROWS(B$2:B1035)-1,DATE(YEAR(Invoer!$A$5),12,31)-DATE(YEAR(Invoer!$A$5),1,1)+1),"jjjjmmdd")</f>
        <v>19411031</v>
      </c>
      <c r="C1035" s="13">
        <v>1</v>
      </c>
      <c r="D1035" s="18" t="str">
        <f t="shared" ca="1" si="32"/>
        <v>—</v>
      </c>
      <c r="E1035" s="19">
        <f t="shared" ca="1" si="33"/>
        <v>7</v>
      </c>
    </row>
    <row r="1036" spans="1:5" x14ac:dyDescent="0.25">
      <c r="A1036" s="12">
        <f ca="1">INDEX(Stations,INT((ROWS(A$2:A1036)-1)/(DATE(YEAR(Invoer!$A$5),12,31)-DATE(YEAR(Invoer!$A$5),1,1)+1))+2,1)</f>
        <v>49</v>
      </c>
      <c r="B1036" t="str">
        <f ca="1">TEXT(DATE(YEAR(Invoer!$A$5),1,1)+MOD(ROWS(B$2:B1036)-1,DATE(YEAR(Invoer!$A$5),12,31)-DATE(YEAR(Invoer!$A$5),1,1)+1),"jjjjmmdd")</f>
        <v>19411101</v>
      </c>
      <c r="C1036" s="13">
        <v>1</v>
      </c>
      <c r="D1036" s="18" t="str">
        <f t="shared" ca="1" si="32"/>
        <v>—</v>
      </c>
      <c r="E1036" s="19">
        <f t="shared" ca="1" si="33"/>
        <v>7</v>
      </c>
    </row>
    <row r="1037" spans="1:5" x14ac:dyDescent="0.25">
      <c r="A1037" s="12">
        <f ca="1">INDEX(Stations,INT((ROWS(A$2:A1037)-1)/(DATE(YEAR(Invoer!$A$5),12,31)-DATE(YEAR(Invoer!$A$5),1,1)+1))+2,1)</f>
        <v>49</v>
      </c>
      <c r="B1037" t="str">
        <f ca="1">TEXT(DATE(YEAR(Invoer!$A$5),1,1)+MOD(ROWS(B$2:B1037)-1,DATE(YEAR(Invoer!$A$5),12,31)-DATE(YEAR(Invoer!$A$5),1,1)+1),"jjjjmmdd")</f>
        <v>19411102</v>
      </c>
      <c r="C1037" s="13">
        <v>1</v>
      </c>
      <c r="D1037" s="18" t="str">
        <f t="shared" ca="1" si="32"/>
        <v>—</v>
      </c>
      <c r="E1037" s="19">
        <f t="shared" ca="1" si="33"/>
        <v>7</v>
      </c>
    </row>
    <row r="1038" spans="1:5" x14ac:dyDescent="0.25">
      <c r="A1038" s="12">
        <f ca="1">INDEX(Stations,INT((ROWS(A$2:A1038)-1)/(DATE(YEAR(Invoer!$A$5),12,31)-DATE(YEAR(Invoer!$A$5),1,1)+1))+2,1)</f>
        <v>49</v>
      </c>
      <c r="B1038" t="str">
        <f ca="1">TEXT(DATE(YEAR(Invoer!$A$5),1,1)+MOD(ROWS(B$2:B1038)-1,DATE(YEAR(Invoer!$A$5),12,31)-DATE(YEAR(Invoer!$A$5),1,1)+1),"jjjjmmdd")</f>
        <v>19411103</v>
      </c>
      <c r="C1038" s="13">
        <v>1</v>
      </c>
      <c r="D1038" s="18" t="str">
        <f t="shared" ca="1" si="32"/>
        <v>—</v>
      </c>
      <c r="E1038" s="19">
        <f t="shared" ca="1" si="33"/>
        <v>7</v>
      </c>
    </row>
    <row r="1039" spans="1:5" x14ac:dyDescent="0.25">
      <c r="A1039" s="12">
        <f ca="1">INDEX(Stations,INT((ROWS(A$2:A1039)-1)/(DATE(YEAR(Invoer!$A$5),12,31)-DATE(YEAR(Invoer!$A$5),1,1)+1))+2,1)</f>
        <v>49</v>
      </c>
      <c r="B1039" t="str">
        <f ca="1">TEXT(DATE(YEAR(Invoer!$A$5),1,1)+MOD(ROWS(B$2:B1039)-1,DATE(YEAR(Invoer!$A$5),12,31)-DATE(YEAR(Invoer!$A$5),1,1)+1),"jjjjmmdd")</f>
        <v>19411104</v>
      </c>
      <c r="C1039" s="13">
        <v>1</v>
      </c>
      <c r="D1039" s="18" t="str">
        <f t="shared" ca="1" si="32"/>
        <v>—</v>
      </c>
      <c r="E1039" s="19">
        <f t="shared" ca="1" si="33"/>
        <v>7</v>
      </c>
    </row>
    <row r="1040" spans="1:5" x14ac:dyDescent="0.25">
      <c r="A1040" s="12">
        <f ca="1">INDEX(Stations,INT((ROWS(A$2:A1040)-1)/(DATE(YEAR(Invoer!$A$5),12,31)-DATE(YEAR(Invoer!$A$5),1,1)+1))+2,1)</f>
        <v>49</v>
      </c>
      <c r="B1040" t="str">
        <f ca="1">TEXT(DATE(YEAR(Invoer!$A$5),1,1)+MOD(ROWS(B$2:B1040)-1,DATE(YEAR(Invoer!$A$5),12,31)-DATE(YEAR(Invoer!$A$5),1,1)+1),"jjjjmmdd")</f>
        <v>19411105</v>
      </c>
      <c r="C1040" s="13">
        <v>1</v>
      </c>
      <c r="D1040" s="18" t="str">
        <f t="shared" ca="1" si="32"/>
        <v>—</v>
      </c>
      <c r="E1040" s="19">
        <f t="shared" ca="1" si="33"/>
        <v>7</v>
      </c>
    </row>
    <row r="1041" spans="1:5" x14ac:dyDescent="0.25">
      <c r="A1041" s="12">
        <f ca="1">INDEX(Stations,INT((ROWS(A$2:A1041)-1)/(DATE(YEAR(Invoer!$A$5),12,31)-DATE(YEAR(Invoer!$A$5),1,1)+1))+2,1)</f>
        <v>49</v>
      </c>
      <c r="B1041" t="str">
        <f ca="1">TEXT(DATE(YEAR(Invoer!$A$5),1,1)+MOD(ROWS(B$2:B1041)-1,DATE(YEAR(Invoer!$A$5),12,31)-DATE(YEAR(Invoer!$A$5),1,1)+1),"jjjjmmdd")</f>
        <v>19411106</v>
      </c>
      <c r="C1041" s="13">
        <v>1</v>
      </c>
      <c r="D1041" s="18" t="str">
        <f t="shared" ca="1" si="32"/>
        <v>—</v>
      </c>
      <c r="E1041" s="19">
        <f t="shared" ca="1" si="33"/>
        <v>7</v>
      </c>
    </row>
    <row r="1042" spans="1:5" x14ac:dyDescent="0.25">
      <c r="A1042" s="12">
        <f ca="1">INDEX(Stations,INT((ROWS(A$2:A1042)-1)/(DATE(YEAR(Invoer!$A$5),12,31)-DATE(YEAR(Invoer!$A$5),1,1)+1))+2,1)</f>
        <v>49</v>
      </c>
      <c r="B1042" t="str">
        <f ca="1">TEXT(DATE(YEAR(Invoer!$A$5),1,1)+MOD(ROWS(B$2:B1042)-1,DATE(YEAR(Invoer!$A$5),12,31)-DATE(YEAR(Invoer!$A$5),1,1)+1),"jjjjmmdd")</f>
        <v>19411107</v>
      </c>
      <c r="C1042" s="13">
        <v>1</v>
      </c>
      <c r="D1042" s="18" t="str">
        <f t="shared" ca="1" si="32"/>
        <v>—</v>
      </c>
      <c r="E1042" s="19">
        <f t="shared" ca="1" si="33"/>
        <v>7</v>
      </c>
    </row>
    <row r="1043" spans="1:5" x14ac:dyDescent="0.25">
      <c r="A1043" s="12">
        <f ca="1">INDEX(Stations,INT((ROWS(A$2:A1043)-1)/(DATE(YEAR(Invoer!$A$5),12,31)-DATE(YEAR(Invoer!$A$5),1,1)+1))+2,1)</f>
        <v>49</v>
      </c>
      <c r="B1043" t="str">
        <f ca="1">TEXT(DATE(YEAR(Invoer!$A$5),1,1)+MOD(ROWS(B$2:B1043)-1,DATE(YEAR(Invoer!$A$5),12,31)-DATE(YEAR(Invoer!$A$5),1,1)+1),"jjjjmmdd")</f>
        <v>19411108</v>
      </c>
      <c r="C1043" s="13">
        <v>1</v>
      </c>
      <c r="D1043" s="18" t="str">
        <f t="shared" ca="1" si="32"/>
        <v>—</v>
      </c>
      <c r="E1043" s="19">
        <f t="shared" ca="1" si="33"/>
        <v>7</v>
      </c>
    </row>
    <row r="1044" spans="1:5" x14ac:dyDescent="0.25">
      <c r="A1044" s="12">
        <f ca="1">INDEX(Stations,INT((ROWS(A$2:A1044)-1)/(DATE(YEAR(Invoer!$A$5),12,31)-DATE(YEAR(Invoer!$A$5),1,1)+1))+2,1)</f>
        <v>49</v>
      </c>
      <c r="B1044" t="str">
        <f ca="1">TEXT(DATE(YEAR(Invoer!$A$5),1,1)+MOD(ROWS(B$2:B1044)-1,DATE(YEAR(Invoer!$A$5),12,31)-DATE(YEAR(Invoer!$A$5),1,1)+1),"jjjjmmdd")</f>
        <v>19411109</v>
      </c>
      <c r="C1044" s="13">
        <v>1</v>
      </c>
      <c r="D1044" s="18" t="str">
        <f t="shared" ca="1" si="32"/>
        <v>—</v>
      </c>
      <c r="E1044" s="19">
        <f t="shared" ca="1" si="33"/>
        <v>7</v>
      </c>
    </row>
    <row r="1045" spans="1:5" x14ac:dyDescent="0.25">
      <c r="A1045" s="12">
        <f ca="1">INDEX(Stations,INT((ROWS(A$2:A1045)-1)/(DATE(YEAR(Invoer!$A$5),12,31)-DATE(YEAR(Invoer!$A$5),1,1)+1))+2,1)</f>
        <v>49</v>
      </c>
      <c r="B1045" t="str">
        <f ca="1">TEXT(DATE(YEAR(Invoer!$A$5),1,1)+MOD(ROWS(B$2:B1045)-1,DATE(YEAR(Invoer!$A$5),12,31)-DATE(YEAR(Invoer!$A$5),1,1)+1),"jjjjmmdd")</f>
        <v>19411110</v>
      </c>
      <c r="C1045" s="13">
        <v>1</v>
      </c>
      <c r="D1045" s="18" t="str">
        <f t="shared" ca="1" si="32"/>
        <v>—</v>
      </c>
      <c r="E1045" s="19">
        <f t="shared" ca="1" si="33"/>
        <v>7</v>
      </c>
    </row>
    <row r="1046" spans="1:5" x14ac:dyDescent="0.25">
      <c r="A1046" s="12">
        <f ca="1">INDEX(Stations,INT((ROWS(A$2:A1046)-1)/(DATE(YEAR(Invoer!$A$5),12,31)-DATE(YEAR(Invoer!$A$5),1,1)+1))+2,1)</f>
        <v>49</v>
      </c>
      <c r="B1046" t="str">
        <f ca="1">TEXT(DATE(YEAR(Invoer!$A$5),1,1)+MOD(ROWS(B$2:B1046)-1,DATE(YEAR(Invoer!$A$5),12,31)-DATE(YEAR(Invoer!$A$5),1,1)+1),"jjjjmmdd")</f>
        <v>19411111</v>
      </c>
      <c r="C1046" s="13">
        <v>1</v>
      </c>
      <c r="D1046" s="18" t="str">
        <f t="shared" ca="1" si="32"/>
        <v>—</v>
      </c>
      <c r="E1046" s="19">
        <f t="shared" ca="1" si="33"/>
        <v>7</v>
      </c>
    </row>
    <row r="1047" spans="1:5" x14ac:dyDescent="0.25">
      <c r="A1047" s="12">
        <f ca="1">INDEX(Stations,INT((ROWS(A$2:A1047)-1)/(DATE(YEAR(Invoer!$A$5),12,31)-DATE(YEAR(Invoer!$A$5),1,1)+1))+2,1)</f>
        <v>49</v>
      </c>
      <c r="B1047" t="str">
        <f ca="1">TEXT(DATE(YEAR(Invoer!$A$5),1,1)+MOD(ROWS(B$2:B1047)-1,DATE(YEAR(Invoer!$A$5),12,31)-DATE(YEAR(Invoer!$A$5),1,1)+1),"jjjjmmdd")</f>
        <v>19411112</v>
      </c>
      <c r="C1047" s="13">
        <v>1</v>
      </c>
      <c r="D1047" s="18" t="str">
        <f t="shared" ca="1" si="32"/>
        <v>—</v>
      </c>
      <c r="E1047" s="19">
        <f t="shared" ca="1" si="33"/>
        <v>7</v>
      </c>
    </row>
    <row r="1048" spans="1:5" x14ac:dyDescent="0.25">
      <c r="A1048" s="12">
        <f ca="1">INDEX(Stations,INT((ROWS(A$2:A1048)-1)/(DATE(YEAR(Invoer!$A$5),12,31)-DATE(YEAR(Invoer!$A$5),1,1)+1))+2,1)</f>
        <v>49</v>
      </c>
      <c r="B1048" t="str">
        <f ca="1">TEXT(DATE(YEAR(Invoer!$A$5),1,1)+MOD(ROWS(B$2:B1048)-1,DATE(YEAR(Invoer!$A$5),12,31)-DATE(YEAR(Invoer!$A$5),1,1)+1),"jjjjmmdd")</f>
        <v>19411113</v>
      </c>
      <c r="C1048" s="13">
        <v>1</v>
      </c>
      <c r="D1048" s="18" t="str">
        <f t="shared" ca="1" si="32"/>
        <v>—</v>
      </c>
      <c r="E1048" s="19">
        <f t="shared" ca="1" si="33"/>
        <v>7</v>
      </c>
    </row>
    <row r="1049" spans="1:5" x14ac:dyDescent="0.25">
      <c r="A1049" s="12">
        <f ca="1">INDEX(Stations,INT((ROWS(A$2:A1049)-1)/(DATE(YEAR(Invoer!$A$5),12,31)-DATE(YEAR(Invoer!$A$5),1,1)+1))+2,1)</f>
        <v>49</v>
      </c>
      <c r="B1049" t="str">
        <f ca="1">TEXT(DATE(YEAR(Invoer!$A$5),1,1)+MOD(ROWS(B$2:B1049)-1,DATE(YEAR(Invoer!$A$5),12,31)-DATE(YEAR(Invoer!$A$5),1,1)+1),"jjjjmmdd")</f>
        <v>19411114</v>
      </c>
      <c r="C1049" s="13">
        <v>1</v>
      </c>
      <c r="D1049" s="18" t="str">
        <f t="shared" ca="1" si="32"/>
        <v>—</v>
      </c>
      <c r="E1049" s="19">
        <f t="shared" ca="1" si="33"/>
        <v>7</v>
      </c>
    </row>
    <row r="1050" spans="1:5" x14ac:dyDescent="0.25">
      <c r="A1050" s="12">
        <f ca="1">INDEX(Stations,INT((ROWS(A$2:A1050)-1)/(DATE(YEAR(Invoer!$A$5),12,31)-DATE(YEAR(Invoer!$A$5),1,1)+1))+2,1)</f>
        <v>49</v>
      </c>
      <c r="B1050" t="str">
        <f ca="1">TEXT(DATE(YEAR(Invoer!$A$5),1,1)+MOD(ROWS(B$2:B1050)-1,DATE(YEAR(Invoer!$A$5),12,31)-DATE(YEAR(Invoer!$A$5),1,1)+1),"jjjjmmdd")</f>
        <v>19411115</v>
      </c>
      <c r="C1050" s="13">
        <v>1</v>
      </c>
      <c r="D1050" s="18" t="str">
        <f t="shared" ca="1" si="32"/>
        <v>—</v>
      </c>
      <c r="E1050" s="19">
        <f t="shared" ca="1" si="33"/>
        <v>7</v>
      </c>
    </row>
    <row r="1051" spans="1:5" x14ac:dyDescent="0.25">
      <c r="A1051" s="12">
        <f ca="1">INDEX(Stations,INT((ROWS(A$2:A1051)-1)/(DATE(YEAR(Invoer!$A$5),12,31)-DATE(YEAR(Invoer!$A$5),1,1)+1))+2,1)</f>
        <v>49</v>
      </c>
      <c r="B1051" t="str">
        <f ca="1">TEXT(DATE(YEAR(Invoer!$A$5),1,1)+MOD(ROWS(B$2:B1051)-1,DATE(YEAR(Invoer!$A$5),12,31)-DATE(YEAR(Invoer!$A$5),1,1)+1),"jjjjmmdd")</f>
        <v>19411116</v>
      </c>
      <c r="C1051" s="13">
        <v>1</v>
      </c>
      <c r="D1051" s="18" t="str">
        <f t="shared" ca="1" si="32"/>
        <v>—</v>
      </c>
      <c r="E1051" s="19">
        <f t="shared" ca="1" si="33"/>
        <v>7</v>
      </c>
    </row>
    <row r="1052" spans="1:5" x14ac:dyDescent="0.25">
      <c r="A1052" s="12">
        <f ca="1">INDEX(Stations,INT((ROWS(A$2:A1052)-1)/(DATE(YEAR(Invoer!$A$5),12,31)-DATE(YEAR(Invoer!$A$5),1,1)+1))+2,1)</f>
        <v>49</v>
      </c>
      <c r="B1052" t="str">
        <f ca="1">TEXT(DATE(YEAR(Invoer!$A$5),1,1)+MOD(ROWS(B$2:B1052)-1,DATE(YEAR(Invoer!$A$5),12,31)-DATE(YEAR(Invoer!$A$5),1,1)+1),"jjjjmmdd")</f>
        <v>19411117</v>
      </c>
      <c r="C1052" s="13">
        <v>1</v>
      </c>
      <c r="D1052" s="18" t="str">
        <f t="shared" ca="1" si="32"/>
        <v>—</v>
      </c>
      <c r="E1052" s="19">
        <f t="shared" ca="1" si="33"/>
        <v>7</v>
      </c>
    </row>
    <row r="1053" spans="1:5" x14ac:dyDescent="0.25">
      <c r="A1053" s="12">
        <f ca="1">INDEX(Stations,INT((ROWS(A$2:A1053)-1)/(DATE(YEAR(Invoer!$A$5),12,31)-DATE(YEAR(Invoer!$A$5),1,1)+1))+2,1)</f>
        <v>49</v>
      </c>
      <c r="B1053" t="str">
        <f ca="1">TEXT(DATE(YEAR(Invoer!$A$5),1,1)+MOD(ROWS(B$2:B1053)-1,DATE(YEAR(Invoer!$A$5),12,31)-DATE(YEAR(Invoer!$A$5),1,1)+1),"jjjjmmdd")</f>
        <v>19411118</v>
      </c>
      <c r="C1053" s="13">
        <v>1</v>
      </c>
      <c r="D1053" s="18" t="str">
        <f t="shared" ca="1" si="32"/>
        <v>—</v>
      </c>
      <c r="E1053" s="19">
        <f t="shared" ca="1" si="33"/>
        <v>7</v>
      </c>
    </row>
    <row r="1054" spans="1:5" x14ac:dyDescent="0.25">
      <c r="A1054" s="12">
        <f ca="1">INDEX(Stations,INT((ROWS(A$2:A1054)-1)/(DATE(YEAR(Invoer!$A$5),12,31)-DATE(YEAR(Invoer!$A$5),1,1)+1))+2,1)</f>
        <v>49</v>
      </c>
      <c r="B1054" t="str">
        <f ca="1">TEXT(DATE(YEAR(Invoer!$A$5),1,1)+MOD(ROWS(B$2:B1054)-1,DATE(YEAR(Invoer!$A$5),12,31)-DATE(YEAR(Invoer!$A$5),1,1)+1),"jjjjmmdd")</f>
        <v>19411119</v>
      </c>
      <c r="C1054" s="13">
        <v>1</v>
      </c>
      <c r="D1054" s="18" t="str">
        <f t="shared" ca="1" si="32"/>
        <v>—</v>
      </c>
      <c r="E1054" s="19">
        <f t="shared" ca="1" si="33"/>
        <v>7</v>
      </c>
    </row>
    <row r="1055" spans="1:5" x14ac:dyDescent="0.25">
      <c r="A1055" s="12">
        <f ca="1">INDEX(Stations,INT((ROWS(A$2:A1055)-1)/(DATE(YEAR(Invoer!$A$5),12,31)-DATE(YEAR(Invoer!$A$5),1,1)+1))+2,1)</f>
        <v>49</v>
      </c>
      <c r="B1055" t="str">
        <f ca="1">TEXT(DATE(YEAR(Invoer!$A$5),1,1)+MOD(ROWS(B$2:B1055)-1,DATE(YEAR(Invoer!$A$5),12,31)-DATE(YEAR(Invoer!$A$5),1,1)+1),"jjjjmmdd")</f>
        <v>19411120</v>
      </c>
      <c r="C1055" s="13">
        <v>1</v>
      </c>
      <c r="D1055" s="18" t="str">
        <f t="shared" ca="1" si="32"/>
        <v>—</v>
      </c>
      <c r="E1055" s="19">
        <f t="shared" ca="1" si="33"/>
        <v>7</v>
      </c>
    </row>
    <row r="1056" spans="1:5" x14ac:dyDescent="0.25">
      <c r="A1056" s="12">
        <f ca="1">INDEX(Stations,INT((ROWS(A$2:A1056)-1)/(DATE(YEAR(Invoer!$A$5),12,31)-DATE(YEAR(Invoer!$A$5),1,1)+1))+2,1)</f>
        <v>49</v>
      </c>
      <c r="B1056" t="str">
        <f ca="1">TEXT(DATE(YEAR(Invoer!$A$5),1,1)+MOD(ROWS(B$2:B1056)-1,DATE(YEAR(Invoer!$A$5),12,31)-DATE(YEAR(Invoer!$A$5),1,1)+1),"jjjjmmdd")</f>
        <v>19411121</v>
      </c>
      <c r="C1056" s="13">
        <v>1</v>
      </c>
      <c r="D1056" s="18" t="str">
        <f t="shared" ca="1" si="32"/>
        <v>—</v>
      </c>
      <c r="E1056" s="19">
        <f t="shared" ca="1" si="33"/>
        <v>7</v>
      </c>
    </row>
    <row r="1057" spans="1:5" x14ac:dyDescent="0.25">
      <c r="A1057" s="12">
        <f ca="1">INDEX(Stations,INT((ROWS(A$2:A1057)-1)/(DATE(YEAR(Invoer!$A$5),12,31)-DATE(YEAR(Invoer!$A$5),1,1)+1))+2,1)</f>
        <v>49</v>
      </c>
      <c r="B1057" t="str">
        <f ca="1">TEXT(DATE(YEAR(Invoer!$A$5),1,1)+MOD(ROWS(B$2:B1057)-1,DATE(YEAR(Invoer!$A$5),12,31)-DATE(YEAR(Invoer!$A$5),1,1)+1),"jjjjmmdd")</f>
        <v>19411122</v>
      </c>
      <c r="C1057" s="13">
        <v>1</v>
      </c>
      <c r="D1057" s="18" t="str">
        <f t="shared" ca="1" si="32"/>
        <v>—</v>
      </c>
      <c r="E1057" s="19">
        <f t="shared" ca="1" si="33"/>
        <v>7</v>
      </c>
    </row>
    <row r="1058" spans="1:5" x14ac:dyDescent="0.25">
      <c r="A1058" s="12">
        <f ca="1">INDEX(Stations,INT((ROWS(A$2:A1058)-1)/(DATE(YEAR(Invoer!$A$5),12,31)-DATE(YEAR(Invoer!$A$5),1,1)+1))+2,1)</f>
        <v>49</v>
      </c>
      <c r="B1058" t="str">
        <f ca="1">TEXT(DATE(YEAR(Invoer!$A$5),1,1)+MOD(ROWS(B$2:B1058)-1,DATE(YEAR(Invoer!$A$5),12,31)-DATE(YEAR(Invoer!$A$5),1,1)+1),"jjjjmmdd")</f>
        <v>19411123</v>
      </c>
      <c r="C1058" s="13">
        <v>1</v>
      </c>
      <c r="D1058" s="18" t="str">
        <f t="shared" ca="1" si="32"/>
        <v>—</v>
      </c>
      <c r="E1058" s="19">
        <f t="shared" ca="1" si="33"/>
        <v>7</v>
      </c>
    </row>
    <row r="1059" spans="1:5" x14ac:dyDescent="0.25">
      <c r="A1059" s="12">
        <f ca="1">INDEX(Stations,INT((ROWS(A$2:A1059)-1)/(DATE(YEAR(Invoer!$A$5),12,31)-DATE(YEAR(Invoer!$A$5),1,1)+1))+2,1)</f>
        <v>49</v>
      </c>
      <c r="B1059" t="str">
        <f ca="1">TEXT(DATE(YEAR(Invoer!$A$5),1,1)+MOD(ROWS(B$2:B1059)-1,DATE(YEAR(Invoer!$A$5),12,31)-DATE(YEAR(Invoer!$A$5),1,1)+1),"jjjjmmdd")</f>
        <v>19411124</v>
      </c>
      <c r="C1059" s="13">
        <v>1</v>
      </c>
      <c r="D1059" s="18" t="str">
        <f t="shared" ca="1" si="32"/>
        <v>—</v>
      </c>
      <c r="E1059" s="19">
        <f t="shared" ca="1" si="33"/>
        <v>7</v>
      </c>
    </row>
    <row r="1060" spans="1:5" x14ac:dyDescent="0.25">
      <c r="A1060" s="12">
        <f ca="1">INDEX(Stations,INT((ROWS(A$2:A1060)-1)/(DATE(YEAR(Invoer!$A$5),12,31)-DATE(YEAR(Invoer!$A$5),1,1)+1))+2,1)</f>
        <v>49</v>
      </c>
      <c r="B1060" t="str">
        <f ca="1">TEXT(DATE(YEAR(Invoer!$A$5),1,1)+MOD(ROWS(B$2:B1060)-1,DATE(YEAR(Invoer!$A$5),12,31)-DATE(YEAR(Invoer!$A$5),1,1)+1),"jjjjmmdd")</f>
        <v>19411125</v>
      </c>
      <c r="C1060" s="13">
        <v>1</v>
      </c>
      <c r="D1060" s="18" t="str">
        <f t="shared" ca="1" si="32"/>
        <v>—</v>
      </c>
      <c r="E1060" s="19">
        <f t="shared" ca="1" si="33"/>
        <v>7</v>
      </c>
    </row>
    <row r="1061" spans="1:5" x14ac:dyDescent="0.25">
      <c r="A1061" s="12">
        <f ca="1">INDEX(Stations,INT((ROWS(A$2:A1061)-1)/(DATE(YEAR(Invoer!$A$5),12,31)-DATE(YEAR(Invoer!$A$5),1,1)+1))+2,1)</f>
        <v>49</v>
      </c>
      <c r="B1061" t="str">
        <f ca="1">TEXT(DATE(YEAR(Invoer!$A$5),1,1)+MOD(ROWS(B$2:B1061)-1,DATE(YEAR(Invoer!$A$5),12,31)-DATE(YEAR(Invoer!$A$5),1,1)+1),"jjjjmmdd")</f>
        <v>19411126</v>
      </c>
      <c r="C1061" s="13">
        <v>1</v>
      </c>
      <c r="D1061" s="18" t="str">
        <f t="shared" ca="1" si="32"/>
        <v>—</v>
      </c>
      <c r="E1061" s="19">
        <f t="shared" ca="1" si="33"/>
        <v>7</v>
      </c>
    </row>
    <row r="1062" spans="1:5" x14ac:dyDescent="0.25">
      <c r="A1062" s="12">
        <f ca="1">INDEX(Stations,INT((ROWS(A$2:A1062)-1)/(DATE(YEAR(Invoer!$A$5),12,31)-DATE(YEAR(Invoer!$A$5),1,1)+1))+2,1)</f>
        <v>49</v>
      </c>
      <c r="B1062" t="str">
        <f ca="1">TEXT(DATE(YEAR(Invoer!$A$5),1,1)+MOD(ROWS(B$2:B1062)-1,DATE(YEAR(Invoer!$A$5),12,31)-DATE(YEAR(Invoer!$A$5),1,1)+1),"jjjjmmdd")</f>
        <v>19411127</v>
      </c>
      <c r="C1062" s="13">
        <v>1</v>
      </c>
      <c r="D1062" s="18" t="str">
        <f t="shared" ca="1" si="32"/>
        <v>—</v>
      </c>
      <c r="E1062" s="19">
        <f t="shared" ca="1" si="33"/>
        <v>7</v>
      </c>
    </row>
    <row r="1063" spans="1:5" x14ac:dyDescent="0.25">
      <c r="A1063" s="12">
        <f ca="1">INDEX(Stations,INT((ROWS(A$2:A1063)-1)/(DATE(YEAR(Invoer!$A$5),12,31)-DATE(YEAR(Invoer!$A$5),1,1)+1))+2,1)</f>
        <v>49</v>
      </c>
      <c r="B1063" t="str">
        <f ca="1">TEXT(DATE(YEAR(Invoer!$A$5),1,1)+MOD(ROWS(B$2:B1063)-1,DATE(YEAR(Invoer!$A$5),12,31)-DATE(YEAR(Invoer!$A$5),1,1)+1),"jjjjmmdd")</f>
        <v>19411128</v>
      </c>
      <c r="C1063" s="13">
        <v>1</v>
      </c>
      <c r="D1063" s="18" t="str">
        <f t="shared" ca="1" si="32"/>
        <v>—</v>
      </c>
      <c r="E1063" s="19">
        <f t="shared" ca="1" si="33"/>
        <v>7</v>
      </c>
    </row>
    <row r="1064" spans="1:5" x14ac:dyDescent="0.25">
      <c r="A1064" s="12">
        <f ca="1">INDEX(Stations,INT((ROWS(A$2:A1064)-1)/(DATE(YEAR(Invoer!$A$5),12,31)-DATE(YEAR(Invoer!$A$5),1,1)+1))+2,1)</f>
        <v>49</v>
      </c>
      <c r="B1064" t="str">
        <f ca="1">TEXT(DATE(YEAR(Invoer!$A$5),1,1)+MOD(ROWS(B$2:B1064)-1,DATE(YEAR(Invoer!$A$5),12,31)-DATE(YEAR(Invoer!$A$5),1,1)+1),"jjjjmmdd")</f>
        <v>19411129</v>
      </c>
      <c r="C1064" s="13">
        <v>1</v>
      </c>
      <c r="D1064" s="18" t="str">
        <f t="shared" ca="1" si="32"/>
        <v>—</v>
      </c>
      <c r="E1064" s="19">
        <f t="shared" ca="1" si="33"/>
        <v>7</v>
      </c>
    </row>
    <row r="1065" spans="1:5" x14ac:dyDescent="0.25">
      <c r="A1065" s="12">
        <f ca="1">INDEX(Stations,INT((ROWS(A$2:A1065)-1)/(DATE(YEAR(Invoer!$A$5),12,31)-DATE(YEAR(Invoer!$A$5),1,1)+1))+2,1)</f>
        <v>49</v>
      </c>
      <c r="B1065" t="str">
        <f ca="1">TEXT(DATE(YEAR(Invoer!$A$5),1,1)+MOD(ROWS(B$2:B1065)-1,DATE(YEAR(Invoer!$A$5),12,31)-DATE(YEAR(Invoer!$A$5),1,1)+1),"jjjjmmdd")</f>
        <v>19411130</v>
      </c>
      <c r="C1065" s="13">
        <v>1</v>
      </c>
      <c r="D1065" s="18" t="str">
        <f t="shared" ca="1" si="32"/>
        <v>—</v>
      </c>
      <c r="E1065" s="19">
        <f t="shared" ca="1" si="33"/>
        <v>7</v>
      </c>
    </row>
    <row r="1066" spans="1:5" x14ac:dyDescent="0.25">
      <c r="A1066" s="12">
        <f ca="1">INDEX(Stations,INT((ROWS(A$2:A1066)-1)/(DATE(YEAR(Invoer!$A$5),12,31)-DATE(YEAR(Invoer!$A$5),1,1)+1))+2,1)</f>
        <v>49</v>
      </c>
      <c r="B1066" t="str">
        <f ca="1">TEXT(DATE(YEAR(Invoer!$A$5),1,1)+MOD(ROWS(B$2:B1066)-1,DATE(YEAR(Invoer!$A$5),12,31)-DATE(YEAR(Invoer!$A$5),1,1)+1),"jjjjmmdd")</f>
        <v>19411201</v>
      </c>
      <c r="C1066" s="13">
        <v>1</v>
      </c>
      <c r="D1066" s="18" t="str">
        <f t="shared" ca="1" si="32"/>
        <v>—</v>
      </c>
      <c r="E1066" s="19">
        <f t="shared" ca="1" si="33"/>
        <v>7</v>
      </c>
    </row>
    <row r="1067" spans="1:5" x14ac:dyDescent="0.25">
      <c r="A1067" s="12">
        <f ca="1">INDEX(Stations,INT((ROWS(A$2:A1067)-1)/(DATE(YEAR(Invoer!$A$5),12,31)-DATE(YEAR(Invoer!$A$5),1,1)+1))+2,1)</f>
        <v>49</v>
      </c>
      <c r="B1067" t="str">
        <f ca="1">TEXT(DATE(YEAR(Invoer!$A$5),1,1)+MOD(ROWS(B$2:B1067)-1,DATE(YEAR(Invoer!$A$5),12,31)-DATE(YEAR(Invoer!$A$5),1,1)+1),"jjjjmmdd")</f>
        <v>19411202</v>
      </c>
      <c r="C1067" s="13">
        <v>1</v>
      </c>
      <c r="D1067" s="18" t="str">
        <f t="shared" ca="1" si="32"/>
        <v>—</v>
      </c>
      <c r="E1067" s="19">
        <f t="shared" ca="1" si="33"/>
        <v>7</v>
      </c>
    </row>
    <row r="1068" spans="1:5" x14ac:dyDescent="0.25">
      <c r="A1068" s="12">
        <f ca="1">INDEX(Stations,INT((ROWS(A$2:A1068)-1)/(DATE(YEAR(Invoer!$A$5),12,31)-DATE(YEAR(Invoer!$A$5),1,1)+1))+2,1)</f>
        <v>49</v>
      </c>
      <c r="B1068" t="str">
        <f ca="1">TEXT(DATE(YEAR(Invoer!$A$5),1,1)+MOD(ROWS(B$2:B1068)-1,DATE(YEAR(Invoer!$A$5),12,31)-DATE(YEAR(Invoer!$A$5),1,1)+1),"jjjjmmdd")</f>
        <v>19411203</v>
      </c>
      <c r="C1068" s="13">
        <v>1</v>
      </c>
      <c r="D1068" s="18" t="str">
        <f t="shared" ca="1" si="32"/>
        <v>—</v>
      </c>
      <c r="E1068" s="19">
        <f t="shared" ca="1" si="33"/>
        <v>7</v>
      </c>
    </row>
    <row r="1069" spans="1:5" x14ac:dyDescent="0.25">
      <c r="A1069" s="12">
        <f ca="1">INDEX(Stations,INT((ROWS(A$2:A1069)-1)/(DATE(YEAR(Invoer!$A$5),12,31)-DATE(YEAR(Invoer!$A$5),1,1)+1))+2,1)</f>
        <v>49</v>
      </c>
      <c r="B1069" t="str">
        <f ca="1">TEXT(DATE(YEAR(Invoer!$A$5),1,1)+MOD(ROWS(B$2:B1069)-1,DATE(YEAR(Invoer!$A$5),12,31)-DATE(YEAR(Invoer!$A$5),1,1)+1),"jjjjmmdd")</f>
        <v>19411204</v>
      </c>
      <c r="C1069" s="13">
        <v>1</v>
      </c>
      <c r="D1069" s="18" t="str">
        <f t="shared" ca="1" si="32"/>
        <v>—</v>
      </c>
      <c r="E1069" s="19">
        <f t="shared" ca="1" si="33"/>
        <v>7</v>
      </c>
    </row>
    <row r="1070" spans="1:5" x14ac:dyDescent="0.25">
      <c r="A1070" s="12">
        <f ca="1">INDEX(Stations,INT((ROWS(A$2:A1070)-1)/(DATE(YEAR(Invoer!$A$5),12,31)-DATE(YEAR(Invoer!$A$5),1,1)+1))+2,1)</f>
        <v>49</v>
      </c>
      <c r="B1070" t="str">
        <f ca="1">TEXT(DATE(YEAR(Invoer!$A$5),1,1)+MOD(ROWS(B$2:B1070)-1,DATE(YEAR(Invoer!$A$5),12,31)-DATE(YEAR(Invoer!$A$5),1,1)+1),"jjjjmmdd")</f>
        <v>19411205</v>
      </c>
      <c r="C1070" s="13">
        <v>1</v>
      </c>
      <c r="D1070" s="18" t="str">
        <f t="shared" ca="1" si="32"/>
        <v>—</v>
      </c>
      <c r="E1070" s="19">
        <f t="shared" ca="1" si="33"/>
        <v>7</v>
      </c>
    </row>
    <row r="1071" spans="1:5" x14ac:dyDescent="0.25">
      <c r="A1071" s="12">
        <f ca="1">INDEX(Stations,INT((ROWS(A$2:A1071)-1)/(DATE(YEAR(Invoer!$A$5),12,31)-DATE(YEAR(Invoer!$A$5),1,1)+1))+2,1)</f>
        <v>49</v>
      </c>
      <c r="B1071" t="str">
        <f ca="1">TEXT(DATE(YEAR(Invoer!$A$5),1,1)+MOD(ROWS(B$2:B1071)-1,DATE(YEAR(Invoer!$A$5),12,31)-DATE(YEAR(Invoer!$A$5),1,1)+1),"jjjjmmdd")</f>
        <v>19411206</v>
      </c>
      <c r="C1071" s="13">
        <v>1</v>
      </c>
      <c r="D1071" s="18" t="str">
        <f t="shared" ca="1" si="32"/>
        <v>—</v>
      </c>
      <c r="E1071" s="19">
        <f t="shared" ca="1" si="33"/>
        <v>7</v>
      </c>
    </row>
    <row r="1072" spans="1:5" x14ac:dyDescent="0.25">
      <c r="A1072" s="12">
        <f ca="1">INDEX(Stations,INT((ROWS(A$2:A1072)-1)/(DATE(YEAR(Invoer!$A$5),12,31)-DATE(YEAR(Invoer!$A$5),1,1)+1))+2,1)</f>
        <v>49</v>
      </c>
      <c r="B1072" t="str">
        <f ca="1">TEXT(DATE(YEAR(Invoer!$A$5),1,1)+MOD(ROWS(B$2:B1072)-1,DATE(YEAR(Invoer!$A$5),12,31)-DATE(YEAR(Invoer!$A$5),1,1)+1),"jjjjmmdd")</f>
        <v>19411207</v>
      </c>
      <c r="C1072" s="13">
        <v>1</v>
      </c>
      <c r="D1072" s="18" t="str">
        <f t="shared" ca="1" si="32"/>
        <v>—</v>
      </c>
      <c r="E1072" s="19">
        <f t="shared" ca="1" si="33"/>
        <v>7</v>
      </c>
    </row>
    <row r="1073" spans="1:5" x14ac:dyDescent="0.25">
      <c r="A1073" s="12">
        <f ca="1">INDEX(Stations,INT((ROWS(A$2:A1073)-1)/(DATE(YEAR(Invoer!$A$5),12,31)-DATE(YEAR(Invoer!$A$5),1,1)+1))+2,1)</f>
        <v>49</v>
      </c>
      <c r="B1073" t="str">
        <f ca="1">TEXT(DATE(YEAR(Invoer!$A$5),1,1)+MOD(ROWS(B$2:B1073)-1,DATE(YEAR(Invoer!$A$5),12,31)-DATE(YEAR(Invoer!$A$5),1,1)+1),"jjjjmmdd")</f>
        <v>19411208</v>
      </c>
      <c r="C1073" s="13">
        <v>1</v>
      </c>
      <c r="D1073" s="18" t="str">
        <f t="shared" ca="1" si="32"/>
        <v>—</v>
      </c>
      <c r="E1073" s="19">
        <f t="shared" ca="1" si="33"/>
        <v>7</v>
      </c>
    </row>
    <row r="1074" spans="1:5" x14ac:dyDescent="0.25">
      <c r="A1074" s="12">
        <f ca="1">INDEX(Stations,INT((ROWS(A$2:A1074)-1)/(DATE(YEAR(Invoer!$A$5),12,31)-DATE(YEAR(Invoer!$A$5),1,1)+1))+2,1)</f>
        <v>49</v>
      </c>
      <c r="B1074" t="str">
        <f ca="1">TEXT(DATE(YEAR(Invoer!$A$5),1,1)+MOD(ROWS(B$2:B1074)-1,DATE(YEAR(Invoer!$A$5),12,31)-DATE(YEAR(Invoer!$A$5),1,1)+1),"jjjjmmdd")</f>
        <v>19411209</v>
      </c>
      <c r="C1074" s="13">
        <v>1</v>
      </c>
      <c r="D1074" s="18" t="str">
        <f t="shared" ca="1" si="32"/>
        <v>—</v>
      </c>
      <c r="E1074" s="19">
        <f t="shared" ca="1" si="33"/>
        <v>7</v>
      </c>
    </row>
    <row r="1075" spans="1:5" x14ac:dyDescent="0.25">
      <c r="A1075" s="12">
        <f ca="1">INDEX(Stations,INT((ROWS(A$2:A1075)-1)/(DATE(YEAR(Invoer!$A$5),12,31)-DATE(YEAR(Invoer!$A$5),1,1)+1))+2,1)</f>
        <v>49</v>
      </c>
      <c r="B1075" t="str">
        <f ca="1">TEXT(DATE(YEAR(Invoer!$A$5),1,1)+MOD(ROWS(B$2:B1075)-1,DATE(YEAR(Invoer!$A$5),12,31)-DATE(YEAR(Invoer!$A$5),1,1)+1),"jjjjmmdd")</f>
        <v>19411210</v>
      </c>
      <c r="C1075" s="13">
        <v>1</v>
      </c>
      <c r="D1075" s="18" t="str">
        <f t="shared" ca="1" si="32"/>
        <v>—</v>
      </c>
      <c r="E1075" s="19">
        <f t="shared" ca="1" si="33"/>
        <v>7</v>
      </c>
    </row>
    <row r="1076" spans="1:5" x14ac:dyDescent="0.25">
      <c r="A1076" s="12">
        <f ca="1">INDEX(Stations,INT((ROWS(A$2:A1076)-1)/(DATE(YEAR(Invoer!$A$5),12,31)-DATE(YEAR(Invoer!$A$5),1,1)+1))+2,1)</f>
        <v>49</v>
      </c>
      <c r="B1076" t="str">
        <f ca="1">TEXT(DATE(YEAR(Invoer!$A$5),1,1)+MOD(ROWS(B$2:B1076)-1,DATE(YEAR(Invoer!$A$5),12,31)-DATE(YEAR(Invoer!$A$5),1,1)+1),"jjjjmmdd")</f>
        <v>19411211</v>
      </c>
      <c r="C1076" s="13">
        <v>1</v>
      </c>
      <c r="D1076" s="18" t="str">
        <f t="shared" ca="1" si="32"/>
        <v>—</v>
      </c>
      <c r="E1076" s="19">
        <f t="shared" ca="1" si="33"/>
        <v>7</v>
      </c>
    </row>
    <row r="1077" spans="1:5" x14ac:dyDescent="0.25">
      <c r="A1077" s="12">
        <f ca="1">INDEX(Stations,INT((ROWS(A$2:A1077)-1)/(DATE(YEAR(Invoer!$A$5),12,31)-DATE(YEAR(Invoer!$A$5),1,1)+1))+2,1)</f>
        <v>49</v>
      </c>
      <c r="B1077" t="str">
        <f ca="1">TEXT(DATE(YEAR(Invoer!$A$5),1,1)+MOD(ROWS(B$2:B1077)-1,DATE(YEAR(Invoer!$A$5),12,31)-DATE(YEAR(Invoer!$A$5),1,1)+1),"jjjjmmdd")</f>
        <v>19411212</v>
      </c>
      <c r="C1077" s="13">
        <v>1</v>
      </c>
      <c r="D1077" s="18" t="str">
        <f t="shared" ca="1" si="32"/>
        <v>—</v>
      </c>
      <c r="E1077" s="19">
        <f t="shared" ca="1" si="33"/>
        <v>7</v>
      </c>
    </row>
    <row r="1078" spans="1:5" x14ac:dyDescent="0.25">
      <c r="A1078" s="12">
        <f ca="1">INDEX(Stations,INT((ROWS(A$2:A1078)-1)/(DATE(YEAR(Invoer!$A$5),12,31)-DATE(YEAR(Invoer!$A$5),1,1)+1))+2,1)</f>
        <v>49</v>
      </c>
      <c r="B1078" t="str">
        <f ca="1">TEXT(DATE(YEAR(Invoer!$A$5),1,1)+MOD(ROWS(B$2:B1078)-1,DATE(YEAR(Invoer!$A$5),12,31)-DATE(YEAR(Invoer!$A$5),1,1)+1),"jjjjmmdd")</f>
        <v>19411213</v>
      </c>
      <c r="C1078" s="13">
        <v>1</v>
      </c>
      <c r="D1078" s="18" t="str">
        <f t="shared" ca="1" si="32"/>
        <v>—</v>
      </c>
      <c r="E1078" s="19">
        <f t="shared" ca="1" si="33"/>
        <v>7</v>
      </c>
    </row>
    <row r="1079" spans="1:5" x14ac:dyDescent="0.25">
      <c r="A1079" s="12">
        <f ca="1">INDEX(Stations,INT((ROWS(A$2:A1079)-1)/(DATE(YEAR(Invoer!$A$5),12,31)-DATE(YEAR(Invoer!$A$5),1,1)+1))+2,1)</f>
        <v>49</v>
      </c>
      <c r="B1079" t="str">
        <f ca="1">TEXT(DATE(YEAR(Invoer!$A$5),1,1)+MOD(ROWS(B$2:B1079)-1,DATE(YEAR(Invoer!$A$5),12,31)-DATE(YEAR(Invoer!$A$5),1,1)+1),"jjjjmmdd")</f>
        <v>19411214</v>
      </c>
      <c r="C1079" s="13">
        <v>1</v>
      </c>
      <c r="D1079" s="18" t="str">
        <f t="shared" ca="1" si="32"/>
        <v>—</v>
      </c>
      <c r="E1079" s="19">
        <f t="shared" ca="1" si="33"/>
        <v>7</v>
      </c>
    </row>
    <row r="1080" spans="1:5" x14ac:dyDescent="0.25">
      <c r="A1080" s="12">
        <f ca="1">INDEX(Stations,INT((ROWS(A$2:A1080)-1)/(DATE(YEAR(Invoer!$A$5),12,31)-DATE(YEAR(Invoer!$A$5),1,1)+1))+2,1)</f>
        <v>49</v>
      </c>
      <c r="B1080" t="str">
        <f ca="1">TEXT(DATE(YEAR(Invoer!$A$5),1,1)+MOD(ROWS(B$2:B1080)-1,DATE(YEAR(Invoer!$A$5),12,31)-DATE(YEAR(Invoer!$A$5),1,1)+1),"jjjjmmdd")</f>
        <v>19411215</v>
      </c>
      <c r="C1080" s="13">
        <v>1</v>
      </c>
      <c r="D1080" s="18" t="str">
        <f t="shared" ca="1" si="32"/>
        <v>—</v>
      </c>
      <c r="E1080" s="19">
        <f t="shared" ca="1" si="33"/>
        <v>7</v>
      </c>
    </row>
    <row r="1081" spans="1:5" x14ac:dyDescent="0.25">
      <c r="A1081" s="12">
        <f ca="1">INDEX(Stations,INT((ROWS(A$2:A1081)-1)/(DATE(YEAR(Invoer!$A$5),12,31)-DATE(YEAR(Invoer!$A$5),1,1)+1))+2,1)</f>
        <v>49</v>
      </c>
      <c r="B1081" t="str">
        <f ca="1">TEXT(DATE(YEAR(Invoer!$A$5),1,1)+MOD(ROWS(B$2:B1081)-1,DATE(YEAR(Invoer!$A$5),12,31)-DATE(YEAR(Invoer!$A$5),1,1)+1),"jjjjmmdd")</f>
        <v>19411216</v>
      </c>
      <c r="C1081" s="13">
        <v>1</v>
      </c>
      <c r="D1081" s="18" t="str">
        <f t="shared" ca="1" si="32"/>
        <v>—</v>
      </c>
      <c r="E1081" s="19">
        <f t="shared" ca="1" si="33"/>
        <v>7</v>
      </c>
    </row>
    <row r="1082" spans="1:5" x14ac:dyDescent="0.25">
      <c r="A1082" s="12">
        <f ca="1">INDEX(Stations,INT((ROWS(A$2:A1082)-1)/(DATE(YEAR(Invoer!$A$5),12,31)-DATE(YEAR(Invoer!$A$5),1,1)+1))+2,1)</f>
        <v>49</v>
      </c>
      <c r="B1082" t="str">
        <f ca="1">TEXT(DATE(YEAR(Invoer!$A$5),1,1)+MOD(ROWS(B$2:B1082)-1,DATE(YEAR(Invoer!$A$5),12,31)-DATE(YEAR(Invoer!$A$5),1,1)+1),"jjjjmmdd")</f>
        <v>19411217</v>
      </c>
      <c r="C1082" s="13">
        <v>1</v>
      </c>
      <c r="D1082" s="18" t="str">
        <f t="shared" ca="1" si="32"/>
        <v>—</v>
      </c>
      <c r="E1082" s="19">
        <f t="shared" ca="1" si="33"/>
        <v>7</v>
      </c>
    </row>
    <row r="1083" spans="1:5" x14ac:dyDescent="0.25">
      <c r="A1083" s="12">
        <f ca="1">INDEX(Stations,INT((ROWS(A$2:A1083)-1)/(DATE(YEAR(Invoer!$A$5),12,31)-DATE(YEAR(Invoer!$A$5),1,1)+1))+2,1)</f>
        <v>49</v>
      </c>
      <c r="B1083" t="str">
        <f ca="1">TEXT(DATE(YEAR(Invoer!$A$5),1,1)+MOD(ROWS(B$2:B1083)-1,DATE(YEAR(Invoer!$A$5),12,31)-DATE(YEAR(Invoer!$A$5),1,1)+1),"jjjjmmdd")</f>
        <v>19411218</v>
      </c>
      <c r="C1083" s="13">
        <v>1</v>
      </c>
      <c r="D1083" s="18" t="str">
        <f t="shared" ca="1" si="32"/>
        <v>—</v>
      </c>
      <c r="E1083" s="19">
        <f t="shared" ca="1" si="33"/>
        <v>7</v>
      </c>
    </row>
    <row r="1084" spans="1:5" x14ac:dyDescent="0.25">
      <c r="A1084" s="12">
        <f ca="1">INDEX(Stations,INT((ROWS(A$2:A1084)-1)/(DATE(YEAR(Invoer!$A$5),12,31)-DATE(YEAR(Invoer!$A$5),1,1)+1))+2,1)</f>
        <v>49</v>
      </c>
      <c r="B1084" t="str">
        <f ca="1">TEXT(DATE(YEAR(Invoer!$A$5),1,1)+MOD(ROWS(B$2:B1084)-1,DATE(YEAR(Invoer!$A$5),12,31)-DATE(YEAR(Invoer!$A$5),1,1)+1),"jjjjmmdd")</f>
        <v>19411219</v>
      </c>
      <c r="C1084" s="13">
        <v>1</v>
      </c>
      <c r="D1084" s="18" t="str">
        <f t="shared" ca="1" si="32"/>
        <v>—</v>
      </c>
      <c r="E1084" s="19">
        <f t="shared" ca="1" si="33"/>
        <v>7</v>
      </c>
    </row>
    <row r="1085" spans="1:5" x14ac:dyDescent="0.25">
      <c r="A1085" s="12">
        <f ca="1">INDEX(Stations,INT((ROWS(A$2:A1085)-1)/(DATE(YEAR(Invoer!$A$5),12,31)-DATE(YEAR(Invoer!$A$5),1,1)+1))+2,1)</f>
        <v>49</v>
      </c>
      <c r="B1085" t="str">
        <f ca="1">TEXT(DATE(YEAR(Invoer!$A$5),1,1)+MOD(ROWS(B$2:B1085)-1,DATE(YEAR(Invoer!$A$5),12,31)-DATE(YEAR(Invoer!$A$5),1,1)+1),"jjjjmmdd")</f>
        <v>19411220</v>
      </c>
      <c r="C1085" s="13">
        <v>1</v>
      </c>
      <c r="D1085" s="18" t="str">
        <f t="shared" ca="1" si="32"/>
        <v>—</v>
      </c>
      <c r="E1085" s="19">
        <f t="shared" ca="1" si="33"/>
        <v>7</v>
      </c>
    </row>
    <row r="1086" spans="1:5" x14ac:dyDescent="0.25">
      <c r="A1086" s="12">
        <f ca="1">INDEX(Stations,INT((ROWS(A$2:A1086)-1)/(DATE(YEAR(Invoer!$A$5),12,31)-DATE(YEAR(Invoer!$A$5),1,1)+1))+2,1)</f>
        <v>49</v>
      </c>
      <c r="B1086" t="str">
        <f ca="1">TEXT(DATE(YEAR(Invoer!$A$5),1,1)+MOD(ROWS(B$2:B1086)-1,DATE(YEAR(Invoer!$A$5),12,31)-DATE(YEAR(Invoer!$A$5),1,1)+1),"jjjjmmdd")</f>
        <v>19411221</v>
      </c>
      <c r="C1086" s="13">
        <v>1</v>
      </c>
      <c r="D1086" s="18" t="str">
        <f t="shared" ca="1" si="32"/>
        <v>—</v>
      </c>
      <c r="E1086" s="19">
        <f t="shared" ca="1" si="33"/>
        <v>7</v>
      </c>
    </row>
    <row r="1087" spans="1:5" x14ac:dyDescent="0.25">
      <c r="A1087" s="12">
        <f ca="1">INDEX(Stations,INT((ROWS(A$2:A1087)-1)/(DATE(YEAR(Invoer!$A$5),12,31)-DATE(YEAR(Invoer!$A$5),1,1)+1))+2,1)</f>
        <v>49</v>
      </c>
      <c r="B1087" t="str">
        <f ca="1">TEXT(DATE(YEAR(Invoer!$A$5),1,1)+MOD(ROWS(B$2:B1087)-1,DATE(YEAR(Invoer!$A$5),12,31)-DATE(YEAR(Invoer!$A$5),1,1)+1),"jjjjmmdd")</f>
        <v>19411222</v>
      </c>
      <c r="C1087" s="13">
        <v>1</v>
      </c>
      <c r="D1087" s="18" t="str">
        <f t="shared" ca="1" si="32"/>
        <v>—</v>
      </c>
      <c r="E1087" s="19">
        <f t="shared" ca="1" si="33"/>
        <v>7</v>
      </c>
    </row>
    <row r="1088" spans="1:5" x14ac:dyDescent="0.25">
      <c r="A1088" s="12">
        <f ca="1">INDEX(Stations,INT((ROWS(A$2:A1088)-1)/(DATE(YEAR(Invoer!$A$5),12,31)-DATE(YEAR(Invoer!$A$5),1,1)+1))+2,1)</f>
        <v>49</v>
      </c>
      <c r="B1088" t="str">
        <f ca="1">TEXT(DATE(YEAR(Invoer!$A$5),1,1)+MOD(ROWS(B$2:B1088)-1,DATE(YEAR(Invoer!$A$5),12,31)-DATE(YEAR(Invoer!$A$5),1,1)+1),"jjjjmmdd")</f>
        <v>19411223</v>
      </c>
      <c r="C1088" s="13">
        <v>1</v>
      </c>
      <c r="D1088" s="18" t="str">
        <f t="shared" ca="1" si="32"/>
        <v>—</v>
      </c>
      <c r="E1088" s="19">
        <f t="shared" ca="1" si="33"/>
        <v>7</v>
      </c>
    </row>
    <row r="1089" spans="1:5" x14ac:dyDescent="0.25">
      <c r="A1089" s="12">
        <f ca="1">INDEX(Stations,INT((ROWS(A$2:A1089)-1)/(DATE(YEAR(Invoer!$A$5),12,31)-DATE(YEAR(Invoer!$A$5),1,1)+1))+2,1)</f>
        <v>49</v>
      </c>
      <c r="B1089" t="str">
        <f ca="1">TEXT(DATE(YEAR(Invoer!$A$5),1,1)+MOD(ROWS(B$2:B1089)-1,DATE(YEAR(Invoer!$A$5),12,31)-DATE(YEAR(Invoer!$A$5),1,1)+1),"jjjjmmdd")</f>
        <v>19411224</v>
      </c>
      <c r="C1089" s="13">
        <v>1</v>
      </c>
      <c r="D1089" s="18" t="str">
        <f t="shared" ca="1" si="32"/>
        <v>—</v>
      </c>
      <c r="E1089" s="19">
        <f t="shared" ca="1" si="33"/>
        <v>7</v>
      </c>
    </row>
    <row r="1090" spans="1:5" x14ac:dyDescent="0.25">
      <c r="A1090" s="12">
        <f ca="1">INDEX(Stations,INT((ROWS(A$2:A1090)-1)/(DATE(YEAR(Invoer!$A$5),12,31)-DATE(YEAR(Invoer!$A$5),1,1)+1))+2,1)</f>
        <v>49</v>
      </c>
      <c r="B1090" t="str">
        <f ca="1">TEXT(DATE(YEAR(Invoer!$A$5),1,1)+MOD(ROWS(B$2:B1090)-1,DATE(YEAR(Invoer!$A$5),12,31)-DATE(YEAR(Invoer!$A$5),1,1)+1),"jjjjmmdd")</f>
        <v>19411225</v>
      </c>
      <c r="C1090" s="13">
        <v>1</v>
      </c>
      <c r="D1090" s="18" t="str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—</v>
      </c>
      <c r="E1090" s="19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7</v>
      </c>
    </row>
    <row r="1091" spans="1:5" x14ac:dyDescent="0.25">
      <c r="A1091" s="12">
        <f ca="1">INDEX(Stations,INT((ROWS(A$2:A1091)-1)/(DATE(YEAR(Invoer!$A$5),12,31)-DATE(YEAR(Invoer!$A$5),1,1)+1))+2,1)</f>
        <v>49</v>
      </c>
      <c r="B1091" t="str">
        <f ca="1">TEXT(DATE(YEAR(Invoer!$A$5),1,1)+MOD(ROWS(B$2:B1091)-1,DATE(YEAR(Invoer!$A$5),12,31)-DATE(YEAR(Invoer!$A$5),1,1)+1),"jjjjmmdd")</f>
        <v>19411226</v>
      </c>
      <c r="C1091" s="13">
        <v>1</v>
      </c>
      <c r="D1091" s="18" t="str">
        <f t="shared" ca="1" si="34"/>
        <v>—</v>
      </c>
      <c r="E1091" s="19">
        <f t="shared" ca="1" si="35"/>
        <v>7</v>
      </c>
    </row>
    <row r="1092" spans="1:5" x14ac:dyDescent="0.25">
      <c r="A1092" s="12">
        <f ca="1">INDEX(Stations,INT((ROWS(A$2:A1092)-1)/(DATE(YEAR(Invoer!$A$5),12,31)-DATE(YEAR(Invoer!$A$5),1,1)+1))+2,1)</f>
        <v>49</v>
      </c>
      <c r="B1092" t="str">
        <f ca="1">TEXT(DATE(YEAR(Invoer!$A$5),1,1)+MOD(ROWS(B$2:B1092)-1,DATE(YEAR(Invoer!$A$5),12,31)-DATE(YEAR(Invoer!$A$5),1,1)+1),"jjjjmmdd")</f>
        <v>19411227</v>
      </c>
      <c r="C1092" s="13">
        <v>1</v>
      </c>
      <c r="D1092" s="18" t="str">
        <f t="shared" ca="1" si="34"/>
        <v>—</v>
      </c>
      <c r="E1092" s="19">
        <f t="shared" ca="1" si="35"/>
        <v>7</v>
      </c>
    </row>
    <row r="1093" spans="1:5" x14ac:dyDescent="0.25">
      <c r="A1093" s="12">
        <f ca="1">INDEX(Stations,INT((ROWS(A$2:A1093)-1)/(DATE(YEAR(Invoer!$A$5),12,31)-DATE(YEAR(Invoer!$A$5),1,1)+1))+2,1)</f>
        <v>49</v>
      </c>
      <c r="B1093" t="str">
        <f ca="1">TEXT(DATE(YEAR(Invoer!$A$5),1,1)+MOD(ROWS(B$2:B1093)-1,DATE(YEAR(Invoer!$A$5),12,31)-DATE(YEAR(Invoer!$A$5),1,1)+1),"jjjjmmdd")</f>
        <v>19411228</v>
      </c>
      <c r="C1093" s="13">
        <v>1</v>
      </c>
      <c r="D1093" s="18" t="str">
        <f t="shared" ca="1" si="34"/>
        <v>—</v>
      </c>
      <c r="E1093" s="19">
        <f t="shared" ca="1" si="35"/>
        <v>7</v>
      </c>
    </row>
    <row r="1094" spans="1:5" x14ac:dyDescent="0.25">
      <c r="A1094" s="12">
        <f ca="1">INDEX(Stations,INT((ROWS(A$2:A1094)-1)/(DATE(YEAR(Invoer!$A$5),12,31)-DATE(YEAR(Invoer!$A$5),1,1)+1))+2,1)</f>
        <v>49</v>
      </c>
      <c r="B1094" t="str">
        <f ca="1">TEXT(DATE(YEAR(Invoer!$A$5),1,1)+MOD(ROWS(B$2:B1094)-1,DATE(YEAR(Invoer!$A$5),12,31)-DATE(YEAR(Invoer!$A$5),1,1)+1),"jjjjmmdd")</f>
        <v>19411229</v>
      </c>
      <c r="C1094" s="13">
        <v>1</v>
      </c>
      <c r="D1094" s="18" t="str">
        <f t="shared" ca="1" si="34"/>
        <v>—</v>
      </c>
      <c r="E1094" s="19">
        <f t="shared" ca="1" si="35"/>
        <v>7</v>
      </c>
    </row>
    <row r="1095" spans="1:5" x14ac:dyDescent="0.25">
      <c r="A1095" s="12">
        <f ca="1">INDEX(Stations,INT((ROWS(A$2:A1095)-1)/(DATE(YEAR(Invoer!$A$5),12,31)-DATE(YEAR(Invoer!$A$5),1,1)+1))+2,1)</f>
        <v>49</v>
      </c>
      <c r="B1095" t="str">
        <f ca="1">TEXT(DATE(YEAR(Invoer!$A$5),1,1)+MOD(ROWS(B$2:B1095)-1,DATE(YEAR(Invoer!$A$5),12,31)-DATE(YEAR(Invoer!$A$5),1,1)+1),"jjjjmmdd")</f>
        <v>19411230</v>
      </c>
      <c r="C1095" s="13">
        <v>1</v>
      </c>
      <c r="D1095" s="18" t="str">
        <f t="shared" ca="1" si="34"/>
        <v>—</v>
      </c>
      <c r="E1095" s="19">
        <f t="shared" ca="1" si="35"/>
        <v>7</v>
      </c>
    </row>
    <row r="1096" spans="1:5" x14ac:dyDescent="0.25">
      <c r="A1096" s="12">
        <f ca="1">INDEX(Stations,INT((ROWS(A$2:A1096)-1)/(DATE(YEAR(Invoer!$A$5),12,31)-DATE(YEAR(Invoer!$A$5),1,1)+1))+2,1)</f>
        <v>49</v>
      </c>
      <c r="B1096" t="str">
        <f ca="1">TEXT(DATE(YEAR(Invoer!$A$5),1,1)+MOD(ROWS(B$2:B1096)-1,DATE(YEAR(Invoer!$A$5),12,31)-DATE(YEAR(Invoer!$A$5),1,1)+1),"jjjjmmdd")</f>
        <v>19411231</v>
      </c>
      <c r="C1096" s="13">
        <v>1</v>
      </c>
      <c r="D1096" s="18" t="str">
        <f t="shared" ca="1" si="34"/>
        <v>—</v>
      </c>
      <c r="E1096" s="19">
        <f t="shared" ca="1" si="35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1" t="s">
        <v>3</v>
      </c>
      <c r="B1" s="10" t="s">
        <v>0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</row>
    <row r="2" spans="1:7" x14ac:dyDescent="0.25">
      <c r="A2" s="12">
        <f t="shared" ref="A2:A65" si="0">INDEX(Stations,2,1)</f>
        <v>44</v>
      </c>
      <c r="B2" t="str">
        <f ca="1">TEXT(DATE(YEAR(Invoer!$A$5),1,1)+INT((ROWS(B$2:B2)-1)/2),"jjjjmmdd")</f>
        <v>19410101</v>
      </c>
      <c r="C2" s="26" t="str">
        <f>INDEX(Data,2,2+MOD(ROWS(C$2:C2)-1,2))</f>
        <v>08.00</v>
      </c>
      <c r="D2" s="41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0.0254*VLOOKUP(DATEVALUE(LEFT($B2,4)&amp;"-"&amp;MID($B2,5,2)&amp;"-"&amp;RIGHT($B2,2)),Data,MATCH(LEFT(VLOOKUP(D$1,Parameters,2,FALSE()),4)&amp;"*",OFFSET(Data,0,0,1),0)+MATCH($C2,OFFSET(Data,1,0,1),0)-2,FALSE()))</f>
        <v>762.53339999999992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2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5*(VLOOKUP(DATEVALUE(LEFT($B2,4)&amp;"-"&amp;MID($B2,5,2)&amp;"-"&amp;RIGHT($B2,2)),Data,MATCH(LEFT(VLOOKUP(F$1,Parameters,2,FALSE()),4)&amp;"*",OFFSET(Data,0,0,1),0)+MATCH($C2,OFFSET(Data,1,0,1),0)-2,FALSE())-320)/90)</f>
        <v>26.388888888888889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2">
        <f t="shared" si="0"/>
        <v>44</v>
      </c>
      <c r="B3" t="str">
        <f ca="1">TEXT(DATE(YEAR(Invoer!$A$5),1,1)+INT((ROWS(B$2:B3)-1)/2),"jjjjmmdd")</f>
        <v>19410101</v>
      </c>
      <c r="C3" s="26" t="str">
        <f>INDEX(Data,2,2+MOD(ROWS(C$2:C3)-1,2))</f>
        <v>15.00</v>
      </c>
      <c r="D3" s="41">
        <f t="shared" ca="1" si="1"/>
        <v>760.32359999999994</v>
      </c>
      <c r="E3" s="31">
        <f t="shared" ca="1" si="2"/>
        <v>0</v>
      </c>
      <c r="F3" s="42">
        <f t="shared" ca="1" si="3"/>
        <v>28.055555555555557</v>
      </c>
      <c r="G3" s="31">
        <f t="shared" ca="1" si="4"/>
        <v>0</v>
      </c>
    </row>
    <row r="4" spans="1:7" x14ac:dyDescent="0.25">
      <c r="A4" s="12">
        <f t="shared" si="0"/>
        <v>44</v>
      </c>
      <c r="B4" t="str">
        <f ca="1">TEXT(DATE(YEAR(Invoer!$A$5),1,1)+INT((ROWS(B$2:B4)-1)/2),"jjjjmmdd")</f>
        <v>19410102</v>
      </c>
      <c r="C4" s="26" t="str">
        <f>INDEX(Data,2,2+MOD(ROWS(C$2:C4)-1,2))</f>
        <v>08.00</v>
      </c>
      <c r="D4" s="41">
        <f t="shared" ca="1" si="1"/>
        <v>762.50799999999992</v>
      </c>
      <c r="E4" s="31">
        <f t="shared" ca="1" si="2"/>
        <v>0</v>
      </c>
      <c r="F4" s="42">
        <f t="shared" ca="1" si="3"/>
        <v>26.666666666666668</v>
      </c>
      <c r="G4" s="31">
        <f t="shared" ca="1" si="4"/>
        <v>0</v>
      </c>
    </row>
    <row r="5" spans="1:7" x14ac:dyDescent="0.25">
      <c r="A5" s="12">
        <f t="shared" si="0"/>
        <v>44</v>
      </c>
      <c r="B5" t="str">
        <f ca="1">TEXT(DATE(YEAR(Invoer!$A$5),1,1)+INT((ROWS(B$2:B5)-1)/2),"jjjjmmdd")</f>
        <v>19410102</v>
      </c>
      <c r="C5" s="26" t="str">
        <f>INDEX(Data,2,2+MOD(ROWS(C$2:C5)-1,2))</f>
        <v>15.00</v>
      </c>
      <c r="D5" s="41">
        <f t="shared" ca="1" si="1"/>
        <v>760.06959999999992</v>
      </c>
      <c r="E5" s="31">
        <f t="shared" ca="1" si="2"/>
        <v>0</v>
      </c>
      <c r="F5" s="42">
        <f t="shared" ca="1" si="3"/>
        <v>28.055555555555557</v>
      </c>
      <c r="G5" s="31">
        <f t="shared" ca="1" si="4"/>
        <v>0</v>
      </c>
    </row>
    <row r="6" spans="1:7" x14ac:dyDescent="0.25">
      <c r="A6" s="12">
        <f t="shared" si="0"/>
        <v>44</v>
      </c>
      <c r="B6" t="str">
        <f ca="1">TEXT(DATE(YEAR(Invoer!$A$5),1,1)+INT((ROWS(B$2:B6)-1)/2),"jjjjmmdd")</f>
        <v>19410103</v>
      </c>
      <c r="C6" s="26" t="str">
        <f>INDEX(Data,2,2+MOD(ROWS(C$2:C6)-1,2))</f>
        <v>08.00</v>
      </c>
      <c r="D6" s="41">
        <f t="shared" ca="1" si="1"/>
        <v>762.76199999999994</v>
      </c>
      <c r="E6" s="31">
        <f t="shared" ca="1" si="2"/>
        <v>0</v>
      </c>
      <c r="F6" s="42">
        <f t="shared" ca="1" si="3"/>
        <v>26.666666666666668</v>
      </c>
      <c r="G6" s="31">
        <f t="shared" ca="1" si="4"/>
        <v>0</v>
      </c>
    </row>
    <row r="7" spans="1:7" x14ac:dyDescent="0.25">
      <c r="A7" s="12">
        <f t="shared" si="0"/>
        <v>44</v>
      </c>
      <c r="B7" t="str">
        <f ca="1">TEXT(DATE(YEAR(Invoer!$A$5),1,1)+INT((ROWS(B$2:B7)-1)/2),"jjjjmmdd")</f>
        <v>19410103</v>
      </c>
      <c r="C7" s="26" t="str">
        <f>INDEX(Data,2,2+MOD(ROWS(C$2:C7)-1,2))</f>
        <v>15.00</v>
      </c>
      <c r="D7" s="41">
        <f t="shared" ca="1" si="1"/>
        <v>760.29819999999995</v>
      </c>
      <c r="E7" s="31">
        <f t="shared" ca="1" si="2"/>
        <v>0</v>
      </c>
      <c r="F7" s="42">
        <f t="shared" ca="1" si="3"/>
        <v>28.333333333333332</v>
      </c>
      <c r="G7" s="31">
        <f t="shared" ca="1" si="4"/>
        <v>0</v>
      </c>
    </row>
    <row r="8" spans="1:7" x14ac:dyDescent="0.25">
      <c r="A8" s="12">
        <f t="shared" si="0"/>
        <v>44</v>
      </c>
      <c r="B8" t="str">
        <f ca="1">TEXT(DATE(YEAR(Invoer!$A$5),1,1)+INT((ROWS(B$2:B8)-1)/2),"jjjjmmdd")</f>
        <v>19410104</v>
      </c>
      <c r="C8" s="26" t="str">
        <f>INDEX(Data,2,2+MOD(ROWS(C$2:C8)-1,2))</f>
        <v>08.00</v>
      </c>
      <c r="D8" s="41">
        <f t="shared" ca="1" si="1"/>
        <v>762.71119999999996</v>
      </c>
      <c r="E8" s="31">
        <f t="shared" ca="1" si="2"/>
        <v>0</v>
      </c>
      <c r="F8" s="42">
        <f t="shared" ca="1" si="3"/>
        <v>26.944444444444443</v>
      </c>
      <c r="G8" s="31">
        <f t="shared" ca="1" si="4"/>
        <v>0</v>
      </c>
    </row>
    <row r="9" spans="1:7" x14ac:dyDescent="0.25">
      <c r="A9" s="12">
        <f t="shared" si="0"/>
        <v>44</v>
      </c>
      <c r="B9" t="str">
        <f ca="1">TEXT(DATE(YEAR(Invoer!$A$5),1,1)+INT((ROWS(B$2:B9)-1)/2),"jjjjmmdd")</f>
        <v>19410104</v>
      </c>
      <c r="C9" s="26" t="str">
        <f>INDEX(Data,2,2+MOD(ROWS(C$2:C9)-1,2))</f>
        <v>15.00</v>
      </c>
      <c r="D9" s="41">
        <f t="shared" ca="1" si="1"/>
        <v>761.06020000000001</v>
      </c>
      <c r="E9" s="31">
        <f t="shared" ca="1" si="2"/>
        <v>0</v>
      </c>
      <c r="F9" s="42">
        <f t="shared" ca="1" si="3"/>
        <v>28.055555555555557</v>
      </c>
      <c r="G9" s="31">
        <f t="shared" ca="1" si="4"/>
        <v>0</v>
      </c>
    </row>
    <row r="10" spans="1:7" x14ac:dyDescent="0.25">
      <c r="A10" s="12">
        <f t="shared" si="0"/>
        <v>44</v>
      </c>
      <c r="B10" t="str">
        <f ca="1">TEXT(DATE(YEAR(Invoer!$A$5),1,1)+INT((ROWS(B$2:B10)-1)/2),"jjjjmmdd")</f>
        <v>19410105</v>
      </c>
      <c r="C10" s="26" t="str">
        <f>INDEX(Data,2,2+MOD(ROWS(C$2:C10)-1,2))</f>
        <v>08.00</v>
      </c>
      <c r="D10" s="41">
        <f t="shared" ca="1" si="1"/>
        <v>762.25400000000002</v>
      </c>
      <c r="E10" s="31">
        <f t="shared" ca="1" si="2"/>
        <v>0</v>
      </c>
      <c r="F10" s="42">
        <f t="shared" ca="1" si="3"/>
        <v>26.666666666666668</v>
      </c>
      <c r="G10" s="31">
        <f t="shared" ca="1" si="4"/>
        <v>0</v>
      </c>
    </row>
    <row r="11" spans="1:7" x14ac:dyDescent="0.25">
      <c r="A11" s="12">
        <f t="shared" si="0"/>
        <v>44</v>
      </c>
      <c r="B11" t="str">
        <f ca="1">TEXT(DATE(YEAR(Invoer!$A$5),1,1)+INT((ROWS(B$2:B11)-1)/2),"jjjjmmdd")</f>
        <v>19410105</v>
      </c>
      <c r="C11" s="26" t="str">
        <f>INDEX(Data,2,2+MOD(ROWS(C$2:C11)-1,2))</f>
        <v>15.00</v>
      </c>
      <c r="D11" s="41">
        <f t="shared" ca="1" si="1"/>
        <v>760.55219999999997</v>
      </c>
      <c r="E11" s="31">
        <f t="shared" ca="1" si="2"/>
        <v>0</v>
      </c>
      <c r="F11" s="42">
        <f t="shared" ca="1" si="3"/>
        <v>28.333333333333332</v>
      </c>
      <c r="G11" s="31">
        <f t="shared" ca="1" si="4"/>
        <v>0</v>
      </c>
    </row>
    <row r="12" spans="1:7" x14ac:dyDescent="0.25">
      <c r="A12" s="12">
        <f t="shared" si="0"/>
        <v>44</v>
      </c>
      <c r="B12" t="str">
        <f ca="1">TEXT(DATE(YEAR(Invoer!$A$5),1,1)+INT((ROWS(B$2:B12)-1)/2),"jjjjmmdd")</f>
        <v>19410106</v>
      </c>
      <c r="C12" s="26" t="str">
        <f>INDEX(Data,2,2+MOD(ROWS(C$2:C12)-1,2))</f>
        <v>08.00</v>
      </c>
      <c r="D12" s="41">
        <f t="shared" ca="1" si="1"/>
        <v>762.45719999999994</v>
      </c>
      <c r="E12" s="31">
        <f t="shared" ca="1" si="2"/>
        <v>0</v>
      </c>
      <c r="F12" s="42">
        <f t="shared" ca="1" si="3"/>
        <v>26.944444444444443</v>
      </c>
      <c r="G12" s="31">
        <f t="shared" ca="1" si="4"/>
        <v>0</v>
      </c>
    </row>
    <row r="13" spans="1:7" x14ac:dyDescent="0.25">
      <c r="A13" s="12">
        <f t="shared" si="0"/>
        <v>44</v>
      </c>
      <c r="B13" t="str">
        <f ca="1">TEXT(DATE(YEAR(Invoer!$A$5),1,1)+INT((ROWS(B$2:B13)-1)/2),"jjjjmmdd")</f>
        <v>19410106</v>
      </c>
      <c r="C13" s="26" t="str">
        <f>INDEX(Data,2,2+MOD(ROWS(C$2:C13)-1,2))</f>
        <v>15.00</v>
      </c>
      <c r="D13" s="41">
        <f t="shared" ca="1" si="1"/>
        <v>760.75540000000001</v>
      </c>
      <c r="E13" s="31">
        <f t="shared" ca="1" si="2"/>
        <v>0</v>
      </c>
      <c r="F13" s="42">
        <f t="shared" ca="1" si="3"/>
        <v>28.611111111111111</v>
      </c>
      <c r="G13" s="31">
        <f t="shared" ca="1" si="4"/>
        <v>0</v>
      </c>
    </row>
    <row r="14" spans="1:7" x14ac:dyDescent="0.25">
      <c r="A14" s="12">
        <f t="shared" si="0"/>
        <v>44</v>
      </c>
      <c r="B14" t="str">
        <f ca="1">TEXT(DATE(YEAR(Invoer!$A$5),1,1)+INT((ROWS(B$2:B14)-1)/2),"jjjjmmdd")</f>
        <v>19410107</v>
      </c>
      <c r="C14" s="26" t="str">
        <f>INDEX(Data,2,2+MOD(ROWS(C$2:C14)-1,2))</f>
        <v>08.00</v>
      </c>
      <c r="D14" s="41">
        <f t="shared" ca="1" si="1"/>
        <v>763.01599999999996</v>
      </c>
      <c r="E14" s="31">
        <f t="shared" ca="1" si="2"/>
        <v>0</v>
      </c>
      <c r="F14" s="42">
        <f t="shared" ca="1" si="3"/>
        <v>26.666666666666668</v>
      </c>
      <c r="G14" s="31">
        <f t="shared" ca="1" si="4"/>
        <v>0</v>
      </c>
    </row>
    <row r="15" spans="1:7" x14ac:dyDescent="0.25">
      <c r="A15" s="12">
        <f t="shared" si="0"/>
        <v>44</v>
      </c>
      <c r="B15" t="str">
        <f ca="1">TEXT(DATE(YEAR(Invoer!$A$5),1,1)+INT((ROWS(B$2:B15)-1)/2),"jjjjmmdd")</f>
        <v>19410107</v>
      </c>
      <c r="C15" s="26" t="str">
        <f>INDEX(Data,2,2+MOD(ROWS(C$2:C15)-1,2))</f>
        <v>15.00</v>
      </c>
      <c r="D15" s="41">
        <f t="shared" ca="1" si="1"/>
        <v>761.03480000000002</v>
      </c>
      <c r="E15" s="31">
        <f t="shared" ca="1" si="2"/>
        <v>0</v>
      </c>
      <c r="F15" s="42">
        <f t="shared" ca="1" si="3"/>
        <v>28.333333333333332</v>
      </c>
      <c r="G15" s="31">
        <f t="shared" ca="1" si="4"/>
        <v>0</v>
      </c>
    </row>
    <row r="16" spans="1:7" x14ac:dyDescent="0.25">
      <c r="A16" s="12">
        <f t="shared" si="0"/>
        <v>44</v>
      </c>
      <c r="B16" t="str">
        <f ca="1">TEXT(DATE(YEAR(Invoer!$A$5),1,1)+INT((ROWS(B$2:B16)-1)/2),"jjjjmmdd")</f>
        <v>19410108</v>
      </c>
      <c r="C16" s="26" t="str">
        <f>INDEX(Data,2,2+MOD(ROWS(C$2:C16)-1,2))</f>
        <v>08.00</v>
      </c>
      <c r="D16" s="41">
        <f t="shared" ca="1" si="1"/>
        <v>762.50799999999992</v>
      </c>
      <c r="E16" s="31">
        <f t="shared" ca="1" si="2"/>
        <v>0</v>
      </c>
      <c r="F16" s="42">
        <f t="shared" ca="1" si="3"/>
        <v>26.666666666666668</v>
      </c>
      <c r="G16" s="31">
        <f t="shared" ca="1" si="4"/>
        <v>0</v>
      </c>
    </row>
    <row r="17" spans="1:7" x14ac:dyDescent="0.25">
      <c r="A17" s="12">
        <f t="shared" si="0"/>
        <v>44</v>
      </c>
      <c r="B17" t="str">
        <f ca="1">TEXT(DATE(YEAR(Invoer!$A$5),1,1)+INT((ROWS(B$2:B17)-1)/2),"jjjjmmdd")</f>
        <v>19410108</v>
      </c>
      <c r="C17" s="26" t="str">
        <f>INDEX(Data,2,2+MOD(ROWS(C$2:C17)-1,2))</f>
        <v>15.00</v>
      </c>
      <c r="D17" s="41">
        <f t="shared" ca="1" si="1"/>
        <v>760.75540000000001</v>
      </c>
      <c r="E17" s="31">
        <f t="shared" ca="1" si="2"/>
        <v>0</v>
      </c>
      <c r="F17" s="42">
        <f t="shared" ca="1" si="3"/>
        <v>28.611111111111111</v>
      </c>
      <c r="G17" s="31">
        <f t="shared" ca="1" si="4"/>
        <v>0</v>
      </c>
    </row>
    <row r="18" spans="1:7" x14ac:dyDescent="0.25">
      <c r="A18" s="12">
        <f t="shared" si="0"/>
        <v>44</v>
      </c>
      <c r="B18" t="str">
        <f ca="1">TEXT(DATE(YEAR(Invoer!$A$5),1,1)+INT((ROWS(B$2:B18)-1)/2),"jjjjmmdd")</f>
        <v>19410109</v>
      </c>
      <c r="C18" s="26" t="str">
        <f>INDEX(Data,2,2+MOD(ROWS(C$2:C18)-1,2))</f>
        <v>08.00</v>
      </c>
      <c r="D18" s="41">
        <f t="shared" ca="1" si="1"/>
        <v>763.27</v>
      </c>
      <c r="E18" s="31">
        <f t="shared" ca="1" si="2"/>
        <v>0</v>
      </c>
      <c r="F18" s="42">
        <f t="shared" ca="1" si="3"/>
        <v>26.666666666666668</v>
      </c>
      <c r="G18" s="31">
        <f t="shared" ca="1" si="4"/>
        <v>0</v>
      </c>
    </row>
    <row r="19" spans="1:7" x14ac:dyDescent="0.25">
      <c r="A19" s="12">
        <f t="shared" si="0"/>
        <v>44</v>
      </c>
      <c r="B19" t="str">
        <f ca="1">TEXT(DATE(YEAR(Invoer!$A$5),1,1)+INT((ROWS(B$2:B19)-1)/2),"jjjjmmdd")</f>
        <v>19410109</v>
      </c>
      <c r="C19" s="26" t="str">
        <f>INDEX(Data,2,2+MOD(ROWS(C$2:C19)-1,2))</f>
        <v>15.00</v>
      </c>
      <c r="D19" s="41">
        <f t="shared" ca="1" si="1"/>
        <v>761.54279999999994</v>
      </c>
      <c r="E19" s="31">
        <f t="shared" ca="1" si="2"/>
        <v>0</v>
      </c>
      <c r="F19" s="42">
        <f t="shared" ca="1" si="3"/>
        <v>28.333333333333332</v>
      </c>
      <c r="G19" s="31">
        <f t="shared" ca="1" si="4"/>
        <v>0</v>
      </c>
    </row>
    <row r="20" spans="1:7" x14ac:dyDescent="0.25">
      <c r="A20" s="12">
        <f t="shared" si="0"/>
        <v>44</v>
      </c>
      <c r="B20" t="str">
        <f ca="1">TEXT(DATE(YEAR(Invoer!$A$5),1,1)+INT((ROWS(B$2:B20)-1)/2),"jjjjmmdd")</f>
        <v>19410110</v>
      </c>
      <c r="C20" s="26" t="str">
        <f>INDEX(Data,2,2+MOD(ROWS(C$2:C20)-1,2))</f>
        <v>08.00</v>
      </c>
      <c r="D20" s="41">
        <f t="shared" ca="1" si="1"/>
        <v>763.524</v>
      </c>
      <c r="E20" s="31">
        <f t="shared" ca="1" si="2"/>
        <v>0</v>
      </c>
      <c r="F20" s="42">
        <f t="shared" ca="1" si="3"/>
        <v>26.666666666666668</v>
      </c>
      <c r="G20" s="31">
        <f t="shared" ca="1" si="4"/>
        <v>0</v>
      </c>
    </row>
    <row r="21" spans="1:7" x14ac:dyDescent="0.25">
      <c r="A21" s="12">
        <f t="shared" si="0"/>
        <v>44</v>
      </c>
      <c r="B21" t="str">
        <f ca="1">TEXT(DATE(YEAR(Invoer!$A$5),1,1)+INT((ROWS(B$2:B21)-1)/2),"jjjjmmdd")</f>
        <v>19410110</v>
      </c>
      <c r="C21" s="26" t="str">
        <f>INDEX(Data,2,2+MOD(ROWS(C$2:C21)-1,2))</f>
        <v>15.00</v>
      </c>
      <c r="D21" s="41">
        <f t="shared" ca="1" si="1"/>
        <v>761.31419999999991</v>
      </c>
      <c r="E21" s="31">
        <f t="shared" ca="1" si="2"/>
        <v>0</v>
      </c>
      <c r="F21" s="42">
        <f t="shared" ca="1" si="3"/>
        <v>28.055555555555557</v>
      </c>
      <c r="G21" s="31">
        <f t="shared" ca="1" si="4"/>
        <v>0</v>
      </c>
    </row>
    <row r="22" spans="1:7" x14ac:dyDescent="0.25">
      <c r="A22" s="12">
        <f t="shared" si="0"/>
        <v>44</v>
      </c>
      <c r="B22" t="str">
        <f ca="1">TEXT(DATE(YEAR(Invoer!$A$5),1,1)+INT((ROWS(B$2:B22)-1)/2),"jjjjmmdd")</f>
        <v>19410111</v>
      </c>
      <c r="C22" s="26" t="str">
        <f>INDEX(Data,2,2+MOD(ROWS(C$2:C22)-1,2))</f>
        <v>08.00</v>
      </c>
      <c r="D22" s="41">
        <f t="shared" ca="1" si="1"/>
        <v>761.49199999999996</v>
      </c>
      <c r="E22" s="31">
        <f t="shared" ca="1" si="2"/>
        <v>0</v>
      </c>
      <c r="F22" s="42">
        <f t="shared" ca="1" si="3"/>
        <v>26.666666666666668</v>
      </c>
      <c r="G22" s="31">
        <f t="shared" ca="1" si="4"/>
        <v>0</v>
      </c>
    </row>
    <row r="23" spans="1:7" x14ac:dyDescent="0.25">
      <c r="A23" s="12">
        <f t="shared" si="0"/>
        <v>44</v>
      </c>
      <c r="B23" t="str">
        <f ca="1">TEXT(DATE(YEAR(Invoer!$A$5),1,1)+INT((ROWS(B$2:B23)-1)/2),"jjjjmmdd")</f>
        <v>19410111</v>
      </c>
      <c r="C23" s="26" t="str">
        <f>INDEX(Data,2,2+MOD(ROWS(C$2:C23)-1,2))</f>
        <v>15.00</v>
      </c>
      <c r="D23" s="41">
        <f t="shared" ca="1" si="1"/>
        <v>759.30759999999998</v>
      </c>
      <c r="E23" s="31">
        <f t="shared" ca="1" si="2"/>
        <v>0</v>
      </c>
      <c r="F23" s="42">
        <f t="shared" ca="1" si="3"/>
        <v>28.055555555555557</v>
      </c>
      <c r="G23" s="31">
        <f t="shared" ca="1" si="4"/>
        <v>0</v>
      </c>
    </row>
    <row r="24" spans="1:7" x14ac:dyDescent="0.25">
      <c r="A24" s="12">
        <f t="shared" si="0"/>
        <v>44</v>
      </c>
      <c r="B24" t="str">
        <f ca="1">TEXT(DATE(YEAR(Invoer!$A$5),1,1)+INT((ROWS(B$2:B24)-1)/2),"jjjjmmdd")</f>
        <v>19410112</v>
      </c>
      <c r="C24" s="26" t="str">
        <f>INDEX(Data,2,2+MOD(ROWS(C$2:C24)-1,2))</f>
        <v>08.00</v>
      </c>
      <c r="D24" s="41">
        <f t="shared" ca="1" si="1"/>
        <v>762.50799999999992</v>
      </c>
      <c r="E24" s="31">
        <f t="shared" ca="1" si="2"/>
        <v>0</v>
      </c>
      <c r="F24" s="42">
        <f t="shared" ca="1" si="3"/>
        <v>26.666666666666668</v>
      </c>
      <c r="G24" s="31">
        <f t="shared" ca="1" si="4"/>
        <v>0</v>
      </c>
    </row>
    <row r="25" spans="1:7" x14ac:dyDescent="0.25">
      <c r="A25" s="12">
        <f t="shared" si="0"/>
        <v>44</v>
      </c>
      <c r="B25" t="str">
        <f ca="1">TEXT(DATE(YEAR(Invoer!$A$5),1,1)+INT((ROWS(B$2:B25)-1)/2),"jjjjmmdd")</f>
        <v>19410112</v>
      </c>
      <c r="C25" s="26" t="str">
        <f>INDEX(Data,2,2+MOD(ROWS(C$2:C25)-1,2))</f>
        <v>15.00</v>
      </c>
      <c r="D25" s="41">
        <f t="shared" ca="1" si="1"/>
        <v>759.84100000000001</v>
      </c>
      <c r="E25" s="31">
        <f t="shared" ca="1" si="2"/>
        <v>0</v>
      </c>
      <c r="F25" s="42">
        <f t="shared" ca="1" si="3"/>
        <v>27.777777777777779</v>
      </c>
      <c r="G25" s="31">
        <f t="shared" ca="1" si="4"/>
        <v>0</v>
      </c>
    </row>
    <row r="26" spans="1:7" x14ac:dyDescent="0.25">
      <c r="A26" s="12">
        <f t="shared" si="0"/>
        <v>44</v>
      </c>
      <c r="B26" t="str">
        <f ca="1">TEXT(DATE(YEAR(Invoer!$A$5),1,1)+INT((ROWS(B$2:B26)-1)/2),"jjjjmmdd")</f>
        <v>19410113</v>
      </c>
      <c r="C26" s="26" t="str">
        <f>INDEX(Data,2,2+MOD(ROWS(C$2:C26)-1,2))</f>
        <v>08.00</v>
      </c>
      <c r="D26" s="41">
        <f t="shared" ca="1" si="1"/>
        <v>761.18719999999996</v>
      </c>
      <c r="E26" s="31">
        <f t="shared" ca="1" si="2"/>
        <v>0</v>
      </c>
      <c r="F26" s="42">
        <f t="shared" ca="1" si="3"/>
        <v>26.944444444444443</v>
      </c>
      <c r="G26" s="31">
        <f t="shared" ca="1" si="4"/>
        <v>0</v>
      </c>
    </row>
    <row r="27" spans="1:7" x14ac:dyDescent="0.25">
      <c r="A27" s="12">
        <f t="shared" si="0"/>
        <v>44</v>
      </c>
      <c r="B27" t="str">
        <f ca="1">TEXT(DATE(YEAR(Invoer!$A$5),1,1)+INT((ROWS(B$2:B27)-1)/2),"jjjjmmdd")</f>
        <v>19410113</v>
      </c>
      <c r="C27" s="26" t="str">
        <f>INDEX(Data,2,2+MOD(ROWS(C$2:C27)-1,2))</f>
        <v>15.00</v>
      </c>
      <c r="D27" s="41">
        <f t="shared" ca="1" si="1"/>
        <v>758.82499999999993</v>
      </c>
      <c r="E27" s="31">
        <f t="shared" ca="1" si="2"/>
        <v>0</v>
      </c>
      <c r="F27" s="42">
        <f t="shared" ca="1" si="3"/>
        <v>27.777777777777779</v>
      </c>
      <c r="G27" s="31">
        <f t="shared" ca="1" si="4"/>
        <v>0</v>
      </c>
    </row>
    <row r="28" spans="1:7" x14ac:dyDescent="0.25">
      <c r="A28" s="12">
        <f t="shared" si="0"/>
        <v>44</v>
      </c>
      <c r="B28" t="str">
        <f ca="1">TEXT(DATE(YEAR(Invoer!$A$5),1,1)+INT((ROWS(B$2:B28)-1)/2),"jjjjmmdd")</f>
        <v>19410114</v>
      </c>
      <c r="C28" s="26" t="str">
        <f>INDEX(Data,2,2+MOD(ROWS(C$2:C28)-1,2))</f>
        <v>08.00</v>
      </c>
      <c r="D28" s="41">
        <f t="shared" ca="1" si="1"/>
        <v>760.80619999999999</v>
      </c>
      <c r="E28" s="31">
        <f t="shared" ca="1" si="2"/>
        <v>0</v>
      </c>
      <c r="F28" s="42">
        <f t="shared" ca="1" si="3"/>
        <v>26.111111111111111</v>
      </c>
      <c r="G28" s="31">
        <f t="shared" ca="1" si="4"/>
        <v>0</v>
      </c>
    </row>
    <row r="29" spans="1:7" x14ac:dyDescent="0.25">
      <c r="A29" s="12">
        <f t="shared" si="0"/>
        <v>44</v>
      </c>
      <c r="B29" t="str">
        <f ca="1">TEXT(DATE(YEAR(Invoer!$A$5),1,1)+INT((ROWS(B$2:B29)-1)/2),"jjjjmmdd")</f>
        <v>19410114</v>
      </c>
      <c r="C29" s="26" t="str">
        <f>INDEX(Data,2,2+MOD(ROWS(C$2:C29)-1,2))</f>
        <v>15.00</v>
      </c>
      <c r="D29" s="41">
        <f t="shared" ca="1" si="1"/>
        <v>758.77419999999995</v>
      </c>
      <c r="E29" s="31">
        <f t="shared" ca="1" si="2"/>
        <v>0</v>
      </c>
      <c r="F29" s="42">
        <f t="shared" ca="1" si="3"/>
        <v>28.333333333333332</v>
      </c>
      <c r="G29" s="31">
        <f t="shared" ca="1" si="4"/>
        <v>0</v>
      </c>
    </row>
    <row r="30" spans="1:7" x14ac:dyDescent="0.25">
      <c r="A30" s="12">
        <f t="shared" si="0"/>
        <v>44</v>
      </c>
      <c r="B30" t="str">
        <f ca="1">TEXT(DATE(YEAR(Invoer!$A$5),1,1)+INT((ROWS(B$2:B30)-1)/2),"jjjjmmdd")</f>
        <v>19410115</v>
      </c>
      <c r="C30" s="26" t="str">
        <f>INDEX(Data,2,2+MOD(ROWS(C$2:C30)-1,2))</f>
        <v>08.00</v>
      </c>
      <c r="D30" s="41">
        <f t="shared" ca="1" si="1"/>
        <v>760.50139999999999</v>
      </c>
      <c r="E30" s="31">
        <f t="shared" ca="1" si="2"/>
        <v>0</v>
      </c>
      <c r="F30" s="42">
        <f t="shared" ca="1" si="3"/>
        <v>26.666666666666668</v>
      </c>
      <c r="G30" s="31">
        <f t="shared" ca="1" si="4"/>
        <v>0</v>
      </c>
    </row>
    <row r="31" spans="1:7" x14ac:dyDescent="0.25">
      <c r="A31" s="12">
        <f t="shared" si="0"/>
        <v>44</v>
      </c>
      <c r="B31" t="str">
        <f ca="1">TEXT(DATE(YEAR(Invoer!$A$5),1,1)+INT((ROWS(B$2:B31)-1)/2),"jjjjmmdd")</f>
        <v>19410115</v>
      </c>
      <c r="C31" s="26" t="str">
        <f>INDEX(Data,2,2+MOD(ROWS(C$2:C31)-1,2))</f>
        <v>15.00</v>
      </c>
      <c r="D31" s="41">
        <f t="shared" ca="1" si="1"/>
        <v>758.26619999999991</v>
      </c>
      <c r="E31" s="31">
        <f t="shared" ca="1" si="2"/>
        <v>0</v>
      </c>
      <c r="F31" s="42">
        <f t="shared" ca="1" si="3"/>
        <v>28.333333333333332</v>
      </c>
      <c r="G31" s="31">
        <f t="shared" ca="1" si="4"/>
        <v>0</v>
      </c>
    </row>
    <row r="32" spans="1:7" x14ac:dyDescent="0.25">
      <c r="A32" s="12">
        <f t="shared" si="0"/>
        <v>44</v>
      </c>
      <c r="B32" t="str">
        <f ca="1">TEXT(DATE(YEAR(Invoer!$A$5),1,1)+INT((ROWS(B$2:B32)-1)/2),"jjjjmmdd")</f>
        <v>19410116</v>
      </c>
      <c r="C32" s="26" t="str">
        <f>INDEX(Data,2,2+MOD(ROWS(C$2:C32)-1,2))</f>
        <v>08.00</v>
      </c>
      <c r="D32" s="41">
        <f t="shared" ca="1" si="1"/>
        <v>761.23799999999994</v>
      </c>
      <c r="E32" s="31">
        <f t="shared" ca="1" si="2"/>
        <v>0</v>
      </c>
      <c r="F32" s="42">
        <f t="shared" ca="1" si="3"/>
        <v>26.666666666666668</v>
      </c>
      <c r="G32" s="31">
        <f t="shared" ca="1" si="4"/>
        <v>0</v>
      </c>
    </row>
    <row r="33" spans="1:7" x14ac:dyDescent="0.25">
      <c r="A33" s="12">
        <f t="shared" si="0"/>
        <v>44</v>
      </c>
      <c r="B33" t="str">
        <f ca="1">TEXT(DATE(YEAR(Invoer!$A$5),1,1)+INT((ROWS(B$2:B33)-1)/2),"jjjjmmdd")</f>
        <v>19410116</v>
      </c>
      <c r="C33" s="26" t="str">
        <f>INDEX(Data,2,2+MOD(ROWS(C$2:C33)-1,2))</f>
        <v>15.00</v>
      </c>
      <c r="D33" s="41">
        <f t="shared" ca="1" si="1"/>
        <v>759.07899999999995</v>
      </c>
      <c r="E33" s="31">
        <f t="shared" ca="1" si="2"/>
        <v>0</v>
      </c>
      <c r="F33" s="42">
        <f t="shared" ca="1" si="3"/>
        <v>27.777777777777779</v>
      </c>
      <c r="G33" s="31">
        <f t="shared" ca="1" si="4"/>
        <v>0</v>
      </c>
    </row>
    <row r="34" spans="1:7" x14ac:dyDescent="0.25">
      <c r="A34" s="12">
        <f t="shared" si="0"/>
        <v>44</v>
      </c>
      <c r="B34" t="str">
        <f ca="1">TEXT(DATE(YEAR(Invoer!$A$5),1,1)+INT((ROWS(B$2:B34)-1)/2),"jjjjmmdd")</f>
        <v>19410117</v>
      </c>
      <c r="C34" s="26" t="str">
        <f>INDEX(Data,2,2+MOD(ROWS(C$2:C34)-1,2))</f>
        <v>08.00</v>
      </c>
      <c r="D34" s="41">
        <f t="shared" ca="1" si="1"/>
        <v>761.00939999999991</v>
      </c>
      <c r="E34" s="31">
        <f t="shared" ca="1" si="2"/>
        <v>0</v>
      </c>
      <c r="F34" s="42">
        <f t="shared" ca="1" si="3"/>
        <v>26.666666666666668</v>
      </c>
      <c r="G34" s="31">
        <f t="shared" ca="1" si="4"/>
        <v>0</v>
      </c>
    </row>
    <row r="35" spans="1:7" x14ac:dyDescent="0.25">
      <c r="A35" s="12">
        <f t="shared" si="0"/>
        <v>44</v>
      </c>
      <c r="B35" t="str">
        <f ca="1">TEXT(DATE(YEAR(Invoer!$A$5),1,1)+INT((ROWS(B$2:B35)-1)/2),"jjjjmmdd")</f>
        <v>19410117</v>
      </c>
      <c r="C35" s="26" t="str">
        <f>INDEX(Data,2,2+MOD(ROWS(C$2:C35)-1,2))</f>
        <v>15.00</v>
      </c>
      <c r="D35" s="41">
        <f t="shared" ca="1" si="1"/>
        <v>759.02819999999997</v>
      </c>
      <c r="E35" s="31">
        <f t="shared" ca="1" si="2"/>
        <v>0</v>
      </c>
      <c r="F35" s="42">
        <f t="shared" ca="1" si="3"/>
        <v>28.333333333333332</v>
      </c>
      <c r="G35" s="31">
        <f t="shared" ca="1" si="4"/>
        <v>0</v>
      </c>
    </row>
    <row r="36" spans="1:7" x14ac:dyDescent="0.25">
      <c r="A36" s="12">
        <f t="shared" si="0"/>
        <v>44</v>
      </c>
      <c r="B36" t="str">
        <f ca="1">TEXT(DATE(YEAR(Invoer!$A$5),1,1)+INT((ROWS(B$2:B36)-1)/2),"jjjjmmdd")</f>
        <v>19410118</v>
      </c>
      <c r="C36" s="26" t="str">
        <f>INDEX(Data,2,2+MOD(ROWS(C$2:C36)-1,2))</f>
        <v>08.00</v>
      </c>
      <c r="D36" s="41">
        <f t="shared" ca="1" si="1"/>
        <v>760.50139999999999</v>
      </c>
      <c r="E36" s="31">
        <f t="shared" ca="1" si="2"/>
        <v>0</v>
      </c>
      <c r="F36" s="42">
        <f t="shared" ca="1" si="3"/>
        <v>26.666666666666668</v>
      </c>
      <c r="G36" s="31">
        <f t="shared" ca="1" si="4"/>
        <v>0</v>
      </c>
    </row>
    <row r="37" spans="1:7" x14ac:dyDescent="0.25">
      <c r="A37" s="12">
        <f t="shared" si="0"/>
        <v>44</v>
      </c>
      <c r="B37" t="str">
        <f ca="1">TEXT(DATE(YEAR(Invoer!$A$5),1,1)+INT((ROWS(B$2:B37)-1)/2),"jjjjmmdd")</f>
        <v>19410118</v>
      </c>
      <c r="C37" s="26" t="str">
        <f>INDEX(Data,2,2+MOD(ROWS(C$2:C37)-1,2))</f>
        <v>15.00</v>
      </c>
      <c r="D37" s="41">
        <f t="shared" ca="1" si="1"/>
        <v>758.29160000000002</v>
      </c>
      <c r="E37" s="31">
        <f t="shared" ca="1" si="2"/>
        <v>0</v>
      </c>
      <c r="F37" s="42">
        <f t="shared" ca="1" si="3"/>
        <v>28.055555555555557</v>
      </c>
      <c r="G37" s="31">
        <f t="shared" ca="1" si="4"/>
        <v>0</v>
      </c>
    </row>
    <row r="38" spans="1:7" x14ac:dyDescent="0.25">
      <c r="A38" s="12">
        <f t="shared" si="0"/>
        <v>44</v>
      </c>
      <c r="B38" t="str">
        <f ca="1">TEXT(DATE(YEAR(Invoer!$A$5),1,1)+INT((ROWS(B$2:B38)-1)/2),"jjjjmmdd")</f>
        <v>19410119</v>
      </c>
      <c r="C38" s="26" t="str">
        <f>INDEX(Data,2,2+MOD(ROWS(C$2:C38)-1,2))</f>
        <v>08.00</v>
      </c>
      <c r="D38" s="41">
        <f t="shared" ca="1" si="1"/>
        <v>761.41579999999999</v>
      </c>
      <c r="E38" s="31">
        <f t="shared" ca="1" si="2"/>
        <v>0</v>
      </c>
      <c r="F38" s="42">
        <f t="shared" ca="1" si="3"/>
        <v>27.222222222222221</v>
      </c>
      <c r="G38" s="31">
        <f t="shared" ca="1" si="4"/>
        <v>0</v>
      </c>
    </row>
    <row r="39" spans="1:7" x14ac:dyDescent="0.25">
      <c r="A39" s="12">
        <f t="shared" si="0"/>
        <v>44</v>
      </c>
      <c r="B39" t="str">
        <f ca="1">TEXT(DATE(YEAR(Invoer!$A$5),1,1)+INT((ROWS(B$2:B39)-1)/2),"jjjjmmdd")</f>
        <v>19410119</v>
      </c>
      <c r="C39" s="26" t="str">
        <f>INDEX(Data,2,2+MOD(ROWS(C$2:C39)-1,2))</f>
        <v>15.00</v>
      </c>
      <c r="D39" s="41">
        <f t="shared" ca="1" si="1"/>
        <v>759.28219999999999</v>
      </c>
      <c r="E39" s="31">
        <f t="shared" ca="1" si="2"/>
        <v>0</v>
      </c>
      <c r="F39" s="42">
        <f t="shared" ca="1" si="3"/>
        <v>28.333333333333332</v>
      </c>
      <c r="G39" s="31">
        <f t="shared" ca="1" si="4"/>
        <v>0</v>
      </c>
    </row>
    <row r="40" spans="1:7" x14ac:dyDescent="0.25">
      <c r="A40" s="12">
        <f t="shared" si="0"/>
        <v>44</v>
      </c>
      <c r="B40" t="str">
        <f ca="1">TEXT(DATE(YEAR(Invoer!$A$5),1,1)+INT((ROWS(B$2:B40)-1)/2),"jjjjmmdd")</f>
        <v>19410120</v>
      </c>
      <c r="C40" s="26" t="str">
        <f>INDEX(Data,2,2+MOD(ROWS(C$2:C40)-1,2))</f>
        <v>08.00</v>
      </c>
      <c r="D40" s="41">
        <f t="shared" ca="1" si="1"/>
        <v>761.6952</v>
      </c>
      <c r="E40" s="31">
        <f t="shared" ca="1" si="2"/>
        <v>0</v>
      </c>
      <c r="F40" s="42">
        <f t="shared" ca="1" si="3"/>
        <v>26.944444444444443</v>
      </c>
      <c r="G40" s="31">
        <f t="shared" ca="1" si="4"/>
        <v>0</v>
      </c>
    </row>
    <row r="41" spans="1:7" x14ac:dyDescent="0.25">
      <c r="A41" s="12">
        <f t="shared" si="0"/>
        <v>44</v>
      </c>
      <c r="B41" t="str">
        <f ca="1">TEXT(DATE(YEAR(Invoer!$A$5),1,1)+INT((ROWS(B$2:B41)-1)/2),"jjjjmmdd")</f>
        <v>19410120</v>
      </c>
      <c r="C41" s="26" t="str">
        <f>INDEX(Data,2,2+MOD(ROWS(C$2:C41)-1,2))</f>
        <v>15.00</v>
      </c>
      <c r="D41" s="41">
        <f t="shared" ca="1" si="1"/>
        <v>759.02819999999997</v>
      </c>
      <c r="E41" s="31">
        <f t="shared" ca="1" si="2"/>
        <v>0</v>
      </c>
      <c r="F41" s="42">
        <f t="shared" ca="1" si="3"/>
        <v>28.333333333333332</v>
      </c>
      <c r="G41" s="31">
        <f t="shared" ca="1" si="4"/>
        <v>0</v>
      </c>
    </row>
    <row r="42" spans="1:7" x14ac:dyDescent="0.25">
      <c r="A42" s="12">
        <f t="shared" si="0"/>
        <v>44</v>
      </c>
      <c r="B42" t="str">
        <f ca="1">TEXT(DATE(YEAR(Invoer!$A$5),1,1)+INT((ROWS(B$2:B42)-1)/2),"jjjjmmdd")</f>
        <v>19410121</v>
      </c>
      <c r="C42" s="26" t="str">
        <f>INDEX(Data,2,2+MOD(ROWS(C$2:C42)-1,2))</f>
        <v>08.00</v>
      </c>
      <c r="D42" s="41">
        <f t="shared" ca="1" si="1"/>
        <v>761.44119999999998</v>
      </c>
      <c r="E42" s="31">
        <f t="shared" ca="1" si="2"/>
        <v>0</v>
      </c>
      <c r="F42" s="42">
        <f t="shared" ca="1" si="3"/>
        <v>26.944444444444443</v>
      </c>
      <c r="G42" s="31">
        <f t="shared" ca="1" si="4"/>
        <v>0</v>
      </c>
    </row>
    <row r="43" spans="1:7" x14ac:dyDescent="0.25">
      <c r="A43" s="12">
        <f t="shared" si="0"/>
        <v>44</v>
      </c>
      <c r="B43" t="str">
        <f ca="1">TEXT(DATE(YEAR(Invoer!$A$5),1,1)+INT((ROWS(B$2:B43)-1)/2),"jjjjmmdd")</f>
        <v>19410121</v>
      </c>
      <c r="C43" s="26" t="str">
        <f>INDEX(Data,2,2+MOD(ROWS(C$2:C43)-1,2))</f>
        <v>15.00</v>
      </c>
      <c r="D43" s="41">
        <f t="shared" ca="1" si="1"/>
        <v>759.79019999999991</v>
      </c>
      <c r="E43" s="31">
        <f t="shared" ca="1" si="2"/>
        <v>0</v>
      </c>
      <c r="F43" s="42">
        <f t="shared" ca="1" si="3"/>
        <v>28.333333333333332</v>
      </c>
      <c r="G43" s="31">
        <f t="shared" ca="1" si="4"/>
        <v>0</v>
      </c>
    </row>
    <row r="44" spans="1:7" x14ac:dyDescent="0.25">
      <c r="A44" s="12">
        <f t="shared" si="0"/>
        <v>44</v>
      </c>
      <c r="B44" t="str">
        <f ca="1">TEXT(DATE(YEAR(Invoer!$A$5),1,1)+INT((ROWS(B$2:B44)-1)/2),"jjjjmmdd")</f>
        <v>19410122</v>
      </c>
      <c r="C44" s="26" t="str">
        <f>INDEX(Data,2,2+MOD(ROWS(C$2:C44)-1,2))</f>
        <v>08.00</v>
      </c>
      <c r="D44" s="41">
        <f t="shared" ca="1" si="1"/>
        <v>761.18719999999996</v>
      </c>
      <c r="E44" s="31">
        <f t="shared" ca="1" si="2"/>
        <v>0</v>
      </c>
      <c r="F44" s="42">
        <f t="shared" ca="1" si="3"/>
        <v>26.944444444444443</v>
      </c>
      <c r="G44" s="31">
        <f t="shared" ca="1" si="4"/>
        <v>0</v>
      </c>
    </row>
    <row r="45" spans="1:7" x14ac:dyDescent="0.25">
      <c r="A45" s="12">
        <f t="shared" si="0"/>
        <v>44</v>
      </c>
      <c r="B45" t="str">
        <f ca="1">TEXT(DATE(YEAR(Invoer!$A$5),1,1)+INT((ROWS(B$2:B45)-1)/2),"jjjjmmdd")</f>
        <v>19410122</v>
      </c>
      <c r="C45" s="26" t="str">
        <f>INDEX(Data,2,2+MOD(ROWS(C$2:C45)-1,2))</f>
        <v>15.00</v>
      </c>
      <c r="D45" s="41">
        <f t="shared" ca="1" si="1"/>
        <v>758.97739999999999</v>
      </c>
      <c r="E45" s="31">
        <f t="shared" ca="1" si="2"/>
        <v>0</v>
      </c>
      <c r="F45" s="42">
        <f t="shared" ca="1" si="3"/>
        <v>28.611111111111111</v>
      </c>
      <c r="G45" s="31">
        <f t="shared" ca="1" si="4"/>
        <v>0</v>
      </c>
    </row>
    <row r="46" spans="1:7" x14ac:dyDescent="0.25">
      <c r="A46" s="12">
        <f t="shared" si="0"/>
        <v>44</v>
      </c>
      <c r="B46" t="str">
        <f ca="1">TEXT(DATE(YEAR(Invoer!$A$5),1,1)+INT((ROWS(B$2:B46)-1)/2),"jjjjmmdd")</f>
        <v>19410123</v>
      </c>
      <c r="C46" s="26" t="str">
        <f>INDEX(Data,2,2+MOD(ROWS(C$2:C46)-1,2))</f>
        <v>08.00</v>
      </c>
      <c r="D46" s="41">
        <f t="shared" ca="1" si="1"/>
        <v>762.45719999999994</v>
      </c>
      <c r="E46" s="31">
        <f t="shared" ca="1" si="2"/>
        <v>0</v>
      </c>
      <c r="F46" s="42">
        <f t="shared" ca="1" si="3"/>
        <v>26.944444444444443</v>
      </c>
      <c r="G46" s="31">
        <f t="shared" ca="1" si="4"/>
        <v>0</v>
      </c>
    </row>
    <row r="47" spans="1:7" x14ac:dyDescent="0.25">
      <c r="A47" s="12">
        <f t="shared" si="0"/>
        <v>44</v>
      </c>
      <c r="B47" t="str">
        <f ca="1">TEXT(DATE(YEAR(Invoer!$A$5),1,1)+INT((ROWS(B$2:B47)-1)/2),"jjjjmmdd")</f>
        <v>19410123</v>
      </c>
      <c r="C47" s="26" t="str">
        <f>INDEX(Data,2,2+MOD(ROWS(C$2:C47)-1,2))</f>
        <v>15.00</v>
      </c>
      <c r="D47" s="41">
        <f t="shared" ca="1" si="1"/>
        <v>760.50139999999999</v>
      </c>
      <c r="E47" s="31">
        <f t="shared" ca="1" si="2"/>
        <v>0</v>
      </c>
      <c r="F47" s="42">
        <f t="shared" ca="1" si="3"/>
        <v>28.611111111111111</v>
      </c>
      <c r="G47" s="31">
        <f t="shared" ca="1" si="4"/>
        <v>0</v>
      </c>
    </row>
    <row r="48" spans="1:7" x14ac:dyDescent="0.25">
      <c r="A48" s="12">
        <f t="shared" si="0"/>
        <v>44</v>
      </c>
      <c r="B48" t="str">
        <f ca="1">TEXT(DATE(YEAR(Invoer!$A$5),1,1)+INT((ROWS(B$2:B48)-1)/2),"jjjjmmdd")</f>
        <v>19410124</v>
      </c>
      <c r="C48" s="26" t="str">
        <f>INDEX(Data,2,2+MOD(ROWS(C$2:C48)-1,2))</f>
        <v>08.00</v>
      </c>
      <c r="D48" s="41">
        <f t="shared" ca="1" si="1"/>
        <v>761.94920000000002</v>
      </c>
      <c r="E48" s="31">
        <f t="shared" ca="1" si="2"/>
        <v>0</v>
      </c>
      <c r="F48" s="42">
        <f t="shared" ca="1" si="3"/>
        <v>26.944444444444443</v>
      </c>
      <c r="G48" s="31">
        <f t="shared" ca="1" si="4"/>
        <v>0</v>
      </c>
    </row>
    <row r="49" spans="1:7" x14ac:dyDescent="0.25">
      <c r="A49" s="12">
        <f t="shared" si="0"/>
        <v>44</v>
      </c>
      <c r="B49" t="str">
        <f ca="1">TEXT(DATE(YEAR(Invoer!$A$5),1,1)+INT((ROWS(B$2:B49)-1)/2),"jjjjmmdd")</f>
        <v>19410124</v>
      </c>
      <c r="C49" s="26" t="str">
        <f>INDEX(Data,2,2+MOD(ROWS(C$2:C49)-1,2))</f>
        <v>15.00</v>
      </c>
      <c r="D49" s="41">
        <f t="shared" ca="1" si="1"/>
        <v>760.55219999999997</v>
      </c>
      <c r="E49" s="31">
        <f t="shared" ca="1" si="2"/>
        <v>0</v>
      </c>
      <c r="F49" s="42">
        <f t="shared" ca="1" si="3"/>
        <v>28.333333333333332</v>
      </c>
      <c r="G49" s="31">
        <f t="shared" ca="1" si="4"/>
        <v>0</v>
      </c>
    </row>
    <row r="50" spans="1:7" x14ac:dyDescent="0.25">
      <c r="A50" s="12">
        <f t="shared" si="0"/>
        <v>44</v>
      </c>
      <c r="B50" t="str">
        <f ca="1">TEXT(DATE(YEAR(Invoer!$A$5),1,1)+INT((ROWS(B$2:B50)-1)/2),"jjjjmmdd")</f>
        <v>19410125</v>
      </c>
      <c r="C50" s="26" t="str">
        <f>INDEX(Data,2,2+MOD(ROWS(C$2:C50)-1,2))</f>
        <v>08.00</v>
      </c>
      <c r="D50" s="41">
        <f t="shared" ca="1" si="1"/>
        <v>762.25400000000002</v>
      </c>
      <c r="E50" s="31">
        <f t="shared" ca="1" si="2"/>
        <v>0</v>
      </c>
      <c r="F50" s="42">
        <f t="shared" ca="1" si="3"/>
        <v>26.666666666666668</v>
      </c>
      <c r="G50" s="31">
        <f t="shared" ca="1" si="4"/>
        <v>0</v>
      </c>
    </row>
    <row r="51" spans="1:7" x14ac:dyDescent="0.25">
      <c r="A51" s="12">
        <f t="shared" si="0"/>
        <v>44</v>
      </c>
      <c r="B51" t="str">
        <f ca="1">TEXT(DATE(YEAR(Invoer!$A$5),1,1)+INT((ROWS(B$2:B51)-1)/2),"jjjjmmdd")</f>
        <v>19410125</v>
      </c>
      <c r="C51" s="26" t="str">
        <f>INDEX(Data,2,2+MOD(ROWS(C$2:C51)-1,2))</f>
        <v>15.00</v>
      </c>
      <c r="D51" s="41">
        <f t="shared" ca="1" si="1"/>
        <v>760.34899999999993</v>
      </c>
      <c r="E51" s="31">
        <f t="shared" ca="1" si="2"/>
        <v>0</v>
      </c>
      <c r="F51" s="42">
        <f t="shared" ca="1" si="3"/>
        <v>27.777777777777779</v>
      </c>
      <c r="G51" s="31">
        <f t="shared" ca="1" si="4"/>
        <v>0</v>
      </c>
    </row>
    <row r="52" spans="1:7" x14ac:dyDescent="0.25">
      <c r="A52" s="12">
        <f t="shared" si="0"/>
        <v>44</v>
      </c>
      <c r="B52" t="str">
        <f ca="1">TEXT(DATE(YEAR(Invoer!$A$5),1,1)+INT((ROWS(B$2:B52)-1)/2),"jjjjmmdd")</f>
        <v>19410126</v>
      </c>
      <c r="C52" s="26" t="str">
        <f>INDEX(Data,2,2+MOD(ROWS(C$2:C52)-1,2))</f>
        <v>08.00</v>
      </c>
      <c r="D52" s="41">
        <f t="shared" ca="1" si="1"/>
        <v>762.76199999999994</v>
      </c>
      <c r="E52" s="31">
        <f t="shared" ca="1" si="2"/>
        <v>0</v>
      </c>
      <c r="F52" s="42">
        <f t="shared" ca="1" si="3"/>
        <v>26.666666666666668</v>
      </c>
      <c r="G52" s="31">
        <f t="shared" ca="1" si="4"/>
        <v>0</v>
      </c>
    </row>
    <row r="53" spans="1:7" x14ac:dyDescent="0.25">
      <c r="A53" s="12">
        <f t="shared" si="0"/>
        <v>44</v>
      </c>
      <c r="B53" t="str">
        <f ca="1">TEXT(DATE(YEAR(Invoer!$A$5),1,1)+INT((ROWS(B$2:B53)-1)/2),"jjjjmmdd")</f>
        <v>19410126</v>
      </c>
      <c r="C53" s="26" t="str">
        <f>INDEX(Data,2,2+MOD(ROWS(C$2:C53)-1,2))</f>
        <v>15.00</v>
      </c>
      <c r="D53" s="41">
        <f t="shared" ca="1" si="1"/>
        <v>760.85699999999997</v>
      </c>
      <c r="E53" s="31">
        <f t="shared" ca="1" si="2"/>
        <v>0</v>
      </c>
      <c r="F53" s="42">
        <f t="shared" ca="1" si="3"/>
        <v>27.777777777777779</v>
      </c>
      <c r="G53" s="31">
        <f t="shared" ca="1" si="4"/>
        <v>0</v>
      </c>
    </row>
    <row r="54" spans="1:7" x14ac:dyDescent="0.25">
      <c r="A54" s="12">
        <f t="shared" si="0"/>
        <v>44</v>
      </c>
      <c r="B54" t="str">
        <f ca="1">TEXT(DATE(YEAR(Invoer!$A$5),1,1)+INT((ROWS(B$2:B54)-1)/2),"jjjjmmdd")</f>
        <v>19410127</v>
      </c>
      <c r="C54" s="26" t="str">
        <f>INDEX(Data,2,2+MOD(ROWS(C$2:C54)-1,2))</f>
        <v>08.00</v>
      </c>
      <c r="D54" s="41">
        <f t="shared" ca="1" si="1"/>
        <v>762.45719999999994</v>
      </c>
      <c r="E54" s="31">
        <f t="shared" ca="1" si="2"/>
        <v>0</v>
      </c>
      <c r="F54" s="42">
        <f t="shared" ca="1" si="3"/>
        <v>26.944444444444443</v>
      </c>
      <c r="G54" s="31">
        <f t="shared" ca="1" si="4"/>
        <v>0</v>
      </c>
    </row>
    <row r="55" spans="1:7" x14ac:dyDescent="0.25">
      <c r="A55" s="12">
        <f t="shared" si="0"/>
        <v>44</v>
      </c>
      <c r="B55" t="str">
        <f ca="1">TEXT(DATE(YEAR(Invoer!$A$5),1,1)+INT((ROWS(B$2:B55)-1)/2),"jjjjmmdd")</f>
        <v>19410127</v>
      </c>
      <c r="C55" s="26" t="str">
        <f>INDEX(Data,2,2+MOD(ROWS(C$2:C55)-1,2))</f>
        <v>15.00</v>
      </c>
      <c r="D55" s="41">
        <f t="shared" ca="1" si="1"/>
        <v>760.29819999999995</v>
      </c>
      <c r="E55" s="31">
        <f t="shared" ca="1" si="2"/>
        <v>0</v>
      </c>
      <c r="F55" s="42">
        <f t="shared" ca="1" si="3"/>
        <v>28.333333333333332</v>
      </c>
      <c r="G55" s="31">
        <f t="shared" ca="1" si="4"/>
        <v>0</v>
      </c>
    </row>
    <row r="56" spans="1:7" x14ac:dyDescent="0.25">
      <c r="A56" s="12">
        <f t="shared" si="0"/>
        <v>44</v>
      </c>
      <c r="B56" t="str">
        <f ca="1">TEXT(DATE(YEAR(Invoer!$A$5),1,1)+INT((ROWS(B$2:B56)-1)/2),"jjjjmmdd")</f>
        <v>19410128</v>
      </c>
      <c r="C56" s="26" t="str">
        <f>INDEX(Data,2,2+MOD(ROWS(C$2:C56)-1,2))</f>
        <v>08.00</v>
      </c>
      <c r="D56" s="41">
        <f t="shared" ca="1" si="1"/>
        <v>762.02539999999999</v>
      </c>
      <c r="E56" s="31">
        <f t="shared" ca="1" si="2"/>
        <v>0</v>
      </c>
      <c r="F56" s="42">
        <f t="shared" ca="1" si="3"/>
        <v>26.388888888888889</v>
      </c>
      <c r="G56" s="31">
        <f t="shared" ca="1" si="4"/>
        <v>0</v>
      </c>
    </row>
    <row r="57" spans="1:7" x14ac:dyDescent="0.25">
      <c r="A57" s="12">
        <f t="shared" si="0"/>
        <v>44</v>
      </c>
      <c r="B57" t="str">
        <f ca="1">TEXT(DATE(YEAR(Invoer!$A$5),1,1)+INT((ROWS(B$2:B57)-1)/2),"jjjjmmdd")</f>
        <v>19410128</v>
      </c>
      <c r="C57" s="26" t="str">
        <f>INDEX(Data,2,2+MOD(ROWS(C$2:C57)-1,2))</f>
        <v>15.00</v>
      </c>
      <c r="D57" s="41">
        <f t="shared" ca="1" si="1"/>
        <v>759.58699999999999</v>
      </c>
      <c r="E57" s="31">
        <f t="shared" ca="1" si="2"/>
        <v>0</v>
      </c>
      <c r="F57" s="42">
        <f t="shared" ca="1" si="3"/>
        <v>27.777777777777779</v>
      </c>
      <c r="G57" s="31">
        <f t="shared" ca="1" si="4"/>
        <v>0</v>
      </c>
    </row>
    <row r="58" spans="1:7" x14ac:dyDescent="0.25">
      <c r="A58" s="12">
        <f t="shared" si="0"/>
        <v>44</v>
      </c>
      <c r="B58" t="str">
        <f ca="1">TEXT(DATE(YEAR(Invoer!$A$5),1,1)+INT((ROWS(B$2:B58)-1)/2),"jjjjmmdd")</f>
        <v>19410129</v>
      </c>
      <c r="C58" s="26" t="str">
        <f>INDEX(Data,2,2+MOD(ROWS(C$2:C58)-1,2))</f>
        <v>08.00</v>
      </c>
      <c r="D58" s="41">
        <f t="shared" ca="1" si="1"/>
        <v>762</v>
      </c>
      <c r="E58" s="31">
        <f t="shared" ca="1" si="2"/>
        <v>0</v>
      </c>
      <c r="F58" s="42">
        <f t="shared" ca="1" si="3"/>
        <v>26.666666666666668</v>
      </c>
      <c r="G58" s="31">
        <f t="shared" ca="1" si="4"/>
        <v>0</v>
      </c>
    </row>
    <row r="59" spans="1:7" x14ac:dyDescent="0.25">
      <c r="A59" s="12">
        <f t="shared" si="0"/>
        <v>44</v>
      </c>
      <c r="B59" t="str">
        <f ca="1">TEXT(DATE(YEAR(Invoer!$A$5),1,1)+INT((ROWS(B$2:B59)-1)/2),"jjjjmmdd")</f>
        <v>19410129</v>
      </c>
      <c r="C59" s="26" t="str">
        <f>INDEX(Data,2,2+MOD(ROWS(C$2:C59)-1,2))</f>
        <v>15.00</v>
      </c>
      <c r="D59" s="41">
        <f t="shared" ca="1" si="1"/>
        <v>759.73939999999993</v>
      </c>
      <c r="E59" s="31">
        <f t="shared" ca="1" si="2"/>
        <v>0</v>
      </c>
      <c r="F59" s="42">
        <f t="shared" ca="1" si="3"/>
        <v>28.611111111111111</v>
      </c>
      <c r="G59" s="31">
        <f t="shared" ca="1" si="4"/>
        <v>0</v>
      </c>
    </row>
    <row r="60" spans="1:7" x14ac:dyDescent="0.25">
      <c r="A60" s="12">
        <f t="shared" si="0"/>
        <v>44</v>
      </c>
      <c r="B60" t="str">
        <f ca="1">TEXT(DATE(YEAR(Invoer!$A$5),1,1)+INT((ROWS(B$2:B60)-1)/2),"jjjjmmdd")</f>
        <v>19410130</v>
      </c>
      <c r="C60" s="26" t="str">
        <f>INDEX(Data,2,2+MOD(ROWS(C$2:C60)-1,2))</f>
        <v>08.00</v>
      </c>
      <c r="D60" s="41">
        <f t="shared" ca="1" si="1"/>
        <v>762.76199999999994</v>
      </c>
      <c r="E60" s="31">
        <f t="shared" ca="1" si="2"/>
        <v>0</v>
      </c>
      <c r="F60" s="42">
        <f t="shared" ca="1" si="3"/>
        <v>26.666666666666668</v>
      </c>
      <c r="G60" s="31">
        <f t="shared" ca="1" si="4"/>
        <v>0</v>
      </c>
    </row>
    <row r="61" spans="1:7" x14ac:dyDescent="0.25">
      <c r="A61" s="12">
        <f t="shared" si="0"/>
        <v>44</v>
      </c>
      <c r="B61" t="str">
        <f ca="1">TEXT(DATE(YEAR(Invoer!$A$5),1,1)+INT((ROWS(B$2:B61)-1)/2),"jjjjmmdd")</f>
        <v>19410130</v>
      </c>
      <c r="C61" s="26" t="str">
        <f>INDEX(Data,2,2+MOD(ROWS(C$2:C61)-1,2))</f>
        <v>15.00</v>
      </c>
      <c r="D61" s="41">
        <f t="shared" ca="1" si="1"/>
        <v>760.60299999999995</v>
      </c>
      <c r="E61" s="31">
        <f t="shared" ca="1" si="2"/>
        <v>0</v>
      </c>
      <c r="F61" s="42">
        <f t="shared" ca="1" si="3"/>
        <v>27.777777777777779</v>
      </c>
      <c r="G61" s="31">
        <f t="shared" ca="1" si="4"/>
        <v>0</v>
      </c>
    </row>
    <row r="62" spans="1:7" x14ac:dyDescent="0.25">
      <c r="A62" s="12">
        <f t="shared" si="0"/>
        <v>44</v>
      </c>
      <c r="B62" t="str">
        <f ca="1">TEXT(DATE(YEAR(Invoer!$A$5),1,1)+INT((ROWS(B$2:B62)-1)/2),"jjjjmmdd")</f>
        <v>19410131</v>
      </c>
      <c r="C62" s="26" t="str">
        <f>INDEX(Data,2,2+MOD(ROWS(C$2:C62)-1,2))</f>
        <v>08.00</v>
      </c>
      <c r="D62" s="41">
        <f t="shared" ca="1" si="1"/>
        <v>761.74599999999998</v>
      </c>
      <c r="E62" s="31">
        <f t="shared" ca="1" si="2"/>
        <v>0</v>
      </c>
      <c r="F62" s="42">
        <f t="shared" ca="1" si="3"/>
        <v>26.666666666666668</v>
      </c>
      <c r="G62" s="31">
        <f t="shared" ca="1" si="4"/>
        <v>0</v>
      </c>
    </row>
    <row r="63" spans="1:7" x14ac:dyDescent="0.25">
      <c r="A63" s="12">
        <f t="shared" si="0"/>
        <v>44</v>
      </c>
      <c r="B63" t="str">
        <f ca="1">TEXT(DATE(YEAR(Invoer!$A$5),1,1)+INT((ROWS(B$2:B63)-1)/2),"jjjjmmdd")</f>
        <v>19410131</v>
      </c>
      <c r="C63" s="26" t="str">
        <f>INDEX(Data,2,2+MOD(ROWS(C$2:C63)-1,2))</f>
        <v>15.00</v>
      </c>
      <c r="D63" s="41">
        <f t="shared" ca="1" si="1"/>
        <v>760.29819999999995</v>
      </c>
      <c r="E63" s="31">
        <f t="shared" ca="1" si="2"/>
        <v>0</v>
      </c>
      <c r="F63" s="42">
        <f t="shared" ca="1" si="3"/>
        <v>28.333333333333332</v>
      </c>
      <c r="G63" s="31">
        <f t="shared" ca="1" si="4"/>
        <v>0</v>
      </c>
    </row>
    <row r="64" spans="1:7" x14ac:dyDescent="0.25">
      <c r="A64" s="12">
        <f t="shared" si="0"/>
        <v>44</v>
      </c>
      <c r="B64" t="str">
        <f ca="1">TEXT(DATE(YEAR(Invoer!$A$5),1,1)+INT((ROWS(B$2:B64)-1)/2),"jjjjmmdd")</f>
        <v>19410201</v>
      </c>
      <c r="C64" s="26" t="str">
        <f>INDEX(Data,2,2+MOD(ROWS(C$2:C64)-1,2))</f>
        <v>08.00</v>
      </c>
      <c r="D64" s="41">
        <f t="shared" ca="1" si="1"/>
        <v>761.49199999999996</v>
      </c>
      <c r="E64" s="31">
        <f t="shared" ca="1" si="2"/>
        <v>0</v>
      </c>
      <c r="F64" s="42">
        <f t="shared" ca="1" si="3"/>
        <v>26.666666666666668</v>
      </c>
      <c r="G64" s="31">
        <f t="shared" ca="1" si="4"/>
        <v>0</v>
      </c>
    </row>
    <row r="65" spans="1:7" x14ac:dyDescent="0.25">
      <c r="A65" s="12">
        <f t="shared" si="0"/>
        <v>44</v>
      </c>
      <c r="B65" t="str">
        <f ca="1">TEXT(DATE(YEAR(Invoer!$A$5),1,1)+INT((ROWS(B$2:B65)-1)/2),"jjjjmmdd")</f>
        <v>19410201</v>
      </c>
      <c r="C65" s="26" t="str">
        <f>INDEX(Data,2,2+MOD(ROWS(C$2:C65)-1,2))</f>
        <v>15.00</v>
      </c>
      <c r="D65" s="41">
        <f t="shared" ca="1" si="1"/>
        <v>759.58699999999999</v>
      </c>
      <c r="E65" s="31">
        <f t="shared" ca="1" si="2"/>
        <v>0</v>
      </c>
      <c r="F65" s="42">
        <f t="shared" ca="1" si="3"/>
        <v>27.777777777777779</v>
      </c>
      <c r="G65" s="31">
        <f t="shared" ca="1" si="4"/>
        <v>0</v>
      </c>
    </row>
    <row r="66" spans="1:7" x14ac:dyDescent="0.25">
      <c r="A66" s="12">
        <f t="shared" ref="A66:A129" si="5">INDEX(Stations,2,1)</f>
        <v>44</v>
      </c>
      <c r="B66" t="str">
        <f ca="1">TEXT(DATE(YEAR(Invoer!$A$5),1,1)+INT((ROWS(B$2:B66)-1)/2),"jjjjmmdd")</f>
        <v>19410202</v>
      </c>
      <c r="C66" s="26" t="str">
        <f>INDEX(Data,2,2+MOD(ROWS(C$2:C66)-1,2))</f>
        <v>08.00</v>
      </c>
      <c r="D66" s="41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0.0254*VLOOKUP(DATEVALUE(LEFT($B66,4)&amp;"-"&amp;MID($B66,5,2)&amp;"-"&amp;RIGHT($B66,2)),Data,MATCH(LEFT(VLOOKUP(D$1,Parameters,2,FALSE()),4)&amp;"*",OFFSET(Data,0,0,1),0)+MATCH($C66,OFFSET(Data,1,0,1),0)-2,FALSE()))</f>
        <v>761.49199999999996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2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5*(VLOOKUP(DATEVALUE(LEFT($B66,4)&amp;"-"&amp;MID($B66,5,2)&amp;"-"&amp;RIGHT($B66,2)),Data,MATCH(LEFT(VLOOKUP(F$1,Parameters,2,FALSE()),4)&amp;"*",OFFSET(Data,0,0,1),0)+MATCH($C66,OFFSET(Data,1,0,1),0)-2,FALSE())-320)/90)</f>
        <v>26.666666666666668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2">
        <f t="shared" si="5"/>
        <v>44</v>
      </c>
      <c r="B67" t="str">
        <f ca="1">TEXT(DATE(YEAR(Invoer!$A$5),1,1)+INT((ROWS(B$2:B67)-1)/2),"jjjjmmdd")</f>
        <v>19410202</v>
      </c>
      <c r="C67" s="26" t="str">
        <f>INDEX(Data,2,2+MOD(ROWS(C$2:C67)-1,2))</f>
        <v>15.00</v>
      </c>
      <c r="D67" s="41">
        <f t="shared" ca="1" si="6"/>
        <v>759.79019999999991</v>
      </c>
      <c r="E67" s="31">
        <f t="shared" ca="1" si="7"/>
        <v>0</v>
      </c>
      <c r="F67" s="42">
        <f t="shared" ca="1" si="8"/>
        <v>28.333333333333332</v>
      </c>
      <c r="G67" s="31">
        <f t="shared" ca="1" si="9"/>
        <v>0</v>
      </c>
    </row>
    <row r="68" spans="1:7" x14ac:dyDescent="0.25">
      <c r="A68" s="12">
        <f t="shared" si="5"/>
        <v>44</v>
      </c>
      <c r="B68" t="str">
        <f ca="1">TEXT(DATE(YEAR(Invoer!$A$5),1,1)+INT((ROWS(B$2:B68)-1)/2),"jjjjmmdd")</f>
        <v>19410203</v>
      </c>
      <c r="C68" s="26" t="str">
        <f>INDEX(Data,2,2+MOD(ROWS(C$2:C68)-1,2))</f>
        <v>08.00</v>
      </c>
      <c r="D68" s="41">
        <f t="shared" ca="1" si="6"/>
        <v>761.94920000000002</v>
      </c>
      <c r="E68" s="31">
        <f t="shared" ca="1" si="7"/>
        <v>0</v>
      </c>
      <c r="F68" s="42">
        <f t="shared" ca="1" si="8"/>
        <v>26.944444444444443</v>
      </c>
      <c r="G68" s="31">
        <f t="shared" ca="1" si="9"/>
        <v>0</v>
      </c>
    </row>
    <row r="69" spans="1:7" x14ac:dyDescent="0.25">
      <c r="A69" s="12">
        <f t="shared" si="5"/>
        <v>44</v>
      </c>
      <c r="B69" t="str">
        <f ca="1">TEXT(DATE(YEAR(Invoer!$A$5),1,1)+INT((ROWS(B$2:B69)-1)/2),"jjjjmmdd")</f>
        <v>19410203</v>
      </c>
      <c r="C69" s="26" t="str">
        <f>INDEX(Data,2,2+MOD(ROWS(C$2:C69)-1,2))</f>
        <v>15.00</v>
      </c>
      <c r="D69" s="41">
        <f t="shared" ca="1" si="6"/>
        <v>760.04419999999993</v>
      </c>
      <c r="E69" s="31">
        <f t="shared" ca="1" si="7"/>
        <v>0</v>
      </c>
      <c r="F69" s="42">
        <f t="shared" ca="1" si="8"/>
        <v>28.333333333333332</v>
      </c>
      <c r="G69" s="31">
        <f t="shared" ca="1" si="9"/>
        <v>0</v>
      </c>
    </row>
    <row r="70" spans="1:7" x14ac:dyDescent="0.25">
      <c r="A70" s="12">
        <f t="shared" si="5"/>
        <v>44</v>
      </c>
      <c r="B70" t="str">
        <f ca="1">TEXT(DATE(YEAR(Invoer!$A$5),1,1)+INT((ROWS(B$2:B70)-1)/2),"jjjjmmdd")</f>
        <v>19410204</v>
      </c>
      <c r="C70" s="26" t="str">
        <f>INDEX(Data,2,2+MOD(ROWS(C$2:C70)-1,2))</f>
        <v>08.00</v>
      </c>
      <c r="D70" s="41">
        <f t="shared" ca="1" si="6"/>
        <v>761.74599999999998</v>
      </c>
      <c r="E70" s="31">
        <f t="shared" ca="1" si="7"/>
        <v>0</v>
      </c>
      <c r="F70" s="42">
        <f t="shared" ca="1" si="8"/>
        <v>26.666666666666668</v>
      </c>
      <c r="G70" s="31">
        <f t="shared" ca="1" si="9"/>
        <v>0</v>
      </c>
    </row>
    <row r="71" spans="1:7" x14ac:dyDescent="0.25">
      <c r="A71" s="12">
        <f t="shared" si="5"/>
        <v>44</v>
      </c>
      <c r="B71" t="str">
        <f ca="1">TEXT(DATE(YEAR(Invoer!$A$5),1,1)+INT((ROWS(B$2:B71)-1)/2),"jjjjmmdd")</f>
        <v>19410204</v>
      </c>
      <c r="C71" s="26" t="str">
        <f>INDEX(Data,2,2+MOD(ROWS(C$2:C71)-1,2))</f>
        <v>15.00</v>
      </c>
      <c r="D71" s="41">
        <f t="shared" ca="1" si="6"/>
        <v>759.81560000000002</v>
      </c>
      <c r="E71" s="31">
        <f t="shared" ca="1" si="7"/>
        <v>0</v>
      </c>
      <c r="F71" s="42">
        <f t="shared" ca="1" si="8"/>
        <v>28.055555555555557</v>
      </c>
      <c r="G71" s="31">
        <f t="shared" ca="1" si="9"/>
        <v>0</v>
      </c>
    </row>
    <row r="72" spans="1:7" x14ac:dyDescent="0.25">
      <c r="A72" s="12">
        <f t="shared" si="5"/>
        <v>44</v>
      </c>
      <c r="B72" t="str">
        <f ca="1">TEXT(DATE(YEAR(Invoer!$A$5),1,1)+INT((ROWS(B$2:B72)-1)/2),"jjjjmmdd")</f>
        <v>19410205</v>
      </c>
      <c r="C72" s="26" t="str">
        <f>INDEX(Data,2,2+MOD(ROWS(C$2:C72)-1,2))</f>
        <v>08.00</v>
      </c>
      <c r="D72" s="41">
        <f t="shared" ca="1" si="6"/>
        <v>761.41579999999999</v>
      </c>
      <c r="E72" s="31">
        <f t="shared" ca="1" si="7"/>
        <v>0</v>
      </c>
      <c r="F72" s="42">
        <f t="shared" ca="1" si="8"/>
        <v>27.222222222222221</v>
      </c>
      <c r="G72" s="31">
        <f t="shared" ca="1" si="9"/>
        <v>0</v>
      </c>
    </row>
    <row r="73" spans="1:7" x14ac:dyDescent="0.25">
      <c r="A73" s="12">
        <f t="shared" si="5"/>
        <v>44</v>
      </c>
      <c r="B73" t="str">
        <f ca="1">TEXT(DATE(YEAR(Invoer!$A$5),1,1)+INT((ROWS(B$2:B73)-1)/2),"jjjjmmdd")</f>
        <v>19410205</v>
      </c>
      <c r="C73" s="26" t="str">
        <f>INDEX(Data,2,2+MOD(ROWS(C$2:C73)-1,2))</f>
        <v>15.00</v>
      </c>
      <c r="D73" s="41">
        <f t="shared" ca="1" si="6"/>
        <v>759.73939999999993</v>
      </c>
      <c r="E73" s="31">
        <f t="shared" ca="1" si="7"/>
        <v>0</v>
      </c>
      <c r="F73" s="42">
        <f t="shared" ca="1" si="8"/>
        <v>28.611111111111111</v>
      </c>
      <c r="G73" s="31">
        <f t="shared" ca="1" si="9"/>
        <v>0</v>
      </c>
    </row>
    <row r="74" spans="1:7" x14ac:dyDescent="0.25">
      <c r="A74" s="12">
        <f t="shared" si="5"/>
        <v>44</v>
      </c>
      <c r="B74" t="str">
        <f ca="1">TEXT(DATE(YEAR(Invoer!$A$5),1,1)+INT((ROWS(B$2:B74)-1)/2),"jjjjmmdd")</f>
        <v>19410206</v>
      </c>
      <c r="C74" s="26" t="str">
        <f>INDEX(Data,2,2+MOD(ROWS(C$2:C74)-1,2))</f>
        <v>08.00</v>
      </c>
      <c r="D74" s="41">
        <f t="shared" ca="1" si="6"/>
        <v>762</v>
      </c>
      <c r="E74" s="31">
        <f t="shared" ca="1" si="7"/>
        <v>0</v>
      </c>
      <c r="F74" s="42">
        <f t="shared" ca="1" si="8"/>
        <v>26.666666666666668</v>
      </c>
      <c r="G74" s="31">
        <f t="shared" ca="1" si="9"/>
        <v>0</v>
      </c>
    </row>
    <row r="75" spans="1:7" x14ac:dyDescent="0.25">
      <c r="A75" s="12">
        <f t="shared" si="5"/>
        <v>44</v>
      </c>
      <c r="B75" t="str">
        <f ca="1">TEXT(DATE(YEAR(Invoer!$A$5),1,1)+INT((ROWS(B$2:B75)-1)/2),"jjjjmmdd")</f>
        <v>19410206</v>
      </c>
      <c r="C75" s="26" t="str">
        <f>INDEX(Data,2,2+MOD(ROWS(C$2:C75)-1,2))</f>
        <v>15.00</v>
      </c>
      <c r="D75" s="41">
        <f t="shared" ca="1" si="6"/>
        <v>759.79019999999991</v>
      </c>
      <c r="E75" s="31">
        <f t="shared" ca="1" si="7"/>
        <v>0</v>
      </c>
      <c r="F75" s="42">
        <f t="shared" ca="1" si="8"/>
        <v>28.611111111111111</v>
      </c>
      <c r="G75" s="31">
        <f t="shared" ca="1" si="9"/>
        <v>0</v>
      </c>
    </row>
    <row r="76" spans="1:7" x14ac:dyDescent="0.25">
      <c r="A76" s="12">
        <f t="shared" si="5"/>
        <v>44</v>
      </c>
      <c r="B76" t="str">
        <f ca="1">TEXT(DATE(YEAR(Invoer!$A$5),1,1)+INT((ROWS(B$2:B76)-1)/2),"jjjjmmdd")</f>
        <v>19410207</v>
      </c>
      <c r="C76" s="26" t="str">
        <f>INDEX(Data,2,2+MOD(ROWS(C$2:C76)-1,2))</f>
        <v>08.00</v>
      </c>
      <c r="D76" s="41">
        <f t="shared" ca="1" si="6"/>
        <v>762.68579999999997</v>
      </c>
      <c r="E76" s="31">
        <f t="shared" ca="1" si="7"/>
        <v>0</v>
      </c>
      <c r="F76" s="42">
        <f t="shared" ca="1" si="8"/>
        <v>27.222222222222221</v>
      </c>
      <c r="G76" s="31">
        <f t="shared" ca="1" si="9"/>
        <v>0</v>
      </c>
    </row>
    <row r="77" spans="1:7" x14ac:dyDescent="0.25">
      <c r="A77" s="12">
        <f t="shared" si="5"/>
        <v>44</v>
      </c>
      <c r="B77" t="str">
        <f ca="1">TEXT(DATE(YEAR(Invoer!$A$5),1,1)+INT((ROWS(B$2:B77)-1)/2),"jjjjmmdd")</f>
        <v>19410207</v>
      </c>
      <c r="C77" s="26" t="str">
        <f>INDEX(Data,2,2+MOD(ROWS(C$2:C77)-1,2))</f>
        <v>15.00</v>
      </c>
      <c r="D77" s="41">
        <f t="shared" ca="1" si="6"/>
        <v>760.98399999999992</v>
      </c>
      <c r="E77" s="31">
        <f t="shared" ca="1" si="7"/>
        <v>0</v>
      </c>
      <c r="F77" s="42">
        <f t="shared" ca="1" si="8"/>
        <v>28.611111111111111</v>
      </c>
      <c r="G77" s="31">
        <f t="shared" ca="1" si="9"/>
        <v>0</v>
      </c>
    </row>
    <row r="78" spans="1:7" x14ac:dyDescent="0.25">
      <c r="A78" s="12">
        <f t="shared" si="5"/>
        <v>44</v>
      </c>
      <c r="B78" t="str">
        <f ca="1">TEXT(DATE(YEAR(Invoer!$A$5),1,1)+INT((ROWS(B$2:B78)-1)/2),"jjjjmmdd")</f>
        <v>19410208</v>
      </c>
      <c r="C78" s="26" t="str">
        <f>INDEX(Data,2,2+MOD(ROWS(C$2:C78)-1,2))</f>
        <v>08.00</v>
      </c>
      <c r="D78" s="41">
        <f t="shared" ca="1" si="6"/>
        <v>761.66980000000001</v>
      </c>
      <c r="E78" s="31">
        <f t="shared" ca="1" si="7"/>
        <v>0</v>
      </c>
      <c r="F78" s="42">
        <f t="shared" ca="1" si="8"/>
        <v>27.222222222222221</v>
      </c>
      <c r="G78" s="31">
        <f t="shared" ca="1" si="9"/>
        <v>0</v>
      </c>
    </row>
    <row r="79" spans="1:7" x14ac:dyDescent="0.25">
      <c r="A79" s="12">
        <f t="shared" si="5"/>
        <v>44</v>
      </c>
      <c r="B79" t="str">
        <f ca="1">TEXT(DATE(YEAR(Invoer!$A$5),1,1)+INT((ROWS(B$2:B79)-1)/2),"jjjjmmdd")</f>
        <v>19410208</v>
      </c>
      <c r="C79" s="26" t="str">
        <f>INDEX(Data,2,2+MOD(ROWS(C$2:C79)-1,2))</f>
        <v>15.00</v>
      </c>
      <c r="D79" s="41">
        <f t="shared" ca="1" si="6"/>
        <v>759.96799999999996</v>
      </c>
      <c r="E79" s="31">
        <f t="shared" ca="1" si="7"/>
        <v>0</v>
      </c>
      <c r="F79" s="42">
        <f t="shared" ca="1" si="8"/>
        <v>28.888888888888889</v>
      </c>
      <c r="G79" s="31">
        <f t="shared" ca="1" si="9"/>
        <v>0</v>
      </c>
    </row>
    <row r="80" spans="1:7" x14ac:dyDescent="0.25">
      <c r="A80" s="12">
        <f t="shared" si="5"/>
        <v>44</v>
      </c>
      <c r="B80" t="str">
        <f ca="1">TEXT(DATE(YEAR(Invoer!$A$5),1,1)+INT((ROWS(B$2:B80)-1)/2),"jjjjmmdd")</f>
        <v>19410209</v>
      </c>
      <c r="C80" s="26" t="str">
        <f>INDEX(Data,2,2+MOD(ROWS(C$2:C80)-1,2))</f>
        <v>08.00</v>
      </c>
      <c r="D80" s="41">
        <f t="shared" ca="1" si="6"/>
        <v>761.18719999999996</v>
      </c>
      <c r="E80" s="31">
        <f t="shared" ca="1" si="7"/>
        <v>0</v>
      </c>
      <c r="F80" s="42">
        <f t="shared" ca="1" si="8"/>
        <v>26.944444444444443</v>
      </c>
      <c r="G80" s="31">
        <f t="shared" ca="1" si="9"/>
        <v>0</v>
      </c>
    </row>
    <row r="81" spans="1:7" x14ac:dyDescent="0.25">
      <c r="A81" s="12">
        <f t="shared" si="5"/>
        <v>44</v>
      </c>
      <c r="B81" t="str">
        <f ca="1">TEXT(DATE(YEAR(Invoer!$A$5),1,1)+INT((ROWS(B$2:B81)-1)/2),"jjjjmmdd")</f>
        <v>19410209</v>
      </c>
      <c r="C81" s="26" t="str">
        <f>INDEX(Data,2,2+MOD(ROWS(C$2:C81)-1,2))</f>
        <v>15.00</v>
      </c>
      <c r="D81" s="41">
        <f t="shared" ca="1" si="6"/>
        <v>759.79019999999991</v>
      </c>
      <c r="E81" s="31">
        <f t="shared" ca="1" si="7"/>
        <v>0</v>
      </c>
      <c r="F81" s="42">
        <f t="shared" ca="1" si="8"/>
        <v>28.333333333333332</v>
      </c>
      <c r="G81" s="31">
        <f t="shared" ca="1" si="9"/>
        <v>0</v>
      </c>
    </row>
    <row r="82" spans="1:7" x14ac:dyDescent="0.25">
      <c r="A82" s="12">
        <f t="shared" si="5"/>
        <v>44</v>
      </c>
      <c r="B82" t="str">
        <f ca="1">TEXT(DATE(YEAR(Invoer!$A$5),1,1)+INT((ROWS(B$2:B82)-1)/2),"jjjjmmdd")</f>
        <v>19410210</v>
      </c>
      <c r="C82" s="26" t="str">
        <f>INDEX(Data,2,2+MOD(ROWS(C$2:C82)-1,2))</f>
        <v>08.00</v>
      </c>
      <c r="D82" s="41">
        <f t="shared" ca="1" si="6"/>
        <v>761.16179999999997</v>
      </c>
      <c r="E82" s="31">
        <f t="shared" ca="1" si="7"/>
        <v>0</v>
      </c>
      <c r="F82" s="42">
        <f t="shared" ca="1" si="8"/>
        <v>27.222222222222221</v>
      </c>
      <c r="G82" s="31">
        <f t="shared" ca="1" si="9"/>
        <v>0</v>
      </c>
    </row>
    <row r="83" spans="1:7" x14ac:dyDescent="0.25">
      <c r="A83" s="12">
        <f t="shared" si="5"/>
        <v>44</v>
      </c>
      <c r="B83" t="str">
        <f ca="1">TEXT(DATE(YEAR(Invoer!$A$5),1,1)+INT((ROWS(B$2:B83)-1)/2),"jjjjmmdd")</f>
        <v>19410210</v>
      </c>
      <c r="C83" s="26" t="str">
        <f>INDEX(Data,2,2+MOD(ROWS(C$2:C83)-1,2))</f>
        <v>15.00</v>
      </c>
      <c r="D83" s="41">
        <f t="shared" ca="1" si="6"/>
        <v>759.71399999999994</v>
      </c>
      <c r="E83" s="31">
        <f t="shared" ca="1" si="7"/>
        <v>0</v>
      </c>
      <c r="F83" s="42">
        <f t="shared" ca="1" si="8"/>
        <v>28.888888888888889</v>
      </c>
      <c r="G83" s="31">
        <f t="shared" ca="1" si="9"/>
        <v>0</v>
      </c>
    </row>
    <row r="84" spans="1:7" x14ac:dyDescent="0.25">
      <c r="A84" s="12">
        <f t="shared" si="5"/>
        <v>44</v>
      </c>
      <c r="B84" t="str">
        <f ca="1">TEXT(DATE(YEAR(Invoer!$A$5),1,1)+INT((ROWS(B$2:B84)-1)/2),"jjjjmmdd")</f>
        <v>19410211</v>
      </c>
      <c r="C84" s="26" t="str">
        <f>INDEX(Data,2,2+MOD(ROWS(C$2:C84)-1,2))</f>
        <v>08.00</v>
      </c>
      <c r="D84" s="41">
        <f t="shared" ca="1" si="6"/>
        <v>761.6952</v>
      </c>
      <c r="E84" s="31">
        <f t="shared" ca="1" si="7"/>
        <v>0</v>
      </c>
      <c r="F84" s="42">
        <f t="shared" ca="1" si="8"/>
        <v>26.944444444444443</v>
      </c>
      <c r="G84" s="31">
        <f t="shared" ca="1" si="9"/>
        <v>0</v>
      </c>
    </row>
    <row r="85" spans="1:7" x14ac:dyDescent="0.25">
      <c r="A85" s="12">
        <f t="shared" si="5"/>
        <v>44</v>
      </c>
      <c r="B85" t="str">
        <f ca="1">TEXT(DATE(YEAR(Invoer!$A$5),1,1)+INT((ROWS(B$2:B85)-1)/2),"jjjjmmdd")</f>
        <v>19410211</v>
      </c>
      <c r="C85" s="26" t="str">
        <f>INDEX(Data,2,2+MOD(ROWS(C$2:C85)-1,2))</f>
        <v>15.00</v>
      </c>
      <c r="D85" s="41">
        <f t="shared" ca="1" si="6"/>
        <v>758.97739999999999</v>
      </c>
      <c r="E85" s="31">
        <f t="shared" ca="1" si="7"/>
        <v>0</v>
      </c>
      <c r="F85" s="42">
        <f t="shared" ca="1" si="8"/>
        <v>28.611111111111111</v>
      </c>
      <c r="G85" s="31">
        <f t="shared" ca="1" si="9"/>
        <v>0</v>
      </c>
    </row>
    <row r="86" spans="1:7" x14ac:dyDescent="0.25">
      <c r="A86" s="12">
        <f t="shared" si="5"/>
        <v>44</v>
      </c>
      <c r="B86" t="str">
        <f ca="1">TEXT(DATE(YEAR(Invoer!$A$5),1,1)+INT((ROWS(B$2:B86)-1)/2),"jjjjmmdd")</f>
        <v>19410212</v>
      </c>
      <c r="C86" s="26" t="str">
        <f>INDEX(Data,2,2+MOD(ROWS(C$2:C86)-1,2))</f>
        <v>08.00</v>
      </c>
      <c r="D86" s="41">
        <f t="shared" ca="1" si="6"/>
        <v>761.23799999999994</v>
      </c>
      <c r="E86" s="31">
        <f t="shared" ca="1" si="7"/>
        <v>0</v>
      </c>
      <c r="F86" s="42">
        <f t="shared" ca="1" si="8"/>
        <v>26.666666666666668</v>
      </c>
      <c r="G86" s="31">
        <f t="shared" ca="1" si="9"/>
        <v>0</v>
      </c>
    </row>
    <row r="87" spans="1:7" x14ac:dyDescent="0.25">
      <c r="A87" s="12">
        <f t="shared" si="5"/>
        <v>44</v>
      </c>
      <c r="B87" t="str">
        <f ca="1">TEXT(DATE(YEAR(Invoer!$A$5),1,1)+INT((ROWS(B$2:B87)-1)/2),"jjjjmmdd")</f>
        <v>19410212</v>
      </c>
      <c r="C87" s="26" t="str">
        <f>INDEX(Data,2,2+MOD(ROWS(C$2:C87)-1,2))</f>
        <v>15.00</v>
      </c>
      <c r="D87" s="41">
        <f t="shared" ca="1" si="6"/>
        <v>759.45999999999992</v>
      </c>
      <c r="E87" s="31">
        <f t="shared" ca="1" si="7"/>
        <v>0</v>
      </c>
      <c r="F87" s="42">
        <f t="shared" ca="1" si="8"/>
        <v>28.888888888888889</v>
      </c>
      <c r="G87" s="31">
        <f t="shared" ca="1" si="9"/>
        <v>0</v>
      </c>
    </row>
    <row r="88" spans="1:7" x14ac:dyDescent="0.25">
      <c r="A88" s="12">
        <f t="shared" si="5"/>
        <v>44</v>
      </c>
      <c r="B88" t="str">
        <f ca="1">TEXT(DATE(YEAR(Invoer!$A$5),1,1)+INT((ROWS(B$2:B88)-1)/2),"jjjjmmdd")</f>
        <v>19410213</v>
      </c>
      <c r="C88" s="26" t="str">
        <f>INDEX(Data,2,2+MOD(ROWS(C$2:C88)-1,2))</f>
        <v>08.00</v>
      </c>
      <c r="D88" s="41">
        <f t="shared" ca="1" si="6"/>
        <v>759.99339999999995</v>
      </c>
      <c r="E88" s="31">
        <f t="shared" ca="1" si="7"/>
        <v>0</v>
      </c>
      <c r="F88" s="42">
        <f t="shared" ca="1" si="8"/>
        <v>26.666666666666668</v>
      </c>
      <c r="G88" s="31">
        <f t="shared" ca="1" si="9"/>
        <v>0</v>
      </c>
    </row>
    <row r="89" spans="1:7" x14ac:dyDescent="0.25">
      <c r="A89" s="12">
        <f t="shared" si="5"/>
        <v>44</v>
      </c>
      <c r="B89" t="str">
        <f ca="1">TEXT(DATE(YEAR(Invoer!$A$5),1,1)+INT((ROWS(B$2:B89)-1)/2),"jjjjmmdd")</f>
        <v>19410213</v>
      </c>
      <c r="C89" s="26" t="str">
        <f>INDEX(Data,2,2+MOD(ROWS(C$2:C89)-1,2))</f>
        <v>15.00</v>
      </c>
      <c r="D89" s="41">
        <f t="shared" ca="1" si="6"/>
        <v>757.45339999999999</v>
      </c>
      <c r="E89" s="31">
        <f t="shared" ca="1" si="7"/>
        <v>0</v>
      </c>
      <c r="F89" s="42">
        <f t="shared" ca="1" si="8"/>
        <v>28.611111111111111</v>
      </c>
      <c r="G89" s="31">
        <f t="shared" ca="1" si="9"/>
        <v>0</v>
      </c>
    </row>
    <row r="90" spans="1:7" x14ac:dyDescent="0.25">
      <c r="A90" s="12">
        <f t="shared" si="5"/>
        <v>44</v>
      </c>
      <c r="B90" t="str">
        <f ca="1">TEXT(DATE(YEAR(Invoer!$A$5),1,1)+INT((ROWS(B$2:B90)-1)/2),"jjjjmmdd")</f>
        <v>19410214</v>
      </c>
      <c r="C90" s="26" t="str">
        <f>INDEX(Data,2,2+MOD(ROWS(C$2:C90)-1,2))</f>
        <v>08.00</v>
      </c>
      <c r="D90" s="41">
        <f t="shared" ca="1" si="6"/>
        <v>761.18719999999996</v>
      </c>
      <c r="E90" s="31">
        <f t="shared" ca="1" si="7"/>
        <v>0</v>
      </c>
      <c r="F90" s="42">
        <f t="shared" ca="1" si="8"/>
        <v>26.944444444444443</v>
      </c>
      <c r="G90" s="31">
        <f t="shared" ca="1" si="9"/>
        <v>0</v>
      </c>
    </row>
    <row r="91" spans="1:7" x14ac:dyDescent="0.25">
      <c r="A91" s="12">
        <f t="shared" si="5"/>
        <v>44</v>
      </c>
      <c r="B91" t="str">
        <f ca="1">TEXT(DATE(YEAR(Invoer!$A$5),1,1)+INT((ROWS(B$2:B91)-1)/2),"jjjjmmdd")</f>
        <v>19410214</v>
      </c>
      <c r="C91" s="26" t="str">
        <f>INDEX(Data,2,2+MOD(ROWS(C$2:C91)-1,2))</f>
        <v>15.00</v>
      </c>
      <c r="D91" s="41">
        <f t="shared" ca="1" si="6"/>
        <v>758.69799999999998</v>
      </c>
      <c r="E91" s="31">
        <f t="shared" ca="1" si="7"/>
        <v>0</v>
      </c>
      <c r="F91" s="42">
        <f t="shared" ca="1" si="8"/>
        <v>28.888888888888889</v>
      </c>
      <c r="G91" s="31">
        <f t="shared" ca="1" si="9"/>
        <v>0</v>
      </c>
    </row>
    <row r="92" spans="1:7" x14ac:dyDescent="0.25">
      <c r="A92" s="12">
        <f t="shared" si="5"/>
        <v>44</v>
      </c>
      <c r="B92" t="str">
        <f ca="1">TEXT(DATE(YEAR(Invoer!$A$5),1,1)+INT((ROWS(B$2:B92)-1)/2),"jjjjmmdd")</f>
        <v>19410215</v>
      </c>
      <c r="C92" s="26" t="str">
        <f>INDEX(Data,2,2+MOD(ROWS(C$2:C92)-1,2))</f>
        <v>08.00</v>
      </c>
      <c r="D92" s="41">
        <f t="shared" ca="1" si="6"/>
        <v>761.44119999999998</v>
      </c>
      <c r="E92" s="31">
        <f t="shared" ca="1" si="7"/>
        <v>0</v>
      </c>
      <c r="F92" s="42">
        <f t="shared" ca="1" si="8"/>
        <v>26.944444444444443</v>
      </c>
      <c r="G92" s="31">
        <f t="shared" ca="1" si="9"/>
        <v>0</v>
      </c>
    </row>
    <row r="93" spans="1:7" x14ac:dyDescent="0.25">
      <c r="A93" s="12">
        <f t="shared" si="5"/>
        <v>44</v>
      </c>
      <c r="B93" t="str">
        <f ca="1">TEXT(DATE(YEAR(Invoer!$A$5),1,1)+INT((ROWS(B$2:B93)-1)/2),"jjjjmmdd")</f>
        <v>19410215</v>
      </c>
      <c r="C93" s="26" t="str">
        <f>INDEX(Data,2,2+MOD(ROWS(C$2:C93)-1,2))</f>
        <v>15.00</v>
      </c>
      <c r="D93" s="41">
        <f t="shared" ca="1" si="6"/>
        <v>759.28219999999999</v>
      </c>
      <c r="E93" s="31">
        <f t="shared" ca="1" si="7"/>
        <v>0</v>
      </c>
      <c r="F93" s="42">
        <f t="shared" ca="1" si="8"/>
        <v>28.333333333333332</v>
      </c>
      <c r="G93" s="31">
        <f t="shared" ca="1" si="9"/>
        <v>0</v>
      </c>
    </row>
    <row r="94" spans="1:7" x14ac:dyDescent="0.25">
      <c r="A94" s="12">
        <f t="shared" si="5"/>
        <v>44</v>
      </c>
      <c r="B94" t="str">
        <f ca="1">TEXT(DATE(YEAR(Invoer!$A$5),1,1)+INT((ROWS(B$2:B94)-1)/2),"jjjjmmdd")</f>
        <v>19410216</v>
      </c>
      <c r="C94" s="26" t="str">
        <f>INDEX(Data,2,2+MOD(ROWS(C$2:C94)-1,2))</f>
        <v>08.00</v>
      </c>
      <c r="D94" s="41">
        <f t="shared" ca="1" si="6"/>
        <v>760.19659999999999</v>
      </c>
      <c r="E94" s="31">
        <f t="shared" ca="1" si="7"/>
        <v>0</v>
      </c>
      <c r="F94" s="42">
        <f t="shared" ca="1" si="8"/>
        <v>26.944444444444443</v>
      </c>
      <c r="G94" s="31">
        <f t="shared" ca="1" si="9"/>
        <v>0</v>
      </c>
    </row>
    <row r="95" spans="1:7" x14ac:dyDescent="0.25">
      <c r="A95" s="12">
        <f t="shared" si="5"/>
        <v>44</v>
      </c>
      <c r="B95" t="str">
        <f ca="1">TEXT(DATE(YEAR(Invoer!$A$5),1,1)+INT((ROWS(B$2:B95)-1)/2),"jjjjmmdd")</f>
        <v>19410216</v>
      </c>
      <c r="C95" s="26" t="str">
        <f>INDEX(Data,2,2+MOD(ROWS(C$2:C95)-1,2))</f>
        <v>15.00</v>
      </c>
      <c r="D95" s="41">
        <f t="shared" ca="1" si="6"/>
        <v>758.52019999999993</v>
      </c>
      <c r="E95" s="31">
        <f t="shared" ca="1" si="7"/>
        <v>0</v>
      </c>
      <c r="F95" s="42">
        <f t="shared" ca="1" si="8"/>
        <v>28.333333333333332</v>
      </c>
      <c r="G95" s="31">
        <f t="shared" ca="1" si="9"/>
        <v>0</v>
      </c>
    </row>
    <row r="96" spans="1:7" x14ac:dyDescent="0.25">
      <c r="A96" s="12">
        <f t="shared" si="5"/>
        <v>44</v>
      </c>
      <c r="B96" t="str">
        <f ca="1">TEXT(DATE(YEAR(Invoer!$A$5),1,1)+INT((ROWS(B$2:B96)-1)/2),"jjjjmmdd")</f>
        <v>19410217</v>
      </c>
      <c r="C96" s="26" t="str">
        <f>INDEX(Data,2,2+MOD(ROWS(C$2:C96)-1,2))</f>
        <v>08.00</v>
      </c>
      <c r="D96" s="41">
        <f t="shared" ca="1" si="6"/>
        <v>761.23799999999994</v>
      </c>
      <c r="E96" s="31">
        <f t="shared" ca="1" si="7"/>
        <v>0</v>
      </c>
      <c r="F96" s="42">
        <f t="shared" ca="1" si="8"/>
        <v>26.666666666666668</v>
      </c>
      <c r="G96" s="31">
        <f t="shared" ca="1" si="9"/>
        <v>0</v>
      </c>
    </row>
    <row r="97" spans="1:7" x14ac:dyDescent="0.25">
      <c r="A97" s="12">
        <f t="shared" si="5"/>
        <v>44</v>
      </c>
      <c r="B97" t="str">
        <f ca="1">TEXT(DATE(YEAR(Invoer!$A$5),1,1)+INT((ROWS(B$2:B97)-1)/2),"jjjjmmdd")</f>
        <v>19410217</v>
      </c>
      <c r="C97" s="26" t="str">
        <f>INDEX(Data,2,2+MOD(ROWS(C$2:C97)-1,2))</f>
        <v>15.00</v>
      </c>
      <c r="D97" s="41">
        <f t="shared" ca="1" si="6"/>
        <v>759.07899999999995</v>
      </c>
      <c r="E97" s="31">
        <f t="shared" ca="1" si="7"/>
        <v>0</v>
      </c>
      <c r="F97" s="42">
        <f t="shared" ca="1" si="8"/>
        <v>27.777777777777779</v>
      </c>
      <c r="G97" s="31">
        <f t="shared" ca="1" si="9"/>
        <v>0</v>
      </c>
    </row>
    <row r="98" spans="1:7" x14ac:dyDescent="0.25">
      <c r="A98" s="12">
        <f t="shared" si="5"/>
        <v>44</v>
      </c>
      <c r="B98" t="str">
        <f ca="1">TEXT(DATE(YEAR(Invoer!$A$5),1,1)+INT((ROWS(B$2:B98)-1)/2),"jjjjmmdd")</f>
        <v>19410218</v>
      </c>
      <c r="C98" s="26" t="str">
        <f>INDEX(Data,2,2+MOD(ROWS(C$2:C98)-1,2))</f>
        <v>08.00</v>
      </c>
      <c r="D98" s="41">
        <f t="shared" ca="1" si="6"/>
        <v>761.51739999999995</v>
      </c>
      <c r="E98" s="31">
        <f t="shared" ca="1" si="7"/>
        <v>0</v>
      </c>
      <c r="F98" s="42">
        <f t="shared" ca="1" si="8"/>
        <v>26.388888888888889</v>
      </c>
      <c r="G98" s="31">
        <f t="shared" ca="1" si="9"/>
        <v>0</v>
      </c>
    </row>
    <row r="99" spans="1:7" x14ac:dyDescent="0.25">
      <c r="A99" s="12">
        <f t="shared" si="5"/>
        <v>44</v>
      </c>
      <c r="B99" t="str">
        <f ca="1">TEXT(DATE(YEAR(Invoer!$A$5),1,1)+INT((ROWS(B$2:B99)-1)/2),"jjjjmmdd")</f>
        <v>19410218</v>
      </c>
      <c r="C99" s="26" t="str">
        <f>INDEX(Data,2,2+MOD(ROWS(C$2:C99)-1,2))</f>
        <v>15.00</v>
      </c>
      <c r="D99" s="41">
        <f t="shared" ca="1" si="6"/>
        <v>758.82499999999993</v>
      </c>
      <c r="E99" s="31">
        <f t="shared" ca="1" si="7"/>
        <v>0</v>
      </c>
      <c r="F99" s="42">
        <f t="shared" ca="1" si="8"/>
        <v>27.777777777777779</v>
      </c>
      <c r="G99" s="31">
        <f t="shared" ca="1" si="9"/>
        <v>0</v>
      </c>
    </row>
    <row r="100" spans="1:7" x14ac:dyDescent="0.25">
      <c r="A100" s="12">
        <f t="shared" si="5"/>
        <v>44</v>
      </c>
      <c r="B100" t="str">
        <f ca="1">TEXT(DATE(YEAR(Invoer!$A$5),1,1)+INT((ROWS(B$2:B100)-1)/2),"jjjjmmdd")</f>
        <v>19410219</v>
      </c>
      <c r="C100" s="26" t="str">
        <f>INDEX(Data,2,2+MOD(ROWS(C$2:C100)-1,2))</f>
        <v>08.00</v>
      </c>
      <c r="D100" s="41">
        <f t="shared" ca="1" si="6"/>
        <v>759.00279999999998</v>
      </c>
      <c r="E100" s="31">
        <f t="shared" ca="1" si="7"/>
        <v>0</v>
      </c>
      <c r="F100" s="42">
        <f t="shared" ca="1" si="8"/>
        <v>26.388888888888889</v>
      </c>
      <c r="G100" s="31">
        <f t="shared" ca="1" si="9"/>
        <v>0</v>
      </c>
    </row>
    <row r="101" spans="1:7" x14ac:dyDescent="0.25">
      <c r="A101" s="12">
        <f t="shared" si="5"/>
        <v>44</v>
      </c>
      <c r="B101" t="str">
        <f ca="1">TEXT(DATE(YEAR(Invoer!$A$5),1,1)+INT((ROWS(B$2:B101)-1)/2),"jjjjmmdd")</f>
        <v>19410219</v>
      </c>
      <c r="C101" s="26" t="str">
        <f>INDEX(Data,2,2+MOD(ROWS(C$2:C101)-1,2))</f>
        <v>15.00</v>
      </c>
      <c r="D101" s="41">
        <f t="shared" ca="1" si="6"/>
        <v>757.02159999999992</v>
      </c>
      <c r="E101" s="31">
        <f t="shared" ca="1" si="7"/>
        <v>0</v>
      </c>
      <c r="F101" s="42">
        <f t="shared" ca="1" si="8"/>
        <v>28.055555555555557</v>
      </c>
      <c r="G101" s="31">
        <f t="shared" ca="1" si="9"/>
        <v>0</v>
      </c>
    </row>
    <row r="102" spans="1:7" x14ac:dyDescent="0.25">
      <c r="A102" s="12">
        <f t="shared" si="5"/>
        <v>44</v>
      </c>
      <c r="B102" t="str">
        <f ca="1">TEXT(DATE(YEAR(Invoer!$A$5),1,1)+INT((ROWS(B$2:B102)-1)/2),"jjjjmmdd")</f>
        <v>19410220</v>
      </c>
      <c r="C102" s="26" t="str">
        <f>INDEX(Data,2,2+MOD(ROWS(C$2:C102)-1,2))</f>
        <v>08.00</v>
      </c>
      <c r="D102" s="41">
        <f t="shared" ca="1" si="6"/>
        <v>761.51739999999995</v>
      </c>
      <c r="E102" s="31">
        <f t="shared" ca="1" si="7"/>
        <v>0</v>
      </c>
      <c r="F102" s="42">
        <f t="shared" ca="1" si="8"/>
        <v>26.388888888888889</v>
      </c>
      <c r="G102" s="31">
        <f t="shared" ca="1" si="9"/>
        <v>0</v>
      </c>
    </row>
    <row r="103" spans="1:7" x14ac:dyDescent="0.25">
      <c r="A103" s="12">
        <f t="shared" si="5"/>
        <v>44</v>
      </c>
      <c r="B103" t="str">
        <f ca="1">TEXT(DATE(YEAR(Invoer!$A$5),1,1)+INT((ROWS(B$2:B103)-1)/2),"jjjjmmdd")</f>
        <v>19410220</v>
      </c>
      <c r="C103" s="26" t="str">
        <f>INDEX(Data,2,2+MOD(ROWS(C$2:C103)-1,2))</f>
        <v>15.00</v>
      </c>
      <c r="D103" s="41">
        <f t="shared" ca="1" si="6"/>
        <v>758.82499999999993</v>
      </c>
      <c r="E103" s="31">
        <f t="shared" ca="1" si="7"/>
        <v>0</v>
      </c>
      <c r="F103" s="42">
        <f t="shared" ca="1" si="8"/>
        <v>27.777777777777779</v>
      </c>
      <c r="G103" s="31">
        <f t="shared" ca="1" si="9"/>
        <v>0</v>
      </c>
    </row>
    <row r="104" spans="1:7" x14ac:dyDescent="0.25">
      <c r="A104" s="12">
        <f t="shared" si="5"/>
        <v>44</v>
      </c>
      <c r="B104" t="str">
        <f ca="1">TEXT(DATE(YEAR(Invoer!$A$5),1,1)+INT((ROWS(B$2:B104)-1)/2),"jjjjmmdd")</f>
        <v>19410221</v>
      </c>
      <c r="C104" s="26" t="str">
        <f>INDEX(Data,2,2+MOD(ROWS(C$2:C104)-1,2))</f>
        <v>08.00</v>
      </c>
      <c r="D104" s="41">
        <f t="shared" ca="1" si="6"/>
        <v>762.96519999999998</v>
      </c>
      <c r="E104" s="31">
        <f t="shared" ca="1" si="7"/>
        <v>0</v>
      </c>
      <c r="F104" s="42">
        <f t="shared" ca="1" si="8"/>
        <v>26.944444444444443</v>
      </c>
      <c r="G104" s="31">
        <f t="shared" ca="1" si="9"/>
        <v>0</v>
      </c>
    </row>
    <row r="105" spans="1:7" x14ac:dyDescent="0.25">
      <c r="A105" s="12">
        <f t="shared" si="5"/>
        <v>44</v>
      </c>
      <c r="B105" t="str">
        <f ca="1">TEXT(DATE(YEAR(Invoer!$A$5),1,1)+INT((ROWS(B$2:B105)-1)/2),"jjjjmmdd")</f>
        <v>19410221</v>
      </c>
      <c r="C105" s="26" t="str">
        <f>INDEX(Data,2,2+MOD(ROWS(C$2:C105)-1,2))</f>
        <v>15.00</v>
      </c>
      <c r="D105" s="41">
        <f t="shared" ca="1" si="6"/>
        <v>760.98399999999992</v>
      </c>
      <c r="E105" s="31">
        <f t="shared" ca="1" si="7"/>
        <v>0</v>
      </c>
      <c r="F105" s="42">
        <f t="shared" ca="1" si="8"/>
        <v>28.611111111111111</v>
      </c>
      <c r="G105" s="31">
        <f t="shared" ca="1" si="9"/>
        <v>0</v>
      </c>
    </row>
    <row r="106" spans="1:7" x14ac:dyDescent="0.25">
      <c r="A106" s="12">
        <f t="shared" si="5"/>
        <v>44</v>
      </c>
      <c r="B106" t="str">
        <f ca="1">TEXT(DATE(YEAR(Invoer!$A$5),1,1)+INT((ROWS(B$2:B106)-1)/2),"jjjjmmdd")</f>
        <v>19410222</v>
      </c>
      <c r="C106" s="26" t="str">
        <f>INDEX(Data,2,2+MOD(ROWS(C$2:C106)-1,2))</f>
        <v>08.00</v>
      </c>
      <c r="D106" s="41">
        <f t="shared" ca="1" si="6"/>
        <v>761.49199999999996</v>
      </c>
      <c r="E106" s="31">
        <f t="shared" ca="1" si="7"/>
        <v>0</v>
      </c>
      <c r="F106" s="42">
        <f t="shared" ca="1" si="8"/>
        <v>26.666666666666668</v>
      </c>
      <c r="G106" s="31">
        <f t="shared" ca="1" si="9"/>
        <v>0</v>
      </c>
    </row>
    <row r="107" spans="1:7" x14ac:dyDescent="0.25">
      <c r="A107" s="12">
        <f t="shared" si="5"/>
        <v>44</v>
      </c>
      <c r="B107" t="str">
        <f ca="1">TEXT(DATE(YEAR(Invoer!$A$5),1,1)+INT((ROWS(B$2:B107)-1)/2),"jjjjmmdd")</f>
        <v>19410222</v>
      </c>
      <c r="C107" s="26" t="str">
        <f>INDEX(Data,2,2+MOD(ROWS(C$2:C107)-1,2))</f>
        <v>15.00</v>
      </c>
      <c r="D107" s="41">
        <f t="shared" ca="1" si="6"/>
        <v>759.71399999999994</v>
      </c>
      <c r="E107" s="31">
        <f t="shared" ca="1" si="7"/>
        <v>0</v>
      </c>
      <c r="F107" s="42">
        <f t="shared" ca="1" si="8"/>
        <v>28.888888888888889</v>
      </c>
      <c r="G107" s="31">
        <f t="shared" ca="1" si="9"/>
        <v>0</v>
      </c>
    </row>
    <row r="108" spans="1:7" x14ac:dyDescent="0.25">
      <c r="A108" s="12">
        <f t="shared" si="5"/>
        <v>44</v>
      </c>
      <c r="B108" t="str">
        <f ca="1">TEXT(DATE(YEAR(Invoer!$A$5),1,1)+INT((ROWS(B$2:B108)-1)/2),"jjjjmmdd")</f>
        <v>19410223</v>
      </c>
      <c r="C108" s="26" t="str">
        <f>INDEX(Data,2,2+MOD(ROWS(C$2:C108)-1,2))</f>
        <v>08.00</v>
      </c>
      <c r="D108" s="41">
        <f t="shared" ca="1" si="6"/>
        <v>762.76199999999994</v>
      </c>
      <c r="E108" s="31">
        <f t="shared" ca="1" si="7"/>
        <v>0</v>
      </c>
      <c r="F108" s="42">
        <f t="shared" ca="1" si="8"/>
        <v>26.666666666666668</v>
      </c>
      <c r="G108" s="31">
        <f t="shared" ca="1" si="9"/>
        <v>0</v>
      </c>
    </row>
    <row r="109" spans="1:7" x14ac:dyDescent="0.25">
      <c r="A109" s="12">
        <f t="shared" si="5"/>
        <v>44</v>
      </c>
      <c r="B109" t="str">
        <f ca="1">TEXT(DATE(YEAR(Invoer!$A$5),1,1)+INT((ROWS(B$2:B109)-1)/2),"jjjjmmdd")</f>
        <v>19410223</v>
      </c>
      <c r="C109" s="26" t="str">
        <f>INDEX(Data,2,2+MOD(ROWS(C$2:C109)-1,2))</f>
        <v>15.00</v>
      </c>
      <c r="D109" s="41">
        <f t="shared" ca="1" si="6"/>
        <v>759.79019999999991</v>
      </c>
      <c r="E109" s="31">
        <f t="shared" ca="1" si="7"/>
        <v>0</v>
      </c>
      <c r="F109" s="42">
        <f t="shared" ca="1" si="8"/>
        <v>28.333333333333332</v>
      </c>
      <c r="G109" s="31">
        <f t="shared" ca="1" si="9"/>
        <v>0</v>
      </c>
    </row>
    <row r="110" spans="1:7" x14ac:dyDescent="0.25">
      <c r="A110" s="12">
        <f t="shared" si="5"/>
        <v>44</v>
      </c>
      <c r="B110" t="str">
        <f ca="1">TEXT(DATE(YEAR(Invoer!$A$5),1,1)+INT((ROWS(B$2:B110)-1)/2),"jjjjmmdd")</f>
        <v>19410224</v>
      </c>
      <c r="C110" s="26" t="str">
        <f>INDEX(Data,2,2+MOD(ROWS(C$2:C110)-1,2))</f>
        <v>08.00</v>
      </c>
      <c r="D110" s="41">
        <f t="shared" ca="1" si="6"/>
        <v>762.45719999999994</v>
      </c>
      <c r="E110" s="31">
        <f t="shared" ca="1" si="7"/>
        <v>0</v>
      </c>
      <c r="F110" s="42">
        <f t="shared" ca="1" si="8"/>
        <v>26.944444444444443</v>
      </c>
      <c r="G110" s="31">
        <f t="shared" ca="1" si="9"/>
        <v>0</v>
      </c>
    </row>
    <row r="111" spans="1:7" x14ac:dyDescent="0.25">
      <c r="A111" s="12">
        <f t="shared" si="5"/>
        <v>44</v>
      </c>
      <c r="B111" t="str">
        <f ca="1">TEXT(DATE(YEAR(Invoer!$A$5),1,1)+INT((ROWS(B$2:B111)-1)/2),"jjjjmmdd")</f>
        <v>19410224</v>
      </c>
      <c r="C111" s="26" t="str">
        <f>INDEX(Data,2,2+MOD(ROWS(C$2:C111)-1,2))</f>
        <v>15.00</v>
      </c>
      <c r="D111" s="41">
        <f t="shared" ca="1" si="6"/>
        <v>760.50139999999999</v>
      </c>
      <c r="E111" s="31">
        <f t="shared" ca="1" si="7"/>
        <v>0</v>
      </c>
      <c r="F111" s="42">
        <f t="shared" ca="1" si="8"/>
        <v>28.611111111111111</v>
      </c>
      <c r="G111" s="31">
        <f t="shared" ca="1" si="9"/>
        <v>0</v>
      </c>
    </row>
    <row r="112" spans="1:7" x14ac:dyDescent="0.25">
      <c r="A112" s="12">
        <f t="shared" si="5"/>
        <v>44</v>
      </c>
      <c r="B112" t="str">
        <f ca="1">TEXT(DATE(YEAR(Invoer!$A$5),1,1)+INT((ROWS(B$2:B112)-1)/2),"jjjjmmdd")</f>
        <v>19410225</v>
      </c>
      <c r="C112" s="26" t="str">
        <f>INDEX(Data,2,2+MOD(ROWS(C$2:C112)-1,2))</f>
        <v>08.00</v>
      </c>
      <c r="D112" s="41">
        <f t="shared" ca="1" si="6"/>
        <v>759.2568</v>
      </c>
      <c r="E112" s="31">
        <f t="shared" ca="1" si="7"/>
        <v>0</v>
      </c>
      <c r="F112" s="42">
        <f t="shared" ca="1" si="8"/>
        <v>26.388888888888889</v>
      </c>
      <c r="G112" s="31">
        <f t="shared" ca="1" si="9"/>
        <v>0</v>
      </c>
    </row>
    <row r="113" spans="1:7" x14ac:dyDescent="0.25">
      <c r="A113" s="12">
        <f t="shared" si="5"/>
        <v>44</v>
      </c>
      <c r="B113" t="str">
        <f ca="1">TEXT(DATE(YEAR(Invoer!$A$5),1,1)+INT((ROWS(B$2:B113)-1)/2),"jjjjmmdd")</f>
        <v>19410225</v>
      </c>
      <c r="C113" s="26" t="str">
        <f>INDEX(Data,2,2+MOD(ROWS(C$2:C113)-1,2))</f>
        <v>15.00</v>
      </c>
      <c r="D113" s="41">
        <f t="shared" ca="1" si="6"/>
        <v>757.50419999999997</v>
      </c>
      <c r="E113" s="31">
        <f t="shared" ca="1" si="7"/>
        <v>0</v>
      </c>
      <c r="F113" s="42">
        <f t="shared" ca="1" si="8"/>
        <v>28.333333333333332</v>
      </c>
      <c r="G113" s="31">
        <f t="shared" ca="1" si="9"/>
        <v>0</v>
      </c>
    </row>
    <row r="114" spans="1:7" x14ac:dyDescent="0.25">
      <c r="A114" s="12">
        <f t="shared" si="5"/>
        <v>44</v>
      </c>
      <c r="B114" t="str">
        <f ca="1">TEXT(DATE(YEAR(Invoer!$A$5),1,1)+INT((ROWS(B$2:B114)-1)/2),"jjjjmmdd")</f>
        <v>19410226</v>
      </c>
      <c r="C114" s="26" t="str">
        <f>INDEX(Data,2,2+MOD(ROWS(C$2:C114)-1,2))</f>
        <v>08.00</v>
      </c>
      <c r="D114" s="41">
        <f t="shared" ca="1" si="6"/>
        <v>761.18719999999996</v>
      </c>
      <c r="E114" s="31">
        <f t="shared" ca="1" si="7"/>
        <v>0</v>
      </c>
      <c r="F114" s="42">
        <f t="shared" ca="1" si="8"/>
        <v>26.944444444444443</v>
      </c>
      <c r="G114" s="31">
        <f t="shared" ca="1" si="9"/>
        <v>0</v>
      </c>
    </row>
    <row r="115" spans="1:7" x14ac:dyDescent="0.25">
      <c r="A115" s="12">
        <f t="shared" si="5"/>
        <v>44</v>
      </c>
      <c r="B115" t="str">
        <f ca="1">TEXT(DATE(YEAR(Invoer!$A$5),1,1)+INT((ROWS(B$2:B115)-1)/2),"jjjjmmdd")</f>
        <v>19410226</v>
      </c>
      <c r="C115" s="26" t="str">
        <f>INDEX(Data,2,2+MOD(ROWS(C$2:C115)-1,2))</f>
        <v>15.00</v>
      </c>
      <c r="D115" s="41">
        <f t="shared" ca="1" si="6"/>
        <v>759.02819999999997</v>
      </c>
      <c r="E115" s="31">
        <f t="shared" ca="1" si="7"/>
        <v>0</v>
      </c>
      <c r="F115" s="42">
        <f t="shared" ca="1" si="8"/>
        <v>28.333333333333332</v>
      </c>
      <c r="G115" s="31">
        <f t="shared" ca="1" si="9"/>
        <v>0</v>
      </c>
    </row>
    <row r="116" spans="1:7" x14ac:dyDescent="0.25">
      <c r="A116" s="12">
        <f t="shared" si="5"/>
        <v>44</v>
      </c>
      <c r="B116" t="str">
        <f ca="1">TEXT(DATE(YEAR(Invoer!$A$5),1,1)+INT((ROWS(B$2:B116)-1)/2),"jjjjmmdd")</f>
        <v>19410227</v>
      </c>
      <c r="C116" s="26" t="str">
        <f>INDEX(Data,2,2+MOD(ROWS(C$2:C116)-1,2))</f>
        <v>08.00</v>
      </c>
      <c r="D116" s="41">
        <f t="shared" ca="1" si="6"/>
        <v>762</v>
      </c>
      <c r="E116" s="31">
        <f t="shared" ca="1" si="7"/>
        <v>0</v>
      </c>
      <c r="F116" s="42">
        <f t="shared" ca="1" si="8"/>
        <v>26.666666666666668</v>
      </c>
      <c r="G116" s="31">
        <f t="shared" ca="1" si="9"/>
        <v>0</v>
      </c>
    </row>
    <row r="117" spans="1:7" x14ac:dyDescent="0.25">
      <c r="A117" s="12">
        <f t="shared" si="5"/>
        <v>44</v>
      </c>
      <c r="B117" t="str">
        <f ca="1">TEXT(DATE(YEAR(Invoer!$A$5),1,1)+INT((ROWS(B$2:B117)-1)/2),"jjjjmmdd")</f>
        <v>19410227</v>
      </c>
      <c r="C117" s="26" t="str">
        <f>INDEX(Data,2,2+MOD(ROWS(C$2:C117)-1,2))</f>
        <v>15.00</v>
      </c>
      <c r="D117" s="41">
        <f t="shared" ca="1" si="6"/>
        <v>760.06959999999992</v>
      </c>
      <c r="E117" s="31">
        <f t="shared" ca="1" si="7"/>
        <v>0</v>
      </c>
      <c r="F117" s="42">
        <f t="shared" ca="1" si="8"/>
        <v>28.055555555555557</v>
      </c>
      <c r="G117" s="31">
        <f t="shared" ca="1" si="9"/>
        <v>0</v>
      </c>
    </row>
    <row r="118" spans="1:7" x14ac:dyDescent="0.25">
      <c r="A118" s="12">
        <f t="shared" si="5"/>
        <v>44</v>
      </c>
      <c r="B118" t="str">
        <f ca="1">TEXT(DATE(YEAR(Invoer!$A$5),1,1)+INT((ROWS(B$2:B118)-1)/2),"jjjjmmdd")</f>
        <v>19410228</v>
      </c>
      <c r="C118" s="26" t="str">
        <f>INDEX(Data,2,2+MOD(ROWS(C$2:C118)-1,2))</f>
        <v>08.00</v>
      </c>
      <c r="D118" s="41">
        <f t="shared" ca="1" si="6"/>
        <v>761.51739999999995</v>
      </c>
      <c r="E118" s="31">
        <f t="shared" ca="1" si="7"/>
        <v>0</v>
      </c>
      <c r="F118" s="42">
        <f t="shared" ca="1" si="8"/>
        <v>26.388888888888889</v>
      </c>
      <c r="G118" s="31">
        <f t="shared" ca="1" si="9"/>
        <v>0</v>
      </c>
    </row>
    <row r="119" spans="1:7" x14ac:dyDescent="0.25">
      <c r="A119" s="12">
        <f t="shared" si="5"/>
        <v>44</v>
      </c>
      <c r="B119" t="str">
        <f ca="1">TEXT(DATE(YEAR(Invoer!$A$5),1,1)+INT((ROWS(B$2:B119)-1)/2),"jjjjmmdd")</f>
        <v>19410228</v>
      </c>
      <c r="C119" s="26" t="str">
        <f>INDEX(Data,2,2+MOD(ROWS(C$2:C119)-1,2))</f>
        <v>15.00</v>
      </c>
      <c r="D119" s="41">
        <f t="shared" ca="1" si="6"/>
        <v>759.30759999999998</v>
      </c>
      <c r="E119" s="31">
        <f t="shared" ca="1" si="7"/>
        <v>0</v>
      </c>
      <c r="F119" s="42">
        <f t="shared" ca="1" si="8"/>
        <v>28.055555555555557</v>
      </c>
      <c r="G119" s="31">
        <f t="shared" ca="1" si="9"/>
        <v>0</v>
      </c>
    </row>
    <row r="120" spans="1:7" x14ac:dyDescent="0.25">
      <c r="A120" s="12">
        <f t="shared" si="5"/>
        <v>44</v>
      </c>
      <c r="B120" t="str">
        <f ca="1">TEXT(DATE(YEAR(Invoer!$A$5),1,1)+INT((ROWS(B$2:B120)-1)/2),"jjjjmmdd")</f>
        <v>19410301</v>
      </c>
      <c r="C120" s="26" t="str">
        <f>INDEX(Data,2,2+MOD(ROWS(C$2:C120)-1,2))</f>
        <v>08.00</v>
      </c>
      <c r="D120" s="41">
        <f t="shared" ca="1" si="6"/>
        <v>761.82219999999995</v>
      </c>
      <c r="E120" s="31">
        <f t="shared" ca="1" si="7"/>
        <v>0</v>
      </c>
      <c r="F120" s="42">
        <f t="shared" ca="1" si="8"/>
        <v>26.111111111111111</v>
      </c>
      <c r="G120" s="31">
        <f t="shared" ca="1" si="9"/>
        <v>0</v>
      </c>
    </row>
    <row r="121" spans="1:7" x14ac:dyDescent="0.25">
      <c r="A121" s="12">
        <f t="shared" si="5"/>
        <v>44</v>
      </c>
      <c r="B121" t="str">
        <f ca="1">TEXT(DATE(YEAR(Invoer!$A$5),1,1)+INT((ROWS(B$2:B121)-1)/2),"jjjjmmdd")</f>
        <v>19410301</v>
      </c>
      <c r="C121" s="26" t="str">
        <f>INDEX(Data,2,2+MOD(ROWS(C$2:C121)-1,2))</f>
        <v>15.00</v>
      </c>
      <c r="D121" s="41">
        <f t="shared" ca="1" si="6"/>
        <v>760.29819999999995</v>
      </c>
      <c r="E121" s="31">
        <f t="shared" ca="1" si="7"/>
        <v>0</v>
      </c>
      <c r="F121" s="42">
        <f t="shared" ca="1" si="8"/>
        <v>28.333333333333332</v>
      </c>
      <c r="G121" s="31">
        <f t="shared" ca="1" si="9"/>
        <v>0</v>
      </c>
    </row>
    <row r="122" spans="1:7" x14ac:dyDescent="0.25">
      <c r="A122" s="12">
        <f t="shared" si="5"/>
        <v>44</v>
      </c>
      <c r="B122" t="str">
        <f ca="1">TEXT(DATE(YEAR(Invoer!$A$5),1,1)+INT((ROWS(B$2:B122)-1)/2),"jjjjmmdd")</f>
        <v>19410302</v>
      </c>
      <c r="C122" s="26" t="str">
        <f>INDEX(Data,2,2+MOD(ROWS(C$2:C122)-1,2))</f>
        <v>08.00</v>
      </c>
      <c r="D122" s="41">
        <f t="shared" ca="1" si="6"/>
        <v>761.74599999999998</v>
      </c>
      <c r="E122" s="31">
        <f t="shared" ca="1" si="7"/>
        <v>0</v>
      </c>
      <c r="F122" s="42">
        <f t="shared" ca="1" si="8"/>
        <v>26.666666666666668</v>
      </c>
      <c r="G122" s="31">
        <f t="shared" ca="1" si="9"/>
        <v>0</v>
      </c>
    </row>
    <row r="123" spans="1:7" x14ac:dyDescent="0.25">
      <c r="A123" s="12">
        <f t="shared" si="5"/>
        <v>44</v>
      </c>
      <c r="B123" t="str">
        <f ca="1">TEXT(DATE(YEAR(Invoer!$A$5),1,1)+INT((ROWS(B$2:B123)-1)/2),"jjjjmmdd")</f>
        <v>19410302</v>
      </c>
      <c r="C123" s="26" t="str">
        <f>INDEX(Data,2,2+MOD(ROWS(C$2:C123)-1,2))</f>
        <v>15.00</v>
      </c>
      <c r="D123" s="41">
        <f t="shared" ca="1" si="6"/>
        <v>759.99339999999995</v>
      </c>
      <c r="E123" s="31">
        <f t="shared" ca="1" si="7"/>
        <v>0</v>
      </c>
      <c r="F123" s="42">
        <f t="shared" ca="1" si="8"/>
        <v>28.611111111111111</v>
      </c>
      <c r="G123" s="31">
        <f t="shared" ca="1" si="9"/>
        <v>0</v>
      </c>
    </row>
    <row r="124" spans="1:7" x14ac:dyDescent="0.25">
      <c r="A124" s="12">
        <f t="shared" si="5"/>
        <v>44</v>
      </c>
      <c r="B124" t="str">
        <f ca="1">TEXT(DATE(YEAR(Invoer!$A$5),1,1)+INT((ROWS(B$2:B124)-1)/2),"jjjjmmdd")</f>
        <v>19410303</v>
      </c>
      <c r="C124" s="26" t="str">
        <f>INDEX(Data,2,2+MOD(ROWS(C$2:C124)-1,2))</f>
        <v>08.00</v>
      </c>
      <c r="D124" s="41">
        <f t="shared" ca="1" si="6"/>
        <v>759.79019999999991</v>
      </c>
      <c r="E124" s="31">
        <f t="shared" ca="1" si="7"/>
        <v>0</v>
      </c>
      <c r="F124" s="42">
        <f t="shared" ca="1" si="8"/>
        <v>26.111111111111111</v>
      </c>
      <c r="G124" s="31">
        <f t="shared" ca="1" si="9"/>
        <v>0</v>
      </c>
    </row>
    <row r="125" spans="1:7" x14ac:dyDescent="0.25">
      <c r="A125" s="12">
        <f t="shared" si="5"/>
        <v>44</v>
      </c>
      <c r="B125" t="str">
        <f ca="1">TEXT(DATE(YEAR(Invoer!$A$5),1,1)+INT((ROWS(B$2:B125)-1)/2),"jjjjmmdd")</f>
        <v>19410303</v>
      </c>
      <c r="C125" s="26" t="str">
        <f>INDEX(Data,2,2+MOD(ROWS(C$2:C125)-1,2))</f>
        <v>15.00</v>
      </c>
      <c r="D125" s="41">
        <f t="shared" ca="1" si="6"/>
        <v>758.11379999999997</v>
      </c>
      <c r="E125" s="31">
        <f t="shared" ca="1" si="7"/>
        <v>0</v>
      </c>
      <c r="F125" s="42">
        <f t="shared" ca="1" si="8"/>
        <v>27.5</v>
      </c>
      <c r="G125" s="31">
        <f t="shared" ca="1" si="9"/>
        <v>0</v>
      </c>
    </row>
    <row r="126" spans="1:7" x14ac:dyDescent="0.25">
      <c r="A126" s="12">
        <f t="shared" si="5"/>
        <v>44</v>
      </c>
      <c r="B126" t="str">
        <f ca="1">TEXT(DATE(YEAR(Invoer!$A$5),1,1)+INT((ROWS(B$2:B126)-1)/2),"jjjjmmdd")</f>
        <v>19410304</v>
      </c>
      <c r="C126" s="26" t="str">
        <f>INDEX(Data,2,2+MOD(ROWS(C$2:C126)-1,2))</f>
        <v>08.00</v>
      </c>
      <c r="D126" s="41">
        <f t="shared" ca="1" si="6"/>
        <v>760.75540000000001</v>
      </c>
      <c r="E126" s="31">
        <f t="shared" ca="1" si="7"/>
        <v>0</v>
      </c>
      <c r="F126" s="42">
        <f t="shared" ca="1" si="8"/>
        <v>26.666666666666668</v>
      </c>
      <c r="G126" s="31">
        <f t="shared" ca="1" si="9"/>
        <v>0</v>
      </c>
    </row>
    <row r="127" spans="1:7" x14ac:dyDescent="0.25">
      <c r="A127" s="12">
        <f t="shared" si="5"/>
        <v>44</v>
      </c>
      <c r="B127" t="str">
        <f ca="1">TEXT(DATE(YEAR(Invoer!$A$5),1,1)+INT((ROWS(B$2:B127)-1)/2),"jjjjmmdd")</f>
        <v>19410304</v>
      </c>
      <c r="C127" s="26" t="str">
        <f>INDEX(Data,2,2+MOD(ROWS(C$2:C127)-1,2))</f>
        <v>15.00</v>
      </c>
      <c r="D127" s="41">
        <f t="shared" ca="1" si="6"/>
        <v>758.52019999999993</v>
      </c>
      <c r="E127" s="31">
        <f t="shared" ca="1" si="7"/>
        <v>0</v>
      </c>
      <c r="F127" s="42">
        <f t="shared" ca="1" si="8"/>
        <v>28.333333333333332</v>
      </c>
      <c r="G127" s="31">
        <f t="shared" ca="1" si="9"/>
        <v>0</v>
      </c>
    </row>
    <row r="128" spans="1:7" x14ac:dyDescent="0.25">
      <c r="A128" s="12">
        <f t="shared" si="5"/>
        <v>44</v>
      </c>
      <c r="B128" t="str">
        <f ca="1">TEXT(DATE(YEAR(Invoer!$A$5),1,1)+INT((ROWS(B$2:B128)-1)/2),"jjjjmmdd")</f>
        <v>19410305</v>
      </c>
      <c r="C128" s="26" t="str">
        <f>INDEX(Data,2,2+MOD(ROWS(C$2:C128)-1,2))</f>
        <v>08.00</v>
      </c>
      <c r="D128" s="41">
        <f t="shared" ca="1" si="6"/>
        <v>759.68859999999995</v>
      </c>
      <c r="E128" s="31">
        <f t="shared" ca="1" si="7"/>
        <v>0</v>
      </c>
      <c r="F128" s="42">
        <f t="shared" ca="1" si="8"/>
        <v>26.944444444444443</v>
      </c>
      <c r="G128" s="31">
        <f t="shared" ca="1" si="9"/>
        <v>0</v>
      </c>
    </row>
    <row r="129" spans="1:7" x14ac:dyDescent="0.25">
      <c r="A129" s="12">
        <f t="shared" si="5"/>
        <v>44</v>
      </c>
      <c r="B129" t="str">
        <f ca="1">TEXT(DATE(YEAR(Invoer!$A$5),1,1)+INT((ROWS(B$2:B129)-1)/2),"jjjjmmdd")</f>
        <v>19410305</v>
      </c>
      <c r="C129" s="26" t="str">
        <f>INDEX(Data,2,2+MOD(ROWS(C$2:C129)-1,2))</f>
        <v>15.00</v>
      </c>
      <c r="D129" s="41">
        <f t="shared" ca="1" si="6"/>
        <v>756.48820000000001</v>
      </c>
      <c r="E129" s="31">
        <f t="shared" ca="1" si="7"/>
        <v>0</v>
      </c>
      <c r="F129" s="42">
        <f t="shared" ca="1" si="8"/>
        <v>28.333333333333332</v>
      </c>
      <c r="G129" s="31">
        <f t="shared" ca="1" si="9"/>
        <v>0</v>
      </c>
    </row>
    <row r="130" spans="1:7" x14ac:dyDescent="0.25">
      <c r="A130" s="12">
        <f t="shared" ref="A130:A193" si="10">INDEX(Stations,2,1)</f>
        <v>44</v>
      </c>
      <c r="B130" t="str">
        <f ca="1">TEXT(DATE(YEAR(Invoer!$A$5),1,1)+INT((ROWS(B$2:B130)-1)/2),"jjjjmmdd")</f>
        <v>19410306</v>
      </c>
      <c r="C130" s="26" t="str">
        <f>INDEX(Data,2,2+MOD(ROWS(C$2:C130)-1,2))</f>
        <v>08.00</v>
      </c>
      <c r="D130" s="41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0.0254*VLOOKUP(DATEVALUE(LEFT($B130,4)&amp;"-"&amp;MID($B130,5,2)&amp;"-"&amp;RIGHT($B130,2)),Data,MATCH(LEFT(VLOOKUP(D$1,Parameters,2,FALSE()),4)&amp;"*",OFFSET(Data,0,0,1),0)+MATCH($C130,OFFSET(Data,1,0,1),0)-2,FALSE()))</f>
        <v>761.03480000000002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2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5*(VLOOKUP(DATEVALUE(LEFT($B130,4)&amp;"-"&amp;MID($B130,5,2)&amp;"-"&amp;RIGHT($B130,2)),Data,MATCH(LEFT(VLOOKUP(F$1,Parameters,2,FALSE()),4)&amp;"*",OFFSET(Data,0,0,1),0)+MATCH($C130,OFFSET(Data,1,0,1),0)-2,FALSE())-320)/90)</f>
        <v>26.388888888888889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2">
        <f t="shared" si="10"/>
        <v>44</v>
      </c>
      <c r="B131" t="str">
        <f ca="1">TEXT(DATE(YEAR(Invoer!$A$5),1,1)+INT((ROWS(B$2:B131)-1)/2),"jjjjmmdd")</f>
        <v>19410306</v>
      </c>
      <c r="C131" s="26" t="str">
        <f>INDEX(Data,2,2+MOD(ROWS(C$2:C131)-1,2))</f>
        <v>15.00</v>
      </c>
      <c r="D131" s="41">
        <f t="shared" ca="1" si="11"/>
        <v>758.79959999999994</v>
      </c>
      <c r="E131" s="31">
        <f t="shared" ca="1" si="12"/>
        <v>0</v>
      </c>
      <c r="F131" s="42">
        <f t="shared" ca="1" si="13"/>
        <v>28.055555555555557</v>
      </c>
      <c r="G131" s="31">
        <f t="shared" ca="1" si="14"/>
        <v>0</v>
      </c>
    </row>
    <row r="132" spans="1:7" x14ac:dyDescent="0.25">
      <c r="A132" s="12">
        <f t="shared" si="10"/>
        <v>44</v>
      </c>
      <c r="B132" t="str">
        <f ca="1">TEXT(DATE(YEAR(Invoer!$A$5),1,1)+INT((ROWS(B$2:B132)-1)/2),"jjjjmmdd")</f>
        <v>19410307</v>
      </c>
      <c r="C132" s="26" t="str">
        <f>INDEX(Data,2,2+MOD(ROWS(C$2:C132)-1,2))</f>
        <v>08.00</v>
      </c>
      <c r="D132" s="41">
        <f t="shared" ca="1" si="11"/>
        <v>757.80899999999997</v>
      </c>
      <c r="E132" s="31">
        <f t="shared" ca="1" si="12"/>
        <v>0</v>
      </c>
      <c r="F132" s="42">
        <f t="shared" ca="1" si="13"/>
        <v>27.777777777777779</v>
      </c>
      <c r="G132" s="31">
        <f t="shared" ca="1" si="14"/>
        <v>0</v>
      </c>
    </row>
    <row r="133" spans="1:7" x14ac:dyDescent="0.25">
      <c r="A133" s="12">
        <f t="shared" si="10"/>
        <v>44</v>
      </c>
      <c r="B133" t="str">
        <f ca="1">TEXT(DATE(YEAR(Invoer!$A$5),1,1)+INT((ROWS(B$2:B133)-1)/2),"jjjjmmdd")</f>
        <v>19410307</v>
      </c>
      <c r="C133" s="26" t="str">
        <f>INDEX(Data,2,2+MOD(ROWS(C$2:C133)-1,2))</f>
        <v>15.00</v>
      </c>
      <c r="D133" s="41">
        <f t="shared" ca="1" si="11"/>
        <v>755.06579999999997</v>
      </c>
      <c r="E133" s="31">
        <f t="shared" ca="1" si="12"/>
        <v>0</v>
      </c>
      <c r="F133" s="42">
        <f t="shared" ca="1" si="13"/>
        <v>29.722222222222221</v>
      </c>
      <c r="G133" s="31">
        <f t="shared" ca="1" si="14"/>
        <v>0</v>
      </c>
    </row>
    <row r="134" spans="1:7" x14ac:dyDescent="0.25">
      <c r="A134" s="12">
        <f t="shared" si="10"/>
        <v>44</v>
      </c>
      <c r="B134" t="str">
        <f ca="1">TEXT(DATE(YEAR(Invoer!$A$5),1,1)+INT((ROWS(B$2:B134)-1)/2),"jjjjmmdd")</f>
        <v>19410308</v>
      </c>
      <c r="C134" s="26" t="str">
        <f>INDEX(Data,2,2+MOD(ROWS(C$2:C134)-1,2))</f>
        <v>08.00</v>
      </c>
      <c r="D134" s="41">
        <f t="shared" ca="1" si="11"/>
        <v>758.6472</v>
      </c>
      <c r="E134" s="31">
        <f t="shared" ca="1" si="12"/>
        <v>0</v>
      </c>
      <c r="F134" s="42">
        <f t="shared" ca="1" si="13"/>
        <v>27.222222222222221</v>
      </c>
      <c r="G134" s="31">
        <f t="shared" ca="1" si="14"/>
        <v>0</v>
      </c>
    </row>
    <row r="135" spans="1:7" x14ac:dyDescent="0.25">
      <c r="A135" s="12">
        <f t="shared" si="10"/>
        <v>44</v>
      </c>
      <c r="B135" t="str">
        <f ca="1">TEXT(DATE(YEAR(Invoer!$A$5),1,1)+INT((ROWS(B$2:B135)-1)/2),"jjjjmmdd")</f>
        <v>19410308</v>
      </c>
      <c r="C135" s="26" t="str">
        <f>INDEX(Data,2,2+MOD(ROWS(C$2:C135)-1,2))</f>
        <v>15.00</v>
      </c>
      <c r="D135" s="41">
        <f t="shared" ca="1" si="11"/>
        <v>755.65</v>
      </c>
      <c r="E135" s="31">
        <f t="shared" ca="1" si="12"/>
        <v>0</v>
      </c>
      <c r="F135" s="42">
        <f t="shared" ca="1" si="13"/>
        <v>29.166666666666668</v>
      </c>
      <c r="G135" s="31">
        <f t="shared" ca="1" si="14"/>
        <v>0</v>
      </c>
    </row>
    <row r="136" spans="1:7" x14ac:dyDescent="0.25">
      <c r="A136" s="12">
        <f t="shared" si="10"/>
        <v>44</v>
      </c>
      <c r="B136" t="str">
        <f ca="1">TEXT(DATE(YEAR(Invoer!$A$5),1,1)+INT((ROWS(B$2:B136)-1)/2),"jjjjmmdd")</f>
        <v>19410309</v>
      </c>
      <c r="C136" s="26" t="str">
        <f>INDEX(Data,2,2+MOD(ROWS(C$2:C136)-1,2))</f>
        <v>08.00</v>
      </c>
      <c r="D136" s="41">
        <f t="shared" ca="1" si="11"/>
        <v>759.66319999999996</v>
      </c>
      <c r="E136" s="31">
        <f t="shared" ca="1" si="12"/>
        <v>0</v>
      </c>
      <c r="F136" s="42">
        <f t="shared" ca="1" si="13"/>
        <v>27.222222222222221</v>
      </c>
      <c r="G136" s="31">
        <f t="shared" ca="1" si="14"/>
        <v>0</v>
      </c>
    </row>
    <row r="137" spans="1:7" x14ac:dyDescent="0.25">
      <c r="A137" s="12">
        <f t="shared" si="10"/>
        <v>44</v>
      </c>
      <c r="B137" t="str">
        <f ca="1">TEXT(DATE(YEAR(Invoer!$A$5),1,1)+INT((ROWS(B$2:B137)-1)/2),"jjjjmmdd")</f>
        <v>19410309</v>
      </c>
      <c r="C137" s="26" t="str">
        <f>INDEX(Data,2,2+MOD(ROWS(C$2:C137)-1,2))</f>
        <v>15.00</v>
      </c>
      <c r="D137" s="41">
        <f t="shared" ca="1" si="11"/>
        <v>758.11379999999997</v>
      </c>
      <c r="E137" s="31">
        <f t="shared" ca="1" si="12"/>
        <v>0</v>
      </c>
      <c r="F137" s="42">
        <f t="shared" ca="1" si="13"/>
        <v>29.444444444444443</v>
      </c>
      <c r="G137" s="31">
        <f t="shared" ca="1" si="14"/>
        <v>0</v>
      </c>
    </row>
    <row r="138" spans="1:7" x14ac:dyDescent="0.25">
      <c r="A138" s="12">
        <f t="shared" si="10"/>
        <v>44</v>
      </c>
      <c r="B138" t="str">
        <f ca="1">TEXT(DATE(YEAR(Invoer!$A$5),1,1)+INT((ROWS(B$2:B138)-1)/2),"jjjjmmdd")</f>
        <v>19410310</v>
      </c>
      <c r="C138" s="26" t="str">
        <f>INDEX(Data,2,2+MOD(ROWS(C$2:C138)-1,2))</f>
        <v>08.00</v>
      </c>
      <c r="D138" s="41">
        <f t="shared" ca="1" si="11"/>
        <v>759.07899999999995</v>
      </c>
      <c r="E138" s="31">
        <f t="shared" ca="1" si="12"/>
        <v>0</v>
      </c>
      <c r="F138" s="42">
        <f t="shared" ca="1" si="13"/>
        <v>27.777777777777779</v>
      </c>
      <c r="G138" s="31">
        <f t="shared" ca="1" si="14"/>
        <v>0</v>
      </c>
    </row>
    <row r="139" spans="1:7" x14ac:dyDescent="0.25">
      <c r="A139" s="12">
        <f t="shared" si="10"/>
        <v>44</v>
      </c>
      <c r="B139" t="str">
        <f ca="1">TEXT(DATE(YEAR(Invoer!$A$5),1,1)+INT((ROWS(B$2:B139)-1)/2),"jjjjmmdd")</f>
        <v>19410310</v>
      </c>
      <c r="C139" s="26" t="str">
        <f>INDEX(Data,2,2+MOD(ROWS(C$2:C139)-1,2))</f>
        <v>15.00</v>
      </c>
      <c r="D139" s="41">
        <f t="shared" ca="1" si="11"/>
        <v>757.17399999999998</v>
      </c>
      <c r="E139" s="31">
        <f t="shared" ca="1" si="12"/>
        <v>0</v>
      </c>
      <c r="F139" s="42">
        <f t="shared" ca="1" si="13"/>
        <v>28.888888888888889</v>
      </c>
      <c r="G139" s="31">
        <f t="shared" ca="1" si="14"/>
        <v>0</v>
      </c>
    </row>
    <row r="140" spans="1:7" x14ac:dyDescent="0.25">
      <c r="A140" s="12">
        <f t="shared" si="10"/>
        <v>44</v>
      </c>
      <c r="B140" t="str">
        <f ca="1">TEXT(DATE(YEAR(Invoer!$A$5),1,1)+INT((ROWS(B$2:B140)-1)/2),"jjjjmmdd")</f>
        <v>19410311</v>
      </c>
      <c r="C140" s="26" t="str">
        <f>INDEX(Data,2,2+MOD(ROWS(C$2:C140)-1,2))</f>
        <v>08.00</v>
      </c>
      <c r="D140" s="41">
        <f t="shared" ca="1" si="11"/>
        <v>759.66319999999996</v>
      </c>
      <c r="E140" s="31">
        <f t="shared" ca="1" si="12"/>
        <v>0</v>
      </c>
      <c r="F140" s="42">
        <f t="shared" ca="1" si="13"/>
        <v>27.222222222222221</v>
      </c>
      <c r="G140" s="31">
        <f t="shared" ca="1" si="14"/>
        <v>0</v>
      </c>
    </row>
    <row r="141" spans="1:7" x14ac:dyDescent="0.25">
      <c r="A141" s="12">
        <f t="shared" si="10"/>
        <v>44</v>
      </c>
      <c r="B141" t="str">
        <f ca="1">TEXT(DATE(YEAR(Invoer!$A$5),1,1)+INT((ROWS(B$2:B141)-1)/2),"jjjjmmdd")</f>
        <v>19410311</v>
      </c>
      <c r="C141" s="26" t="str">
        <f>INDEX(Data,2,2+MOD(ROWS(C$2:C141)-1,2))</f>
        <v>15.00</v>
      </c>
      <c r="D141" s="41">
        <f t="shared" ca="1" si="11"/>
        <v>758.11379999999997</v>
      </c>
      <c r="E141" s="31">
        <f t="shared" ca="1" si="12"/>
        <v>0</v>
      </c>
      <c r="F141" s="42">
        <f t="shared" ca="1" si="13"/>
        <v>29.444444444444443</v>
      </c>
      <c r="G141" s="31">
        <f t="shared" ca="1" si="14"/>
        <v>0</v>
      </c>
    </row>
    <row r="142" spans="1:7" x14ac:dyDescent="0.25">
      <c r="A142" s="12">
        <f t="shared" si="10"/>
        <v>44</v>
      </c>
      <c r="B142" t="str">
        <f ca="1">TEXT(DATE(YEAR(Invoer!$A$5),1,1)+INT((ROWS(B$2:B142)-1)/2),"jjjjmmdd")</f>
        <v>19410312</v>
      </c>
      <c r="C142" s="26" t="str">
        <f>INDEX(Data,2,2+MOD(ROWS(C$2:C142)-1,2))</f>
        <v>08.00</v>
      </c>
      <c r="D142" s="41">
        <f t="shared" ca="1" si="11"/>
        <v>761.16179999999997</v>
      </c>
      <c r="E142" s="31">
        <f t="shared" ca="1" si="12"/>
        <v>0</v>
      </c>
      <c r="F142" s="42">
        <f t="shared" ca="1" si="13"/>
        <v>27.222222222222221</v>
      </c>
      <c r="G142" s="31">
        <f t="shared" ca="1" si="14"/>
        <v>0</v>
      </c>
    </row>
    <row r="143" spans="1:7" x14ac:dyDescent="0.25">
      <c r="A143" s="12">
        <f t="shared" si="10"/>
        <v>44</v>
      </c>
      <c r="B143" t="str">
        <f ca="1">TEXT(DATE(YEAR(Invoer!$A$5),1,1)+INT((ROWS(B$2:B143)-1)/2),"jjjjmmdd")</f>
        <v>19410312</v>
      </c>
      <c r="C143" s="26" t="str">
        <f>INDEX(Data,2,2+MOD(ROWS(C$2:C143)-1,2))</f>
        <v>15.00</v>
      </c>
      <c r="D143" s="41">
        <f t="shared" ca="1" si="11"/>
        <v>759.18059999999991</v>
      </c>
      <c r="E143" s="31">
        <f t="shared" ca="1" si="12"/>
        <v>0</v>
      </c>
      <c r="F143" s="42">
        <f t="shared" ca="1" si="13"/>
        <v>29.166666666666668</v>
      </c>
      <c r="G143" s="31">
        <f t="shared" ca="1" si="14"/>
        <v>0</v>
      </c>
    </row>
    <row r="144" spans="1:7" x14ac:dyDescent="0.25">
      <c r="A144" s="12">
        <f t="shared" si="10"/>
        <v>44</v>
      </c>
      <c r="B144" t="str">
        <f ca="1">TEXT(DATE(YEAR(Invoer!$A$5),1,1)+INT((ROWS(B$2:B144)-1)/2),"jjjjmmdd")</f>
        <v>19410313</v>
      </c>
      <c r="C144" s="26" t="str">
        <f>INDEX(Data,2,2+MOD(ROWS(C$2:C144)-1,2))</f>
        <v>08.00</v>
      </c>
      <c r="D144" s="41">
        <f t="shared" ca="1" si="11"/>
        <v>761.13639999999998</v>
      </c>
      <c r="E144" s="31">
        <f t="shared" ca="1" si="12"/>
        <v>0</v>
      </c>
      <c r="F144" s="42">
        <f t="shared" ca="1" si="13"/>
        <v>27.5</v>
      </c>
      <c r="G144" s="31">
        <f t="shared" ca="1" si="14"/>
        <v>0</v>
      </c>
    </row>
    <row r="145" spans="1:7" x14ac:dyDescent="0.25">
      <c r="A145" s="12">
        <f t="shared" si="10"/>
        <v>44</v>
      </c>
      <c r="B145" t="str">
        <f ca="1">TEXT(DATE(YEAR(Invoer!$A$5),1,1)+INT((ROWS(B$2:B145)-1)/2),"jjjjmmdd")</f>
        <v>19410313</v>
      </c>
      <c r="C145" s="26" t="str">
        <f>INDEX(Data,2,2+MOD(ROWS(C$2:C145)-1,2))</f>
        <v>15.00</v>
      </c>
      <c r="D145" s="41">
        <f t="shared" ca="1" si="11"/>
        <v>758.97739999999999</v>
      </c>
      <c r="E145" s="31">
        <f t="shared" ca="1" si="12"/>
        <v>0</v>
      </c>
      <c r="F145" s="42">
        <f t="shared" ca="1" si="13"/>
        <v>28.611111111111111</v>
      </c>
      <c r="G145" s="31">
        <f t="shared" ca="1" si="14"/>
        <v>0</v>
      </c>
    </row>
    <row r="146" spans="1:7" x14ac:dyDescent="0.25">
      <c r="A146" s="12">
        <f t="shared" si="10"/>
        <v>44</v>
      </c>
      <c r="B146" t="str">
        <f ca="1">TEXT(DATE(YEAR(Invoer!$A$5),1,1)+INT((ROWS(B$2:B146)-1)/2),"jjjjmmdd")</f>
        <v>19410314</v>
      </c>
      <c r="C146" s="26" t="str">
        <f>INDEX(Data,2,2+MOD(ROWS(C$2:C146)-1,2))</f>
        <v>08.00</v>
      </c>
      <c r="D146" s="41">
        <f t="shared" ca="1" si="11"/>
        <v>760.75540000000001</v>
      </c>
      <c r="E146" s="31">
        <f t="shared" ca="1" si="12"/>
        <v>0</v>
      </c>
      <c r="F146" s="42">
        <f t="shared" ca="1" si="13"/>
        <v>26.666666666666668</v>
      </c>
      <c r="G146" s="31">
        <f t="shared" ca="1" si="14"/>
        <v>0</v>
      </c>
    </row>
    <row r="147" spans="1:7" x14ac:dyDescent="0.25">
      <c r="A147" s="12">
        <f t="shared" si="10"/>
        <v>44</v>
      </c>
      <c r="B147" t="str">
        <f ca="1">TEXT(DATE(YEAR(Invoer!$A$5),1,1)+INT((ROWS(B$2:B147)-1)/2),"jjjjmmdd")</f>
        <v>19410314</v>
      </c>
      <c r="C147" s="26" t="str">
        <f>INDEX(Data,2,2+MOD(ROWS(C$2:C147)-1,2))</f>
        <v>15.00</v>
      </c>
      <c r="D147" s="41">
        <f t="shared" ca="1" si="11"/>
        <v>759.99339999999995</v>
      </c>
      <c r="E147" s="31">
        <f t="shared" ca="1" si="12"/>
        <v>0</v>
      </c>
      <c r="F147" s="42">
        <f t="shared" ca="1" si="13"/>
        <v>28.611111111111111</v>
      </c>
      <c r="G147" s="31">
        <f t="shared" ca="1" si="14"/>
        <v>0</v>
      </c>
    </row>
    <row r="148" spans="1:7" x14ac:dyDescent="0.25">
      <c r="A148" s="12">
        <f t="shared" si="10"/>
        <v>44</v>
      </c>
      <c r="B148" t="str">
        <f ca="1">TEXT(DATE(YEAR(Invoer!$A$5),1,1)+INT((ROWS(B$2:B148)-1)/2),"jjjjmmdd")</f>
        <v>19410315</v>
      </c>
      <c r="C148" s="26" t="str">
        <f>INDEX(Data,2,2+MOD(ROWS(C$2:C148)-1,2))</f>
        <v>08.00</v>
      </c>
      <c r="D148" s="41">
        <f t="shared" ca="1" si="11"/>
        <v>761.59359999999992</v>
      </c>
      <c r="E148" s="31">
        <f t="shared" ca="1" si="12"/>
        <v>0</v>
      </c>
      <c r="F148" s="42">
        <f t="shared" ca="1" si="13"/>
        <v>27.777777777777779</v>
      </c>
      <c r="G148" s="31">
        <f t="shared" ca="1" si="14"/>
        <v>0</v>
      </c>
    </row>
    <row r="149" spans="1:7" x14ac:dyDescent="0.25">
      <c r="A149" s="12">
        <f t="shared" si="10"/>
        <v>44</v>
      </c>
      <c r="B149" t="str">
        <f ca="1">TEXT(DATE(YEAR(Invoer!$A$5),1,1)+INT((ROWS(B$2:B149)-1)/2),"jjjjmmdd")</f>
        <v>19410315</v>
      </c>
      <c r="C149" s="26" t="str">
        <f>INDEX(Data,2,2+MOD(ROWS(C$2:C149)-1,2))</f>
        <v>15.00</v>
      </c>
      <c r="D149" s="41">
        <f t="shared" ca="1" si="11"/>
        <v>759.20600000000002</v>
      </c>
      <c r="E149" s="31">
        <f t="shared" ca="1" si="12"/>
        <v>0</v>
      </c>
      <c r="F149" s="42">
        <f t="shared" ca="1" si="13"/>
        <v>28.888888888888889</v>
      </c>
      <c r="G149" s="31">
        <f t="shared" ca="1" si="14"/>
        <v>0</v>
      </c>
    </row>
    <row r="150" spans="1:7" x14ac:dyDescent="0.25">
      <c r="A150" s="12">
        <f t="shared" si="10"/>
        <v>44</v>
      </c>
      <c r="B150" t="str">
        <f ca="1">TEXT(DATE(YEAR(Invoer!$A$5),1,1)+INT((ROWS(B$2:B150)-1)/2),"jjjjmmdd")</f>
        <v>19410316</v>
      </c>
      <c r="C150" s="26" t="str">
        <f>INDEX(Data,2,2+MOD(ROWS(C$2:C150)-1,2))</f>
        <v>08.00</v>
      </c>
      <c r="D150" s="41">
        <f t="shared" ca="1" si="11"/>
        <v>761.89839999999992</v>
      </c>
      <c r="E150" s="31">
        <f t="shared" ca="1" si="12"/>
        <v>0</v>
      </c>
      <c r="F150" s="42">
        <f t="shared" ca="1" si="13"/>
        <v>27.5</v>
      </c>
      <c r="G150" s="31">
        <f t="shared" ca="1" si="14"/>
        <v>0</v>
      </c>
    </row>
    <row r="151" spans="1:7" x14ac:dyDescent="0.25">
      <c r="A151" s="12">
        <f t="shared" si="10"/>
        <v>44</v>
      </c>
      <c r="B151" t="str">
        <f ca="1">TEXT(DATE(YEAR(Invoer!$A$5),1,1)+INT((ROWS(B$2:B151)-1)/2),"jjjjmmdd")</f>
        <v>19410316</v>
      </c>
      <c r="C151" s="26" t="str">
        <f>INDEX(Data,2,2+MOD(ROWS(C$2:C151)-1,2))</f>
        <v>15.00</v>
      </c>
      <c r="D151" s="41">
        <f t="shared" ca="1" si="11"/>
        <v>760.39979999999991</v>
      </c>
      <c r="E151" s="31">
        <f t="shared" ca="1" si="12"/>
        <v>0</v>
      </c>
      <c r="F151" s="42">
        <f t="shared" ca="1" si="13"/>
        <v>29.444444444444443</v>
      </c>
      <c r="G151" s="31">
        <f t="shared" ca="1" si="14"/>
        <v>0</v>
      </c>
    </row>
    <row r="152" spans="1:7" x14ac:dyDescent="0.25">
      <c r="A152" s="12">
        <f t="shared" si="10"/>
        <v>44</v>
      </c>
      <c r="B152" t="str">
        <f ca="1">TEXT(DATE(YEAR(Invoer!$A$5),1,1)+INT((ROWS(B$2:B152)-1)/2),"jjjjmmdd")</f>
        <v>19410317</v>
      </c>
      <c r="C152" s="26" t="str">
        <f>INDEX(Data,2,2+MOD(ROWS(C$2:C152)-1,2))</f>
        <v>08.00</v>
      </c>
      <c r="D152" s="41">
        <f t="shared" ca="1" si="11"/>
        <v>761.49199999999996</v>
      </c>
      <c r="E152" s="31">
        <f t="shared" ca="1" si="12"/>
        <v>0</v>
      </c>
      <c r="F152" s="42">
        <f t="shared" ca="1" si="13"/>
        <v>26.666666666666668</v>
      </c>
      <c r="G152" s="31">
        <f t="shared" ca="1" si="14"/>
        <v>0</v>
      </c>
    </row>
    <row r="153" spans="1:7" x14ac:dyDescent="0.25">
      <c r="A153" s="12">
        <f t="shared" si="10"/>
        <v>44</v>
      </c>
      <c r="B153" t="str">
        <f ca="1">TEXT(DATE(YEAR(Invoer!$A$5),1,1)+INT((ROWS(B$2:B153)-1)/2),"jjjjmmdd")</f>
        <v>19410317</v>
      </c>
      <c r="C153" s="26" t="str">
        <f>INDEX(Data,2,2+MOD(ROWS(C$2:C153)-1,2))</f>
        <v>15.00</v>
      </c>
      <c r="D153" s="41">
        <f t="shared" ca="1" si="11"/>
        <v>760.22199999999998</v>
      </c>
      <c r="E153" s="31">
        <f t="shared" ca="1" si="12"/>
        <v>0</v>
      </c>
      <c r="F153" s="42">
        <f t="shared" ca="1" si="13"/>
        <v>28.888888888888889</v>
      </c>
      <c r="G153" s="31">
        <f t="shared" ca="1" si="14"/>
        <v>0</v>
      </c>
    </row>
    <row r="154" spans="1:7" x14ac:dyDescent="0.25">
      <c r="A154" s="12">
        <f t="shared" si="10"/>
        <v>44</v>
      </c>
      <c r="B154" t="str">
        <f ca="1">TEXT(DATE(YEAR(Invoer!$A$5),1,1)+INT((ROWS(B$2:B154)-1)/2),"jjjjmmdd")</f>
        <v>19410318</v>
      </c>
      <c r="C154" s="26" t="str">
        <f>INDEX(Data,2,2+MOD(ROWS(C$2:C154)-1,2))</f>
        <v>08.00</v>
      </c>
      <c r="D154" s="41">
        <f t="shared" ca="1" si="11"/>
        <v>761.13639999999998</v>
      </c>
      <c r="E154" s="31">
        <f t="shared" ca="1" si="12"/>
        <v>0</v>
      </c>
      <c r="F154" s="42">
        <f t="shared" ca="1" si="13"/>
        <v>27.5</v>
      </c>
      <c r="G154" s="31">
        <f t="shared" ca="1" si="14"/>
        <v>0</v>
      </c>
    </row>
    <row r="155" spans="1:7" x14ac:dyDescent="0.25">
      <c r="A155" s="12">
        <f t="shared" si="10"/>
        <v>44</v>
      </c>
      <c r="B155" t="str">
        <f ca="1">TEXT(DATE(YEAR(Invoer!$A$5),1,1)+INT((ROWS(B$2:B155)-1)/2),"jjjjmmdd")</f>
        <v>19410318</v>
      </c>
      <c r="C155" s="26" t="str">
        <f>INDEX(Data,2,2+MOD(ROWS(C$2:C155)-1,2))</f>
        <v>15.00</v>
      </c>
      <c r="D155" s="41">
        <f t="shared" ca="1" si="11"/>
        <v>758.18999999999994</v>
      </c>
      <c r="E155" s="31">
        <f t="shared" ca="1" si="12"/>
        <v>0</v>
      </c>
      <c r="F155" s="42">
        <f t="shared" ca="1" si="13"/>
        <v>28.888888888888889</v>
      </c>
      <c r="G155" s="31">
        <f t="shared" ca="1" si="14"/>
        <v>0</v>
      </c>
    </row>
    <row r="156" spans="1:7" x14ac:dyDescent="0.25">
      <c r="A156" s="12">
        <f t="shared" si="10"/>
        <v>44</v>
      </c>
      <c r="B156" t="str">
        <f ca="1">TEXT(DATE(YEAR(Invoer!$A$5),1,1)+INT((ROWS(B$2:B156)-1)/2),"jjjjmmdd")</f>
        <v>19410319</v>
      </c>
      <c r="C156" s="26" t="str">
        <f>INDEX(Data,2,2+MOD(ROWS(C$2:C156)-1,2))</f>
        <v>08.00</v>
      </c>
      <c r="D156" s="41">
        <f t="shared" ca="1" si="11"/>
        <v>762.15239999999994</v>
      </c>
      <c r="E156" s="31">
        <f t="shared" ca="1" si="12"/>
        <v>0</v>
      </c>
      <c r="F156" s="42">
        <f t="shared" ca="1" si="13"/>
        <v>27.5</v>
      </c>
      <c r="G156" s="31">
        <f t="shared" ca="1" si="14"/>
        <v>0</v>
      </c>
    </row>
    <row r="157" spans="1:7" x14ac:dyDescent="0.25">
      <c r="A157" s="12">
        <f t="shared" si="10"/>
        <v>44</v>
      </c>
      <c r="B157" t="str">
        <f ca="1">TEXT(DATE(YEAR(Invoer!$A$5),1,1)+INT((ROWS(B$2:B157)-1)/2),"jjjjmmdd")</f>
        <v>19410319</v>
      </c>
      <c r="C157" s="26" t="str">
        <f>INDEX(Data,2,2+MOD(ROWS(C$2:C157)-1,2))</f>
        <v>15.00</v>
      </c>
      <c r="D157" s="41">
        <f t="shared" ca="1" si="11"/>
        <v>759.89179999999999</v>
      </c>
      <c r="E157" s="31">
        <f t="shared" ca="1" si="12"/>
        <v>0</v>
      </c>
      <c r="F157" s="42">
        <f t="shared" ca="1" si="13"/>
        <v>29.444444444444443</v>
      </c>
      <c r="G157" s="31">
        <f t="shared" ca="1" si="14"/>
        <v>0</v>
      </c>
    </row>
    <row r="158" spans="1:7" x14ac:dyDescent="0.25">
      <c r="A158" s="12">
        <f t="shared" si="10"/>
        <v>44</v>
      </c>
      <c r="B158" t="str">
        <f ca="1">TEXT(DATE(YEAR(Invoer!$A$5),1,1)+INT((ROWS(B$2:B158)-1)/2),"jjjjmmdd")</f>
        <v>19410320</v>
      </c>
      <c r="C158" s="26" t="str">
        <f>INDEX(Data,2,2+MOD(ROWS(C$2:C158)-1,2))</f>
        <v>08.00</v>
      </c>
      <c r="D158" s="41">
        <f t="shared" ca="1" si="11"/>
        <v>760.14580000000001</v>
      </c>
      <c r="E158" s="31">
        <f t="shared" ca="1" si="12"/>
        <v>0</v>
      </c>
      <c r="F158" s="42">
        <f t="shared" ca="1" si="13"/>
        <v>27.5</v>
      </c>
      <c r="G158" s="31">
        <f t="shared" ca="1" si="14"/>
        <v>0</v>
      </c>
    </row>
    <row r="159" spans="1:7" x14ac:dyDescent="0.25">
      <c r="A159" s="12">
        <f t="shared" si="10"/>
        <v>44</v>
      </c>
      <c r="B159" t="str">
        <f ca="1">TEXT(DATE(YEAR(Invoer!$A$5),1,1)+INT((ROWS(B$2:B159)-1)/2),"jjjjmmdd")</f>
        <v>19410320</v>
      </c>
      <c r="C159" s="26" t="str">
        <f>INDEX(Data,2,2+MOD(ROWS(C$2:C159)-1,2))</f>
        <v>15.00</v>
      </c>
      <c r="D159" s="41">
        <f t="shared" ca="1" si="11"/>
        <v>758.62180000000001</v>
      </c>
      <c r="E159" s="31">
        <f t="shared" ca="1" si="12"/>
        <v>0</v>
      </c>
      <c r="F159" s="42">
        <f t="shared" ca="1" si="13"/>
        <v>29.444444444444443</v>
      </c>
      <c r="G159" s="31">
        <f t="shared" ca="1" si="14"/>
        <v>0</v>
      </c>
    </row>
    <row r="160" spans="1:7" x14ac:dyDescent="0.25">
      <c r="A160" s="12">
        <f t="shared" si="10"/>
        <v>44</v>
      </c>
      <c r="B160" t="str">
        <f ca="1">TEXT(DATE(YEAR(Invoer!$A$5),1,1)+INT((ROWS(B$2:B160)-1)/2),"jjjjmmdd")</f>
        <v>19410321</v>
      </c>
      <c r="C160" s="26" t="str">
        <f>INDEX(Data,2,2+MOD(ROWS(C$2:C160)-1,2))</f>
        <v>08.00</v>
      </c>
      <c r="D160" s="41">
        <f t="shared" ca="1" si="11"/>
        <v>760.39979999999991</v>
      </c>
      <c r="E160" s="31">
        <f t="shared" ca="1" si="12"/>
        <v>0</v>
      </c>
      <c r="F160" s="42">
        <f t="shared" ca="1" si="13"/>
        <v>27.5</v>
      </c>
      <c r="G160" s="31">
        <f t="shared" ca="1" si="14"/>
        <v>0</v>
      </c>
    </row>
    <row r="161" spans="1:7" x14ac:dyDescent="0.25">
      <c r="A161" s="12">
        <f t="shared" si="10"/>
        <v>44</v>
      </c>
      <c r="B161" t="str">
        <f ca="1">TEXT(DATE(YEAR(Invoer!$A$5),1,1)+INT((ROWS(B$2:B161)-1)/2),"jjjjmmdd")</f>
        <v>19410321</v>
      </c>
      <c r="C161" s="26" t="str">
        <f>INDEX(Data,2,2+MOD(ROWS(C$2:C161)-1,2))</f>
        <v>15.00</v>
      </c>
      <c r="D161" s="41">
        <f t="shared" ca="1" si="11"/>
        <v>758.62180000000001</v>
      </c>
      <c r="E161" s="31">
        <f t="shared" ca="1" si="12"/>
        <v>0</v>
      </c>
      <c r="F161" s="42">
        <f t="shared" ca="1" si="13"/>
        <v>29.444444444444443</v>
      </c>
      <c r="G161" s="31">
        <f t="shared" ca="1" si="14"/>
        <v>0</v>
      </c>
    </row>
    <row r="162" spans="1:7" x14ac:dyDescent="0.25">
      <c r="A162" s="12">
        <f t="shared" si="10"/>
        <v>44</v>
      </c>
      <c r="B162" t="str">
        <f ca="1">TEXT(DATE(YEAR(Invoer!$A$5),1,1)+INT((ROWS(B$2:B162)-1)/2),"jjjjmmdd")</f>
        <v>19410322</v>
      </c>
      <c r="C162" s="26" t="str">
        <f>INDEX(Data,2,2+MOD(ROWS(C$2:C162)-1,2))</f>
        <v>08.00</v>
      </c>
      <c r="D162" s="41">
        <f t="shared" ca="1" si="11"/>
        <v>759.38379999999995</v>
      </c>
      <c r="E162" s="31">
        <f t="shared" ca="1" si="12"/>
        <v>0</v>
      </c>
      <c r="F162" s="42">
        <f t="shared" ca="1" si="13"/>
        <v>27.5</v>
      </c>
      <c r="G162" s="31">
        <f t="shared" ca="1" si="14"/>
        <v>0</v>
      </c>
    </row>
    <row r="163" spans="1:7" x14ac:dyDescent="0.25">
      <c r="A163" s="12">
        <f t="shared" si="10"/>
        <v>44</v>
      </c>
      <c r="B163" t="str">
        <f ca="1">TEXT(DATE(YEAR(Invoer!$A$5),1,1)+INT((ROWS(B$2:B163)-1)/2),"jjjjmmdd")</f>
        <v>19410322</v>
      </c>
      <c r="C163" s="26" t="str">
        <f>INDEX(Data,2,2+MOD(ROWS(C$2:C163)-1,2))</f>
        <v>15.00</v>
      </c>
      <c r="D163" s="41">
        <f t="shared" ca="1" si="11"/>
        <v>757.40260000000001</v>
      </c>
      <c r="E163" s="31">
        <f t="shared" ca="1" si="12"/>
        <v>0</v>
      </c>
      <c r="F163" s="42">
        <f t="shared" ca="1" si="13"/>
        <v>29.166666666666668</v>
      </c>
      <c r="G163" s="31">
        <f t="shared" ca="1" si="14"/>
        <v>0</v>
      </c>
    </row>
    <row r="164" spans="1:7" x14ac:dyDescent="0.25">
      <c r="A164" s="12">
        <f t="shared" si="10"/>
        <v>44</v>
      </c>
      <c r="B164" t="str">
        <f ca="1">TEXT(DATE(YEAR(Invoer!$A$5),1,1)+INT((ROWS(B$2:B164)-1)/2),"jjjjmmdd")</f>
        <v>19410323</v>
      </c>
      <c r="C164" s="26" t="str">
        <f>INDEX(Data,2,2+MOD(ROWS(C$2:C164)-1,2))</f>
        <v>08.00</v>
      </c>
      <c r="D164" s="41">
        <f t="shared" ca="1" si="11"/>
        <v>759.84100000000001</v>
      </c>
      <c r="E164" s="31">
        <f t="shared" ca="1" si="12"/>
        <v>0</v>
      </c>
      <c r="F164" s="42">
        <f t="shared" ca="1" si="13"/>
        <v>27.777777777777779</v>
      </c>
      <c r="G164" s="31">
        <f t="shared" ca="1" si="14"/>
        <v>0</v>
      </c>
    </row>
    <row r="165" spans="1:7" x14ac:dyDescent="0.25">
      <c r="A165" s="12">
        <f t="shared" si="10"/>
        <v>44</v>
      </c>
      <c r="B165" t="str">
        <f ca="1">TEXT(DATE(YEAR(Invoer!$A$5),1,1)+INT((ROWS(B$2:B165)-1)/2),"jjjjmmdd")</f>
        <v>19410323</v>
      </c>
      <c r="C165" s="26" t="str">
        <f>INDEX(Data,2,2+MOD(ROWS(C$2:C165)-1,2))</f>
        <v>15.00</v>
      </c>
      <c r="D165" s="41">
        <f t="shared" ca="1" si="11"/>
        <v>758.11379999999997</v>
      </c>
      <c r="E165" s="31">
        <f t="shared" ca="1" si="12"/>
        <v>0</v>
      </c>
      <c r="F165" s="42">
        <f t="shared" ca="1" si="13"/>
        <v>29.444444444444443</v>
      </c>
      <c r="G165" s="31">
        <f t="shared" ca="1" si="14"/>
        <v>0</v>
      </c>
    </row>
    <row r="166" spans="1:7" x14ac:dyDescent="0.25">
      <c r="A166" s="12">
        <f t="shared" si="10"/>
        <v>44</v>
      </c>
      <c r="B166" t="str">
        <f ca="1">TEXT(DATE(YEAR(Invoer!$A$5),1,1)+INT((ROWS(B$2:B166)-1)/2),"jjjjmmdd")</f>
        <v>19410324</v>
      </c>
      <c r="C166" s="26" t="str">
        <f>INDEX(Data,2,2+MOD(ROWS(C$2:C166)-1,2))</f>
        <v>08.00</v>
      </c>
      <c r="D166" s="41">
        <f t="shared" ca="1" si="11"/>
        <v>761.66980000000001</v>
      </c>
      <c r="E166" s="31">
        <f t="shared" ca="1" si="12"/>
        <v>0</v>
      </c>
      <c r="F166" s="42">
        <f t="shared" ca="1" si="13"/>
        <v>27.222222222222221</v>
      </c>
      <c r="G166" s="31">
        <f t="shared" ca="1" si="14"/>
        <v>0</v>
      </c>
    </row>
    <row r="167" spans="1:7" x14ac:dyDescent="0.25">
      <c r="A167" s="12">
        <f t="shared" si="10"/>
        <v>44</v>
      </c>
      <c r="B167" t="str">
        <f ca="1">TEXT(DATE(YEAR(Invoer!$A$5),1,1)+INT((ROWS(B$2:B167)-1)/2),"jjjjmmdd")</f>
        <v>19410324</v>
      </c>
      <c r="C167" s="26" t="str">
        <f>INDEX(Data,2,2+MOD(ROWS(C$2:C167)-1,2))</f>
        <v>15.00</v>
      </c>
      <c r="D167" s="41">
        <f t="shared" ca="1" si="11"/>
        <v>759.63779999999997</v>
      </c>
      <c r="E167" s="31">
        <f t="shared" ca="1" si="12"/>
        <v>0</v>
      </c>
      <c r="F167" s="42">
        <f t="shared" ca="1" si="13"/>
        <v>29.444444444444443</v>
      </c>
      <c r="G167" s="31">
        <f t="shared" ca="1" si="14"/>
        <v>0</v>
      </c>
    </row>
    <row r="168" spans="1:7" x14ac:dyDescent="0.25">
      <c r="A168" s="12">
        <f t="shared" si="10"/>
        <v>44</v>
      </c>
      <c r="B168" t="str">
        <f ca="1">TEXT(DATE(YEAR(Invoer!$A$5),1,1)+INT((ROWS(B$2:B168)-1)/2),"jjjjmmdd")</f>
        <v>19410325</v>
      </c>
      <c r="C168" s="26" t="str">
        <f>INDEX(Data,2,2+MOD(ROWS(C$2:C168)-1,2))</f>
        <v>08.00</v>
      </c>
      <c r="D168" s="41">
        <f t="shared" ca="1" si="11"/>
        <v>760.90779999999995</v>
      </c>
      <c r="E168" s="31">
        <f t="shared" ca="1" si="12"/>
        <v>0</v>
      </c>
      <c r="F168" s="42">
        <f t="shared" ca="1" si="13"/>
        <v>27.5</v>
      </c>
      <c r="G168" s="31">
        <f t="shared" ca="1" si="14"/>
        <v>0</v>
      </c>
    </row>
    <row r="169" spans="1:7" x14ac:dyDescent="0.25">
      <c r="A169" s="12">
        <f t="shared" si="10"/>
        <v>44</v>
      </c>
      <c r="B169" t="str">
        <f ca="1">TEXT(DATE(YEAR(Invoer!$A$5),1,1)+INT((ROWS(B$2:B169)-1)/2),"jjjjmmdd")</f>
        <v>19410325</v>
      </c>
      <c r="C169" s="26" t="str">
        <f>INDEX(Data,2,2+MOD(ROWS(C$2:C169)-1,2))</f>
        <v>15.00</v>
      </c>
      <c r="D169" s="41">
        <f t="shared" ca="1" si="11"/>
        <v>758.92660000000001</v>
      </c>
      <c r="E169" s="31">
        <f t="shared" ca="1" si="12"/>
        <v>0</v>
      </c>
      <c r="F169" s="42">
        <f t="shared" ca="1" si="13"/>
        <v>29.166666666666668</v>
      </c>
      <c r="G169" s="31">
        <f t="shared" ca="1" si="14"/>
        <v>0</v>
      </c>
    </row>
    <row r="170" spans="1:7" x14ac:dyDescent="0.25">
      <c r="A170" s="12">
        <f t="shared" si="10"/>
        <v>44</v>
      </c>
      <c r="B170" t="str">
        <f ca="1">TEXT(DATE(YEAR(Invoer!$A$5),1,1)+INT((ROWS(B$2:B170)-1)/2),"jjjjmmdd")</f>
        <v>19410326</v>
      </c>
      <c r="C170" s="26" t="str">
        <f>INDEX(Data,2,2+MOD(ROWS(C$2:C170)-1,2))</f>
        <v>08.00</v>
      </c>
      <c r="D170" s="41">
        <f t="shared" ca="1" si="11"/>
        <v>762.40639999999996</v>
      </c>
      <c r="E170" s="31">
        <f t="shared" ca="1" si="12"/>
        <v>0</v>
      </c>
      <c r="F170" s="42">
        <f t="shared" ca="1" si="13"/>
        <v>27.5</v>
      </c>
      <c r="G170" s="31">
        <f t="shared" ca="1" si="14"/>
        <v>0</v>
      </c>
    </row>
    <row r="171" spans="1:7" x14ac:dyDescent="0.25">
      <c r="A171" s="12">
        <f t="shared" si="10"/>
        <v>44</v>
      </c>
      <c r="B171" t="str">
        <f ca="1">TEXT(DATE(YEAR(Invoer!$A$5),1,1)+INT((ROWS(B$2:B171)-1)/2),"jjjjmmdd")</f>
        <v>19410326</v>
      </c>
      <c r="C171" s="26" t="str">
        <f>INDEX(Data,2,2+MOD(ROWS(C$2:C171)-1,2))</f>
        <v>15.00</v>
      </c>
      <c r="D171" s="41">
        <f t="shared" ca="1" si="11"/>
        <v>760.73</v>
      </c>
      <c r="E171" s="31">
        <f t="shared" ca="1" si="12"/>
        <v>0</v>
      </c>
      <c r="F171" s="42">
        <f t="shared" ca="1" si="13"/>
        <v>28.888888888888889</v>
      </c>
      <c r="G171" s="31">
        <f t="shared" ca="1" si="14"/>
        <v>0</v>
      </c>
    </row>
    <row r="172" spans="1:7" x14ac:dyDescent="0.25">
      <c r="A172" s="12">
        <f t="shared" si="10"/>
        <v>44</v>
      </c>
      <c r="B172" t="str">
        <f ca="1">TEXT(DATE(YEAR(Invoer!$A$5),1,1)+INT((ROWS(B$2:B172)-1)/2),"jjjjmmdd")</f>
        <v>19410327</v>
      </c>
      <c r="C172" s="26" t="str">
        <f>INDEX(Data,2,2+MOD(ROWS(C$2:C172)-1,2))</f>
        <v>08.00</v>
      </c>
      <c r="D172" s="41">
        <f t="shared" ca="1" si="11"/>
        <v>762.15239999999994</v>
      </c>
      <c r="E172" s="31">
        <f t="shared" ca="1" si="12"/>
        <v>0</v>
      </c>
      <c r="F172" s="42">
        <f t="shared" ca="1" si="13"/>
        <v>27.5</v>
      </c>
      <c r="G172" s="31">
        <f t="shared" ca="1" si="14"/>
        <v>0</v>
      </c>
    </row>
    <row r="173" spans="1:7" x14ac:dyDescent="0.25">
      <c r="A173" s="12">
        <f t="shared" si="10"/>
        <v>44</v>
      </c>
      <c r="B173" t="str">
        <f ca="1">TEXT(DATE(YEAR(Invoer!$A$5),1,1)+INT((ROWS(B$2:B173)-1)/2),"jjjjmmdd")</f>
        <v>19410327</v>
      </c>
      <c r="C173" s="26" t="str">
        <f>INDEX(Data,2,2+MOD(ROWS(C$2:C173)-1,2))</f>
        <v>15.00</v>
      </c>
      <c r="D173" s="41">
        <f t="shared" ca="1" si="11"/>
        <v>759.96799999999996</v>
      </c>
      <c r="E173" s="31">
        <f t="shared" ca="1" si="12"/>
        <v>0</v>
      </c>
      <c r="F173" s="42">
        <f t="shared" ca="1" si="13"/>
        <v>28.888888888888889</v>
      </c>
      <c r="G173" s="31">
        <f t="shared" ca="1" si="14"/>
        <v>0</v>
      </c>
    </row>
    <row r="174" spans="1:7" x14ac:dyDescent="0.25">
      <c r="A174" s="12">
        <f t="shared" si="10"/>
        <v>44</v>
      </c>
      <c r="B174" t="str">
        <f ca="1">TEXT(DATE(YEAR(Invoer!$A$5),1,1)+INT((ROWS(B$2:B174)-1)/2),"jjjjmmdd")</f>
        <v>19410328</v>
      </c>
      <c r="C174" s="26" t="str">
        <f>INDEX(Data,2,2+MOD(ROWS(C$2:C174)-1,2))</f>
        <v>08.00</v>
      </c>
      <c r="D174" s="41">
        <f t="shared" ca="1" si="11"/>
        <v>762.68579999999997</v>
      </c>
      <c r="E174" s="31">
        <f t="shared" ca="1" si="12"/>
        <v>0</v>
      </c>
      <c r="F174" s="42">
        <f t="shared" ca="1" si="13"/>
        <v>27.222222222222221</v>
      </c>
      <c r="G174" s="31">
        <f t="shared" ca="1" si="14"/>
        <v>0</v>
      </c>
    </row>
    <row r="175" spans="1:7" x14ac:dyDescent="0.25">
      <c r="A175" s="12">
        <f t="shared" si="10"/>
        <v>44</v>
      </c>
      <c r="B175" t="str">
        <f ca="1">TEXT(DATE(YEAR(Invoer!$A$5),1,1)+INT((ROWS(B$2:B175)-1)/2),"jjjjmmdd")</f>
        <v>19410328</v>
      </c>
      <c r="C175" s="26" t="str">
        <f>INDEX(Data,2,2+MOD(ROWS(C$2:C175)-1,2))</f>
        <v>15.00</v>
      </c>
      <c r="D175" s="41">
        <f t="shared" ca="1" si="11"/>
        <v>760.39979999999991</v>
      </c>
      <c r="E175" s="31">
        <f t="shared" ca="1" si="12"/>
        <v>0</v>
      </c>
      <c r="F175" s="42">
        <f t="shared" ca="1" si="13"/>
        <v>29.444444444444443</v>
      </c>
      <c r="G175" s="31">
        <f t="shared" ca="1" si="14"/>
        <v>0</v>
      </c>
    </row>
    <row r="176" spans="1:7" x14ac:dyDescent="0.25">
      <c r="A176" s="12">
        <f t="shared" si="10"/>
        <v>44</v>
      </c>
      <c r="B176" t="str">
        <f ca="1">TEXT(DATE(YEAR(Invoer!$A$5),1,1)+INT((ROWS(B$2:B176)-1)/2),"jjjjmmdd")</f>
        <v>19410329</v>
      </c>
      <c r="C176" s="26" t="str">
        <f>INDEX(Data,2,2+MOD(ROWS(C$2:C176)-1,2))</f>
        <v>08.00</v>
      </c>
      <c r="D176" s="41">
        <f t="shared" ca="1" si="11"/>
        <v>762.15239999999994</v>
      </c>
      <c r="E176" s="31">
        <f t="shared" ca="1" si="12"/>
        <v>0</v>
      </c>
      <c r="F176" s="42">
        <f t="shared" ca="1" si="13"/>
        <v>27.5</v>
      </c>
      <c r="G176" s="31">
        <f t="shared" ca="1" si="14"/>
        <v>0</v>
      </c>
    </row>
    <row r="177" spans="1:7" x14ac:dyDescent="0.25">
      <c r="A177" s="12">
        <f t="shared" si="10"/>
        <v>44</v>
      </c>
      <c r="B177" t="str">
        <f ca="1">TEXT(DATE(YEAR(Invoer!$A$5),1,1)+INT((ROWS(B$2:B177)-1)/2),"jjjjmmdd")</f>
        <v>19410329</v>
      </c>
      <c r="C177" s="26" t="str">
        <f>INDEX(Data,2,2+MOD(ROWS(C$2:C177)-1,2))</f>
        <v>15.00</v>
      </c>
      <c r="D177" s="41">
        <f t="shared" ca="1" si="11"/>
        <v>760.22199999999998</v>
      </c>
      <c r="E177" s="31">
        <f t="shared" ca="1" si="12"/>
        <v>0</v>
      </c>
      <c r="F177" s="42">
        <f t="shared" ca="1" si="13"/>
        <v>28.888888888888889</v>
      </c>
      <c r="G177" s="31">
        <f t="shared" ca="1" si="14"/>
        <v>0</v>
      </c>
    </row>
    <row r="178" spans="1:7" x14ac:dyDescent="0.25">
      <c r="A178" s="12">
        <f t="shared" si="10"/>
        <v>44</v>
      </c>
      <c r="B178" t="str">
        <f ca="1">TEXT(DATE(YEAR(Invoer!$A$5),1,1)+INT((ROWS(B$2:B178)-1)/2),"jjjjmmdd")</f>
        <v>19410330</v>
      </c>
      <c r="C178" s="26" t="str">
        <f>INDEX(Data,2,2+MOD(ROWS(C$2:C178)-1,2))</f>
        <v>08.00</v>
      </c>
      <c r="D178" s="41">
        <f t="shared" ca="1" si="11"/>
        <v>762.17779999999993</v>
      </c>
      <c r="E178" s="31">
        <f t="shared" ca="1" si="12"/>
        <v>0</v>
      </c>
      <c r="F178" s="42">
        <f t="shared" ca="1" si="13"/>
        <v>27.222222222222221</v>
      </c>
      <c r="G178" s="31">
        <f t="shared" ca="1" si="14"/>
        <v>0</v>
      </c>
    </row>
    <row r="179" spans="1:7" x14ac:dyDescent="0.25">
      <c r="A179" s="12">
        <f t="shared" si="10"/>
        <v>44</v>
      </c>
      <c r="B179" t="str">
        <f ca="1">TEXT(DATE(YEAR(Invoer!$A$5),1,1)+INT((ROWS(B$2:B179)-1)/2),"jjjjmmdd")</f>
        <v>19410330</v>
      </c>
      <c r="C179" s="26" t="str">
        <f>INDEX(Data,2,2+MOD(ROWS(C$2:C179)-1,2))</f>
        <v>15.00</v>
      </c>
      <c r="D179" s="41">
        <f t="shared" ca="1" si="11"/>
        <v>760.65379999999993</v>
      </c>
      <c r="E179" s="31">
        <f t="shared" ca="1" si="12"/>
        <v>0</v>
      </c>
      <c r="F179" s="42">
        <f t="shared" ca="1" si="13"/>
        <v>29.444444444444443</v>
      </c>
      <c r="G179" s="31">
        <f t="shared" ca="1" si="14"/>
        <v>0</v>
      </c>
    </row>
    <row r="180" spans="1:7" x14ac:dyDescent="0.25">
      <c r="A180" s="12">
        <f t="shared" si="10"/>
        <v>44</v>
      </c>
      <c r="B180" t="str">
        <f ca="1">TEXT(DATE(YEAR(Invoer!$A$5),1,1)+INT((ROWS(B$2:B180)-1)/2),"jjjjmmdd")</f>
        <v>19410331</v>
      </c>
      <c r="C180" s="26" t="str">
        <f>INDEX(Data,2,2+MOD(ROWS(C$2:C180)-1,2))</f>
        <v>08.00</v>
      </c>
      <c r="D180" s="41">
        <f t="shared" ca="1" si="11"/>
        <v>761.89839999999992</v>
      </c>
      <c r="E180" s="31">
        <f t="shared" ca="1" si="12"/>
        <v>0</v>
      </c>
      <c r="F180" s="42">
        <f t="shared" ca="1" si="13"/>
        <v>27.5</v>
      </c>
      <c r="G180" s="31">
        <f t="shared" ca="1" si="14"/>
        <v>0</v>
      </c>
    </row>
    <row r="181" spans="1:7" x14ac:dyDescent="0.25">
      <c r="A181" s="12">
        <f t="shared" si="10"/>
        <v>44</v>
      </c>
      <c r="B181" t="str">
        <f ca="1">TEXT(DATE(YEAR(Invoer!$A$5),1,1)+INT((ROWS(B$2:B181)-1)/2),"jjjjmmdd")</f>
        <v>19410331</v>
      </c>
      <c r="C181" s="26" t="str">
        <f>INDEX(Data,2,2+MOD(ROWS(C$2:C181)-1,2))</f>
        <v>15.00</v>
      </c>
      <c r="D181" s="41">
        <f t="shared" ca="1" si="11"/>
        <v>760.14580000000001</v>
      </c>
      <c r="E181" s="31">
        <f t="shared" ca="1" si="12"/>
        <v>0</v>
      </c>
      <c r="F181" s="42">
        <f t="shared" ca="1" si="13"/>
        <v>29.444444444444443</v>
      </c>
      <c r="G181" s="31">
        <f t="shared" ca="1" si="14"/>
        <v>0</v>
      </c>
    </row>
    <row r="182" spans="1:7" x14ac:dyDescent="0.25">
      <c r="A182" s="12">
        <f t="shared" si="10"/>
        <v>44</v>
      </c>
      <c r="B182" t="str">
        <f ca="1">TEXT(DATE(YEAR(Invoer!$A$5),1,1)+INT((ROWS(B$2:B182)-1)/2),"jjjjmmdd")</f>
        <v>19410401</v>
      </c>
      <c r="C182" s="26" t="str">
        <f>INDEX(Data,2,2+MOD(ROWS(C$2:C182)-1,2))</f>
        <v>08.00</v>
      </c>
      <c r="D182" s="41">
        <f t="shared" ca="1" si="11"/>
        <v>761.64440000000002</v>
      </c>
      <c r="E182" s="31">
        <f t="shared" ca="1" si="12"/>
        <v>0</v>
      </c>
      <c r="F182" s="42">
        <f t="shared" ca="1" si="13"/>
        <v>27.5</v>
      </c>
      <c r="G182" s="31">
        <f t="shared" ca="1" si="14"/>
        <v>0</v>
      </c>
    </row>
    <row r="183" spans="1:7" x14ac:dyDescent="0.25">
      <c r="A183" s="12">
        <f t="shared" si="10"/>
        <v>44</v>
      </c>
      <c r="B183" t="str">
        <f ca="1">TEXT(DATE(YEAR(Invoer!$A$5),1,1)+INT((ROWS(B$2:B183)-1)/2),"jjjjmmdd")</f>
        <v>19410401</v>
      </c>
      <c r="C183" s="26" t="str">
        <f>INDEX(Data,2,2+MOD(ROWS(C$2:C183)-1,2))</f>
        <v>15.00</v>
      </c>
      <c r="D183" s="41">
        <f t="shared" ca="1" si="11"/>
        <v>759.43459999999993</v>
      </c>
      <c r="E183" s="31">
        <f t="shared" ca="1" si="12"/>
        <v>0</v>
      </c>
      <c r="F183" s="42">
        <f t="shared" ca="1" si="13"/>
        <v>29.166666666666668</v>
      </c>
      <c r="G183" s="31">
        <f t="shared" ca="1" si="14"/>
        <v>0</v>
      </c>
    </row>
    <row r="184" spans="1:7" x14ac:dyDescent="0.25">
      <c r="A184" s="12">
        <f t="shared" si="10"/>
        <v>44</v>
      </c>
      <c r="B184" t="str">
        <f ca="1">TEXT(DATE(YEAR(Invoer!$A$5),1,1)+INT((ROWS(B$2:B184)-1)/2),"jjjjmmdd")</f>
        <v>19410402</v>
      </c>
      <c r="C184" s="26" t="str">
        <f>INDEX(Data,2,2+MOD(ROWS(C$2:C184)-1,2))</f>
        <v>08.00</v>
      </c>
      <c r="D184" s="41">
        <f t="shared" ca="1" si="11"/>
        <v>762.40639999999996</v>
      </c>
      <c r="E184" s="31">
        <f t="shared" ca="1" si="12"/>
        <v>0</v>
      </c>
      <c r="F184" s="42">
        <f t="shared" ca="1" si="13"/>
        <v>27.5</v>
      </c>
      <c r="G184" s="31">
        <f t="shared" ca="1" si="14"/>
        <v>0</v>
      </c>
    </row>
    <row r="185" spans="1:7" x14ac:dyDescent="0.25">
      <c r="A185" s="12">
        <f t="shared" si="10"/>
        <v>44</v>
      </c>
      <c r="B185" t="str">
        <f ca="1">TEXT(DATE(YEAR(Invoer!$A$5),1,1)+INT((ROWS(B$2:B185)-1)/2),"jjjjmmdd")</f>
        <v>19410402</v>
      </c>
      <c r="C185" s="26" t="str">
        <f>INDEX(Data,2,2+MOD(ROWS(C$2:C185)-1,2))</f>
        <v>15.00</v>
      </c>
      <c r="D185" s="41">
        <f t="shared" ca="1" si="11"/>
        <v>759.48539999999991</v>
      </c>
      <c r="E185" s="31">
        <f t="shared" ca="1" si="12"/>
        <v>0</v>
      </c>
      <c r="F185" s="42">
        <f t="shared" ca="1" si="13"/>
        <v>28.611111111111111</v>
      </c>
      <c r="G185" s="31">
        <f t="shared" ca="1" si="14"/>
        <v>0</v>
      </c>
    </row>
    <row r="186" spans="1:7" x14ac:dyDescent="0.25">
      <c r="A186" s="12">
        <f t="shared" si="10"/>
        <v>44</v>
      </c>
      <c r="B186" t="str">
        <f ca="1">TEXT(DATE(YEAR(Invoer!$A$5),1,1)+INT((ROWS(B$2:B186)-1)/2),"jjjjmmdd")</f>
        <v>19410403</v>
      </c>
      <c r="C186" s="26" t="str">
        <f>INDEX(Data,2,2+MOD(ROWS(C$2:C186)-1,2))</f>
        <v>08.00</v>
      </c>
      <c r="D186" s="41">
        <f t="shared" ca="1" si="11"/>
        <v>761.33960000000002</v>
      </c>
      <c r="E186" s="31">
        <f t="shared" ca="1" si="12"/>
        <v>0</v>
      </c>
      <c r="F186" s="42">
        <f t="shared" ca="1" si="13"/>
        <v>27.777777777777779</v>
      </c>
      <c r="G186" s="31">
        <f t="shared" ca="1" si="14"/>
        <v>0</v>
      </c>
    </row>
    <row r="187" spans="1:7" x14ac:dyDescent="0.25">
      <c r="A187" s="12">
        <f t="shared" si="10"/>
        <v>44</v>
      </c>
      <c r="B187" t="str">
        <f ca="1">TEXT(DATE(YEAR(Invoer!$A$5),1,1)+INT((ROWS(B$2:B187)-1)/2),"jjjjmmdd")</f>
        <v>19410403</v>
      </c>
      <c r="C187" s="26" t="str">
        <f>INDEX(Data,2,2+MOD(ROWS(C$2:C187)-1,2))</f>
        <v>15.00</v>
      </c>
      <c r="D187" s="41">
        <f t="shared" ca="1" si="11"/>
        <v>759.38379999999995</v>
      </c>
      <c r="E187" s="31">
        <f t="shared" ca="1" si="12"/>
        <v>0</v>
      </c>
      <c r="F187" s="42">
        <f t="shared" ca="1" si="13"/>
        <v>29.444444444444443</v>
      </c>
      <c r="G187" s="31">
        <f t="shared" ca="1" si="14"/>
        <v>0</v>
      </c>
    </row>
    <row r="188" spans="1:7" x14ac:dyDescent="0.25">
      <c r="A188" s="12">
        <f t="shared" si="10"/>
        <v>44</v>
      </c>
      <c r="B188" t="str">
        <f ca="1">TEXT(DATE(YEAR(Invoer!$A$5),1,1)+INT((ROWS(B$2:B188)-1)/2),"jjjjmmdd")</f>
        <v>19410404</v>
      </c>
      <c r="C188" s="26" t="str">
        <f>INDEX(Data,2,2+MOD(ROWS(C$2:C188)-1,2))</f>
        <v>08.00</v>
      </c>
      <c r="D188" s="41">
        <f t="shared" ca="1" si="11"/>
        <v>761.33960000000002</v>
      </c>
      <c r="E188" s="31">
        <f t="shared" ca="1" si="12"/>
        <v>0</v>
      </c>
      <c r="F188" s="42">
        <f t="shared" ca="1" si="13"/>
        <v>27.777777777777779</v>
      </c>
      <c r="G188" s="31">
        <f t="shared" ca="1" si="14"/>
        <v>0</v>
      </c>
    </row>
    <row r="189" spans="1:7" x14ac:dyDescent="0.25">
      <c r="A189" s="12">
        <f t="shared" si="10"/>
        <v>44</v>
      </c>
      <c r="B189" t="str">
        <f ca="1">TEXT(DATE(YEAR(Invoer!$A$5),1,1)+INT((ROWS(B$2:B189)-1)/2),"jjjjmmdd")</f>
        <v>19410404</v>
      </c>
      <c r="C189" s="26" t="str">
        <f>INDEX(Data,2,2+MOD(ROWS(C$2:C189)-1,2))</f>
        <v>15.00</v>
      </c>
      <c r="D189" s="41">
        <f t="shared" ca="1" si="11"/>
        <v>759.18059999999991</v>
      </c>
      <c r="E189" s="31">
        <f t="shared" ca="1" si="12"/>
        <v>0</v>
      </c>
      <c r="F189" s="42">
        <f t="shared" ca="1" si="13"/>
        <v>29.166666666666668</v>
      </c>
      <c r="G189" s="31">
        <f t="shared" ca="1" si="14"/>
        <v>0</v>
      </c>
    </row>
    <row r="190" spans="1:7" x14ac:dyDescent="0.25">
      <c r="A190" s="12">
        <f t="shared" si="10"/>
        <v>44</v>
      </c>
      <c r="B190" t="str">
        <f ca="1">TEXT(DATE(YEAR(Invoer!$A$5),1,1)+INT((ROWS(B$2:B190)-1)/2),"jjjjmmdd")</f>
        <v>19410405</v>
      </c>
      <c r="C190" s="26" t="str">
        <f>INDEX(Data,2,2+MOD(ROWS(C$2:C190)-1,2))</f>
        <v>08.00</v>
      </c>
      <c r="D190" s="41">
        <f t="shared" ca="1" si="11"/>
        <v>761.64440000000002</v>
      </c>
      <c r="E190" s="31">
        <f t="shared" ca="1" si="12"/>
        <v>0</v>
      </c>
      <c r="F190" s="42">
        <f t="shared" ca="1" si="13"/>
        <v>27.5</v>
      </c>
      <c r="G190" s="31">
        <f t="shared" ca="1" si="14"/>
        <v>0</v>
      </c>
    </row>
    <row r="191" spans="1:7" x14ac:dyDescent="0.25">
      <c r="A191" s="12">
        <f t="shared" si="10"/>
        <v>44</v>
      </c>
      <c r="B191" t="str">
        <f ca="1">TEXT(DATE(YEAR(Invoer!$A$5),1,1)+INT((ROWS(B$2:B191)-1)/2),"jjjjmmdd")</f>
        <v>19410405</v>
      </c>
      <c r="C191" s="26" t="str">
        <f>INDEX(Data,2,2+MOD(ROWS(C$2:C191)-1,2))</f>
        <v>15.00</v>
      </c>
      <c r="D191" s="41">
        <f t="shared" ca="1" si="11"/>
        <v>759.89179999999999</v>
      </c>
      <c r="E191" s="31">
        <f t="shared" ca="1" si="12"/>
        <v>0</v>
      </c>
      <c r="F191" s="42">
        <f t="shared" ca="1" si="13"/>
        <v>29.444444444444443</v>
      </c>
      <c r="G191" s="31">
        <f t="shared" ca="1" si="14"/>
        <v>0</v>
      </c>
    </row>
    <row r="192" spans="1:7" x14ac:dyDescent="0.25">
      <c r="A192" s="12">
        <f t="shared" si="10"/>
        <v>44</v>
      </c>
      <c r="B192" t="str">
        <f ca="1">TEXT(DATE(YEAR(Invoer!$A$5),1,1)+INT((ROWS(B$2:B192)-1)/2),"jjjjmmdd")</f>
        <v>19410406</v>
      </c>
      <c r="C192" s="26" t="str">
        <f>INDEX(Data,2,2+MOD(ROWS(C$2:C192)-1,2))</f>
        <v>08.00</v>
      </c>
      <c r="D192" s="41">
        <f t="shared" ca="1" si="11"/>
        <v>762.35559999999998</v>
      </c>
      <c r="E192" s="31">
        <f t="shared" ca="1" si="12"/>
        <v>0</v>
      </c>
      <c r="F192" s="42">
        <f t="shared" ca="1" si="13"/>
        <v>27.777777777777779</v>
      </c>
      <c r="G192" s="31">
        <f t="shared" ca="1" si="14"/>
        <v>0</v>
      </c>
    </row>
    <row r="193" spans="1:7" x14ac:dyDescent="0.25">
      <c r="A193" s="12">
        <f t="shared" si="10"/>
        <v>44</v>
      </c>
      <c r="B193" t="str">
        <f ca="1">TEXT(DATE(YEAR(Invoer!$A$5),1,1)+INT((ROWS(B$2:B193)-1)/2),"jjjjmmdd")</f>
        <v>19410406</v>
      </c>
      <c r="C193" s="26" t="str">
        <f>INDEX(Data,2,2+MOD(ROWS(C$2:C193)-1,2))</f>
        <v>15.00</v>
      </c>
      <c r="D193" s="41">
        <f t="shared" ca="1" si="11"/>
        <v>760.14580000000001</v>
      </c>
      <c r="E193" s="31">
        <f t="shared" ca="1" si="12"/>
        <v>0</v>
      </c>
      <c r="F193" s="42">
        <f t="shared" ca="1" si="13"/>
        <v>29.444444444444443</v>
      </c>
      <c r="G193" s="31">
        <f t="shared" ca="1" si="14"/>
        <v>0</v>
      </c>
    </row>
    <row r="194" spans="1:7" x14ac:dyDescent="0.25">
      <c r="A194" s="12">
        <f t="shared" ref="A194:A257" si="15">INDEX(Stations,2,1)</f>
        <v>44</v>
      </c>
      <c r="B194" t="str">
        <f ca="1">TEXT(DATE(YEAR(Invoer!$A$5),1,1)+INT((ROWS(B$2:B194)-1)/2),"jjjjmmdd")</f>
        <v>19410407</v>
      </c>
      <c r="C194" s="26" t="str">
        <f>INDEX(Data,2,2+MOD(ROWS(C$2:C194)-1,2))</f>
        <v>08.00</v>
      </c>
      <c r="D194" s="41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0.0254*VLOOKUP(DATEVALUE(LEFT($B194,4)&amp;"-"&amp;MID($B194,5,2)&amp;"-"&amp;RIGHT($B194,2)),Data,MATCH(LEFT(VLOOKUP(D$1,Parameters,2,FALSE()),4)&amp;"*",OFFSET(Data,0,0,1),0)+MATCH($C194,OFFSET(Data,1,0,1),0)-2,FALSE()))</f>
        <v>761.66980000000001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2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5*(VLOOKUP(DATEVALUE(LEFT($B194,4)&amp;"-"&amp;MID($B194,5,2)&amp;"-"&amp;RIGHT($B194,2)),Data,MATCH(LEFT(VLOOKUP(F$1,Parameters,2,FALSE()),4)&amp;"*",OFFSET(Data,0,0,1),0)+MATCH($C194,OFFSET(Data,1,0,1),0)-2,FALSE())-320)/90)</f>
        <v>27.222222222222221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2">
        <f t="shared" si="15"/>
        <v>44</v>
      </c>
      <c r="B195" t="str">
        <f ca="1">TEXT(DATE(YEAR(Invoer!$A$5),1,1)+INT((ROWS(B$2:B195)-1)/2),"jjjjmmdd")</f>
        <v>19410407</v>
      </c>
      <c r="C195" s="26" t="str">
        <f>INDEX(Data,2,2+MOD(ROWS(C$2:C195)-1,2))</f>
        <v>15.00</v>
      </c>
      <c r="D195" s="41">
        <f t="shared" ca="1" si="16"/>
        <v>759.63779999999997</v>
      </c>
      <c r="E195" s="31">
        <f t="shared" ca="1" si="17"/>
        <v>0</v>
      </c>
      <c r="F195" s="42">
        <f t="shared" ca="1" si="18"/>
        <v>29.444444444444443</v>
      </c>
      <c r="G195" s="31">
        <f t="shared" ca="1" si="19"/>
        <v>0</v>
      </c>
    </row>
    <row r="196" spans="1:7" x14ac:dyDescent="0.25">
      <c r="A196" s="12">
        <f t="shared" si="15"/>
        <v>44</v>
      </c>
      <c r="B196" t="str">
        <f ca="1">TEXT(DATE(YEAR(Invoer!$A$5),1,1)+INT((ROWS(B$2:B196)-1)/2),"jjjjmmdd")</f>
        <v>19410408</v>
      </c>
      <c r="C196" s="26" t="str">
        <f>INDEX(Data,2,2+MOD(ROWS(C$2:C196)-1,2))</f>
        <v>08.00</v>
      </c>
      <c r="D196" s="41">
        <f t="shared" ca="1" si="16"/>
        <v>761.3904</v>
      </c>
      <c r="E196" s="31">
        <f t="shared" ca="1" si="17"/>
        <v>0</v>
      </c>
      <c r="F196" s="42">
        <f t="shared" ca="1" si="18"/>
        <v>27.5</v>
      </c>
      <c r="G196" s="31">
        <f t="shared" ca="1" si="19"/>
        <v>0</v>
      </c>
    </row>
    <row r="197" spans="1:7" x14ac:dyDescent="0.25">
      <c r="A197" s="12">
        <f t="shared" si="15"/>
        <v>44</v>
      </c>
      <c r="B197" t="str">
        <f ca="1">TEXT(DATE(YEAR(Invoer!$A$5),1,1)+INT((ROWS(B$2:B197)-1)/2),"jjjjmmdd")</f>
        <v>19410408</v>
      </c>
      <c r="C197" s="26" t="str">
        <f>INDEX(Data,2,2+MOD(ROWS(C$2:C197)-1,2))</f>
        <v>15.00</v>
      </c>
      <c r="D197" s="41">
        <f t="shared" ca="1" si="16"/>
        <v>759.68859999999995</v>
      </c>
      <c r="E197" s="31">
        <f t="shared" ca="1" si="17"/>
        <v>0</v>
      </c>
      <c r="F197" s="42">
        <f t="shared" ca="1" si="18"/>
        <v>29.166666666666668</v>
      </c>
      <c r="G197" s="31">
        <f t="shared" ca="1" si="19"/>
        <v>0</v>
      </c>
    </row>
    <row r="198" spans="1:7" x14ac:dyDescent="0.25">
      <c r="A198" s="12">
        <f t="shared" si="15"/>
        <v>44</v>
      </c>
      <c r="B198" t="str">
        <f ca="1">TEXT(DATE(YEAR(Invoer!$A$5),1,1)+INT((ROWS(B$2:B198)-1)/2),"jjjjmmdd")</f>
        <v>19410409</v>
      </c>
      <c r="C198" s="26" t="str">
        <f>INDEX(Data,2,2+MOD(ROWS(C$2:C198)-1,2))</f>
        <v>08.00</v>
      </c>
      <c r="D198" s="41">
        <f t="shared" ca="1" si="16"/>
        <v>761.92379999999991</v>
      </c>
      <c r="E198" s="31">
        <f t="shared" ca="1" si="17"/>
        <v>0</v>
      </c>
      <c r="F198" s="42">
        <f t="shared" ca="1" si="18"/>
        <v>27.222222222222221</v>
      </c>
      <c r="G198" s="31">
        <f t="shared" ca="1" si="19"/>
        <v>0</v>
      </c>
    </row>
    <row r="199" spans="1:7" x14ac:dyDescent="0.25">
      <c r="A199" s="12">
        <f t="shared" si="15"/>
        <v>44</v>
      </c>
      <c r="B199" t="str">
        <f ca="1">TEXT(DATE(YEAR(Invoer!$A$5),1,1)+INT((ROWS(B$2:B199)-1)/2),"jjjjmmdd")</f>
        <v>19410409</v>
      </c>
      <c r="C199" s="26" t="str">
        <f>INDEX(Data,2,2+MOD(ROWS(C$2:C199)-1,2))</f>
        <v>15.00</v>
      </c>
      <c r="D199" s="41">
        <f t="shared" ca="1" si="16"/>
        <v>759.68859999999995</v>
      </c>
      <c r="E199" s="31">
        <f t="shared" ca="1" si="17"/>
        <v>0</v>
      </c>
      <c r="F199" s="42">
        <f t="shared" ca="1" si="18"/>
        <v>29.166666666666668</v>
      </c>
      <c r="G199" s="31">
        <f t="shared" ca="1" si="19"/>
        <v>0</v>
      </c>
    </row>
    <row r="200" spans="1:7" x14ac:dyDescent="0.25">
      <c r="A200" s="12">
        <f t="shared" si="15"/>
        <v>44</v>
      </c>
      <c r="B200" t="str">
        <f ca="1">TEXT(DATE(YEAR(Invoer!$A$5),1,1)+INT((ROWS(B$2:B200)-1)/2),"jjjjmmdd")</f>
        <v>19410410</v>
      </c>
      <c r="C200" s="26" t="str">
        <f>INDEX(Data,2,2+MOD(ROWS(C$2:C200)-1,2))</f>
        <v>08.00</v>
      </c>
      <c r="D200" s="41">
        <f t="shared" ca="1" si="16"/>
        <v>761.13639999999998</v>
      </c>
      <c r="E200" s="31">
        <f t="shared" ca="1" si="17"/>
        <v>0</v>
      </c>
      <c r="F200" s="42">
        <f t="shared" ca="1" si="18"/>
        <v>27.5</v>
      </c>
      <c r="G200" s="31">
        <f t="shared" ca="1" si="19"/>
        <v>0</v>
      </c>
    </row>
    <row r="201" spans="1:7" x14ac:dyDescent="0.25">
      <c r="A201" s="12">
        <f t="shared" si="15"/>
        <v>44</v>
      </c>
      <c r="B201" t="str">
        <f ca="1">TEXT(DATE(YEAR(Invoer!$A$5),1,1)+INT((ROWS(B$2:B201)-1)/2),"jjjjmmdd")</f>
        <v>19410410</v>
      </c>
      <c r="C201" s="26" t="str">
        <f>INDEX(Data,2,2+MOD(ROWS(C$2:C201)-1,2))</f>
        <v>15.00</v>
      </c>
      <c r="D201" s="41">
        <f t="shared" ca="1" si="16"/>
        <v>759.63779999999997</v>
      </c>
      <c r="E201" s="31">
        <f t="shared" ca="1" si="17"/>
        <v>0</v>
      </c>
      <c r="F201" s="42">
        <f t="shared" ca="1" si="18"/>
        <v>29.444444444444443</v>
      </c>
      <c r="G201" s="31">
        <f t="shared" ca="1" si="19"/>
        <v>0</v>
      </c>
    </row>
    <row r="202" spans="1:7" x14ac:dyDescent="0.25">
      <c r="A202" s="12">
        <f t="shared" si="15"/>
        <v>44</v>
      </c>
      <c r="B202" t="str">
        <f ca="1">TEXT(DATE(YEAR(Invoer!$A$5),1,1)+INT((ROWS(B$2:B202)-1)/2),"jjjjmmdd")</f>
        <v>19410411</v>
      </c>
      <c r="C202" s="26" t="str">
        <f>INDEX(Data,2,2+MOD(ROWS(C$2:C202)-1,2))</f>
        <v>08.00</v>
      </c>
      <c r="D202" s="41">
        <f t="shared" ca="1" si="16"/>
        <v>761.3904</v>
      </c>
      <c r="E202" s="31">
        <f t="shared" ca="1" si="17"/>
        <v>0</v>
      </c>
      <c r="F202" s="42">
        <f t="shared" ca="1" si="18"/>
        <v>27.5</v>
      </c>
      <c r="G202" s="31">
        <f t="shared" ca="1" si="19"/>
        <v>0</v>
      </c>
    </row>
    <row r="203" spans="1:7" x14ac:dyDescent="0.25">
      <c r="A203" s="12">
        <f t="shared" si="15"/>
        <v>44</v>
      </c>
      <c r="B203" t="str">
        <f ca="1">TEXT(DATE(YEAR(Invoer!$A$5),1,1)+INT((ROWS(B$2:B203)-1)/2),"jjjjmmdd")</f>
        <v>19410411</v>
      </c>
      <c r="C203" s="26" t="str">
        <f>INDEX(Data,2,2+MOD(ROWS(C$2:C203)-1,2))</f>
        <v>15.00</v>
      </c>
      <c r="D203" s="41">
        <f t="shared" ca="1" si="16"/>
        <v>759.48539999999991</v>
      </c>
      <c r="E203" s="31">
        <f t="shared" ca="1" si="17"/>
        <v>0</v>
      </c>
      <c r="F203" s="42">
        <f t="shared" ca="1" si="18"/>
        <v>28.611111111111111</v>
      </c>
      <c r="G203" s="31">
        <f t="shared" ca="1" si="19"/>
        <v>0</v>
      </c>
    </row>
    <row r="204" spans="1:7" x14ac:dyDescent="0.25">
      <c r="A204" s="12">
        <f t="shared" si="15"/>
        <v>44</v>
      </c>
      <c r="B204" t="str">
        <f ca="1">TEXT(DATE(YEAR(Invoer!$A$5),1,1)+INT((ROWS(B$2:B204)-1)/2),"jjjjmmdd")</f>
        <v>19410412</v>
      </c>
      <c r="C204" s="26" t="str">
        <f>INDEX(Data,2,2+MOD(ROWS(C$2:C204)-1,2))</f>
        <v>08.00</v>
      </c>
      <c r="D204" s="41">
        <f t="shared" ca="1" si="16"/>
        <v>761.13639999999998</v>
      </c>
      <c r="E204" s="31">
        <f t="shared" ca="1" si="17"/>
        <v>0</v>
      </c>
      <c r="F204" s="42">
        <f t="shared" ca="1" si="18"/>
        <v>27.5</v>
      </c>
      <c r="G204" s="31">
        <f t="shared" ca="1" si="19"/>
        <v>0</v>
      </c>
    </row>
    <row r="205" spans="1:7" x14ac:dyDescent="0.25">
      <c r="A205" s="12">
        <f t="shared" si="15"/>
        <v>44</v>
      </c>
      <c r="B205" t="str">
        <f ca="1">TEXT(DATE(YEAR(Invoer!$A$5),1,1)+INT((ROWS(B$2:B205)-1)/2),"jjjjmmdd")</f>
        <v>19410412</v>
      </c>
      <c r="C205" s="26" t="str">
        <f>INDEX(Data,2,2+MOD(ROWS(C$2:C205)-1,2))</f>
        <v>15.00</v>
      </c>
      <c r="D205" s="41">
        <f t="shared" ca="1" si="16"/>
        <v>759.20600000000002</v>
      </c>
      <c r="E205" s="31">
        <f t="shared" ca="1" si="17"/>
        <v>0</v>
      </c>
      <c r="F205" s="42">
        <f t="shared" ca="1" si="18"/>
        <v>28.611111111111111</v>
      </c>
      <c r="G205" s="31">
        <f t="shared" ca="1" si="19"/>
        <v>0</v>
      </c>
    </row>
    <row r="206" spans="1:7" x14ac:dyDescent="0.25">
      <c r="A206" s="12">
        <f t="shared" si="15"/>
        <v>44</v>
      </c>
      <c r="B206" t="str">
        <f ca="1">TEXT(DATE(YEAR(Invoer!$A$5),1,1)+INT((ROWS(B$2:B206)-1)/2),"jjjjmmdd")</f>
        <v>19410413</v>
      </c>
      <c r="C206" s="26" t="str">
        <f>INDEX(Data,2,2+MOD(ROWS(C$2:C206)-1,2))</f>
        <v>08.00</v>
      </c>
      <c r="D206" s="41">
        <f t="shared" ca="1" si="16"/>
        <v>761.3904</v>
      </c>
      <c r="E206" s="31">
        <f t="shared" ca="1" si="17"/>
        <v>0</v>
      </c>
      <c r="F206" s="42">
        <f t="shared" ca="1" si="18"/>
        <v>27.5</v>
      </c>
      <c r="G206" s="31">
        <f t="shared" ca="1" si="19"/>
        <v>0</v>
      </c>
    </row>
    <row r="207" spans="1:7" x14ac:dyDescent="0.25">
      <c r="A207" s="12">
        <f t="shared" si="15"/>
        <v>44</v>
      </c>
      <c r="B207" t="str">
        <f ca="1">TEXT(DATE(YEAR(Invoer!$A$5),1,1)+INT((ROWS(B$2:B207)-1)/2),"jjjjmmdd")</f>
        <v>19410413</v>
      </c>
      <c r="C207" s="26" t="str">
        <f>INDEX(Data,2,2+MOD(ROWS(C$2:C207)-1,2))</f>
        <v>15.00</v>
      </c>
      <c r="D207" s="41">
        <f t="shared" ca="1" si="16"/>
        <v>759.48539999999991</v>
      </c>
      <c r="E207" s="31">
        <f t="shared" ca="1" si="17"/>
        <v>0</v>
      </c>
      <c r="F207" s="42">
        <f t="shared" ca="1" si="18"/>
        <v>28.611111111111111</v>
      </c>
      <c r="G207" s="31">
        <f t="shared" ca="1" si="19"/>
        <v>0</v>
      </c>
    </row>
    <row r="208" spans="1:7" x14ac:dyDescent="0.25">
      <c r="A208" s="12">
        <f t="shared" si="15"/>
        <v>44</v>
      </c>
      <c r="B208" t="str">
        <f ca="1">TEXT(DATE(YEAR(Invoer!$A$5),1,1)+INT((ROWS(B$2:B208)-1)/2),"jjjjmmdd")</f>
        <v>19410414</v>
      </c>
      <c r="C208" s="26" t="str">
        <f>INDEX(Data,2,2+MOD(ROWS(C$2:C208)-1,2))</f>
        <v>08.00</v>
      </c>
      <c r="D208" s="41">
        <f t="shared" ca="1" si="16"/>
        <v>760.93319999999994</v>
      </c>
      <c r="E208" s="31">
        <f t="shared" ca="1" si="17"/>
        <v>0</v>
      </c>
      <c r="F208" s="42">
        <f t="shared" ca="1" si="18"/>
        <v>27.222222222222221</v>
      </c>
      <c r="G208" s="31">
        <f t="shared" ca="1" si="19"/>
        <v>0</v>
      </c>
    </row>
    <row r="209" spans="1:7" x14ac:dyDescent="0.25">
      <c r="A209" s="12">
        <f t="shared" si="15"/>
        <v>44</v>
      </c>
      <c r="B209" t="str">
        <f ca="1">TEXT(DATE(YEAR(Invoer!$A$5),1,1)+INT((ROWS(B$2:B209)-1)/2),"jjjjmmdd")</f>
        <v>19410414</v>
      </c>
      <c r="C209" s="26" t="str">
        <f>INDEX(Data,2,2+MOD(ROWS(C$2:C209)-1,2))</f>
        <v>15.00</v>
      </c>
      <c r="D209" s="41">
        <f t="shared" ca="1" si="16"/>
        <v>759.38379999999995</v>
      </c>
      <c r="E209" s="31">
        <f t="shared" ca="1" si="17"/>
        <v>0</v>
      </c>
      <c r="F209" s="42">
        <f t="shared" ca="1" si="18"/>
        <v>29.444444444444443</v>
      </c>
      <c r="G209" s="31">
        <f t="shared" ca="1" si="19"/>
        <v>0</v>
      </c>
    </row>
    <row r="210" spans="1:7" x14ac:dyDescent="0.25">
      <c r="A210" s="12">
        <f t="shared" si="15"/>
        <v>44</v>
      </c>
      <c r="B210" t="str">
        <f ca="1">TEXT(DATE(YEAR(Invoer!$A$5),1,1)+INT((ROWS(B$2:B210)-1)/2),"jjjjmmdd")</f>
        <v>19410415</v>
      </c>
      <c r="C210" s="26" t="str">
        <f>INDEX(Data,2,2+MOD(ROWS(C$2:C210)-1,2))</f>
        <v>08.00</v>
      </c>
      <c r="D210" s="41">
        <f t="shared" ca="1" si="16"/>
        <v>761.0856</v>
      </c>
      <c r="E210" s="31">
        <f t="shared" ca="1" si="17"/>
        <v>0</v>
      </c>
      <c r="F210" s="42">
        <f t="shared" ca="1" si="18"/>
        <v>27.777777777777779</v>
      </c>
      <c r="G210" s="31">
        <f t="shared" ca="1" si="19"/>
        <v>0</v>
      </c>
    </row>
    <row r="211" spans="1:7" x14ac:dyDescent="0.25">
      <c r="A211" s="12">
        <f t="shared" si="15"/>
        <v>44</v>
      </c>
      <c r="B211" t="str">
        <f ca="1">TEXT(DATE(YEAR(Invoer!$A$5),1,1)+INT((ROWS(B$2:B211)-1)/2),"jjjjmmdd")</f>
        <v>19410415</v>
      </c>
      <c r="C211" s="26" t="str">
        <f>INDEX(Data,2,2+MOD(ROWS(C$2:C211)-1,2))</f>
        <v>15.00</v>
      </c>
      <c r="D211" s="41">
        <f t="shared" ca="1" si="16"/>
        <v>759.18059999999991</v>
      </c>
      <c r="E211" s="31">
        <f t="shared" ca="1" si="17"/>
        <v>0</v>
      </c>
      <c r="F211" s="42">
        <f t="shared" ca="1" si="18"/>
        <v>29.166666666666668</v>
      </c>
      <c r="G211" s="31">
        <f t="shared" ca="1" si="19"/>
        <v>0</v>
      </c>
    </row>
    <row r="212" spans="1:7" x14ac:dyDescent="0.25">
      <c r="A212" s="12">
        <f t="shared" si="15"/>
        <v>44</v>
      </c>
      <c r="B212" t="str">
        <f ca="1">TEXT(DATE(YEAR(Invoer!$A$5),1,1)+INT((ROWS(B$2:B212)-1)/2),"jjjjmmdd")</f>
        <v>19410416</v>
      </c>
      <c r="C212" s="26" t="str">
        <f>INDEX(Data,2,2+MOD(ROWS(C$2:C212)-1,2))</f>
        <v>08.00</v>
      </c>
      <c r="D212" s="41">
        <f t="shared" ca="1" si="16"/>
        <v>760.34899999999993</v>
      </c>
      <c r="E212" s="31">
        <f t="shared" ca="1" si="17"/>
        <v>0</v>
      </c>
      <c r="F212" s="42">
        <f t="shared" ca="1" si="18"/>
        <v>27.777777777777779</v>
      </c>
      <c r="G212" s="31">
        <f t="shared" ca="1" si="19"/>
        <v>0</v>
      </c>
    </row>
    <row r="213" spans="1:7" x14ac:dyDescent="0.25">
      <c r="A213" s="12">
        <f t="shared" si="15"/>
        <v>44</v>
      </c>
      <c r="B213" t="str">
        <f ca="1">TEXT(DATE(YEAR(Invoer!$A$5),1,1)+INT((ROWS(B$2:B213)-1)/2),"jjjjmmdd")</f>
        <v>19410416</v>
      </c>
      <c r="C213" s="26" t="str">
        <f>INDEX(Data,2,2+MOD(ROWS(C$2:C213)-1,2))</f>
        <v>15.00</v>
      </c>
      <c r="D213" s="41">
        <f t="shared" ca="1" si="16"/>
        <v>758.62180000000001</v>
      </c>
      <c r="E213" s="31">
        <f t="shared" ca="1" si="17"/>
        <v>0</v>
      </c>
      <c r="F213" s="42">
        <f t="shared" ca="1" si="18"/>
        <v>29.444444444444443</v>
      </c>
      <c r="G213" s="31">
        <f t="shared" ca="1" si="19"/>
        <v>0</v>
      </c>
    </row>
    <row r="214" spans="1:7" x14ac:dyDescent="0.25">
      <c r="A214" s="12">
        <f t="shared" si="15"/>
        <v>44</v>
      </c>
      <c r="B214" t="str">
        <f ca="1">TEXT(DATE(YEAR(Invoer!$A$5),1,1)+INT((ROWS(B$2:B214)-1)/2),"jjjjmmdd")</f>
        <v>19410417</v>
      </c>
      <c r="C214" s="26" t="str">
        <f>INDEX(Data,2,2+MOD(ROWS(C$2:C214)-1,2))</f>
        <v>08.00</v>
      </c>
      <c r="D214" s="41">
        <f t="shared" ca="1" si="16"/>
        <v>761.33960000000002</v>
      </c>
      <c r="E214" s="31">
        <f t="shared" ca="1" si="17"/>
        <v>0</v>
      </c>
      <c r="F214" s="42">
        <f t="shared" ca="1" si="18"/>
        <v>27.777777777777779</v>
      </c>
      <c r="G214" s="31">
        <f t="shared" ca="1" si="19"/>
        <v>0</v>
      </c>
    </row>
    <row r="215" spans="1:7" x14ac:dyDescent="0.25">
      <c r="A215" s="12">
        <f t="shared" si="15"/>
        <v>44</v>
      </c>
      <c r="B215" t="str">
        <f ca="1">TEXT(DATE(YEAR(Invoer!$A$5),1,1)+INT((ROWS(B$2:B215)-1)/2),"jjjjmmdd")</f>
        <v>19410417</v>
      </c>
      <c r="C215" s="26" t="str">
        <f>INDEX(Data,2,2+MOD(ROWS(C$2:C215)-1,2))</f>
        <v>15.00</v>
      </c>
      <c r="D215" s="41">
        <f t="shared" ca="1" si="16"/>
        <v>759.18059999999991</v>
      </c>
      <c r="E215" s="31">
        <f t="shared" ca="1" si="17"/>
        <v>0</v>
      </c>
      <c r="F215" s="42">
        <f t="shared" ca="1" si="18"/>
        <v>29.166666666666668</v>
      </c>
      <c r="G215" s="31">
        <f t="shared" ca="1" si="19"/>
        <v>0</v>
      </c>
    </row>
    <row r="216" spans="1:7" x14ac:dyDescent="0.25">
      <c r="A216" s="12">
        <f t="shared" si="15"/>
        <v>44</v>
      </c>
      <c r="B216" t="str">
        <f ca="1">TEXT(DATE(YEAR(Invoer!$A$5),1,1)+INT((ROWS(B$2:B216)-1)/2),"jjjjmmdd")</f>
        <v>19410418</v>
      </c>
      <c r="C216" s="26" t="str">
        <f>INDEX(Data,2,2+MOD(ROWS(C$2:C216)-1,2))</f>
        <v>08.00</v>
      </c>
      <c r="D216" s="41">
        <f t="shared" ca="1" si="16"/>
        <v>760.34899999999993</v>
      </c>
      <c r="E216" s="31">
        <f t="shared" ca="1" si="17"/>
        <v>0</v>
      </c>
      <c r="F216" s="42">
        <f t="shared" ca="1" si="18"/>
        <v>27.777777777777779</v>
      </c>
      <c r="G216" s="31">
        <f t="shared" ca="1" si="19"/>
        <v>0</v>
      </c>
    </row>
    <row r="217" spans="1:7" x14ac:dyDescent="0.25">
      <c r="A217" s="12">
        <f t="shared" si="15"/>
        <v>44</v>
      </c>
      <c r="B217" t="str">
        <f ca="1">TEXT(DATE(YEAR(Invoer!$A$5),1,1)+INT((ROWS(B$2:B217)-1)/2),"jjjjmmdd")</f>
        <v>19410418</v>
      </c>
      <c r="C217" s="26" t="str">
        <f>INDEX(Data,2,2+MOD(ROWS(C$2:C217)-1,2))</f>
        <v>15.00</v>
      </c>
      <c r="D217" s="41">
        <f t="shared" ca="1" si="16"/>
        <v>758.41859999999997</v>
      </c>
      <c r="E217" s="31">
        <f t="shared" ca="1" si="17"/>
        <v>0</v>
      </c>
      <c r="F217" s="42">
        <f t="shared" ca="1" si="18"/>
        <v>29.166666666666668</v>
      </c>
      <c r="G217" s="31">
        <f t="shared" ca="1" si="19"/>
        <v>0</v>
      </c>
    </row>
    <row r="218" spans="1:7" x14ac:dyDescent="0.25">
      <c r="A218" s="12">
        <f t="shared" si="15"/>
        <v>44</v>
      </c>
      <c r="B218" t="str">
        <f ca="1">TEXT(DATE(YEAR(Invoer!$A$5),1,1)+INT((ROWS(B$2:B218)-1)/2),"jjjjmmdd")</f>
        <v>19410419</v>
      </c>
      <c r="C218" s="26" t="str">
        <f>INDEX(Data,2,2+MOD(ROWS(C$2:C218)-1,2))</f>
        <v>08.00</v>
      </c>
      <c r="D218" s="41">
        <f t="shared" ca="1" si="16"/>
        <v>759.81560000000002</v>
      </c>
      <c r="E218" s="31">
        <f t="shared" ca="1" si="17"/>
        <v>0</v>
      </c>
      <c r="F218" s="42">
        <f t="shared" ca="1" si="18"/>
        <v>28.055555555555557</v>
      </c>
      <c r="G218" s="31">
        <f t="shared" ca="1" si="19"/>
        <v>0</v>
      </c>
    </row>
    <row r="219" spans="1:7" x14ac:dyDescent="0.25">
      <c r="A219" s="12">
        <f t="shared" si="15"/>
        <v>44</v>
      </c>
      <c r="B219" t="str">
        <f ca="1">TEXT(DATE(YEAR(Invoer!$A$5),1,1)+INT((ROWS(B$2:B219)-1)/2),"jjjjmmdd")</f>
        <v>19410419</v>
      </c>
      <c r="C219" s="26" t="str">
        <f>INDEX(Data,2,2+MOD(ROWS(C$2:C219)-1,2))</f>
        <v>15.00</v>
      </c>
      <c r="D219" s="41">
        <f t="shared" ca="1" si="16"/>
        <v>757.40260000000001</v>
      </c>
      <c r="E219" s="31">
        <f t="shared" ca="1" si="17"/>
        <v>0</v>
      </c>
      <c r="F219" s="42">
        <f t="shared" ca="1" si="18"/>
        <v>29.166666666666668</v>
      </c>
      <c r="G219" s="31">
        <f t="shared" ca="1" si="19"/>
        <v>0</v>
      </c>
    </row>
    <row r="220" spans="1:7" x14ac:dyDescent="0.25">
      <c r="A220" s="12">
        <f t="shared" si="15"/>
        <v>44</v>
      </c>
      <c r="B220" t="str">
        <f ca="1">TEXT(DATE(YEAR(Invoer!$A$5),1,1)+INT((ROWS(B$2:B220)-1)/2),"jjjjmmdd")</f>
        <v>19410420</v>
      </c>
      <c r="C220" s="26" t="str">
        <f>INDEX(Data,2,2+MOD(ROWS(C$2:C220)-1,2))</f>
        <v>08.00</v>
      </c>
      <c r="D220" s="41">
        <f t="shared" ca="1" si="16"/>
        <v>760.55219999999997</v>
      </c>
      <c r="E220" s="31">
        <f t="shared" ca="1" si="17"/>
        <v>0</v>
      </c>
      <c r="F220" s="42">
        <f t="shared" ca="1" si="18"/>
        <v>28.333333333333332</v>
      </c>
      <c r="G220" s="31">
        <f t="shared" ca="1" si="19"/>
        <v>0</v>
      </c>
    </row>
    <row r="221" spans="1:7" x14ac:dyDescent="0.25">
      <c r="A221" s="12">
        <f t="shared" si="15"/>
        <v>44</v>
      </c>
      <c r="B221" t="str">
        <f ca="1">TEXT(DATE(YEAR(Invoer!$A$5),1,1)+INT((ROWS(B$2:B221)-1)/2),"jjjjmmdd")</f>
        <v>19410420</v>
      </c>
      <c r="C221" s="26" t="str">
        <f>INDEX(Data,2,2+MOD(ROWS(C$2:C221)-1,2))</f>
        <v>15.00</v>
      </c>
      <c r="D221" s="41">
        <f t="shared" ca="1" si="16"/>
        <v>758.06299999999999</v>
      </c>
      <c r="E221" s="31">
        <f t="shared" ca="1" si="17"/>
        <v>0</v>
      </c>
      <c r="F221" s="42">
        <f t="shared" ca="1" si="18"/>
        <v>30</v>
      </c>
      <c r="G221" s="31">
        <f t="shared" ca="1" si="19"/>
        <v>0</v>
      </c>
    </row>
    <row r="222" spans="1:7" x14ac:dyDescent="0.25">
      <c r="A222" s="12">
        <f t="shared" si="15"/>
        <v>44</v>
      </c>
      <c r="B222" t="str">
        <f ca="1">TEXT(DATE(YEAR(Invoer!$A$5),1,1)+INT((ROWS(B$2:B222)-1)/2),"jjjjmmdd")</f>
        <v>19410421</v>
      </c>
      <c r="C222" s="26" t="str">
        <f>INDEX(Data,2,2+MOD(ROWS(C$2:C222)-1,2))</f>
        <v>08.00</v>
      </c>
      <c r="D222" s="41">
        <f t="shared" ca="1" si="16"/>
        <v>761.28879999999992</v>
      </c>
      <c r="E222" s="31">
        <f t="shared" ca="1" si="17"/>
        <v>0</v>
      </c>
      <c r="F222" s="42">
        <f t="shared" ca="1" si="18"/>
        <v>28.333333333333332</v>
      </c>
      <c r="G222" s="31">
        <f t="shared" ca="1" si="19"/>
        <v>0</v>
      </c>
    </row>
    <row r="223" spans="1:7" x14ac:dyDescent="0.25">
      <c r="A223" s="12">
        <f t="shared" si="15"/>
        <v>44</v>
      </c>
      <c r="B223" t="str">
        <f ca="1">TEXT(DATE(YEAR(Invoer!$A$5),1,1)+INT((ROWS(B$2:B223)-1)/2),"jjjjmmdd")</f>
        <v>19410421</v>
      </c>
      <c r="C223" s="26" t="str">
        <f>INDEX(Data,2,2+MOD(ROWS(C$2:C223)-1,2))</f>
        <v>15.00</v>
      </c>
      <c r="D223" s="41">
        <f t="shared" ca="1" si="16"/>
        <v>759.35839999999996</v>
      </c>
      <c r="E223" s="31">
        <f t="shared" ca="1" si="17"/>
        <v>0</v>
      </c>
      <c r="F223" s="42">
        <f t="shared" ca="1" si="18"/>
        <v>29.722222222222221</v>
      </c>
      <c r="G223" s="31">
        <f t="shared" ca="1" si="19"/>
        <v>0</v>
      </c>
    </row>
    <row r="224" spans="1:7" x14ac:dyDescent="0.25">
      <c r="A224" s="12">
        <f t="shared" si="15"/>
        <v>44</v>
      </c>
      <c r="B224" t="str">
        <f ca="1">TEXT(DATE(YEAR(Invoer!$A$5),1,1)+INT((ROWS(B$2:B224)-1)/2),"jjjjmmdd")</f>
        <v>19410422</v>
      </c>
      <c r="C224" s="26" t="str">
        <f>INDEX(Data,2,2+MOD(ROWS(C$2:C224)-1,2))</f>
        <v>08.00</v>
      </c>
      <c r="D224" s="41">
        <f t="shared" ca="1" si="16"/>
        <v>760.24739999999997</v>
      </c>
      <c r="E224" s="31">
        <f t="shared" ca="1" si="17"/>
        <v>0</v>
      </c>
      <c r="F224" s="42">
        <f t="shared" ca="1" si="18"/>
        <v>28.611111111111111</v>
      </c>
      <c r="G224" s="31">
        <f t="shared" ca="1" si="19"/>
        <v>0</v>
      </c>
    </row>
    <row r="225" spans="1:7" x14ac:dyDescent="0.25">
      <c r="A225" s="12">
        <f t="shared" si="15"/>
        <v>44</v>
      </c>
      <c r="B225" t="str">
        <f ca="1">TEXT(DATE(YEAR(Invoer!$A$5),1,1)+INT((ROWS(B$2:B225)-1)/2),"jjjjmmdd")</f>
        <v>19410422</v>
      </c>
      <c r="C225" s="26" t="str">
        <f>INDEX(Data,2,2+MOD(ROWS(C$2:C225)-1,2))</f>
        <v>15.00</v>
      </c>
      <c r="D225" s="41">
        <f t="shared" ca="1" si="16"/>
        <v>758.49479999999994</v>
      </c>
      <c r="E225" s="31">
        <f t="shared" ca="1" si="17"/>
        <v>0</v>
      </c>
      <c r="F225" s="42">
        <f t="shared" ca="1" si="18"/>
        <v>30.555555555555557</v>
      </c>
      <c r="G225" s="31">
        <f t="shared" ca="1" si="19"/>
        <v>0</v>
      </c>
    </row>
    <row r="226" spans="1:7" x14ac:dyDescent="0.25">
      <c r="A226" s="12">
        <f t="shared" si="15"/>
        <v>44</v>
      </c>
      <c r="B226" t="str">
        <f ca="1">TEXT(DATE(YEAR(Invoer!$A$5),1,1)+INT((ROWS(B$2:B226)-1)/2),"jjjjmmdd")</f>
        <v>19410423</v>
      </c>
      <c r="C226" s="26" t="str">
        <f>INDEX(Data,2,2+MOD(ROWS(C$2:C226)-1,2))</f>
        <v>08.00</v>
      </c>
      <c r="D226" s="41">
        <f t="shared" ca="1" si="16"/>
        <v>759.73939999999993</v>
      </c>
      <c r="E226" s="31">
        <f t="shared" ca="1" si="17"/>
        <v>0</v>
      </c>
      <c r="F226" s="42">
        <f t="shared" ca="1" si="18"/>
        <v>28.611111111111111</v>
      </c>
      <c r="G226" s="31">
        <f t="shared" ca="1" si="19"/>
        <v>0</v>
      </c>
    </row>
    <row r="227" spans="1:7" x14ac:dyDescent="0.25">
      <c r="A227" s="12">
        <f t="shared" si="15"/>
        <v>44</v>
      </c>
      <c r="B227" t="str">
        <f ca="1">TEXT(DATE(YEAR(Invoer!$A$5),1,1)+INT((ROWS(B$2:B227)-1)/2),"jjjjmmdd")</f>
        <v>19410423</v>
      </c>
      <c r="C227" s="26" t="str">
        <f>INDEX(Data,2,2+MOD(ROWS(C$2:C227)-1,2))</f>
        <v>15.00</v>
      </c>
      <c r="D227" s="41">
        <f t="shared" ca="1" si="16"/>
        <v>757.25019999999995</v>
      </c>
      <c r="E227" s="31">
        <f t="shared" ca="1" si="17"/>
        <v>0</v>
      </c>
      <c r="F227" s="42">
        <f t="shared" ca="1" si="18"/>
        <v>30.277777777777779</v>
      </c>
      <c r="G227" s="31">
        <f t="shared" ca="1" si="19"/>
        <v>0</v>
      </c>
    </row>
    <row r="228" spans="1:7" x14ac:dyDescent="0.25">
      <c r="A228" s="12">
        <f t="shared" si="15"/>
        <v>44</v>
      </c>
      <c r="B228" t="str">
        <f ca="1">TEXT(DATE(YEAR(Invoer!$A$5),1,1)+INT((ROWS(B$2:B228)-1)/2),"jjjjmmdd")</f>
        <v>19410424</v>
      </c>
      <c r="C228" s="26" t="str">
        <f>INDEX(Data,2,2+MOD(ROWS(C$2:C228)-1,2))</f>
        <v>08.00</v>
      </c>
      <c r="D228" s="41">
        <f t="shared" ca="1" si="16"/>
        <v>761.54279999999994</v>
      </c>
      <c r="E228" s="31">
        <f t="shared" ca="1" si="17"/>
        <v>0</v>
      </c>
      <c r="F228" s="42">
        <f t="shared" ca="1" si="18"/>
        <v>28.333333333333332</v>
      </c>
      <c r="G228" s="31">
        <f t="shared" ca="1" si="19"/>
        <v>0</v>
      </c>
    </row>
    <row r="229" spans="1:7" x14ac:dyDescent="0.25">
      <c r="A229" s="12">
        <f t="shared" si="15"/>
        <v>44</v>
      </c>
      <c r="B229" t="str">
        <f ca="1">TEXT(DATE(YEAR(Invoer!$A$5),1,1)+INT((ROWS(B$2:B229)-1)/2),"jjjjmmdd")</f>
        <v>19410424</v>
      </c>
      <c r="C229" s="26" t="str">
        <f>INDEX(Data,2,2+MOD(ROWS(C$2:C229)-1,2))</f>
        <v>15.00</v>
      </c>
      <c r="D229" s="41">
        <f t="shared" ca="1" si="16"/>
        <v>759.12979999999993</v>
      </c>
      <c r="E229" s="31">
        <f t="shared" ca="1" si="17"/>
        <v>0</v>
      </c>
      <c r="F229" s="42">
        <f t="shared" ca="1" si="18"/>
        <v>29.444444444444443</v>
      </c>
      <c r="G229" s="31">
        <f t="shared" ca="1" si="19"/>
        <v>0</v>
      </c>
    </row>
    <row r="230" spans="1:7" x14ac:dyDescent="0.25">
      <c r="A230" s="12">
        <f t="shared" si="15"/>
        <v>44</v>
      </c>
      <c r="B230" t="str">
        <f ca="1">TEXT(DATE(YEAR(Invoer!$A$5),1,1)+INT((ROWS(B$2:B230)-1)/2),"jjjjmmdd")</f>
        <v>19410425</v>
      </c>
      <c r="C230" s="26" t="str">
        <f>INDEX(Data,2,2+MOD(ROWS(C$2:C230)-1,2))</f>
        <v>08.00</v>
      </c>
      <c r="D230" s="41">
        <f t="shared" ca="1" si="16"/>
        <v>759.99339999999995</v>
      </c>
      <c r="E230" s="31">
        <f t="shared" ca="1" si="17"/>
        <v>0</v>
      </c>
      <c r="F230" s="42">
        <f t="shared" ca="1" si="18"/>
        <v>28.611111111111111</v>
      </c>
      <c r="G230" s="31">
        <f t="shared" ca="1" si="19"/>
        <v>0</v>
      </c>
    </row>
    <row r="231" spans="1:7" x14ac:dyDescent="0.25">
      <c r="A231" s="12">
        <f t="shared" si="15"/>
        <v>44</v>
      </c>
      <c r="B231" t="str">
        <f ca="1">TEXT(DATE(YEAR(Invoer!$A$5),1,1)+INT((ROWS(B$2:B231)-1)/2),"jjjjmmdd")</f>
        <v>19410425</v>
      </c>
      <c r="C231" s="26" t="str">
        <f>INDEX(Data,2,2+MOD(ROWS(C$2:C231)-1,2))</f>
        <v>15.00</v>
      </c>
      <c r="D231" s="41">
        <f t="shared" ca="1" si="16"/>
        <v>758.82499999999993</v>
      </c>
      <c r="E231" s="31">
        <f t="shared" ca="1" si="17"/>
        <v>0</v>
      </c>
      <c r="F231" s="42">
        <f t="shared" ca="1" si="18"/>
        <v>30</v>
      </c>
      <c r="G231" s="31">
        <f t="shared" ca="1" si="19"/>
        <v>0</v>
      </c>
    </row>
    <row r="232" spans="1:7" x14ac:dyDescent="0.25">
      <c r="A232" s="12">
        <f t="shared" si="15"/>
        <v>44</v>
      </c>
      <c r="B232" t="str">
        <f ca="1">TEXT(DATE(YEAR(Invoer!$A$5),1,1)+INT((ROWS(B$2:B232)-1)/2),"jjjjmmdd")</f>
        <v>19410426</v>
      </c>
      <c r="C232" s="26" t="str">
        <f>INDEX(Data,2,2+MOD(ROWS(C$2:C232)-1,2))</f>
        <v>08.00</v>
      </c>
      <c r="D232" s="41">
        <f t="shared" ca="1" si="16"/>
        <v>761.54279999999994</v>
      </c>
      <c r="E232" s="31">
        <f t="shared" ca="1" si="17"/>
        <v>0</v>
      </c>
      <c r="F232" s="42">
        <f t="shared" ca="1" si="18"/>
        <v>28.333333333333332</v>
      </c>
      <c r="G232" s="31">
        <f t="shared" ca="1" si="19"/>
        <v>0</v>
      </c>
    </row>
    <row r="233" spans="1:7" x14ac:dyDescent="0.25">
      <c r="A233" s="12">
        <f t="shared" si="15"/>
        <v>44</v>
      </c>
      <c r="B233" t="str">
        <f ca="1">TEXT(DATE(YEAR(Invoer!$A$5),1,1)+INT((ROWS(B$2:B233)-1)/2),"jjjjmmdd")</f>
        <v>19410426</v>
      </c>
      <c r="C233" s="26" t="str">
        <f>INDEX(Data,2,2+MOD(ROWS(C$2:C233)-1,2))</f>
        <v>15.00</v>
      </c>
      <c r="D233" s="41">
        <f t="shared" ca="1" si="16"/>
        <v>759.12979999999993</v>
      </c>
      <c r="E233" s="31">
        <f t="shared" ca="1" si="17"/>
        <v>0</v>
      </c>
      <c r="F233" s="42">
        <f t="shared" ca="1" si="18"/>
        <v>29.444444444444443</v>
      </c>
      <c r="G233" s="31">
        <f t="shared" ca="1" si="19"/>
        <v>0</v>
      </c>
    </row>
    <row r="234" spans="1:7" x14ac:dyDescent="0.25">
      <c r="A234" s="12">
        <f t="shared" si="15"/>
        <v>44</v>
      </c>
      <c r="B234" t="str">
        <f ca="1">TEXT(DATE(YEAR(Invoer!$A$5),1,1)+INT((ROWS(B$2:B234)-1)/2),"jjjjmmdd")</f>
        <v>19410427</v>
      </c>
      <c r="C234" s="26" t="str">
        <f>INDEX(Data,2,2+MOD(ROWS(C$2:C234)-1,2))</f>
        <v>08.00</v>
      </c>
      <c r="D234" s="41">
        <f t="shared" ca="1" si="16"/>
        <v>761.31419999999991</v>
      </c>
      <c r="E234" s="31">
        <f t="shared" ca="1" si="17"/>
        <v>0</v>
      </c>
      <c r="F234" s="42">
        <f t="shared" ca="1" si="18"/>
        <v>28.055555555555557</v>
      </c>
      <c r="G234" s="31">
        <f t="shared" ca="1" si="19"/>
        <v>0</v>
      </c>
    </row>
    <row r="235" spans="1:7" x14ac:dyDescent="0.25">
      <c r="A235" s="12">
        <f t="shared" si="15"/>
        <v>44</v>
      </c>
      <c r="B235" t="str">
        <f ca="1">TEXT(DATE(YEAR(Invoer!$A$5),1,1)+INT((ROWS(B$2:B235)-1)/2),"jjjjmmdd")</f>
        <v>19410427</v>
      </c>
      <c r="C235" s="26" t="str">
        <f>INDEX(Data,2,2+MOD(ROWS(C$2:C235)-1,2))</f>
        <v>15.00</v>
      </c>
      <c r="D235" s="41">
        <f t="shared" ca="1" si="16"/>
        <v>758.77419999999995</v>
      </c>
      <c r="E235" s="31">
        <f t="shared" ca="1" si="17"/>
        <v>0</v>
      </c>
      <c r="F235" s="42">
        <f t="shared" ca="1" si="18"/>
        <v>30.277777777777779</v>
      </c>
      <c r="G235" s="31">
        <f t="shared" ca="1" si="19"/>
        <v>0</v>
      </c>
    </row>
    <row r="236" spans="1:7" x14ac:dyDescent="0.25">
      <c r="A236" s="12">
        <f t="shared" si="15"/>
        <v>44</v>
      </c>
      <c r="B236" t="str">
        <f ca="1">TEXT(DATE(YEAR(Invoer!$A$5),1,1)+INT((ROWS(B$2:B236)-1)/2),"jjjjmmdd")</f>
        <v>19410428</v>
      </c>
      <c r="C236" s="26" t="str">
        <f>INDEX(Data,2,2+MOD(ROWS(C$2:C236)-1,2))</f>
        <v>08.00</v>
      </c>
      <c r="D236" s="41">
        <f t="shared" ca="1" si="16"/>
        <v>760.55219999999997</v>
      </c>
      <c r="E236" s="31">
        <f t="shared" ca="1" si="17"/>
        <v>0</v>
      </c>
      <c r="F236" s="42">
        <f t="shared" ca="1" si="18"/>
        <v>28.333333333333332</v>
      </c>
      <c r="G236" s="31">
        <f t="shared" ca="1" si="19"/>
        <v>0</v>
      </c>
    </row>
    <row r="237" spans="1:7" x14ac:dyDescent="0.25">
      <c r="A237" s="12">
        <f t="shared" si="15"/>
        <v>44</v>
      </c>
      <c r="B237" t="str">
        <f ca="1">TEXT(DATE(YEAR(Invoer!$A$5),1,1)+INT((ROWS(B$2:B237)-1)/2),"jjjjmmdd")</f>
        <v>19410428</v>
      </c>
      <c r="C237" s="26" t="str">
        <f>INDEX(Data,2,2+MOD(ROWS(C$2:C237)-1,2))</f>
        <v>15.00</v>
      </c>
      <c r="D237" s="41">
        <f t="shared" ca="1" si="16"/>
        <v>758.31700000000001</v>
      </c>
      <c r="E237" s="31">
        <f t="shared" ca="1" si="17"/>
        <v>0</v>
      </c>
      <c r="F237" s="42">
        <f t="shared" ca="1" si="18"/>
        <v>30</v>
      </c>
      <c r="G237" s="31">
        <f t="shared" ca="1" si="19"/>
        <v>0</v>
      </c>
    </row>
    <row r="238" spans="1:7" x14ac:dyDescent="0.25">
      <c r="A238" s="12">
        <f t="shared" si="15"/>
        <v>44</v>
      </c>
      <c r="B238" t="str">
        <f ca="1">TEXT(DATE(YEAR(Invoer!$A$5),1,1)+INT((ROWS(B$2:B238)-1)/2),"jjjjmmdd")</f>
        <v>19410429</v>
      </c>
      <c r="C238" s="26" t="str">
        <f>INDEX(Data,2,2+MOD(ROWS(C$2:C238)-1,2))</f>
        <v>08.00</v>
      </c>
      <c r="D238" s="41">
        <f t="shared" ca="1" si="16"/>
        <v>760.80619999999999</v>
      </c>
      <c r="E238" s="31">
        <f t="shared" ca="1" si="17"/>
        <v>0</v>
      </c>
      <c r="F238" s="42">
        <f t="shared" ca="1" si="18"/>
        <v>28.333333333333332</v>
      </c>
      <c r="G238" s="31">
        <f t="shared" ca="1" si="19"/>
        <v>0</v>
      </c>
    </row>
    <row r="239" spans="1:7" x14ac:dyDescent="0.25">
      <c r="A239" s="12">
        <f t="shared" si="15"/>
        <v>44</v>
      </c>
      <c r="B239" t="str">
        <f ca="1">TEXT(DATE(YEAR(Invoer!$A$5),1,1)+INT((ROWS(B$2:B239)-1)/2),"jjjjmmdd")</f>
        <v>19410429</v>
      </c>
      <c r="C239" s="26" t="str">
        <f>INDEX(Data,2,2+MOD(ROWS(C$2:C239)-1,2))</f>
        <v>15.00</v>
      </c>
      <c r="D239" s="41">
        <f t="shared" ca="1" si="16"/>
        <v>758.3424</v>
      </c>
      <c r="E239" s="31">
        <f t="shared" ca="1" si="17"/>
        <v>0</v>
      </c>
      <c r="F239" s="42">
        <f t="shared" ca="1" si="18"/>
        <v>29.722222222222221</v>
      </c>
      <c r="G239" s="31">
        <f t="shared" ca="1" si="19"/>
        <v>0</v>
      </c>
    </row>
    <row r="240" spans="1:7" x14ac:dyDescent="0.25">
      <c r="A240" s="12">
        <f t="shared" si="15"/>
        <v>44</v>
      </c>
      <c r="B240" t="str">
        <f ca="1">TEXT(DATE(YEAR(Invoer!$A$5),1,1)+INT((ROWS(B$2:B240)-1)/2),"jjjjmmdd")</f>
        <v>19410430</v>
      </c>
      <c r="C240" s="26" t="str">
        <f>INDEX(Data,2,2+MOD(ROWS(C$2:C240)-1,2))</f>
        <v>08.00</v>
      </c>
      <c r="D240" s="41">
        <f t="shared" ca="1" si="16"/>
        <v>760.83159999999998</v>
      </c>
      <c r="E240" s="31">
        <f t="shared" ca="1" si="17"/>
        <v>0</v>
      </c>
      <c r="F240" s="42">
        <f t="shared" ca="1" si="18"/>
        <v>28.055555555555557</v>
      </c>
      <c r="G240" s="31">
        <f t="shared" ca="1" si="19"/>
        <v>0</v>
      </c>
    </row>
    <row r="241" spans="1:7" x14ac:dyDescent="0.25">
      <c r="A241" s="12">
        <f t="shared" si="15"/>
        <v>44</v>
      </c>
      <c r="B241" t="str">
        <f ca="1">TEXT(DATE(YEAR(Invoer!$A$5),1,1)+INT((ROWS(B$2:B241)-1)/2),"jjjjmmdd")</f>
        <v>19410430</v>
      </c>
      <c r="C241" s="26" t="str">
        <f>INDEX(Data,2,2+MOD(ROWS(C$2:C241)-1,2))</f>
        <v>15.00</v>
      </c>
      <c r="D241" s="41">
        <f t="shared" ca="1" si="16"/>
        <v>758.57099999999991</v>
      </c>
      <c r="E241" s="31">
        <f t="shared" ca="1" si="17"/>
        <v>0</v>
      </c>
      <c r="F241" s="42">
        <f t="shared" ca="1" si="18"/>
        <v>30</v>
      </c>
      <c r="G241" s="31">
        <f t="shared" ca="1" si="19"/>
        <v>0</v>
      </c>
    </row>
    <row r="242" spans="1:7" x14ac:dyDescent="0.25">
      <c r="A242" s="12">
        <f t="shared" si="15"/>
        <v>44</v>
      </c>
      <c r="B242" t="str">
        <f ca="1">TEXT(DATE(YEAR(Invoer!$A$5),1,1)+INT((ROWS(B$2:B242)-1)/2),"jjjjmmdd")</f>
        <v>19410501</v>
      </c>
      <c r="C242" s="26" t="str">
        <f>INDEX(Data,2,2+MOD(ROWS(C$2:C242)-1,2))</f>
        <v>08.00</v>
      </c>
      <c r="D242" s="41">
        <f t="shared" ca="1" si="16"/>
        <v>759.79019999999991</v>
      </c>
      <c r="E242" s="31">
        <f t="shared" ca="1" si="17"/>
        <v>0</v>
      </c>
      <c r="F242" s="42">
        <f t="shared" ca="1" si="18"/>
        <v>28.333333333333332</v>
      </c>
      <c r="G242" s="31">
        <f t="shared" ca="1" si="19"/>
        <v>0</v>
      </c>
    </row>
    <row r="243" spans="1:7" x14ac:dyDescent="0.25">
      <c r="A243" s="12">
        <f t="shared" si="15"/>
        <v>44</v>
      </c>
      <c r="B243" t="str">
        <f ca="1">TEXT(DATE(YEAR(Invoer!$A$5),1,1)+INT((ROWS(B$2:B243)-1)/2),"jjjjmmdd")</f>
        <v>19410501</v>
      </c>
      <c r="C243" s="26" t="str">
        <f>INDEX(Data,2,2+MOD(ROWS(C$2:C243)-1,2))</f>
        <v>15.00</v>
      </c>
      <c r="D243" s="41">
        <f t="shared" ca="1" si="16"/>
        <v>759.28219999999999</v>
      </c>
      <c r="E243" s="31">
        <f t="shared" ca="1" si="17"/>
        <v>0</v>
      </c>
      <c r="F243" s="42">
        <f t="shared" ca="1" si="18"/>
        <v>30.277777777777779</v>
      </c>
      <c r="G243" s="31">
        <f t="shared" ca="1" si="19"/>
        <v>0</v>
      </c>
    </row>
    <row r="244" spans="1:7" x14ac:dyDescent="0.25">
      <c r="A244" s="12">
        <f t="shared" si="15"/>
        <v>44</v>
      </c>
      <c r="B244" t="str">
        <f ca="1">TEXT(DATE(YEAR(Invoer!$A$5),1,1)+INT((ROWS(B$2:B244)-1)/2),"jjjjmmdd")</f>
        <v>19410502</v>
      </c>
      <c r="C244" s="26" t="str">
        <f>INDEX(Data,2,2+MOD(ROWS(C$2:C244)-1,2))</f>
        <v>08.00</v>
      </c>
      <c r="D244" s="41">
        <f t="shared" ca="1" si="16"/>
        <v>759.68859999999995</v>
      </c>
      <c r="E244" s="31">
        <f t="shared" ca="1" si="17"/>
        <v>0</v>
      </c>
      <c r="F244" s="42">
        <f t="shared" ca="1" si="18"/>
        <v>29.166666666666668</v>
      </c>
      <c r="G244" s="31">
        <f t="shared" ca="1" si="19"/>
        <v>0</v>
      </c>
    </row>
    <row r="245" spans="1:7" x14ac:dyDescent="0.25">
      <c r="A245" s="12">
        <f t="shared" si="15"/>
        <v>44</v>
      </c>
      <c r="B245" t="str">
        <f ca="1">TEXT(DATE(YEAR(Invoer!$A$5),1,1)+INT((ROWS(B$2:B245)-1)/2),"jjjjmmdd")</f>
        <v>19410502</v>
      </c>
      <c r="C245" s="26" t="str">
        <f>INDEX(Data,2,2+MOD(ROWS(C$2:C245)-1,2))</f>
        <v>15.00</v>
      </c>
      <c r="D245" s="41">
        <f t="shared" ca="1" si="16"/>
        <v>758.72339999999997</v>
      </c>
      <c r="E245" s="31">
        <f t="shared" ca="1" si="17"/>
        <v>0</v>
      </c>
      <c r="F245" s="42">
        <f t="shared" ca="1" si="18"/>
        <v>30.833333333333332</v>
      </c>
      <c r="G245" s="31">
        <f t="shared" ca="1" si="19"/>
        <v>0</v>
      </c>
    </row>
    <row r="246" spans="1:7" x14ac:dyDescent="0.25">
      <c r="A246" s="12">
        <f t="shared" si="15"/>
        <v>44</v>
      </c>
      <c r="B246" t="str">
        <f ca="1">TEXT(DATE(YEAR(Invoer!$A$5),1,1)+INT((ROWS(B$2:B246)-1)/2),"jjjjmmdd")</f>
        <v>19410503</v>
      </c>
      <c r="C246" s="26" t="str">
        <f>INDEX(Data,2,2+MOD(ROWS(C$2:C246)-1,2))</f>
        <v>08.00</v>
      </c>
      <c r="D246" s="41">
        <f t="shared" ca="1" si="16"/>
        <v>760.65379999999993</v>
      </c>
      <c r="E246" s="31">
        <f t="shared" ca="1" si="17"/>
        <v>0</v>
      </c>
      <c r="F246" s="42">
        <f t="shared" ca="1" si="18"/>
        <v>29.444444444444443</v>
      </c>
      <c r="G246" s="31">
        <f t="shared" ca="1" si="19"/>
        <v>0</v>
      </c>
    </row>
    <row r="247" spans="1:7" x14ac:dyDescent="0.25">
      <c r="A247" s="12">
        <f t="shared" si="15"/>
        <v>44</v>
      </c>
      <c r="B247" t="str">
        <f ca="1">TEXT(DATE(YEAR(Invoer!$A$5),1,1)+INT((ROWS(B$2:B247)-1)/2),"jjjjmmdd")</f>
        <v>19410503</v>
      </c>
      <c r="C247" s="26" t="str">
        <f>INDEX(Data,2,2+MOD(ROWS(C$2:C247)-1,2))</f>
        <v>15.00</v>
      </c>
      <c r="D247" s="41">
        <f t="shared" ca="1" si="16"/>
        <v>759.51080000000002</v>
      </c>
      <c r="E247" s="31">
        <f t="shared" ca="1" si="17"/>
        <v>0</v>
      </c>
      <c r="F247" s="42">
        <f t="shared" ca="1" si="18"/>
        <v>30.555555555555557</v>
      </c>
      <c r="G247" s="31">
        <f t="shared" ca="1" si="19"/>
        <v>0</v>
      </c>
    </row>
    <row r="248" spans="1:7" x14ac:dyDescent="0.25">
      <c r="A248" s="12">
        <f t="shared" si="15"/>
        <v>44</v>
      </c>
      <c r="B248" t="str">
        <f ca="1">TEXT(DATE(YEAR(Invoer!$A$5),1,1)+INT((ROWS(B$2:B248)-1)/2),"jjjjmmdd")</f>
        <v>19410504</v>
      </c>
      <c r="C248" s="26" t="str">
        <f>INDEX(Data,2,2+MOD(ROWS(C$2:C248)-1,2))</f>
        <v>08.00</v>
      </c>
      <c r="D248" s="41">
        <f t="shared" ca="1" si="16"/>
        <v>761.46659999999997</v>
      </c>
      <c r="E248" s="31">
        <f t="shared" ca="1" si="17"/>
        <v>0</v>
      </c>
      <c r="F248" s="42">
        <f t="shared" ca="1" si="18"/>
        <v>28.888888888888889</v>
      </c>
      <c r="G248" s="31">
        <f t="shared" ca="1" si="19"/>
        <v>0</v>
      </c>
    </row>
    <row r="249" spans="1:7" x14ac:dyDescent="0.25">
      <c r="A249" s="12">
        <f t="shared" si="15"/>
        <v>44</v>
      </c>
      <c r="B249" t="str">
        <f ca="1">TEXT(DATE(YEAR(Invoer!$A$5),1,1)+INT((ROWS(B$2:B249)-1)/2),"jjjjmmdd")</f>
        <v>19410504</v>
      </c>
      <c r="C249" s="26" t="str">
        <f>INDEX(Data,2,2+MOD(ROWS(C$2:C249)-1,2))</f>
        <v>15.00</v>
      </c>
      <c r="D249" s="41">
        <f t="shared" ca="1" si="16"/>
        <v>759.79019999999991</v>
      </c>
      <c r="E249" s="31">
        <f t="shared" ca="1" si="17"/>
        <v>0</v>
      </c>
      <c r="F249" s="42">
        <f t="shared" ca="1" si="18"/>
        <v>30.277777777777779</v>
      </c>
      <c r="G249" s="31">
        <f t="shared" ca="1" si="19"/>
        <v>0</v>
      </c>
    </row>
    <row r="250" spans="1:7" x14ac:dyDescent="0.25">
      <c r="A250" s="12">
        <f t="shared" si="15"/>
        <v>44</v>
      </c>
      <c r="B250" t="str">
        <f ca="1">TEXT(DATE(YEAR(Invoer!$A$5),1,1)+INT((ROWS(B$2:B250)-1)/2),"jjjjmmdd")</f>
        <v>19410505</v>
      </c>
      <c r="C250" s="26" t="str">
        <f>INDEX(Data,2,2+MOD(ROWS(C$2:C250)-1,2))</f>
        <v>08.00</v>
      </c>
      <c r="D250" s="41">
        <f t="shared" ca="1" si="16"/>
        <v>761.23799999999994</v>
      </c>
      <c r="E250" s="31">
        <f t="shared" ca="1" si="17"/>
        <v>0</v>
      </c>
      <c r="F250" s="42">
        <f t="shared" ca="1" si="18"/>
        <v>28.611111111111111</v>
      </c>
      <c r="G250" s="31">
        <f t="shared" ca="1" si="19"/>
        <v>0</v>
      </c>
    </row>
    <row r="251" spans="1:7" x14ac:dyDescent="0.25">
      <c r="A251" s="12">
        <f t="shared" si="15"/>
        <v>44</v>
      </c>
      <c r="B251" t="str">
        <f ca="1">TEXT(DATE(YEAR(Invoer!$A$5),1,1)+INT((ROWS(B$2:B251)-1)/2),"jjjjmmdd")</f>
        <v>19410505</v>
      </c>
      <c r="C251" s="26" t="str">
        <f>INDEX(Data,2,2+MOD(ROWS(C$2:C251)-1,2))</f>
        <v>15.00</v>
      </c>
      <c r="D251" s="41">
        <f t="shared" ca="1" si="16"/>
        <v>759.07899999999995</v>
      </c>
      <c r="E251" s="31">
        <f t="shared" ca="1" si="17"/>
        <v>0</v>
      </c>
      <c r="F251" s="42">
        <f t="shared" ca="1" si="18"/>
        <v>30</v>
      </c>
      <c r="G251" s="31">
        <f t="shared" ca="1" si="19"/>
        <v>0</v>
      </c>
    </row>
    <row r="252" spans="1:7" x14ac:dyDescent="0.25">
      <c r="A252" s="12">
        <f t="shared" si="15"/>
        <v>44</v>
      </c>
      <c r="B252" t="str">
        <f ca="1">TEXT(DATE(YEAR(Invoer!$A$5),1,1)+INT((ROWS(B$2:B252)-1)/2),"jjjjmmdd")</f>
        <v>19410506</v>
      </c>
      <c r="C252" s="26" t="str">
        <f>INDEX(Data,2,2+MOD(ROWS(C$2:C252)-1,2))</f>
        <v>08.00</v>
      </c>
      <c r="D252" s="41">
        <f t="shared" ca="1" si="16"/>
        <v>760.73</v>
      </c>
      <c r="E252" s="31">
        <f t="shared" ca="1" si="17"/>
        <v>0</v>
      </c>
      <c r="F252" s="42">
        <f t="shared" ca="1" si="18"/>
        <v>28.888888888888889</v>
      </c>
      <c r="G252" s="31">
        <f t="shared" ca="1" si="19"/>
        <v>0</v>
      </c>
    </row>
    <row r="253" spans="1:7" x14ac:dyDescent="0.25">
      <c r="A253" s="12">
        <f t="shared" si="15"/>
        <v>44</v>
      </c>
      <c r="B253" t="str">
        <f ca="1">TEXT(DATE(YEAR(Invoer!$A$5),1,1)+INT((ROWS(B$2:B253)-1)/2),"jjjjmmdd")</f>
        <v>19410506</v>
      </c>
      <c r="C253" s="26" t="str">
        <f>INDEX(Data,2,2+MOD(ROWS(C$2:C253)-1,2))</f>
        <v>15.00</v>
      </c>
      <c r="D253" s="41">
        <f t="shared" ca="1" si="16"/>
        <v>758.77419999999995</v>
      </c>
      <c r="E253" s="31">
        <f t="shared" ca="1" si="17"/>
        <v>0</v>
      </c>
      <c r="F253" s="42">
        <f t="shared" ca="1" si="18"/>
        <v>30.277777777777779</v>
      </c>
      <c r="G253" s="31">
        <f t="shared" ca="1" si="19"/>
        <v>0</v>
      </c>
    </row>
    <row r="254" spans="1:7" x14ac:dyDescent="0.25">
      <c r="A254" s="12">
        <f t="shared" si="15"/>
        <v>44</v>
      </c>
      <c r="B254" t="str">
        <f ca="1">TEXT(DATE(YEAR(Invoer!$A$5),1,1)+INT((ROWS(B$2:B254)-1)/2),"jjjjmmdd")</f>
        <v>19410507</v>
      </c>
      <c r="C254" s="26" t="str">
        <f>INDEX(Data,2,2+MOD(ROWS(C$2:C254)-1,2))</f>
        <v>08.00</v>
      </c>
      <c r="D254" s="41">
        <f t="shared" ca="1" si="16"/>
        <v>760.95859999999993</v>
      </c>
      <c r="E254" s="31">
        <f t="shared" ca="1" si="17"/>
        <v>0</v>
      </c>
      <c r="F254" s="42">
        <f t="shared" ca="1" si="18"/>
        <v>28.888888888888889</v>
      </c>
      <c r="G254" s="31">
        <f t="shared" ca="1" si="19"/>
        <v>0</v>
      </c>
    </row>
    <row r="255" spans="1:7" x14ac:dyDescent="0.25">
      <c r="A255" s="12">
        <f t="shared" si="15"/>
        <v>44</v>
      </c>
      <c r="B255" t="str">
        <f ca="1">TEXT(DATE(YEAR(Invoer!$A$5),1,1)+INT((ROWS(B$2:B255)-1)/2),"jjjjmmdd")</f>
        <v>19410507</v>
      </c>
      <c r="C255" s="26" t="str">
        <f>INDEX(Data,2,2+MOD(ROWS(C$2:C255)-1,2))</f>
        <v>15.00</v>
      </c>
      <c r="D255" s="41">
        <f t="shared" ca="1" si="16"/>
        <v>758.52019999999993</v>
      </c>
      <c r="E255" s="31">
        <f t="shared" ca="1" si="17"/>
        <v>0</v>
      </c>
      <c r="F255" s="42">
        <f t="shared" ca="1" si="18"/>
        <v>30.277777777777779</v>
      </c>
      <c r="G255" s="31">
        <f t="shared" ca="1" si="19"/>
        <v>0</v>
      </c>
    </row>
    <row r="256" spans="1:7" x14ac:dyDescent="0.25">
      <c r="A256" s="12">
        <f t="shared" si="15"/>
        <v>44</v>
      </c>
      <c r="B256" t="str">
        <f ca="1">TEXT(DATE(YEAR(Invoer!$A$5),1,1)+INT((ROWS(B$2:B256)-1)/2),"jjjjmmdd")</f>
        <v>19410508</v>
      </c>
      <c r="C256" s="26" t="str">
        <f>INDEX(Data,2,2+MOD(ROWS(C$2:C256)-1,2))</f>
        <v>08.00</v>
      </c>
      <c r="D256" s="41">
        <f t="shared" ca="1" si="16"/>
        <v>761.21259999999995</v>
      </c>
      <c r="E256" s="31">
        <f t="shared" ca="1" si="17"/>
        <v>0</v>
      </c>
      <c r="F256" s="42">
        <f t="shared" ca="1" si="18"/>
        <v>28.888888888888889</v>
      </c>
      <c r="G256" s="31">
        <f t="shared" ca="1" si="19"/>
        <v>0</v>
      </c>
    </row>
    <row r="257" spans="1:7" x14ac:dyDescent="0.25">
      <c r="A257" s="12">
        <f t="shared" si="15"/>
        <v>44</v>
      </c>
      <c r="B257" t="str">
        <f ca="1">TEXT(DATE(YEAR(Invoer!$A$5),1,1)+INT((ROWS(B$2:B257)-1)/2),"jjjjmmdd")</f>
        <v>19410508</v>
      </c>
      <c r="C257" s="26" t="str">
        <f>INDEX(Data,2,2+MOD(ROWS(C$2:C257)-1,2))</f>
        <v>15.00</v>
      </c>
      <c r="D257" s="41">
        <f t="shared" ca="1" si="16"/>
        <v>758.82499999999993</v>
      </c>
      <c r="E257" s="31">
        <f t="shared" ca="1" si="17"/>
        <v>0</v>
      </c>
      <c r="F257" s="42">
        <f t="shared" ca="1" si="18"/>
        <v>30</v>
      </c>
      <c r="G257" s="31">
        <f t="shared" ca="1" si="19"/>
        <v>0</v>
      </c>
    </row>
    <row r="258" spans="1:7" x14ac:dyDescent="0.25">
      <c r="A258" s="12">
        <f t="shared" ref="A258:A321" si="20">INDEX(Stations,2,1)</f>
        <v>44</v>
      </c>
      <c r="B258" t="str">
        <f ca="1">TEXT(DATE(YEAR(Invoer!$A$5),1,1)+INT((ROWS(B$2:B258)-1)/2),"jjjjmmdd")</f>
        <v>19410509</v>
      </c>
      <c r="C258" s="26" t="str">
        <f>INDEX(Data,2,2+MOD(ROWS(C$2:C258)-1,2))</f>
        <v>08.00</v>
      </c>
      <c r="D258" s="41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0.0254*VLOOKUP(DATEVALUE(LEFT($B258,4)&amp;"-"&amp;MID($B258,5,2)&amp;"-"&amp;RIGHT($B258,2)),Data,MATCH(LEFT(VLOOKUP(D$1,Parameters,2,FALSE()),4)&amp;"*",OFFSET(Data,0,0,1),0)+MATCH($C258,OFFSET(Data,1,0,1),0)-2,FALSE()))</f>
        <v>761.72059999999999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2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5*(VLOOKUP(DATEVALUE(LEFT($B258,4)&amp;"-"&amp;MID($B258,5,2)&amp;"-"&amp;RIGHT($B258,2)),Data,MATCH(LEFT(VLOOKUP(F$1,Parameters,2,FALSE()),4)&amp;"*",OFFSET(Data,0,0,1),0)+MATCH($C258,OFFSET(Data,1,0,1),0)-2,FALSE())-320)/90)</f>
        <v>28.888888888888889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2">
        <f t="shared" si="20"/>
        <v>44</v>
      </c>
      <c r="B259" t="str">
        <f ca="1">TEXT(DATE(YEAR(Invoer!$A$5),1,1)+INT((ROWS(B$2:B259)-1)/2),"jjjjmmdd")</f>
        <v>19410509</v>
      </c>
      <c r="C259" s="26" t="str">
        <f>INDEX(Data,2,2+MOD(ROWS(C$2:C259)-1,2))</f>
        <v>15.00</v>
      </c>
      <c r="D259" s="41">
        <f t="shared" ca="1" si="21"/>
        <v>759.58699999999999</v>
      </c>
      <c r="E259" s="31">
        <f t="shared" ca="1" si="22"/>
        <v>0</v>
      </c>
      <c r="F259" s="42">
        <f t="shared" ca="1" si="23"/>
        <v>30</v>
      </c>
      <c r="G259" s="31">
        <f t="shared" ca="1" si="24"/>
        <v>0</v>
      </c>
    </row>
    <row r="260" spans="1:7" x14ac:dyDescent="0.25">
      <c r="A260" s="12">
        <f t="shared" si="20"/>
        <v>44</v>
      </c>
      <c r="B260" t="str">
        <f ca="1">TEXT(DATE(YEAR(Invoer!$A$5),1,1)+INT((ROWS(B$2:B260)-1)/2),"jjjjmmdd")</f>
        <v>19410510</v>
      </c>
      <c r="C260" s="26" t="str">
        <f>INDEX(Data,2,2+MOD(ROWS(C$2:C260)-1,2))</f>
        <v>08.00</v>
      </c>
      <c r="D260" s="41">
        <f t="shared" ca="1" si="21"/>
        <v>761.46659999999997</v>
      </c>
      <c r="E260" s="31">
        <f t="shared" ca="1" si="22"/>
        <v>0</v>
      </c>
      <c r="F260" s="42">
        <f t="shared" ca="1" si="23"/>
        <v>28.888888888888889</v>
      </c>
      <c r="G260" s="31">
        <f t="shared" ca="1" si="24"/>
        <v>0</v>
      </c>
    </row>
    <row r="261" spans="1:7" x14ac:dyDescent="0.25">
      <c r="A261" s="12">
        <f t="shared" si="20"/>
        <v>44</v>
      </c>
      <c r="B261" t="str">
        <f ca="1">TEXT(DATE(YEAR(Invoer!$A$5),1,1)+INT((ROWS(B$2:B261)-1)/2),"jjjjmmdd")</f>
        <v>19410510</v>
      </c>
      <c r="C261" s="26" t="str">
        <f>INDEX(Data,2,2+MOD(ROWS(C$2:C261)-1,2))</f>
        <v>15.00</v>
      </c>
      <c r="D261" s="41">
        <f t="shared" ca="1" si="21"/>
        <v>759.02819999999997</v>
      </c>
      <c r="E261" s="31">
        <f t="shared" ca="1" si="22"/>
        <v>0</v>
      </c>
      <c r="F261" s="42">
        <f t="shared" ca="1" si="23"/>
        <v>30.277777777777779</v>
      </c>
      <c r="G261" s="31">
        <f t="shared" ca="1" si="24"/>
        <v>0</v>
      </c>
    </row>
    <row r="262" spans="1:7" x14ac:dyDescent="0.25">
      <c r="A262" s="12">
        <f t="shared" si="20"/>
        <v>44</v>
      </c>
      <c r="B262" t="str">
        <f ca="1">TEXT(DATE(YEAR(Invoer!$A$5),1,1)+INT((ROWS(B$2:B262)-1)/2),"jjjjmmdd")</f>
        <v>19410511</v>
      </c>
      <c r="C262" s="26" t="str">
        <f>INDEX(Data,2,2+MOD(ROWS(C$2:C262)-1,2))</f>
        <v>08.00</v>
      </c>
      <c r="D262" s="41">
        <f t="shared" ca="1" si="21"/>
        <v>761.18719999999996</v>
      </c>
      <c r="E262" s="31">
        <f t="shared" ca="1" si="22"/>
        <v>0</v>
      </c>
      <c r="F262" s="42">
        <f t="shared" ca="1" si="23"/>
        <v>29.166666666666668</v>
      </c>
      <c r="G262" s="31">
        <f t="shared" ca="1" si="24"/>
        <v>0</v>
      </c>
    </row>
    <row r="263" spans="1:7" x14ac:dyDescent="0.25">
      <c r="A263" s="12">
        <f t="shared" si="20"/>
        <v>44</v>
      </c>
      <c r="B263" t="str">
        <f ca="1">TEXT(DATE(YEAR(Invoer!$A$5),1,1)+INT((ROWS(B$2:B263)-1)/2),"jjjjmmdd")</f>
        <v>19410511</v>
      </c>
      <c r="C263" s="26" t="str">
        <f>INDEX(Data,2,2+MOD(ROWS(C$2:C263)-1,2))</f>
        <v>15.00</v>
      </c>
      <c r="D263" s="41">
        <f t="shared" ca="1" si="21"/>
        <v>759.00279999999998</v>
      </c>
      <c r="E263" s="31">
        <f t="shared" ca="1" si="22"/>
        <v>0</v>
      </c>
      <c r="F263" s="42">
        <f t="shared" ca="1" si="23"/>
        <v>30.555555555555557</v>
      </c>
      <c r="G263" s="31">
        <f t="shared" ca="1" si="24"/>
        <v>0</v>
      </c>
    </row>
    <row r="264" spans="1:7" x14ac:dyDescent="0.25">
      <c r="A264" s="12">
        <f t="shared" si="20"/>
        <v>44</v>
      </c>
      <c r="B264" t="str">
        <f ca="1">TEXT(DATE(YEAR(Invoer!$A$5),1,1)+INT((ROWS(B$2:B264)-1)/2),"jjjjmmdd")</f>
        <v>19410512</v>
      </c>
      <c r="C264" s="26" t="str">
        <f>INDEX(Data,2,2+MOD(ROWS(C$2:C264)-1,2))</f>
        <v>08.00</v>
      </c>
      <c r="D264" s="41">
        <f t="shared" ca="1" si="21"/>
        <v>761.13639999999998</v>
      </c>
      <c r="E264" s="31">
        <f t="shared" ca="1" si="22"/>
        <v>0</v>
      </c>
      <c r="F264" s="42">
        <f t="shared" ca="1" si="23"/>
        <v>29.444444444444443</v>
      </c>
      <c r="G264" s="31">
        <f t="shared" ca="1" si="24"/>
        <v>0</v>
      </c>
    </row>
    <row r="265" spans="1:7" x14ac:dyDescent="0.25">
      <c r="A265" s="12">
        <f t="shared" si="20"/>
        <v>44</v>
      </c>
      <c r="B265" t="str">
        <f ca="1">TEXT(DATE(YEAR(Invoer!$A$5),1,1)+INT((ROWS(B$2:B265)-1)/2),"jjjjmmdd")</f>
        <v>19410512</v>
      </c>
      <c r="C265" s="26" t="str">
        <f>INDEX(Data,2,2+MOD(ROWS(C$2:C265)-1,2))</f>
        <v>15.00</v>
      </c>
      <c r="D265" s="41">
        <f t="shared" ca="1" si="21"/>
        <v>758.74879999999996</v>
      </c>
      <c r="E265" s="31">
        <f t="shared" ca="1" si="22"/>
        <v>0</v>
      </c>
      <c r="F265" s="42">
        <f t="shared" ca="1" si="23"/>
        <v>30.555555555555557</v>
      </c>
      <c r="G265" s="31">
        <f t="shared" ca="1" si="24"/>
        <v>0</v>
      </c>
    </row>
    <row r="266" spans="1:7" x14ac:dyDescent="0.25">
      <c r="A266" s="12">
        <f t="shared" si="20"/>
        <v>44</v>
      </c>
      <c r="B266" t="str">
        <f ca="1">TEXT(DATE(YEAR(Invoer!$A$5),1,1)+INT((ROWS(B$2:B266)-1)/2),"jjjjmmdd")</f>
        <v>19410513</v>
      </c>
      <c r="C266" s="26" t="str">
        <f>INDEX(Data,2,2+MOD(ROWS(C$2:C266)-1,2))</f>
        <v>08.00</v>
      </c>
      <c r="D266" s="41">
        <f t="shared" ca="1" si="21"/>
        <v>761.21259999999995</v>
      </c>
      <c r="E266" s="31">
        <f t="shared" ca="1" si="22"/>
        <v>0</v>
      </c>
      <c r="F266" s="42">
        <f t="shared" ca="1" si="23"/>
        <v>28.888888888888889</v>
      </c>
      <c r="G266" s="31">
        <f t="shared" ca="1" si="24"/>
        <v>0</v>
      </c>
    </row>
    <row r="267" spans="1:7" x14ac:dyDescent="0.25">
      <c r="A267" s="12">
        <f t="shared" si="20"/>
        <v>44</v>
      </c>
      <c r="B267" t="str">
        <f ca="1">TEXT(DATE(YEAR(Invoer!$A$5),1,1)+INT((ROWS(B$2:B267)-1)/2),"jjjjmmdd")</f>
        <v>19410513</v>
      </c>
      <c r="C267" s="26" t="str">
        <f>INDEX(Data,2,2+MOD(ROWS(C$2:C267)-1,2))</f>
        <v>15.00</v>
      </c>
      <c r="D267" s="41">
        <f t="shared" ca="1" si="21"/>
        <v>759.2568</v>
      </c>
      <c r="E267" s="31">
        <f t="shared" ca="1" si="22"/>
        <v>0</v>
      </c>
      <c r="F267" s="42">
        <f t="shared" ca="1" si="23"/>
        <v>30.555555555555557</v>
      </c>
      <c r="G267" s="31">
        <f t="shared" ca="1" si="24"/>
        <v>0</v>
      </c>
    </row>
    <row r="268" spans="1:7" x14ac:dyDescent="0.25">
      <c r="A268" s="12">
        <f t="shared" si="20"/>
        <v>44</v>
      </c>
      <c r="B268" t="str">
        <f ca="1">TEXT(DATE(YEAR(Invoer!$A$5),1,1)+INT((ROWS(B$2:B268)-1)/2),"jjjjmmdd")</f>
        <v>19410514</v>
      </c>
      <c r="C268" s="26" t="str">
        <f>INDEX(Data,2,2+MOD(ROWS(C$2:C268)-1,2))</f>
        <v>08.00</v>
      </c>
      <c r="D268" s="41">
        <f t="shared" ca="1" si="21"/>
        <v>760.39979999999991</v>
      </c>
      <c r="E268" s="31">
        <f t="shared" ca="1" si="22"/>
        <v>0</v>
      </c>
      <c r="F268" s="42">
        <f t="shared" ca="1" si="23"/>
        <v>29.444444444444443</v>
      </c>
      <c r="G268" s="31">
        <f t="shared" ca="1" si="24"/>
        <v>0</v>
      </c>
    </row>
    <row r="269" spans="1:7" x14ac:dyDescent="0.25">
      <c r="A269" s="12">
        <f t="shared" si="20"/>
        <v>44</v>
      </c>
      <c r="B269" t="str">
        <f ca="1">TEXT(DATE(YEAR(Invoer!$A$5),1,1)+INT((ROWS(B$2:B269)-1)/2),"jjjjmmdd")</f>
        <v>19410514</v>
      </c>
      <c r="C269" s="26" t="str">
        <f>INDEX(Data,2,2+MOD(ROWS(C$2:C269)-1,2))</f>
        <v>15.00</v>
      </c>
      <c r="D269" s="41">
        <f t="shared" ca="1" si="21"/>
        <v>758.21539999999993</v>
      </c>
      <c r="E269" s="31">
        <f t="shared" ca="1" si="22"/>
        <v>0</v>
      </c>
      <c r="F269" s="42">
        <f t="shared" ca="1" si="23"/>
        <v>30.833333333333332</v>
      </c>
      <c r="G269" s="31">
        <f t="shared" ca="1" si="24"/>
        <v>0</v>
      </c>
    </row>
    <row r="270" spans="1:7" x14ac:dyDescent="0.25">
      <c r="A270" s="12">
        <f t="shared" si="20"/>
        <v>44</v>
      </c>
      <c r="B270" t="str">
        <f ca="1">TEXT(DATE(YEAR(Invoer!$A$5),1,1)+INT((ROWS(B$2:B270)-1)/2),"jjjjmmdd")</f>
        <v>19410515</v>
      </c>
      <c r="C270" s="26" t="str">
        <f>INDEX(Data,2,2+MOD(ROWS(C$2:C270)-1,2))</f>
        <v>08.00</v>
      </c>
      <c r="D270" s="41">
        <f t="shared" ca="1" si="21"/>
        <v>760.14580000000001</v>
      </c>
      <c r="E270" s="31">
        <f t="shared" ca="1" si="22"/>
        <v>0</v>
      </c>
      <c r="F270" s="42">
        <f t="shared" ca="1" si="23"/>
        <v>29.444444444444443</v>
      </c>
      <c r="G270" s="31">
        <f t="shared" ca="1" si="24"/>
        <v>0</v>
      </c>
    </row>
    <row r="271" spans="1:7" x14ac:dyDescent="0.25">
      <c r="A271" s="12">
        <f t="shared" si="20"/>
        <v>44</v>
      </c>
      <c r="B271" t="str">
        <f ca="1">TEXT(DATE(YEAR(Invoer!$A$5),1,1)+INT((ROWS(B$2:B271)-1)/2),"jjjjmmdd")</f>
        <v>19410515</v>
      </c>
      <c r="C271" s="26" t="str">
        <f>INDEX(Data,2,2+MOD(ROWS(C$2:C271)-1,2))</f>
        <v>15.00</v>
      </c>
      <c r="D271" s="41">
        <f t="shared" ca="1" si="21"/>
        <v>757.7328</v>
      </c>
      <c r="E271" s="31">
        <f t="shared" ca="1" si="22"/>
        <v>0</v>
      </c>
      <c r="F271" s="42">
        <f t="shared" ca="1" si="23"/>
        <v>30.555555555555557</v>
      </c>
      <c r="G271" s="31">
        <f t="shared" ca="1" si="24"/>
        <v>0</v>
      </c>
    </row>
    <row r="272" spans="1:7" x14ac:dyDescent="0.25">
      <c r="A272" s="12">
        <f t="shared" si="20"/>
        <v>44</v>
      </c>
      <c r="B272" t="str">
        <f ca="1">TEXT(DATE(YEAR(Invoer!$A$5),1,1)+INT((ROWS(B$2:B272)-1)/2),"jjjjmmdd")</f>
        <v>19410516</v>
      </c>
      <c r="C272" s="26" t="str">
        <f>INDEX(Data,2,2+MOD(ROWS(C$2:C272)-1,2))</f>
        <v>08.00</v>
      </c>
      <c r="D272" s="41">
        <f t="shared" ca="1" si="21"/>
        <v>759.63779999999997</v>
      </c>
      <c r="E272" s="31">
        <f t="shared" ca="1" si="22"/>
        <v>0</v>
      </c>
      <c r="F272" s="42">
        <f t="shared" ca="1" si="23"/>
        <v>29.444444444444443</v>
      </c>
      <c r="G272" s="31">
        <f t="shared" ca="1" si="24"/>
        <v>0</v>
      </c>
    </row>
    <row r="273" spans="1:7" x14ac:dyDescent="0.25">
      <c r="A273" s="12">
        <f t="shared" si="20"/>
        <v>44</v>
      </c>
      <c r="B273" t="str">
        <f ca="1">TEXT(DATE(YEAR(Invoer!$A$5),1,1)+INT((ROWS(B$2:B273)-1)/2),"jjjjmmdd")</f>
        <v>19410516</v>
      </c>
      <c r="C273" s="26" t="str">
        <f>INDEX(Data,2,2+MOD(ROWS(C$2:C273)-1,2))</f>
        <v>15.00</v>
      </c>
      <c r="D273" s="41">
        <f t="shared" ca="1" si="21"/>
        <v>758.16459999999995</v>
      </c>
      <c r="E273" s="31">
        <f t="shared" ca="1" si="22"/>
        <v>0</v>
      </c>
      <c r="F273" s="42">
        <f t="shared" ca="1" si="23"/>
        <v>31.111111111111111</v>
      </c>
      <c r="G273" s="31">
        <f t="shared" ca="1" si="24"/>
        <v>0</v>
      </c>
    </row>
    <row r="274" spans="1:7" x14ac:dyDescent="0.25">
      <c r="A274" s="12">
        <f t="shared" si="20"/>
        <v>44</v>
      </c>
      <c r="B274" t="str">
        <f ca="1">TEXT(DATE(YEAR(Invoer!$A$5),1,1)+INT((ROWS(B$2:B274)-1)/2),"jjjjmmdd")</f>
        <v>19410517</v>
      </c>
      <c r="C274" s="26" t="str">
        <f>INDEX(Data,2,2+MOD(ROWS(C$2:C274)-1,2))</f>
        <v>08.00</v>
      </c>
      <c r="D274" s="41">
        <f t="shared" ca="1" si="21"/>
        <v>752.42419999999993</v>
      </c>
      <c r="E274" s="31">
        <f t="shared" ca="1" si="22"/>
        <v>0</v>
      </c>
      <c r="F274" s="42">
        <f t="shared" ca="1" si="23"/>
        <v>30.555555555555557</v>
      </c>
      <c r="G274" s="31">
        <f t="shared" ca="1" si="24"/>
        <v>0</v>
      </c>
    </row>
    <row r="275" spans="1:7" x14ac:dyDescent="0.25">
      <c r="A275" s="12">
        <f t="shared" si="20"/>
        <v>44</v>
      </c>
      <c r="B275" t="str">
        <f ca="1">TEXT(DATE(YEAR(Invoer!$A$5),1,1)+INT((ROWS(B$2:B275)-1)/2),"jjjjmmdd")</f>
        <v>19410517</v>
      </c>
      <c r="C275" s="26" t="str">
        <f>INDEX(Data,2,2+MOD(ROWS(C$2:C275)-1,2))</f>
        <v>15.00</v>
      </c>
      <c r="D275" s="41">
        <f t="shared" ca="1" si="21"/>
        <v>750.34140000000002</v>
      </c>
      <c r="E275" s="31">
        <f t="shared" ca="1" si="22"/>
        <v>0</v>
      </c>
      <c r="F275" s="42">
        <f t="shared" ca="1" si="23"/>
        <v>31.111111111111111</v>
      </c>
      <c r="G275" s="31">
        <f t="shared" ca="1" si="24"/>
        <v>0</v>
      </c>
    </row>
    <row r="276" spans="1:7" x14ac:dyDescent="0.25">
      <c r="A276" s="12">
        <f t="shared" si="20"/>
        <v>44</v>
      </c>
      <c r="B276" t="str">
        <f ca="1">TEXT(DATE(YEAR(Invoer!$A$5),1,1)+INT((ROWS(B$2:B276)-1)/2),"jjjjmmdd")</f>
        <v>19410518</v>
      </c>
      <c r="C276" s="26" t="str">
        <f>INDEX(Data,2,2+MOD(ROWS(C$2:C276)-1,2))</f>
        <v>08.00</v>
      </c>
      <c r="D276" s="41">
        <f t="shared" ca="1" si="21"/>
        <v>752.75439999999992</v>
      </c>
      <c r="E276" s="31">
        <f t="shared" ca="1" si="22"/>
        <v>0</v>
      </c>
      <c r="F276" s="42">
        <f t="shared" ca="1" si="23"/>
        <v>30</v>
      </c>
      <c r="G276" s="31">
        <f t="shared" ca="1" si="24"/>
        <v>0</v>
      </c>
    </row>
    <row r="277" spans="1:7" x14ac:dyDescent="0.25">
      <c r="A277" s="12">
        <f t="shared" si="20"/>
        <v>44</v>
      </c>
      <c r="B277" t="str">
        <f ca="1">TEXT(DATE(YEAR(Invoer!$A$5),1,1)+INT((ROWS(B$2:B277)-1)/2),"jjjjmmdd")</f>
        <v>19410518</v>
      </c>
      <c r="C277" s="26" t="str">
        <f>INDEX(Data,2,2+MOD(ROWS(C$2:C277)-1,2))</f>
        <v>15.00</v>
      </c>
      <c r="D277" s="41">
        <f t="shared" ca="1" si="21"/>
        <v>751.07799999999997</v>
      </c>
      <c r="E277" s="31">
        <f t="shared" ca="1" si="22"/>
        <v>0</v>
      </c>
      <c r="F277" s="42">
        <f t="shared" ca="1" si="23"/>
        <v>31.111111111111111</v>
      </c>
      <c r="G277" s="31">
        <f t="shared" ca="1" si="24"/>
        <v>0</v>
      </c>
    </row>
    <row r="278" spans="1:7" x14ac:dyDescent="0.25">
      <c r="A278" s="12">
        <f t="shared" si="20"/>
        <v>44</v>
      </c>
      <c r="B278" t="str">
        <f ca="1">TEXT(DATE(YEAR(Invoer!$A$5),1,1)+INT((ROWS(B$2:B278)-1)/2),"jjjjmmdd")</f>
        <v>19410519</v>
      </c>
      <c r="C278" s="26" t="str">
        <f>INDEX(Data,2,2+MOD(ROWS(C$2:C278)-1,2))</f>
        <v>08.00</v>
      </c>
      <c r="D278" s="41">
        <f t="shared" ca="1" si="21"/>
        <v>753.79579999999999</v>
      </c>
      <c r="E278" s="31">
        <f t="shared" ca="1" si="22"/>
        <v>0</v>
      </c>
      <c r="F278" s="42">
        <f t="shared" ca="1" si="23"/>
        <v>29.722222222222221</v>
      </c>
      <c r="G278" s="31">
        <f t="shared" ca="1" si="24"/>
        <v>0</v>
      </c>
    </row>
    <row r="279" spans="1:7" x14ac:dyDescent="0.25">
      <c r="A279" s="12">
        <f t="shared" si="20"/>
        <v>44</v>
      </c>
      <c r="B279" t="str">
        <f ca="1">TEXT(DATE(YEAR(Invoer!$A$5),1,1)+INT((ROWS(B$2:B279)-1)/2),"jjjjmmdd")</f>
        <v>19410519</v>
      </c>
      <c r="C279" s="26" t="str">
        <f>INDEX(Data,2,2+MOD(ROWS(C$2:C279)-1,2))</f>
        <v>15.00</v>
      </c>
      <c r="D279" s="41">
        <f t="shared" ca="1" si="21"/>
        <v>751.94159999999999</v>
      </c>
      <c r="E279" s="31">
        <f t="shared" ca="1" si="22"/>
        <v>0</v>
      </c>
      <c r="F279" s="42">
        <f t="shared" ca="1" si="23"/>
        <v>30.277777777777779</v>
      </c>
      <c r="G279" s="31">
        <f t="shared" ca="1" si="24"/>
        <v>0</v>
      </c>
    </row>
    <row r="280" spans="1:7" x14ac:dyDescent="0.25">
      <c r="A280" s="12">
        <f t="shared" si="20"/>
        <v>44</v>
      </c>
      <c r="B280" t="str">
        <f ca="1">TEXT(DATE(YEAR(Invoer!$A$5),1,1)+INT((ROWS(B$2:B280)-1)/2),"jjjjmmdd")</f>
        <v>19410520</v>
      </c>
      <c r="C280" s="26" t="str">
        <f>INDEX(Data,2,2+MOD(ROWS(C$2:C280)-1,2))</f>
        <v>08.00</v>
      </c>
      <c r="D280" s="41">
        <f t="shared" ca="1" si="21"/>
        <v>752.50040000000001</v>
      </c>
      <c r="E280" s="31">
        <f t="shared" ca="1" si="22"/>
        <v>0</v>
      </c>
      <c r="F280" s="42">
        <f t="shared" ca="1" si="23"/>
        <v>30</v>
      </c>
      <c r="G280" s="31">
        <f t="shared" ca="1" si="24"/>
        <v>0</v>
      </c>
    </row>
    <row r="281" spans="1:7" x14ac:dyDescent="0.25">
      <c r="A281" s="12">
        <f t="shared" si="20"/>
        <v>44</v>
      </c>
      <c r="B281" t="str">
        <f ca="1">TEXT(DATE(YEAR(Invoer!$A$5),1,1)+INT((ROWS(B$2:B281)-1)/2),"jjjjmmdd")</f>
        <v>19410520</v>
      </c>
      <c r="C281" s="26" t="str">
        <f>INDEX(Data,2,2+MOD(ROWS(C$2:C281)-1,2))</f>
        <v>15.00</v>
      </c>
      <c r="D281" s="41">
        <f t="shared" ca="1" si="21"/>
        <v>751.33199999999999</v>
      </c>
      <c r="E281" s="31">
        <f t="shared" ca="1" si="22"/>
        <v>0</v>
      </c>
      <c r="F281" s="42">
        <f t="shared" ca="1" si="23"/>
        <v>31.111111111111111</v>
      </c>
      <c r="G281" s="31">
        <f t="shared" ca="1" si="24"/>
        <v>0</v>
      </c>
    </row>
    <row r="282" spans="1:7" x14ac:dyDescent="0.25">
      <c r="A282" s="12">
        <f t="shared" si="20"/>
        <v>44</v>
      </c>
      <c r="B282" t="str">
        <f ca="1">TEXT(DATE(YEAR(Invoer!$A$5),1,1)+INT((ROWS(B$2:B282)-1)/2),"jjjjmmdd")</f>
        <v>19410521</v>
      </c>
      <c r="C282" s="26" t="str">
        <f>INDEX(Data,2,2+MOD(ROWS(C$2:C282)-1,2))</f>
        <v>08.00</v>
      </c>
      <c r="D282" s="41">
        <f t="shared" ca="1" si="21"/>
        <v>752.24639999999999</v>
      </c>
      <c r="E282" s="31">
        <f t="shared" ca="1" si="22"/>
        <v>0</v>
      </c>
      <c r="F282" s="42">
        <f t="shared" ca="1" si="23"/>
        <v>30</v>
      </c>
      <c r="G282" s="31">
        <f t="shared" ca="1" si="24"/>
        <v>0</v>
      </c>
    </row>
    <row r="283" spans="1:7" x14ac:dyDescent="0.25">
      <c r="A283" s="12">
        <f t="shared" si="20"/>
        <v>44</v>
      </c>
      <c r="B283" t="str">
        <f ca="1">TEXT(DATE(YEAR(Invoer!$A$5),1,1)+INT((ROWS(B$2:B283)-1)/2),"jjjjmmdd")</f>
        <v>19410521</v>
      </c>
      <c r="C283" s="26" t="str">
        <f>INDEX(Data,2,2+MOD(ROWS(C$2:C283)-1,2))</f>
        <v>15.00</v>
      </c>
      <c r="D283" s="41">
        <f t="shared" ca="1" si="21"/>
        <v>751.07799999999997</v>
      </c>
      <c r="E283" s="31">
        <f t="shared" ca="1" si="22"/>
        <v>0</v>
      </c>
      <c r="F283" s="42">
        <f t="shared" ca="1" si="23"/>
        <v>31.111111111111111</v>
      </c>
      <c r="G283" s="31">
        <f t="shared" ca="1" si="24"/>
        <v>0</v>
      </c>
    </row>
    <row r="284" spans="1:7" x14ac:dyDescent="0.25">
      <c r="A284" s="12">
        <f t="shared" si="20"/>
        <v>44</v>
      </c>
      <c r="B284" t="str">
        <f ca="1">TEXT(DATE(YEAR(Invoer!$A$5),1,1)+INT((ROWS(B$2:B284)-1)/2),"jjjjmmdd")</f>
        <v>19410522</v>
      </c>
      <c r="C284" s="26" t="str">
        <f>INDEX(Data,2,2+MOD(ROWS(C$2:C284)-1,2))</f>
        <v>08.00</v>
      </c>
      <c r="D284" s="41">
        <f t="shared" ca="1" si="21"/>
        <v>752.27179999999998</v>
      </c>
      <c r="E284" s="31">
        <f t="shared" ca="1" si="22"/>
        <v>0</v>
      </c>
      <c r="F284" s="42">
        <f t="shared" ca="1" si="23"/>
        <v>29.722222222222221</v>
      </c>
      <c r="G284" s="31">
        <f t="shared" ca="1" si="24"/>
        <v>0</v>
      </c>
    </row>
    <row r="285" spans="1:7" x14ac:dyDescent="0.25">
      <c r="A285" s="12">
        <f t="shared" si="20"/>
        <v>44</v>
      </c>
      <c r="B285" t="str">
        <f ca="1">TEXT(DATE(YEAR(Invoer!$A$5),1,1)+INT((ROWS(B$2:B285)-1)/2),"jjjjmmdd")</f>
        <v>19410522</v>
      </c>
      <c r="C285" s="26" t="str">
        <f>INDEX(Data,2,2+MOD(ROWS(C$2:C285)-1,2))</f>
        <v>15.00</v>
      </c>
      <c r="D285" s="41">
        <f t="shared" ca="1" si="21"/>
        <v>751.94159999999999</v>
      </c>
      <c r="E285" s="31">
        <f t="shared" ca="1" si="22"/>
        <v>0</v>
      </c>
      <c r="F285" s="42">
        <f t="shared" ca="1" si="23"/>
        <v>30.277777777777779</v>
      </c>
      <c r="G285" s="31">
        <f t="shared" ca="1" si="24"/>
        <v>0</v>
      </c>
    </row>
    <row r="286" spans="1:7" x14ac:dyDescent="0.25">
      <c r="A286" s="12">
        <f t="shared" si="20"/>
        <v>44</v>
      </c>
      <c r="B286" t="str">
        <f ca="1">TEXT(DATE(YEAR(Invoer!$A$5),1,1)+INT((ROWS(B$2:B286)-1)/2),"jjjjmmdd")</f>
        <v>19410523</v>
      </c>
      <c r="C286" s="26" t="str">
        <f>INDEX(Data,2,2+MOD(ROWS(C$2:C286)-1,2))</f>
        <v>08.00</v>
      </c>
      <c r="D286" s="41">
        <f t="shared" ca="1" si="21"/>
        <v>751.78919999999994</v>
      </c>
      <c r="E286" s="31">
        <f t="shared" ca="1" si="22"/>
        <v>0</v>
      </c>
      <c r="F286" s="42">
        <f t="shared" ca="1" si="23"/>
        <v>29.444444444444443</v>
      </c>
      <c r="G286" s="31">
        <f t="shared" ca="1" si="24"/>
        <v>0</v>
      </c>
    </row>
    <row r="287" spans="1:7" x14ac:dyDescent="0.25">
      <c r="A287" s="12">
        <f t="shared" si="20"/>
        <v>44</v>
      </c>
      <c r="B287" t="str">
        <f ca="1">TEXT(DATE(YEAR(Invoer!$A$5),1,1)+INT((ROWS(B$2:B287)-1)/2),"jjjjmmdd")</f>
        <v>19410523</v>
      </c>
      <c r="C287" s="26" t="str">
        <f>INDEX(Data,2,2+MOD(ROWS(C$2:C287)-1,2))</f>
        <v>15.00</v>
      </c>
      <c r="D287" s="41">
        <f t="shared" ca="1" si="21"/>
        <v>750.46839999999997</v>
      </c>
      <c r="E287" s="31">
        <f t="shared" ca="1" si="22"/>
        <v>0</v>
      </c>
      <c r="F287" s="42">
        <f t="shared" ca="1" si="23"/>
        <v>30</v>
      </c>
      <c r="G287" s="31">
        <f t="shared" ca="1" si="24"/>
        <v>0</v>
      </c>
    </row>
    <row r="288" spans="1:7" x14ac:dyDescent="0.25">
      <c r="A288" s="12">
        <f t="shared" si="20"/>
        <v>44</v>
      </c>
      <c r="B288" t="str">
        <f ca="1">TEXT(DATE(YEAR(Invoer!$A$5),1,1)+INT((ROWS(B$2:B288)-1)/2),"jjjjmmdd")</f>
        <v>19410524</v>
      </c>
      <c r="C288" s="26" t="str">
        <f>INDEX(Data,2,2+MOD(ROWS(C$2:C288)-1,2))</f>
        <v>08.00</v>
      </c>
      <c r="D288" s="41">
        <f t="shared" ca="1" si="21"/>
        <v>751.78919999999994</v>
      </c>
      <c r="E288" s="31">
        <f t="shared" ca="1" si="22"/>
        <v>0</v>
      </c>
      <c r="F288" s="42">
        <f t="shared" ca="1" si="23"/>
        <v>29.444444444444443</v>
      </c>
      <c r="G288" s="31">
        <f t="shared" ca="1" si="24"/>
        <v>0</v>
      </c>
    </row>
    <row r="289" spans="1:7" x14ac:dyDescent="0.25">
      <c r="A289" s="12">
        <f t="shared" si="20"/>
        <v>44</v>
      </c>
      <c r="B289" t="str">
        <f ca="1">TEXT(DATE(YEAR(Invoer!$A$5),1,1)+INT((ROWS(B$2:B289)-1)/2),"jjjjmmdd")</f>
        <v>19410524</v>
      </c>
      <c r="C289" s="26" t="str">
        <f>INDEX(Data,2,2+MOD(ROWS(C$2:C289)-1,2))</f>
        <v>15.00</v>
      </c>
      <c r="D289" s="41">
        <f t="shared" ca="1" si="21"/>
        <v>750.0874</v>
      </c>
      <c r="E289" s="31">
        <f t="shared" ca="1" si="22"/>
        <v>0</v>
      </c>
      <c r="F289" s="42">
        <f t="shared" ca="1" si="23"/>
        <v>31.111111111111111</v>
      </c>
      <c r="G289" s="31">
        <f t="shared" ca="1" si="24"/>
        <v>0</v>
      </c>
    </row>
    <row r="290" spans="1:7" x14ac:dyDescent="0.25">
      <c r="A290" s="12">
        <f t="shared" si="20"/>
        <v>44</v>
      </c>
      <c r="B290" t="str">
        <f ca="1">TEXT(DATE(YEAR(Invoer!$A$5),1,1)+INT((ROWS(B$2:B290)-1)/2),"jjjjmmdd")</f>
        <v>19410525</v>
      </c>
      <c r="C290" s="26" t="str">
        <f>INDEX(Data,2,2+MOD(ROWS(C$2:C290)-1,2))</f>
        <v>08.00</v>
      </c>
      <c r="D290" s="41">
        <f t="shared" ca="1" si="21"/>
        <v>752.50040000000001</v>
      </c>
      <c r="E290" s="31">
        <f t="shared" ca="1" si="22"/>
        <v>0</v>
      </c>
      <c r="F290" s="42">
        <f t="shared" ca="1" si="23"/>
        <v>30</v>
      </c>
      <c r="G290" s="31">
        <f t="shared" ca="1" si="24"/>
        <v>0</v>
      </c>
    </row>
    <row r="291" spans="1:7" x14ac:dyDescent="0.25">
      <c r="A291" s="12">
        <f t="shared" si="20"/>
        <v>44</v>
      </c>
      <c r="B291" t="str">
        <f ca="1">TEXT(DATE(YEAR(Invoer!$A$5),1,1)+INT((ROWS(B$2:B291)-1)/2),"jjjjmmdd")</f>
        <v>19410525</v>
      </c>
      <c r="C291" s="26" t="str">
        <f>INDEX(Data,2,2+MOD(ROWS(C$2:C291)-1,2))</f>
        <v>15.00</v>
      </c>
      <c r="D291" s="41">
        <f t="shared" ca="1" si="21"/>
        <v>751.33199999999999</v>
      </c>
      <c r="E291" s="31">
        <f t="shared" ca="1" si="22"/>
        <v>0</v>
      </c>
      <c r="F291" s="42">
        <f t="shared" ca="1" si="23"/>
        <v>31.111111111111111</v>
      </c>
      <c r="G291" s="31">
        <f t="shared" ca="1" si="24"/>
        <v>0</v>
      </c>
    </row>
    <row r="292" spans="1:7" x14ac:dyDescent="0.25">
      <c r="A292" s="12">
        <f t="shared" si="20"/>
        <v>44</v>
      </c>
      <c r="B292" t="str">
        <f ca="1">TEXT(DATE(YEAR(Invoer!$A$5),1,1)+INT((ROWS(B$2:B292)-1)/2),"jjjjmmdd")</f>
        <v>19410526</v>
      </c>
      <c r="C292" s="26" t="str">
        <f>INDEX(Data,2,2+MOD(ROWS(C$2:C292)-1,2))</f>
        <v>08.00</v>
      </c>
      <c r="D292" s="41">
        <f t="shared" ca="1" si="21"/>
        <v>751.48439999999994</v>
      </c>
      <c r="E292" s="31">
        <f t="shared" ca="1" si="22"/>
        <v>0</v>
      </c>
      <c r="F292" s="42">
        <f t="shared" ca="1" si="23"/>
        <v>30</v>
      </c>
      <c r="G292" s="31">
        <f t="shared" ca="1" si="24"/>
        <v>0</v>
      </c>
    </row>
    <row r="293" spans="1:7" x14ac:dyDescent="0.25">
      <c r="A293" s="12">
        <f t="shared" si="20"/>
        <v>44</v>
      </c>
      <c r="B293" t="str">
        <f ca="1">TEXT(DATE(YEAR(Invoer!$A$5),1,1)+INT((ROWS(B$2:B293)-1)/2),"jjjjmmdd")</f>
        <v>19410526</v>
      </c>
      <c r="C293" s="26" t="str">
        <f>INDEX(Data,2,2+MOD(ROWS(C$2:C293)-1,2))</f>
        <v>15.00</v>
      </c>
      <c r="D293" s="41">
        <f t="shared" ca="1" si="21"/>
        <v>751.78919999999994</v>
      </c>
      <c r="E293" s="31">
        <f t="shared" ca="1" si="22"/>
        <v>0</v>
      </c>
      <c r="F293" s="42">
        <f t="shared" ca="1" si="23"/>
        <v>31.111111111111111</v>
      </c>
      <c r="G293" s="31">
        <f t="shared" ca="1" si="24"/>
        <v>0</v>
      </c>
    </row>
    <row r="294" spans="1:7" x14ac:dyDescent="0.25">
      <c r="A294" s="12">
        <f t="shared" si="20"/>
        <v>44</v>
      </c>
      <c r="B294" t="str">
        <f ca="1">TEXT(DATE(YEAR(Invoer!$A$5),1,1)+INT((ROWS(B$2:B294)-1)/2),"jjjjmmdd")</f>
        <v>19410527</v>
      </c>
      <c r="C294" s="26" t="str">
        <f>INDEX(Data,2,2+MOD(ROWS(C$2:C294)-1,2))</f>
        <v>08.00</v>
      </c>
      <c r="D294" s="41">
        <f t="shared" ca="1" si="21"/>
        <v>753.54179999999997</v>
      </c>
      <c r="E294" s="31">
        <f t="shared" ca="1" si="22"/>
        <v>0</v>
      </c>
      <c r="F294" s="42">
        <f t="shared" ca="1" si="23"/>
        <v>29.722222222222221</v>
      </c>
      <c r="G294" s="31">
        <f t="shared" ca="1" si="24"/>
        <v>0</v>
      </c>
    </row>
    <row r="295" spans="1:7" x14ac:dyDescent="0.25">
      <c r="A295" s="12">
        <f t="shared" si="20"/>
        <v>44</v>
      </c>
      <c r="B295" t="str">
        <f ca="1">TEXT(DATE(YEAR(Invoer!$A$5),1,1)+INT((ROWS(B$2:B295)-1)/2),"jjjjmmdd")</f>
        <v>19410527</v>
      </c>
      <c r="C295" s="26" t="str">
        <f>INDEX(Data,2,2+MOD(ROWS(C$2:C295)-1,2))</f>
        <v>15.00</v>
      </c>
      <c r="D295" s="41">
        <f t="shared" ca="1" si="21"/>
        <v>751.9162</v>
      </c>
      <c r="E295" s="31">
        <f t="shared" ca="1" si="22"/>
        <v>0</v>
      </c>
      <c r="F295" s="42">
        <f t="shared" ca="1" si="23"/>
        <v>30.555555555555557</v>
      </c>
      <c r="G295" s="31">
        <f t="shared" ca="1" si="24"/>
        <v>0</v>
      </c>
    </row>
    <row r="296" spans="1:7" x14ac:dyDescent="0.25">
      <c r="A296" s="12">
        <f t="shared" si="20"/>
        <v>44</v>
      </c>
      <c r="B296" t="str">
        <f ca="1">TEXT(DATE(YEAR(Invoer!$A$5),1,1)+INT((ROWS(B$2:B296)-1)/2),"jjjjmmdd")</f>
        <v>19410528</v>
      </c>
      <c r="C296" s="26" t="str">
        <f>INDEX(Data,2,2+MOD(ROWS(C$2:C296)-1,2))</f>
        <v>08.00</v>
      </c>
      <c r="D296" s="41">
        <f t="shared" ca="1" si="21"/>
        <v>754.0752</v>
      </c>
      <c r="E296" s="31">
        <f t="shared" ca="1" si="22"/>
        <v>0</v>
      </c>
      <c r="F296" s="42">
        <f t="shared" ca="1" si="23"/>
        <v>29.444444444444443</v>
      </c>
      <c r="G296" s="31">
        <f t="shared" ca="1" si="24"/>
        <v>0</v>
      </c>
    </row>
    <row r="297" spans="1:7" x14ac:dyDescent="0.25">
      <c r="A297" s="12">
        <f t="shared" si="20"/>
        <v>44</v>
      </c>
      <c r="B297" t="str">
        <f ca="1">TEXT(DATE(YEAR(Invoer!$A$5),1,1)+INT((ROWS(B$2:B297)-1)/2),"jjjjmmdd")</f>
        <v>19410528</v>
      </c>
      <c r="C297" s="26" t="str">
        <f>INDEX(Data,2,2+MOD(ROWS(C$2:C297)-1,2))</f>
        <v>15.00</v>
      </c>
      <c r="D297" s="41">
        <f t="shared" ca="1" si="21"/>
        <v>752.67819999999995</v>
      </c>
      <c r="E297" s="31">
        <f t="shared" ca="1" si="22"/>
        <v>0</v>
      </c>
      <c r="F297" s="42">
        <f t="shared" ca="1" si="23"/>
        <v>30.555555555555557</v>
      </c>
      <c r="G297" s="31">
        <f t="shared" ca="1" si="24"/>
        <v>0</v>
      </c>
    </row>
    <row r="298" spans="1:7" x14ac:dyDescent="0.25">
      <c r="A298" s="12">
        <f t="shared" si="20"/>
        <v>44</v>
      </c>
      <c r="B298" t="str">
        <f ca="1">TEXT(DATE(YEAR(Invoer!$A$5),1,1)+INT((ROWS(B$2:B298)-1)/2),"jjjjmmdd")</f>
        <v>19410529</v>
      </c>
      <c r="C298" s="26" t="str">
        <f>INDEX(Data,2,2+MOD(ROWS(C$2:C298)-1,2))</f>
        <v>08.00</v>
      </c>
      <c r="D298" s="41">
        <f t="shared" ca="1" si="21"/>
        <v>753.00839999999994</v>
      </c>
      <c r="E298" s="31">
        <f t="shared" ca="1" si="22"/>
        <v>0</v>
      </c>
      <c r="F298" s="42">
        <f t="shared" ca="1" si="23"/>
        <v>30</v>
      </c>
      <c r="G298" s="31">
        <f t="shared" ca="1" si="24"/>
        <v>0</v>
      </c>
    </row>
    <row r="299" spans="1:7" x14ac:dyDescent="0.25">
      <c r="A299" s="12">
        <f t="shared" si="20"/>
        <v>44</v>
      </c>
      <c r="B299" t="str">
        <f ca="1">TEXT(DATE(YEAR(Invoer!$A$5),1,1)+INT((ROWS(B$2:B299)-1)/2),"jjjjmmdd")</f>
        <v>19410529</v>
      </c>
      <c r="C299" s="26" t="str">
        <f>INDEX(Data,2,2+MOD(ROWS(C$2:C299)-1,2))</f>
        <v>15.00</v>
      </c>
      <c r="D299" s="41">
        <f t="shared" ca="1" si="21"/>
        <v>751.99239999999998</v>
      </c>
      <c r="E299" s="31">
        <f t="shared" ca="1" si="22"/>
        <v>0</v>
      </c>
      <c r="F299" s="42">
        <f t="shared" ca="1" si="23"/>
        <v>30</v>
      </c>
      <c r="G299" s="31">
        <f t="shared" ca="1" si="24"/>
        <v>0</v>
      </c>
    </row>
    <row r="300" spans="1:7" x14ac:dyDescent="0.25">
      <c r="A300" s="12">
        <f t="shared" si="20"/>
        <v>44</v>
      </c>
      <c r="B300" t="str">
        <f ca="1">TEXT(DATE(YEAR(Invoer!$A$5),1,1)+INT((ROWS(B$2:B300)-1)/2),"jjjjmmdd")</f>
        <v>19410530</v>
      </c>
      <c r="C300" s="26" t="str">
        <f>INDEX(Data,2,2+MOD(ROWS(C$2:C300)-1,2))</f>
        <v>08.00</v>
      </c>
      <c r="D300" s="41">
        <f t="shared" ca="1" si="21"/>
        <v>752.80520000000001</v>
      </c>
      <c r="E300" s="31">
        <f t="shared" ca="1" si="22"/>
        <v>0</v>
      </c>
      <c r="F300" s="42">
        <f t="shared" ca="1" si="23"/>
        <v>29.444444444444443</v>
      </c>
      <c r="G300" s="31">
        <f t="shared" ca="1" si="24"/>
        <v>0</v>
      </c>
    </row>
    <row r="301" spans="1:7" x14ac:dyDescent="0.25">
      <c r="A301" s="12">
        <f t="shared" si="20"/>
        <v>44</v>
      </c>
      <c r="B301" t="str">
        <f ca="1">TEXT(DATE(YEAR(Invoer!$A$5),1,1)+INT((ROWS(B$2:B301)-1)/2),"jjjjmmdd")</f>
        <v>19410530</v>
      </c>
      <c r="C301" s="26" t="str">
        <f>INDEX(Data,2,2+MOD(ROWS(C$2:C301)-1,2))</f>
        <v>15.00</v>
      </c>
      <c r="D301" s="41">
        <f t="shared" ca="1" si="21"/>
        <v>751.66219999999998</v>
      </c>
      <c r="E301" s="31">
        <f t="shared" ca="1" si="22"/>
        <v>0</v>
      </c>
      <c r="F301" s="42">
        <f t="shared" ca="1" si="23"/>
        <v>30.555555555555557</v>
      </c>
      <c r="G301" s="31">
        <f t="shared" ca="1" si="24"/>
        <v>0</v>
      </c>
    </row>
    <row r="302" spans="1:7" x14ac:dyDescent="0.25">
      <c r="A302" s="12">
        <f t="shared" si="20"/>
        <v>44</v>
      </c>
      <c r="B302" t="str">
        <f ca="1">TEXT(DATE(YEAR(Invoer!$A$5),1,1)+INT((ROWS(B$2:B302)-1)/2),"jjjjmmdd")</f>
        <v>19410531</v>
      </c>
      <c r="C302" s="26" t="str">
        <f>INDEX(Data,2,2+MOD(ROWS(C$2:C302)-1,2))</f>
        <v>08.00</v>
      </c>
      <c r="D302" s="41">
        <f t="shared" ca="1" si="21"/>
        <v>752.80520000000001</v>
      </c>
      <c r="E302" s="31">
        <f t="shared" ca="1" si="22"/>
        <v>0</v>
      </c>
      <c r="F302" s="42">
        <f t="shared" ca="1" si="23"/>
        <v>29.444444444444443</v>
      </c>
      <c r="G302" s="31">
        <f t="shared" ca="1" si="24"/>
        <v>0</v>
      </c>
    </row>
    <row r="303" spans="1:7" x14ac:dyDescent="0.25">
      <c r="A303" s="12">
        <f t="shared" si="20"/>
        <v>44</v>
      </c>
      <c r="B303" t="str">
        <f ca="1">TEXT(DATE(YEAR(Invoer!$A$5),1,1)+INT((ROWS(B$2:B303)-1)/2),"jjjjmmdd")</f>
        <v>19410531</v>
      </c>
      <c r="C303" s="26" t="str">
        <f>INDEX(Data,2,2+MOD(ROWS(C$2:C303)-1,2))</f>
        <v>15.00</v>
      </c>
      <c r="D303" s="41">
        <f t="shared" ca="1" si="21"/>
        <v>751.58600000000001</v>
      </c>
      <c r="E303" s="31">
        <f t="shared" ca="1" si="22"/>
        <v>0</v>
      </c>
      <c r="F303" s="42">
        <f t="shared" ca="1" si="23"/>
        <v>31.111111111111111</v>
      </c>
      <c r="G303" s="31">
        <f t="shared" ca="1" si="24"/>
        <v>0</v>
      </c>
    </row>
    <row r="304" spans="1:7" x14ac:dyDescent="0.25">
      <c r="A304" s="12">
        <f t="shared" si="20"/>
        <v>44</v>
      </c>
      <c r="B304" t="str">
        <f ca="1">TEXT(DATE(YEAR(Invoer!$A$5),1,1)+INT((ROWS(B$2:B304)-1)/2),"jjjjmmdd")</f>
        <v>19410601</v>
      </c>
      <c r="C304" s="26" t="str">
        <f>INDEX(Data,2,2+MOD(ROWS(C$2:C304)-1,2))</f>
        <v>08.00</v>
      </c>
      <c r="D304" s="41" t="str">
        <f t="shared" ca="1" si="21"/>
        <v>—</v>
      </c>
      <c r="E304" s="31">
        <f t="shared" ca="1" si="22"/>
        <v>7</v>
      </c>
      <c r="F304" s="42" t="str">
        <f t="shared" ca="1" si="23"/>
        <v>—</v>
      </c>
      <c r="G304" s="31">
        <f t="shared" ca="1" si="24"/>
        <v>7</v>
      </c>
    </row>
    <row r="305" spans="1:7" x14ac:dyDescent="0.25">
      <c r="A305" s="12">
        <f t="shared" si="20"/>
        <v>44</v>
      </c>
      <c r="B305" t="str">
        <f ca="1">TEXT(DATE(YEAR(Invoer!$A$5),1,1)+INT((ROWS(B$2:B305)-1)/2),"jjjjmmdd")</f>
        <v>19410601</v>
      </c>
      <c r="C305" s="26" t="str">
        <f>INDEX(Data,2,2+MOD(ROWS(C$2:C305)-1,2))</f>
        <v>15.00</v>
      </c>
      <c r="D305" s="41" t="str">
        <f t="shared" ca="1" si="21"/>
        <v>—</v>
      </c>
      <c r="E305" s="31">
        <f t="shared" ca="1" si="22"/>
        <v>7</v>
      </c>
      <c r="F305" s="42" t="str">
        <f t="shared" ca="1" si="23"/>
        <v>—</v>
      </c>
      <c r="G305" s="31">
        <f t="shared" ca="1" si="24"/>
        <v>7</v>
      </c>
    </row>
    <row r="306" spans="1:7" x14ac:dyDescent="0.25">
      <c r="A306" s="12">
        <f t="shared" si="20"/>
        <v>44</v>
      </c>
      <c r="B306" t="str">
        <f ca="1">TEXT(DATE(YEAR(Invoer!$A$5),1,1)+INT((ROWS(B$2:B306)-1)/2),"jjjjmmdd")</f>
        <v>19410602</v>
      </c>
      <c r="C306" s="26" t="str">
        <f>INDEX(Data,2,2+MOD(ROWS(C$2:C306)-1,2))</f>
        <v>08.00</v>
      </c>
      <c r="D306" s="41" t="str">
        <f t="shared" ca="1" si="21"/>
        <v>—</v>
      </c>
      <c r="E306" s="31">
        <f t="shared" ca="1" si="22"/>
        <v>7</v>
      </c>
      <c r="F306" s="42" t="str">
        <f t="shared" ca="1" si="23"/>
        <v>—</v>
      </c>
      <c r="G306" s="31">
        <f t="shared" ca="1" si="24"/>
        <v>7</v>
      </c>
    </row>
    <row r="307" spans="1:7" x14ac:dyDescent="0.25">
      <c r="A307" s="12">
        <f t="shared" si="20"/>
        <v>44</v>
      </c>
      <c r="B307" t="str">
        <f ca="1">TEXT(DATE(YEAR(Invoer!$A$5),1,1)+INT((ROWS(B$2:B307)-1)/2),"jjjjmmdd")</f>
        <v>19410602</v>
      </c>
      <c r="C307" s="26" t="str">
        <f>INDEX(Data,2,2+MOD(ROWS(C$2:C307)-1,2))</f>
        <v>15.00</v>
      </c>
      <c r="D307" s="41" t="str">
        <f t="shared" ca="1" si="21"/>
        <v>—</v>
      </c>
      <c r="E307" s="31">
        <f t="shared" ca="1" si="22"/>
        <v>7</v>
      </c>
      <c r="F307" s="42" t="str">
        <f t="shared" ca="1" si="23"/>
        <v>—</v>
      </c>
      <c r="G307" s="31">
        <f t="shared" ca="1" si="24"/>
        <v>7</v>
      </c>
    </row>
    <row r="308" spans="1:7" x14ac:dyDescent="0.25">
      <c r="A308" s="12">
        <f t="shared" si="20"/>
        <v>44</v>
      </c>
      <c r="B308" t="str">
        <f ca="1">TEXT(DATE(YEAR(Invoer!$A$5),1,1)+INT((ROWS(B$2:B308)-1)/2),"jjjjmmdd")</f>
        <v>19410603</v>
      </c>
      <c r="C308" s="26" t="str">
        <f>INDEX(Data,2,2+MOD(ROWS(C$2:C308)-1,2))</f>
        <v>08.00</v>
      </c>
      <c r="D308" s="41" t="str">
        <f t="shared" ca="1" si="21"/>
        <v>—</v>
      </c>
      <c r="E308" s="31">
        <f t="shared" ca="1" si="22"/>
        <v>7</v>
      </c>
      <c r="F308" s="42" t="str">
        <f t="shared" ca="1" si="23"/>
        <v>—</v>
      </c>
      <c r="G308" s="31">
        <f t="shared" ca="1" si="24"/>
        <v>7</v>
      </c>
    </row>
    <row r="309" spans="1:7" x14ac:dyDescent="0.25">
      <c r="A309" s="12">
        <f t="shared" si="20"/>
        <v>44</v>
      </c>
      <c r="B309" t="str">
        <f ca="1">TEXT(DATE(YEAR(Invoer!$A$5),1,1)+INT((ROWS(B$2:B309)-1)/2),"jjjjmmdd")</f>
        <v>19410603</v>
      </c>
      <c r="C309" s="26" t="str">
        <f>INDEX(Data,2,2+MOD(ROWS(C$2:C309)-1,2))</f>
        <v>15.00</v>
      </c>
      <c r="D309" s="41" t="str">
        <f t="shared" ca="1" si="21"/>
        <v>—</v>
      </c>
      <c r="E309" s="31">
        <f t="shared" ca="1" si="22"/>
        <v>7</v>
      </c>
      <c r="F309" s="42" t="str">
        <f t="shared" ca="1" si="23"/>
        <v>—</v>
      </c>
      <c r="G309" s="31">
        <f t="shared" ca="1" si="24"/>
        <v>7</v>
      </c>
    </row>
    <row r="310" spans="1:7" x14ac:dyDescent="0.25">
      <c r="A310" s="12">
        <f t="shared" si="20"/>
        <v>44</v>
      </c>
      <c r="B310" t="str">
        <f ca="1">TEXT(DATE(YEAR(Invoer!$A$5),1,1)+INT((ROWS(B$2:B310)-1)/2),"jjjjmmdd")</f>
        <v>19410604</v>
      </c>
      <c r="C310" s="26" t="str">
        <f>INDEX(Data,2,2+MOD(ROWS(C$2:C310)-1,2))</f>
        <v>08.00</v>
      </c>
      <c r="D310" s="41" t="str">
        <f t="shared" ca="1" si="21"/>
        <v>—</v>
      </c>
      <c r="E310" s="31">
        <f t="shared" ca="1" si="22"/>
        <v>7</v>
      </c>
      <c r="F310" s="42" t="str">
        <f t="shared" ca="1" si="23"/>
        <v>—</v>
      </c>
      <c r="G310" s="31">
        <f t="shared" ca="1" si="24"/>
        <v>7</v>
      </c>
    </row>
    <row r="311" spans="1:7" x14ac:dyDescent="0.25">
      <c r="A311" s="12">
        <f t="shared" si="20"/>
        <v>44</v>
      </c>
      <c r="B311" t="str">
        <f ca="1">TEXT(DATE(YEAR(Invoer!$A$5),1,1)+INT((ROWS(B$2:B311)-1)/2),"jjjjmmdd")</f>
        <v>19410604</v>
      </c>
      <c r="C311" s="26" t="str">
        <f>INDEX(Data,2,2+MOD(ROWS(C$2:C311)-1,2))</f>
        <v>15.00</v>
      </c>
      <c r="D311" s="41" t="str">
        <f t="shared" ca="1" si="21"/>
        <v>—</v>
      </c>
      <c r="E311" s="31">
        <f t="shared" ca="1" si="22"/>
        <v>7</v>
      </c>
      <c r="F311" s="42" t="str">
        <f t="shared" ca="1" si="23"/>
        <v>—</v>
      </c>
      <c r="G311" s="31">
        <f t="shared" ca="1" si="24"/>
        <v>7</v>
      </c>
    </row>
    <row r="312" spans="1:7" x14ac:dyDescent="0.25">
      <c r="A312" s="12">
        <f t="shared" si="20"/>
        <v>44</v>
      </c>
      <c r="B312" t="str">
        <f ca="1">TEXT(DATE(YEAR(Invoer!$A$5),1,1)+INT((ROWS(B$2:B312)-1)/2),"jjjjmmdd")</f>
        <v>19410605</v>
      </c>
      <c r="C312" s="26" t="str">
        <f>INDEX(Data,2,2+MOD(ROWS(C$2:C312)-1,2))</f>
        <v>08.00</v>
      </c>
      <c r="D312" s="41" t="str">
        <f t="shared" ca="1" si="21"/>
        <v>—</v>
      </c>
      <c r="E312" s="31">
        <f t="shared" ca="1" si="22"/>
        <v>7</v>
      </c>
      <c r="F312" s="42" t="str">
        <f t="shared" ca="1" si="23"/>
        <v>—</v>
      </c>
      <c r="G312" s="31">
        <f t="shared" ca="1" si="24"/>
        <v>7</v>
      </c>
    </row>
    <row r="313" spans="1:7" x14ac:dyDescent="0.25">
      <c r="A313" s="12">
        <f t="shared" si="20"/>
        <v>44</v>
      </c>
      <c r="B313" t="str">
        <f ca="1">TEXT(DATE(YEAR(Invoer!$A$5),1,1)+INT((ROWS(B$2:B313)-1)/2),"jjjjmmdd")</f>
        <v>19410605</v>
      </c>
      <c r="C313" s="26" t="str">
        <f>INDEX(Data,2,2+MOD(ROWS(C$2:C313)-1,2))</f>
        <v>15.00</v>
      </c>
      <c r="D313" s="41" t="str">
        <f t="shared" ca="1" si="21"/>
        <v>—</v>
      </c>
      <c r="E313" s="31">
        <f t="shared" ca="1" si="22"/>
        <v>7</v>
      </c>
      <c r="F313" s="42" t="str">
        <f t="shared" ca="1" si="23"/>
        <v>—</v>
      </c>
      <c r="G313" s="31">
        <f t="shared" ca="1" si="24"/>
        <v>7</v>
      </c>
    </row>
    <row r="314" spans="1:7" x14ac:dyDescent="0.25">
      <c r="A314" s="12">
        <f t="shared" si="20"/>
        <v>44</v>
      </c>
      <c r="B314" t="str">
        <f ca="1">TEXT(DATE(YEAR(Invoer!$A$5),1,1)+INT((ROWS(B$2:B314)-1)/2),"jjjjmmdd")</f>
        <v>19410606</v>
      </c>
      <c r="C314" s="26" t="str">
        <f>INDEX(Data,2,2+MOD(ROWS(C$2:C314)-1,2))</f>
        <v>08.00</v>
      </c>
      <c r="D314" s="41" t="str">
        <f t="shared" ca="1" si="21"/>
        <v>—</v>
      </c>
      <c r="E314" s="31">
        <f t="shared" ca="1" si="22"/>
        <v>7</v>
      </c>
      <c r="F314" s="42" t="str">
        <f t="shared" ca="1" si="23"/>
        <v>—</v>
      </c>
      <c r="G314" s="31">
        <f t="shared" ca="1" si="24"/>
        <v>7</v>
      </c>
    </row>
    <row r="315" spans="1:7" x14ac:dyDescent="0.25">
      <c r="A315" s="12">
        <f t="shared" si="20"/>
        <v>44</v>
      </c>
      <c r="B315" t="str">
        <f ca="1">TEXT(DATE(YEAR(Invoer!$A$5),1,1)+INT((ROWS(B$2:B315)-1)/2),"jjjjmmdd")</f>
        <v>19410606</v>
      </c>
      <c r="C315" s="26" t="str">
        <f>INDEX(Data,2,2+MOD(ROWS(C$2:C315)-1,2))</f>
        <v>15.00</v>
      </c>
      <c r="D315" s="41" t="str">
        <f t="shared" ca="1" si="21"/>
        <v>—</v>
      </c>
      <c r="E315" s="31">
        <f t="shared" ca="1" si="22"/>
        <v>7</v>
      </c>
      <c r="F315" s="42" t="str">
        <f t="shared" ca="1" si="23"/>
        <v>—</v>
      </c>
      <c r="G315" s="31">
        <f t="shared" ca="1" si="24"/>
        <v>7</v>
      </c>
    </row>
    <row r="316" spans="1:7" x14ac:dyDescent="0.25">
      <c r="A316" s="12">
        <f t="shared" si="20"/>
        <v>44</v>
      </c>
      <c r="B316" t="str">
        <f ca="1">TEXT(DATE(YEAR(Invoer!$A$5),1,1)+INT((ROWS(B$2:B316)-1)/2),"jjjjmmdd")</f>
        <v>19410607</v>
      </c>
      <c r="C316" s="26" t="str">
        <f>INDEX(Data,2,2+MOD(ROWS(C$2:C316)-1,2))</f>
        <v>08.00</v>
      </c>
      <c r="D316" s="41" t="str">
        <f t="shared" ca="1" si="21"/>
        <v>—</v>
      </c>
      <c r="E316" s="31">
        <f t="shared" ca="1" si="22"/>
        <v>7</v>
      </c>
      <c r="F316" s="42" t="str">
        <f t="shared" ca="1" si="23"/>
        <v>—</v>
      </c>
      <c r="G316" s="31">
        <f t="shared" ca="1" si="24"/>
        <v>7</v>
      </c>
    </row>
    <row r="317" spans="1:7" x14ac:dyDescent="0.25">
      <c r="A317" s="12">
        <f t="shared" si="20"/>
        <v>44</v>
      </c>
      <c r="B317" t="str">
        <f ca="1">TEXT(DATE(YEAR(Invoer!$A$5),1,1)+INT((ROWS(B$2:B317)-1)/2),"jjjjmmdd")</f>
        <v>19410607</v>
      </c>
      <c r="C317" s="26" t="str">
        <f>INDEX(Data,2,2+MOD(ROWS(C$2:C317)-1,2))</f>
        <v>15.00</v>
      </c>
      <c r="D317" s="41" t="str">
        <f t="shared" ca="1" si="21"/>
        <v>—</v>
      </c>
      <c r="E317" s="31">
        <f t="shared" ca="1" si="22"/>
        <v>7</v>
      </c>
      <c r="F317" s="42" t="str">
        <f t="shared" ca="1" si="23"/>
        <v>—</v>
      </c>
      <c r="G317" s="31">
        <f t="shared" ca="1" si="24"/>
        <v>7</v>
      </c>
    </row>
    <row r="318" spans="1:7" x14ac:dyDescent="0.25">
      <c r="A318" s="12">
        <f t="shared" si="20"/>
        <v>44</v>
      </c>
      <c r="B318" t="str">
        <f ca="1">TEXT(DATE(YEAR(Invoer!$A$5),1,1)+INT((ROWS(B$2:B318)-1)/2),"jjjjmmdd")</f>
        <v>19410608</v>
      </c>
      <c r="C318" s="26" t="str">
        <f>INDEX(Data,2,2+MOD(ROWS(C$2:C318)-1,2))</f>
        <v>08.00</v>
      </c>
      <c r="D318" s="41" t="str">
        <f t="shared" ca="1" si="21"/>
        <v>—</v>
      </c>
      <c r="E318" s="31">
        <f t="shared" ca="1" si="22"/>
        <v>7</v>
      </c>
      <c r="F318" s="42" t="str">
        <f t="shared" ca="1" si="23"/>
        <v>—</v>
      </c>
      <c r="G318" s="31">
        <f t="shared" ca="1" si="24"/>
        <v>7</v>
      </c>
    </row>
    <row r="319" spans="1:7" x14ac:dyDescent="0.25">
      <c r="A319" s="12">
        <f t="shared" si="20"/>
        <v>44</v>
      </c>
      <c r="B319" t="str">
        <f ca="1">TEXT(DATE(YEAR(Invoer!$A$5),1,1)+INT((ROWS(B$2:B319)-1)/2),"jjjjmmdd")</f>
        <v>19410608</v>
      </c>
      <c r="C319" s="26" t="str">
        <f>INDEX(Data,2,2+MOD(ROWS(C$2:C319)-1,2))</f>
        <v>15.00</v>
      </c>
      <c r="D319" s="41" t="str">
        <f t="shared" ca="1" si="21"/>
        <v>—</v>
      </c>
      <c r="E319" s="31">
        <f t="shared" ca="1" si="22"/>
        <v>7</v>
      </c>
      <c r="F319" s="42" t="str">
        <f t="shared" ca="1" si="23"/>
        <v>—</v>
      </c>
      <c r="G319" s="31">
        <f t="shared" ca="1" si="24"/>
        <v>7</v>
      </c>
    </row>
    <row r="320" spans="1:7" x14ac:dyDescent="0.25">
      <c r="A320" s="12">
        <f t="shared" si="20"/>
        <v>44</v>
      </c>
      <c r="B320" t="str">
        <f ca="1">TEXT(DATE(YEAR(Invoer!$A$5),1,1)+INT((ROWS(B$2:B320)-1)/2),"jjjjmmdd")</f>
        <v>19410609</v>
      </c>
      <c r="C320" s="26" t="str">
        <f>INDEX(Data,2,2+MOD(ROWS(C$2:C320)-1,2))</f>
        <v>08.00</v>
      </c>
      <c r="D320" s="41" t="str">
        <f t="shared" ca="1" si="21"/>
        <v>—</v>
      </c>
      <c r="E320" s="31">
        <f t="shared" ca="1" si="22"/>
        <v>7</v>
      </c>
      <c r="F320" s="42" t="str">
        <f t="shared" ca="1" si="23"/>
        <v>—</v>
      </c>
      <c r="G320" s="31">
        <f t="shared" ca="1" si="24"/>
        <v>7</v>
      </c>
    </row>
    <row r="321" spans="1:7" x14ac:dyDescent="0.25">
      <c r="A321" s="12">
        <f t="shared" si="20"/>
        <v>44</v>
      </c>
      <c r="B321" t="str">
        <f ca="1">TEXT(DATE(YEAR(Invoer!$A$5),1,1)+INT((ROWS(B$2:B321)-1)/2),"jjjjmmdd")</f>
        <v>19410609</v>
      </c>
      <c r="C321" s="26" t="str">
        <f>INDEX(Data,2,2+MOD(ROWS(C$2:C321)-1,2))</f>
        <v>15.00</v>
      </c>
      <c r="D321" s="41" t="str">
        <f t="shared" ca="1" si="21"/>
        <v>—</v>
      </c>
      <c r="E321" s="31">
        <f t="shared" ca="1" si="22"/>
        <v>7</v>
      </c>
      <c r="F321" s="42" t="str">
        <f t="shared" ca="1" si="23"/>
        <v>—</v>
      </c>
      <c r="G321" s="31">
        <f t="shared" ca="1" si="24"/>
        <v>7</v>
      </c>
    </row>
    <row r="322" spans="1:7" x14ac:dyDescent="0.25">
      <c r="A322" s="12">
        <f t="shared" ref="A322:A385" si="25">INDEX(Stations,2,1)</f>
        <v>44</v>
      </c>
      <c r="B322" t="str">
        <f ca="1">TEXT(DATE(YEAR(Invoer!$A$5),1,1)+INT((ROWS(B$2:B322)-1)/2),"jjjjmmdd")</f>
        <v>19410610</v>
      </c>
      <c r="C322" s="26" t="str">
        <f>INDEX(Data,2,2+MOD(ROWS(C$2:C322)-1,2))</f>
        <v>08.00</v>
      </c>
      <c r="D322" s="41" t="str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0.0254*VLOOKUP(DATEVALUE(LEFT($B322,4)&amp;"-"&amp;MID($B322,5,2)&amp;"-"&amp;RIGHT($B322,2)),Data,MATCH(LEFT(VLOOKUP(D$1,Parameters,2,FALSE()),4)&amp;"*",OFFSET(Data,0,0,1),0)+MATCH($C322,OFFSET(Data,1,0,1),0)-2,FALSE()))</f>
        <v>—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7</v>
      </c>
      <c r="F322" s="42" t="str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5*(VLOOKUP(DATEVALUE(LEFT($B322,4)&amp;"-"&amp;MID($B322,5,2)&amp;"-"&amp;RIGHT($B322,2)),Data,MATCH(LEFT(VLOOKUP(F$1,Parameters,2,FALSE()),4)&amp;"*",OFFSET(Data,0,0,1),0)+MATCH($C322,OFFSET(Data,1,0,1),0)-2,FALSE())-320)/90)</f>
        <v>—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7</v>
      </c>
    </row>
    <row r="323" spans="1:7" x14ac:dyDescent="0.25">
      <c r="A323" s="12">
        <f t="shared" si="25"/>
        <v>44</v>
      </c>
      <c r="B323" t="str">
        <f ca="1">TEXT(DATE(YEAR(Invoer!$A$5),1,1)+INT((ROWS(B$2:B323)-1)/2),"jjjjmmdd")</f>
        <v>19410610</v>
      </c>
      <c r="C323" s="26" t="str">
        <f>INDEX(Data,2,2+MOD(ROWS(C$2:C323)-1,2))</f>
        <v>15.00</v>
      </c>
      <c r="D323" s="41" t="str">
        <f t="shared" ca="1" si="26"/>
        <v>—</v>
      </c>
      <c r="E323" s="31">
        <f t="shared" ca="1" si="27"/>
        <v>7</v>
      </c>
      <c r="F323" s="42" t="str">
        <f t="shared" ca="1" si="28"/>
        <v>—</v>
      </c>
      <c r="G323" s="31">
        <f t="shared" ca="1" si="29"/>
        <v>7</v>
      </c>
    </row>
    <row r="324" spans="1:7" x14ac:dyDescent="0.25">
      <c r="A324" s="12">
        <f t="shared" si="25"/>
        <v>44</v>
      </c>
      <c r="B324" t="str">
        <f ca="1">TEXT(DATE(YEAR(Invoer!$A$5),1,1)+INT((ROWS(B$2:B324)-1)/2),"jjjjmmdd")</f>
        <v>19410611</v>
      </c>
      <c r="C324" s="26" t="str">
        <f>INDEX(Data,2,2+MOD(ROWS(C$2:C324)-1,2))</f>
        <v>08.00</v>
      </c>
      <c r="D324" s="41" t="str">
        <f t="shared" ca="1" si="26"/>
        <v>—</v>
      </c>
      <c r="E324" s="31">
        <f t="shared" ca="1" si="27"/>
        <v>7</v>
      </c>
      <c r="F324" s="42" t="str">
        <f t="shared" ca="1" si="28"/>
        <v>—</v>
      </c>
      <c r="G324" s="31">
        <f t="shared" ca="1" si="29"/>
        <v>7</v>
      </c>
    </row>
    <row r="325" spans="1:7" x14ac:dyDescent="0.25">
      <c r="A325" s="12">
        <f t="shared" si="25"/>
        <v>44</v>
      </c>
      <c r="B325" t="str">
        <f ca="1">TEXT(DATE(YEAR(Invoer!$A$5),1,1)+INT((ROWS(B$2:B325)-1)/2),"jjjjmmdd")</f>
        <v>19410611</v>
      </c>
      <c r="C325" s="26" t="str">
        <f>INDEX(Data,2,2+MOD(ROWS(C$2:C325)-1,2))</f>
        <v>15.00</v>
      </c>
      <c r="D325" s="41" t="str">
        <f t="shared" ca="1" si="26"/>
        <v>—</v>
      </c>
      <c r="E325" s="31">
        <f t="shared" ca="1" si="27"/>
        <v>7</v>
      </c>
      <c r="F325" s="42" t="str">
        <f t="shared" ca="1" si="28"/>
        <v>—</v>
      </c>
      <c r="G325" s="31">
        <f t="shared" ca="1" si="29"/>
        <v>7</v>
      </c>
    </row>
    <row r="326" spans="1:7" x14ac:dyDescent="0.25">
      <c r="A326" s="12">
        <f t="shared" si="25"/>
        <v>44</v>
      </c>
      <c r="B326" t="str">
        <f ca="1">TEXT(DATE(YEAR(Invoer!$A$5),1,1)+INT((ROWS(B$2:B326)-1)/2),"jjjjmmdd")</f>
        <v>19410612</v>
      </c>
      <c r="C326" s="26" t="str">
        <f>INDEX(Data,2,2+MOD(ROWS(C$2:C326)-1,2))</f>
        <v>08.00</v>
      </c>
      <c r="D326" s="41" t="str">
        <f t="shared" ca="1" si="26"/>
        <v>—</v>
      </c>
      <c r="E326" s="31">
        <f t="shared" ca="1" si="27"/>
        <v>7</v>
      </c>
      <c r="F326" s="42" t="str">
        <f t="shared" ca="1" si="28"/>
        <v>—</v>
      </c>
      <c r="G326" s="31">
        <f t="shared" ca="1" si="29"/>
        <v>7</v>
      </c>
    </row>
    <row r="327" spans="1:7" x14ac:dyDescent="0.25">
      <c r="A327" s="12">
        <f t="shared" si="25"/>
        <v>44</v>
      </c>
      <c r="B327" t="str">
        <f ca="1">TEXT(DATE(YEAR(Invoer!$A$5),1,1)+INT((ROWS(B$2:B327)-1)/2),"jjjjmmdd")</f>
        <v>19410612</v>
      </c>
      <c r="C327" s="26" t="str">
        <f>INDEX(Data,2,2+MOD(ROWS(C$2:C327)-1,2))</f>
        <v>15.00</v>
      </c>
      <c r="D327" s="41" t="str">
        <f t="shared" ca="1" si="26"/>
        <v>—</v>
      </c>
      <c r="E327" s="31">
        <f t="shared" ca="1" si="27"/>
        <v>7</v>
      </c>
      <c r="F327" s="42" t="str">
        <f t="shared" ca="1" si="28"/>
        <v>—</v>
      </c>
      <c r="G327" s="31">
        <f t="shared" ca="1" si="29"/>
        <v>7</v>
      </c>
    </row>
    <row r="328" spans="1:7" x14ac:dyDescent="0.25">
      <c r="A328" s="12">
        <f t="shared" si="25"/>
        <v>44</v>
      </c>
      <c r="B328" t="str">
        <f ca="1">TEXT(DATE(YEAR(Invoer!$A$5),1,1)+INT((ROWS(B$2:B328)-1)/2),"jjjjmmdd")</f>
        <v>19410613</v>
      </c>
      <c r="C328" s="26" t="str">
        <f>INDEX(Data,2,2+MOD(ROWS(C$2:C328)-1,2))</f>
        <v>08.00</v>
      </c>
      <c r="D328" s="41" t="str">
        <f t="shared" ca="1" si="26"/>
        <v>—</v>
      </c>
      <c r="E328" s="31">
        <f t="shared" ca="1" si="27"/>
        <v>7</v>
      </c>
      <c r="F328" s="42" t="str">
        <f t="shared" ca="1" si="28"/>
        <v>—</v>
      </c>
      <c r="G328" s="31">
        <f t="shared" ca="1" si="29"/>
        <v>7</v>
      </c>
    </row>
    <row r="329" spans="1:7" x14ac:dyDescent="0.25">
      <c r="A329" s="12">
        <f t="shared" si="25"/>
        <v>44</v>
      </c>
      <c r="B329" t="str">
        <f ca="1">TEXT(DATE(YEAR(Invoer!$A$5),1,1)+INT((ROWS(B$2:B329)-1)/2),"jjjjmmdd")</f>
        <v>19410613</v>
      </c>
      <c r="C329" s="26" t="str">
        <f>INDEX(Data,2,2+MOD(ROWS(C$2:C329)-1,2))</f>
        <v>15.00</v>
      </c>
      <c r="D329" s="41" t="str">
        <f t="shared" ca="1" si="26"/>
        <v>—</v>
      </c>
      <c r="E329" s="31">
        <f t="shared" ca="1" si="27"/>
        <v>7</v>
      </c>
      <c r="F329" s="42" t="str">
        <f t="shared" ca="1" si="28"/>
        <v>—</v>
      </c>
      <c r="G329" s="31">
        <f t="shared" ca="1" si="29"/>
        <v>7</v>
      </c>
    </row>
    <row r="330" spans="1:7" x14ac:dyDescent="0.25">
      <c r="A330" s="12">
        <f t="shared" si="25"/>
        <v>44</v>
      </c>
      <c r="B330" t="str">
        <f ca="1">TEXT(DATE(YEAR(Invoer!$A$5),1,1)+INT((ROWS(B$2:B330)-1)/2),"jjjjmmdd")</f>
        <v>19410614</v>
      </c>
      <c r="C330" s="26" t="str">
        <f>INDEX(Data,2,2+MOD(ROWS(C$2:C330)-1,2))</f>
        <v>08.00</v>
      </c>
      <c r="D330" s="41" t="str">
        <f t="shared" ca="1" si="26"/>
        <v>—</v>
      </c>
      <c r="E330" s="31">
        <f t="shared" ca="1" si="27"/>
        <v>7</v>
      </c>
      <c r="F330" s="42" t="str">
        <f t="shared" ca="1" si="28"/>
        <v>—</v>
      </c>
      <c r="G330" s="31">
        <f t="shared" ca="1" si="29"/>
        <v>7</v>
      </c>
    </row>
    <row r="331" spans="1:7" x14ac:dyDescent="0.25">
      <c r="A331" s="12">
        <f t="shared" si="25"/>
        <v>44</v>
      </c>
      <c r="B331" t="str">
        <f ca="1">TEXT(DATE(YEAR(Invoer!$A$5),1,1)+INT((ROWS(B$2:B331)-1)/2),"jjjjmmdd")</f>
        <v>19410614</v>
      </c>
      <c r="C331" s="26" t="str">
        <f>INDEX(Data,2,2+MOD(ROWS(C$2:C331)-1,2))</f>
        <v>15.00</v>
      </c>
      <c r="D331" s="41" t="str">
        <f t="shared" ca="1" si="26"/>
        <v>—</v>
      </c>
      <c r="E331" s="31">
        <f t="shared" ca="1" si="27"/>
        <v>7</v>
      </c>
      <c r="F331" s="42" t="str">
        <f t="shared" ca="1" si="28"/>
        <v>—</v>
      </c>
      <c r="G331" s="31">
        <f t="shared" ca="1" si="29"/>
        <v>7</v>
      </c>
    </row>
    <row r="332" spans="1:7" x14ac:dyDescent="0.25">
      <c r="A332" s="12">
        <f t="shared" si="25"/>
        <v>44</v>
      </c>
      <c r="B332" t="str">
        <f ca="1">TEXT(DATE(YEAR(Invoer!$A$5),1,1)+INT((ROWS(B$2:B332)-1)/2),"jjjjmmdd")</f>
        <v>19410615</v>
      </c>
      <c r="C332" s="26" t="str">
        <f>INDEX(Data,2,2+MOD(ROWS(C$2:C332)-1,2))</f>
        <v>08.00</v>
      </c>
      <c r="D332" s="41" t="str">
        <f t="shared" ca="1" si="26"/>
        <v>—</v>
      </c>
      <c r="E332" s="31">
        <f t="shared" ca="1" si="27"/>
        <v>7</v>
      </c>
      <c r="F332" s="42" t="str">
        <f t="shared" ca="1" si="28"/>
        <v>—</v>
      </c>
      <c r="G332" s="31">
        <f t="shared" ca="1" si="29"/>
        <v>7</v>
      </c>
    </row>
    <row r="333" spans="1:7" x14ac:dyDescent="0.25">
      <c r="A333" s="12">
        <f t="shared" si="25"/>
        <v>44</v>
      </c>
      <c r="B333" t="str">
        <f ca="1">TEXT(DATE(YEAR(Invoer!$A$5),1,1)+INT((ROWS(B$2:B333)-1)/2),"jjjjmmdd")</f>
        <v>19410615</v>
      </c>
      <c r="C333" s="26" t="str">
        <f>INDEX(Data,2,2+MOD(ROWS(C$2:C333)-1,2))</f>
        <v>15.00</v>
      </c>
      <c r="D333" s="41" t="str">
        <f t="shared" ca="1" si="26"/>
        <v>—</v>
      </c>
      <c r="E333" s="31">
        <f t="shared" ca="1" si="27"/>
        <v>7</v>
      </c>
      <c r="F333" s="42" t="str">
        <f t="shared" ca="1" si="28"/>
        <v>—</v>
      </c>
      <c r="G333" s="31">
        <f t="shared" ca="1" si="29"/>
        <v>7</v>
      </c>
    </row>
    <row r="334" spans="1:7" x14ac:dyDescent="0.25">
      <c r="A334" s="12">
        <f t="shared" si="25"/>
        <v>44</v>
      </c>
      <c r="B334" t="str">
        <f ca="1">TEXT(DATE(YEAR(Invoer!$A$5),1,1)+INT((ROWS(B$2:B334)-1)/2),"jjjjmmdd")</f>
        <v>19410616</v>
      </c>
      <c r="C334" s="26" t="str">
        <f>INDEX(Data,2,2+MOD(ROWS(C$2:C334)-1,2))</f>
        <v>08.00</v>
      </c>
      <c r="D334" s="41" t="str">
        <f t="shared" ca="1" si="26"/>
        <v>—</v>
      </c>
      <c r="E334" s="31">
        <f t="shared" ca="1" si="27"/>
        <v>7</v>
      </c>
      <c r="F334" s="42" t="str">
        <f t="shared" ca="1" si="28"/>
        <v>—</v>
      </c>
      <c r="G334" s="31">
        <f t="shared" ca="1" si="29"/>
        <v>7</v>
      </c>
    </row>
    <row r="335" spans="1:7" x14ac:dyDescent="0.25">
      <c r="A335" s="12">
        <f t="shared" si="25"/>
        <v>44</v>
      </c>
      <c r="B335" t="str">
        <f ca="1">TEXT(DATE(YEAR(Invoer!$A$5),1,1)+INT((ROWS(B$2:B335)-1)/2),"jjjjmmdd")</f>
        <v>19410616</v>
      </c>
      <c r="C335" s="26" t="str">
        <f>INDEX(Data,2,2+MOD(ROWS(C$2:C335)-1,2))</f>
        <v>15.00</v>
      </c>
      <c r="D335" s="41" t="str">
        <f t="shared" ca="1" si="26"/>
        <v>—</v>
      </c>
      <c r="E335" s="31">
        <f t="shared" ca="1" si="27"/>
        <v>7</v>
      </c>
      <c r="F335" s="42" t="str">
        <f t="shared" ca="1" si="28"/>
        <v>—</v>
      </c>
      <c r="G335" s="31">
        <f t="shared" ca="1" si="29"/>
        <v>7</v>
      </c>
    </row>
    <row r="336" spans="1:7" x14ac:dyDescent="0.25">
      <c r="A336" s="12">
        <f t="shared" si="25"/>
        <v>44</v>
      </c>
      <c r="B336" t="str">
        <f ca="1">TEXT(DATE(YEAR(Invoer!$A$5),1,1)+INT((ROWS(B$2:B336)-1)/2),"jjjjmmdd")</f>
        <v>19410617</v>
      </c>
      <c r="C336" s="26" t="str">
        <f>INDEX(Data,2,2+MOD(ROWS(C$2:C336)-1,2))</f>
        <v>08.00</v>
      </c>
      <c r="D336" s="41" t="str">
        <f t="shared" ca="1" si="26"/>
        <v>—</v>
      </c>
      <c r="E336" s="31">
        <f t="shared" ca="1" si="27"/>
        <v>7</v>
      </c>
      <c r="F336" s="42" t="str">
        <f t="shared" ca="1" si="28"/>
        <v>—</v>
      </c>
      <c r="G336" s="31">
        <f t="shared" ca="1" si="29"/>
        <v>7</v>
      </c>
    </row>
    <row r="337" spans="1:7" x14ac:dyDescent="0.25">
      <c r="A337" s="12">
        <f t="shared" si="25"/>
        <v>44</v>
      </c>
      <c r="B337" t="str">
        <f ca="1">TEXT(DATE(YEAR(Invoer!$A$5),1,1)+INT((ROWS(B$2:B337)-1)/2),"jjjjmmdd")</f>
        <v>19410617</v>
      </c>
      <c r="C337" s="26" t="str">
        <f>INDEX(Data,2,2+MOD(ROWS(C$2:C337)-1,2))</f>
        <v>15.00</v>
      </c>
      <c r="D337" s="41" t="str">
        <f t="shared" ca="1" si="26"/>
        <v>—</v>
      </c>
      <c r="E337" s="31">
        <f t="shared" ca="1" si="27"/>
        <v>7</v>
      </c>
      <c r="F337" s="42" t="str">
        <f t="shared" ca="1" si="28"/>
        <v>—</v>
      </c>
      <c r="G337" s="31">
        <f t="shared" ca="1" si="29"/>
        <v>7</v>
      </c>
    </row>
    <row r="338" spans="1:7" x14ac:dyDescent="0.25">
      <c r="A338" s="12">
        <f t="shared" si="25"/>
        <v>44</v>
      </c>
      <c r="B338" t="str">
        <f ca="1">TEXT(DATE(YEAR(Invoer!$A$5),1,1)+INT((ROWS(B$2:B338)-1)/2),"jjjjmmdd")</f>
        <v>19410618</v>
      </c>
      <c r="C338" s="26" t="str">
        <f>INDEX(Data,2,2+MOD(ROWS(C$2:C338)-1,2))</f>
        <v>08.00</v>
      </c>
      <c r="D338" s="41" t="str">
        <f t="shared" ca="1" si="26"/>
        <v>—</v>
      </c>
      <c r="E338" s="31">
        <f t="shared" ca="1" si="27"/>
        <v>7</v>
      </c>
      <c r="F338" s="42" t="str">
        <f t="shared" ca="1" si="28"/>
        <v>—</v>
      </c>
      <c r="G338" s="31">
        <f t="shared" ca="1" si="29"/>
        <v>7</v>
      </c>
    </row>
    <row r="339" spans="1:7" x14ac:dyDescent="0.25">
      <c r="A339" s="12">
        <f t="shared" si="25"/>
        <v>44</v>
      </c>
      <c r="B339" t="str">
        <f ca="1">TEXT(DATE(YEAR(Invoer!$A$5),1,1)+INT((ROWS(B$2:B339)-1)/2),"jjjjmmdd")</f>
        <v>19410618</v>
      </c>
      <c r="C339" s="26" t="str">
        <f>INDEX(Data,2,2+MOD(ROWS(C$2:C339)-1,2))</f>
        <v>15.00</v>
      </c>
      <c r="D339" s="41" t="str">
        <f t="shared" ca="1" si="26"/>
        <v>—</v>
      </c>
      <c r="E339" s="31">
        <f t="shared" ca="1" si="27"/>
        <v>7</v>
      </c>
      <c r="F339" s="42" t="str">
        <f t="shared" ca="1" si="28"/>
        <v>—</v>
      </c>
      <c r="G339" s="31">
        <f t="shared" ca="1" si="29"/>
        <v>7</v>
      </c>
    </row>
    <row r="340" spans="1:7" x14ac:dyDescent="0.25">
      <c r="A340" s="12">
        <f t="shared" si="25"/>
        <v>44</v>
      </c>
      <c r="B340" t="str">
        <f ca="1">TEXT(DATE(YEAR(Invoer!$A$5),1,1)+INT((ROWS(B$2:B340)-1)/2),"jjjjmmdd")</f>
        <v>19410619</v>
      </c>
      <c r="C340" s="26" t="str">
        <f>INDEX(Data,2,2+MOD(ROWS(C$2:C340)-1,2))</f>
        <v>08.00</v>
      </c>
      <c r="D340" s="41" t="str">
        <f t="shared" ca="1" si="26"/>
        <v>—</v>
      </c>
      <c r="E340" s="31">
        <f t="shared" ca="1" si="27"/>
        <v>7</v>
      </c>
      <c r="F340" s="42" t="str">
        <f t="shared" ca="1" si="28"/>
        <v>—</v>
      </c>
      <c r="G340" s="31">
        <f t="shared" ca="1" si="29"/>
        <v>7</v>
      </c>
    </row>
    <row r="341" spans="1:7" x14ac:dyDescent="0.25">
      <c r="A341" s="12">
        <f t="shared" si="25"/>
        <v>44</v>
      </c>
      <c r="B341" t="str">
        <f ca="1">TEXT(DATE(YEAR(Invoer!$A$5),1,1)+INT((ROWS(B$2:B341)-1)/2),"jjjjmmdd")</f>
        <v>19410619</v>
      </c>
      <c r="C341" s="26" t="str">
        <f>INDEX(Data,2,2+MOD(ROWS(C$2:C341)-1,2))</f>
        <v>15.00</v>
      </c>
      <c r="D341" s="41" t="str">
        <f t="shared" ca="1" si="26"/>
        <v>—</v>
      </c>
      <c r="E341" s="31">
        <f t="shared" ca="1" si="27"/>
        <v>7</v>
      </c>
      <c r="F341" s="42" t="str">
        <f t="shared" ca="1" si="28"/>
        <v>—</v>
      </c>
      <c r="G341" s="31">
        <f t="shared" ca="1" si="29"/>
        <v>7</v>
      </c>
    </row>
    <row r="342" spans="1:7" x14ac:dyDescent="0.25">
      <c r="A342" s="12">
        <f t="shared" si="25"/>
        <v>44</v>
      </c>
      <c r="B342" t="str">
        <f ca="1">TEXT(DATE(YEAR(Invoer!$A$5),1,1)+INT((ROWS(B$2:B342)-1)/2),"jjjjmmdd")</f>
        <v>19410620</v>
      </c>
      <c r="C342" s="26" t="str">
        <f>INDEX(Data,2,2+MOD(ROWS(C$2:C342)-1,2))</f>
        <v>08.00</v>
      </c>
      <c r="D342" s="41" t="str">
        <f t="shared" ca="1" si="26"/>
        <v>—</v>
      </c>
      <c r="E342" s="31">
        <f t="shared" ca="1" si="27"/>
        <v>7</v>
      </c>
      <c r="F342" s="42" t="str">
        <f t="shared" ca="1" si="28"/>
        <v>—</v>
      </c>
      <c r="G342" s="31">
        <f t="shared" ca="1" si="29"/>
        <v>7</v>
      </c>
    </row>
    <row r="343" spans="1:7" x14ac:dyDescent="0.25">
      <c r="A343" s="12">
        <f t="shared" si="25"/>
        <v>44</v>
      </c>
      <c r="B343" t="str">
        <f ca="1">TEXT(DATE(YEAR(Invoer!$A$5),1,1)+INT((ROWS(B$2:B343)-1)/2),"jjjjmmdd")</f>
        <v>19410620</v>
      </c>
      <c r="C343" s="26" t="str">
        <f>INDEX(Data,2,2+MOD(ROWS(C$2:C343)-1,2))</f>
        <v>15.00</v>
      </c>
      <c r="D343" s="41" t="str">
        <f t="shared" ca="1" si="26"/>
        <v>—</v>
      </c>
      <c r="E343" s="31">
        <f t="shared" ca="1" si="27"/>
        <v>7</v>
      </c>
      <c r="F343" s="42" t="str">
        <f t="shared" ca="1" si="28"/>
        <v>—</v>
      </c>
      <c r="G343" s="31">
        <f t="shared" ca="1" si="29"/>
        <v>7</v>
      </c>
    </row>
    <row r="344" spans="1:7" x14ac:dyDescent="0.25">
      <c r="A344" s="12">
        <f t="shared" si="25"/>
        <v>44</v>
      </c>
      <c r="B344" t="str">
        <f ca="1">TEXT(DATE(YEAR(Invoer!$A$5),1,1)+INT((ROWS(B$2:B344)-1)/2),"jjjjmmdd")</f>
        <v>19410621</v>
      </c>
      <c r="C344" s="26" t="str">
        <f>INDEX(Data,2,2+MOD(ROWS(C$2:C344)-1,2))</f>
        <v>08.00</v>
      </c>
      <c r="D344" s="41" t="str">
        <f t="shared" ca="1" si="26"/>
        <v>—</v>
      </c>
      <c r="E344" s="31">
        <f t="shared" ca="1" si="27"/>
        <v>7</v>
      </c>
      <c r="F344" s="42" t="str">
        <f t="shared" ca="1" si="28"/>
        <v>—</v>
      </c>
      <c r="G344" s="31">
        <f t="shared" ca="1" si="29"/>
        <v>7</v>
      </c>
    </row>
    <row r="345" spans="1:7" x14ac:dyDescent="0.25">
      <c r="A345" s="12">
        <f t="shared" si="25"/>
        <v>44</v>
      </c>
      <c r="B345" t="str">
        <f ca="1">TEXT(DATE(YEAR(Invoer!$A$5),1,1)+INT((ROWS(B$2:B345)-1)/2),"jjjjmmdd")</f>
        <v>19410621</v>
      </c>
      <c r="C345" s="26" t="str">
        <f>INDEX(Data,2,2+MOD(ROWS(C$2:C345)-1,2))</f>
        <v>15.00</v>
      </c>
      <c r="D345" s="41" t="str">
        <f t="shared" ca="1" si="26"/>
        <v>—</v>
      </c>
      <c r="E345" s="31">
        <f t="shared" ca="1" si="27"/>
        <v>7</v>
      </c>
      <c r="F345" s="42" t="str">
        <f t="shared" ca="1" si="28"/>
        <v>—</v>
      </c>
      <c r="G345" s="31">
        <f t="shared" ca="1" si="29"/>
        <v>7</v>
      </c>
    </row>
    <row r="346" spans="1:7" x14ac:dyDescent="0.25">
      <c r="A346" s="12">
        <f t="shared" si="25"/>
        <v>44</v>
      </c>
      <c r="B346" t="str">
        <f ca="1">TEXT(DATE(YEAR(Invoer!$A$5),1,1)+INT((ROWS(B$2:B346)-1)/2),"jjjjmmdd")</f>
        <v>19410622</v>
      </c>
      <c r="C346" s="26" t="str">
        <f>INDEX(Data,2,2+MOD(ROWS(C$2:C346)-1,2))</f>
        <v>08.00</v>
      </c>
      <c r="D346" s="41" t="str">
        <f t="shared" ca="1" si="26"/>
        <v>—</v>
      </c>
      <c r="E346" s="31">
        <f t="shared" ca="1" si="27"/>
        <v>7</v>
      </c>
      <c r="F346" s="42" t="str">
        <f t="shared" ca="1" si="28"/>
        <v>—</v>
      </c>
      <c r="G346" s="31">
        <f t="shared" ca="1" si="29"/>
        <v>7</v>
      </c>
    </row>
    <row r="347" spans="1:7" x14ac:dyDescent="0.25">
      <c r="A347" s="12">
        <f t="shared" si="25"/>
        <v>44</v>
      </c>
      <c r="B347" t="str">
        <f ca="1">TEXT(DATE(YEAR(Invoer!$A$5),1,1)+INT((ROWS(B$2:B347)-1)/2),"jjjjmmdd")</f>
        <v>19410622</v>
      </c>
      <c r="C347" s="26" t="str">
        <f>INDEX(Data,2,2+MOD(ROWS(C$2:C347)-1,2))</f>
        <v>15.00</v>
      </c>
      <c r="D347" s="41" t="str">
        <f t="shared" ca="1" si="26"/>
        <v>—</v>
      </c>
      <c r="E347" s="31">
        <f t="shared" ca="1" si="27"/>
        <v>7</v>
      </c>
      <c r="F347" s="42" t="str">
        <f t="shared" ca="1" si="28"/>
        <v>—</v>
      </c>
      <c r="G347" s="31">
        <f t="shared" ca="1" si="29"/>
        <v>7</v>
      </c>
    </row>
    <row r="348" spans="1:7" x14ac:dyDescent="0.25">
      <c r="A348" s="12">
        <f t="shared" si="25"/>
        <v>44</v>
      </c>
      <c r="B348" t="str">
        <f ca="1">TEXT(DATE(YEAR(Invoer!$A$5),1,1)+INT((ROWS(B$2:B348)-1)/2),"jjjjmmdd")</f>
        <v>19410623</v>
      </c>
      <c r="C348" s="26" t="str">
        <f>INDEX(Data,2,2+MOD(ROWS(C$2:C348)-1,2))</f>
        <v>08.00</v>
      </c>
      <c r="D348" s="41" t="str">
        <f t="shared" ca="1" si="26"/>
        <v>—</v>
      </c>
      <c r="E348" s="31">
        <f t="shared" ca="1" si="27"/>
        <v>7</v>
      </c>
      <c r="F348" s="42" t="str">
        <f t="shared" ca="1" si="28"/>
        <v>—</v>
      </c>
      <c r="G348" s="31">
        <f t="shared" ca="1" si="29"/>
        <v>7</v>
      </c>
    </row>
    <row r="349" spans="1:7" x14ac:dyDescent="0.25">
      <c r="A349" s="12">
        <f t="shared" si="25"/>
        <v>44</v>
      </c>
      <c r="B349" t="str">
        <f ca="1">TEXT(DATE(YEAR(Invoer!$A$5),1,1)+INT((ROWS(B$2:B349)-1)/2),"jjjjmmdd")</f>
        <v>19410623</v>
      </c>
      <c r="C349" s="26" t="str">
        <f>INDEX(Data,2,2+MOD(ROWS(C$2:C349)-1,2))</f>
        <v>15.00</v>
      </c>
      <c r="D349" s="41" t="str">
        <f t="shared" ca="1" si="26"/>
        <v>—</v>
      </c>
      <c r="E349" s="31">
        <f t="shared" ca="1" si="27"/>
        <v>7</v>
      </c>
      <c r="F349" s="42" t="str">
        <f t="shared" ca="1" si="28"/>
        <v>—</v>
      </c>
      <c r="G349" s="31">
        <f t="shared" ca="1" si="29"/>
        <v>7</v>
      </c>
    </row>
    <row r="350" spans="1:7" x14ac:dyDescent="0.25">
      <c r="A350" s="12">
        <f t="shared" si="25"/>
        <v>44</v>
      </c>
      <c r="B350" t="str">
        <f ca="1">TEXT(DATE(YEAR(Invoer!$A$5),1,1)+INT((ROWS(B$2:B350)-1)/2),"jjjjmmdd")</f>
        <v>19410624</v>
      </c>
      <c r="C350" s="26" t="str">
        <f>INDEX(Data,2,2+MOD(ROWS(C$2:C350)-1,2))</f>
        <v>08.00</v>
      </c>
      <c r="D350" s="41" t="str">
        <f t="shared" ca="1" si="26"/>
        <v>—</v>
      </c>
      <c r="E350" s="31">
        <f t="shared" ca="1" si="27"/>
        <v>7</v>
      </c>
      <c r="F350" s="42" t="str">
        <f t="shared" ca="1" si="28"/>
        <v>—</v>
      </c>
      <c r="G350" s="31">
        <f t="shared" ca="1" si="29"/>
        <v>7</v>
      </c>
    </row>
    <row r="351" spans="1:7" x14ac:dyDescent="0.25">
      <c r="A351" s="12">
        <f t="shared" si="25"/>
        <v>44</v>
      </c>
      <c r="B351" t="str">
        <f ca="1">TEXT(DATE(YEAR(Invoer!$A$5),1,1)+INT((ROWS(B$2:B351)-1)/2),"jjjjmmdd")</f>
        <v>19410624</v>
      </c>
      <c r="C351" s="26" t="str">
        <f>INDEX(Data,2,2+MOD(ROWS(C$2:C351)-1,2))</f>
        <v>15.00</v>
      </c>
      <c r="D351" s="41" t="str">
        <f t="shared" ca="1" si="26"/>
        <v>—</v>
      </c>
      <c r="E351" s="31">
        <f t="shared" ca="1" si="27"/>
        <v>7</v>
      </c>
      <c r="F351" s="42" t="str">
        <f t="shared" ca="1" si="28"/>
        <v>—</v>
      </c>
      <c r="G351" s="31">
        <f t="shared" ca="1" si="29"/>
        <v>7</v>
      </c>
    </row>
    <row r="352" spans="1:7" x14ac:dyDescent="0.25">
      <c r="A352" s="12">
        <f t="shared" si="25"/>
        <v>44</v>
      </c>
      <c r="B352" t="str">
        <f ca="1">TEXT(DATE(YEAR(Invoer!$A$5),1,1)+INT((ROWS(B$2:B352)-1)/2),"jjjjmmdd")</f>
        <v>19410625</v>
      </c>
      <c r="C352" s="26" t="str">
        <f>INDEX(Data,2,2+MOD(ROWS(C$2:C352)-1,2))</f>
        <v>08.00</v>
      </c>
      <c r="D352" s="41" t="str">
        <f t="shared" ca="1" si="26"/>
        <v>—</v>
      </c>
      <c r="E352" s="31">
        <f t="shared" ca="1" si="27"/>
        <v>7</v>
      </c>
      <c r="F352" s="42" t="str">
        <f t="shared" ca="1" si="28"/>
        <v>—</v>
      </c>
      <c r="G352" s="31">
        <f t="shared" ca="1" si="29"/>
        <v>7</v>
      </c>
    </row>
    <row r="353" spans="1:7" x14ac:dyDescent="0.25">
      <c r="A353" s="12">
        <f t="shared" si="25"/>
        <v>44</v>
      </c>
      <c r="B353" t="str">
        <f ca="1">TEXT(DATE(YEAR(Invoer!$A$5),1,1)+INT((ROWS(B$2:B353)-1)/2),"jjjjmmdd")</f>
        <v>19410625</v>
      </c>
      <c r="C353" s="26" t="str">
        <f>INDEX(Data,2,2+MOD(ROWS(C$2:C353)-1,2))</f>
        <v>15.00</v>
      </c>
      <c r="D353" s="41" t="str">
        <f t="shared" ca="1" si="26"/>
        <v>—</v>
      </c>
      <c r="E353" s="31">
        <f t="shared" ca="1" si="27"/>
        <v>7</v>
      </c>
      <c r="F353" s="42" t="str">
        <f t="shared" ca="1" si="28"/>
        <v>—</v>
      </c>
      <c r="G353" s="31">
        <f t="shared" ca="1" si="29"/>
        <v>7</v>
      </c>
    </row>
    <row r="354" spans="1:7" x14ac:dyDescent="0.25">
      <c r="A354" s="12">
        <f t="shared" si="25"/>
        <v>44</v>
      </c>
      <c r="B354" t="str">
        <f ca="1">TEXT(DATE(YEAR(Invoer!$A$5),1,1)+INT((ROWS(B$2:B354)-1)/2),"jjjjmmdd")</f>
        <v>19410626</v>
      </c>
      <c r="C354" s="26" t="str">
        <f>INDEX(Data,2,2+MOD(ROWS(C$2:C354)-1,2))</f>
        <v>08.00</v>
      </c>
      <c r="D354" s="41" t="str">
        <f t="shared" ca="1" si="26"/>
        <v>—</v>
      </c>
      <c r="E354" s="31">
        <f t="shared" ca="1" si="27"/>
        <v>7</v>
      </c>
      <c r="F354" s="42" t="str">
        <f t="shared" ca="1" si="28"/>
        <v>—</v>
      </c>
      <c r="G354" s="31">
        <f t="shared" ca="1" si="29"/>
        <v>7</v>
      </c>
    </row>
    <row r="355" spans="1:7" x14ac:dyDescent="0.25">
      <c r="A355" s="12">
        <f t="shared" si="25"/>
        <v>44</v>
      </c>
      <c r="B355" t="str">
        <f ca="1">TEXT(DATE(YEAR(Invoer!$A$5),1,1)+INT((ROWS(B$2:B355)-1)/2),"jjjjmmdd")</f>
        <v>19410626</v>
      </c>
      <c r="C355" s="26" t="str">
        <f>INDEX(Data,2,2+MOD(ROWS(C$2:C355)-1,2))</f>
        <v>15.00</v>
      </c>
      <c r="D355" s="41" t="str">
        <f t="shared" ca="1" si="26"/>
        <v>—</v>
      </c>
      <c r="E355" s="31">
        <f t="shared" ca="1" si="27"/>
        <v>7</v>
      </c>
      <c r="F355" s="42" t="str">
        <f t="shared" ca="1" si="28"/>
        <v>—</v>
      </c>
      <c r="G355" s="31">
        <f t="shared" ca="1" si="29"/>
        <v>7</v>
      </c>
    </row>
    <row r="356" spans="1:7" x14ac:dyDescent="0.25">
      <c r="A356" s="12">
        <f t="shared" si="25"/>
        <v>44</v>
      </c>
      <c r="B356" t="str">
        <f ca="1">TEXT(DATE(YEAR(Invoer!$A$5),1,1)+INT((ROWS(B$2:B356)-1)/2),"jjjjmmdd")</f>
        <v>19410627</v>
      </c>
      <c r="C356" s="26" t="str">
        <f>INDEX(Data,2,2+MOD(ROWS(C$2:C356)-1,2))</f>
        <v>08.00</v>
      </c>
      <c r="D356" s="41" t="str">
        <f t="shared" ca="1" si="26"/>
        <v>—</v>
      </c>
      <c r="E356" s="31">
        <f t="shared" ca="1" si="27"/>
        <v>7</v>
      </c>
      <c r="F356" s="42" t="str">
        <f t="shared" ca="1" si="28"/>
        <v>—</v>
      </c>
      <c r="G356" s="31">
        <f t="shared" ca="1" si="29"/>
        <v>7</v>
      </c>
    </row>
    <row r="357" spans="1:7" x14ac:dyDescent="0.25">
      <c r="A357" s="12">
        <f t="shared" si="25"/>
        <v>44</v>
      </c>
      <c r="B357" t="str">
        <f ca="1">TEXT(DATE(YEAR(Invoer!$A$5),1,1)+INT((ROWS(B$2:B357)-1)/2),"jjjjmmdd")</f>
        <v>19410627</v>
      </c>
      <c r="C357" s="26" t="str">
        <f>INDEX(Data,2,2+MOD(ROWS(C$2:C357)-1,2))</f>
        <v>15.00</v>
      </c>
      <c r="D357" s="41" t="str">
        <f t="shared" ca="1" si="26"/>
        <v>—</v>
      </c>
      <c r="E357" s="31">
        <f t="shared" ca="1" si="27"/>
        <v>7</v>
      </c>
      <c r="F357" s="42" t="str">
        <f t="shared" ca="1" si="28"/>
        <v>—</v>
      </c>
      <c r="G357" s="31">
        <f t="shared" ca="1" si="29"/>
        <v>7</v>
      </c>
    </row>
    <row r="358" spans="1:7" x14ac:dyDescent="0.25">
      <c r="A358" s="12">
        <f t="shared" si="25"/>
        <v>44</v>
      </c>
      <c r="B358" t="str">
        <f ca="1">TEXT(DATE(YEAR(Invoer!$A$5),1,1)+INT((ROWS(B$2:B358)-1)/2),"jjjjmmdd")</f>
        <v>19410628</v>
      </c>
      <c r="C358" s="26" t="str">
        <f>INDEX(Data,2,2+MOD(ROWS(C$2:C358)-1,2))</f>
        <v>08.00</v>
      </c>
      <c r="D358" s="41" t="str">
        <f t="shared" ca="1" si="26"/>
        <v>—</v>
      </c>
      <c r="E358" s="31">
        <f t="shared" ca="1" si="27"/>
        <v>7</v>
      </c>
      <c r="F358" s="42" t="str">
        <f t="shared" ca="1" si="28"/>
        <v>—</v>
      </c>
      <c r="G358" s="31">
        <f t="shared" ca="1" si="29"/>
        <v>7</v>
      </c>
    </row>
    <row r="359" spans="1:7" x14ac:dyDescent="0.25">
      <c r="A359" s="12">
        <f t="shared" si="25"/>
        <v>44</v>
      </c>
      <c r="B359" t="str">
        <f ca="1">TEXT(DATE(YEAR(Invoer!$A$5),1,1)+INT((ROWS(B$2:B359)-1)/2),"jjjjmmdd")</f>
        <v>19410628</v>
      </c>
      <c r="C359" s="26" t="str">
        <f>INDEX(Data,2,2+MOD(ROWS(C$2:C359)-1,2))</f>
        <v>15.00</v>
      </c>
      <c r="D359" s="41" t="str">
        <f t="shared" ca="1" si="26"/>
        <v>—</v>
      </c>
      <c r="E359" s="31">
        <f t="shared" ca="1" si="27"/>
        <v>7</v>
      </c>
      <c r="F359" s="42" t="str">
        <f t="shared" ca="1" si="28"/>
        <v>—</v>
      </c>
      <c r="G359" s="31">
        <f t="shared" ca="1" si="29"/>
        <v>7</v>
      </c>
    </row>
    <row r="360" spans="1:7" x14ac:dyDescent="0.25">
      <c r="A360" s="12">
        <f t="shared" si="25"/>
        <v>44</v>
      </c>
      <c r="B360" t="str">
        <f ca="1">TEXT(DATE(YEAR(Invoer!$A$5),1,1)+INT((ROWS(B$2:B360)-1)/2),"jjjjmmdd")</f>
        <v>19410629</v>
      </c>
      <c r="C360" s="26" t="str">
        <f>INDEX(Data,2,2+MOD(ROWS(C$2:C360)-1,2))</f>
        <v>08.00</v>
      </c>
      <c r="D360" s="41" t="str">
        <f t="shared" ca="1" si="26"/>
        <v>—</v>
      </c>
      <c r="E360" s="31">
        <f t="shared" ca="1" si="27"/>
        <v>7</v>
      </c>
      <c r="F360" s="42" t="str">
        <f t="shared" ca="1" si="28"/>
        <v>—</v>
      </c>
      <c r="G360" s="31">
        <f t="shared" ca="1" si="29"/>
        <v>7</v>
      </c>
    </row>
    <row r="361" spans="1:7" x14ac:dyDescent="0.25">
      <c r="A361" s="12">
        <f t="shared" si="25"/>
        <v>44</v>
      </c>
      <c r="B361" t="str">
        <f ca="1">TEXT(DATE(YEAR(Invoer!$A$5),1,1)+INT((ROWS(B$2:B361)-1)/2),"jjjjmmdd")</f>
        <v>19410629</v>
      </c>
      <c r="C361" s="26" t="str">
        <f>INDEX(Data,2,2+MOD(ROWS(C$2:C361)-1,2))</f>
        <v>15.00</v>
      </c>
      <c r="D361" s="41" t="str">
        <f t="shared" ca="1" si="26"/>
        <v>—</v>
      </c>
      <c r="E361" s="31">
        <f t="shared" ca="1" si="27"/>
        <v>7</v>
      </c>
      <c r="F361" s="42" t="str">
        <f t="shared" ca="1" si="28"/>
        <v>—</v>
      </c>
      <c r="G361" s="31">
        <f t="shared" ca="1" si="29"/>
        <v>7</v>
      </c>
    </row>
    <row r="362" spans="1:7" x14ac:dyDescent="0.25">
      <c r="A362" s="12">
        <f t="shared" si="25"/>
        <v>44</v>
      </c>
      <c r="B362" t="str">
        <f ca="1">TEXT(DATE(YEAR(Invoer!$A$5),1,1)+INT((ROWS(B$2:B362)-1)/2),"jjjjmmdd")</f>
        <v>19410630</v>
      </c>
      <c r="C362" s="26" t="str">
        <f>INDEX(Data,2,2+MOD(ROWS(C$2:C362)-1,2))</f>
        <v>08.00</v>
      </c>
      <c r="D362" s="41" t="str">
        <f t="shared" ca="1" si="26"/>
        <v>—</v>
      </c>
      <c r="E362" s="31">
        <f t="shared" ca="1" si="27"/>
        <v>7</v>
      </c>
      <c r="F362" s="42" t="str">
        <f t="shared" ca="1" si="28"/>
        <v>—</v>
      </c>
      <c r="G362" s="31">
        <f t="shared" ca="1" si="29"/>
        <v>7</v>
      </c>
    </row>
    <row r="363" spans="1:7" x14ac:dyDescent="0.25">
      <c r="A363" s="12">
        <f t="shared" si="25"/>
        <v>44</v>
      </c>
      <c r="B363" t="str">
        <f ca="1">TEXT(DATE(YEAR(Invoer!$A$5),1,1)+INT((ROWS(B$2:B363)-1)/2),"jjjjmmdd")</f>
        <v>19410630</v>
      </c>
      <c r="C363" s="26" t="str">
        <f>INDEX(Data,2,2+MOD(ROWS(C$2:C363)-1,2))</f>
        <v>15.00</v>
      </c>
      <c r="D363" s="41" t="str">
        <f t="shared" ca="1" si="26"/>
        <v>—</v>
      </c>
      <c r="E363" s="31">
        <f t="shared" ca="1" si="27"/>
        <v>7</v>
      </c>
      <c r="F363" s="42" t="str">
        <f t="shared" ca="1" si="28"/>
        <v>—</v>
      </c>
      <c r="G363" s="31">
        <f t="shared" ca="1" si="29"/>
        <v>7</v>
      </c>
    </row>
    <row r="364" spans="1:7" x14ac:dyDescent="0.25">
      <c r="A364" s="12">
        <f t="shared" si="25"/>
        <v>44</v>
      </c>
      <c r="B364" t="str">
        <f ca="1">TEXT(DATE(YEAR(Invoer!$A$5),1,1)+INT((ROWS(B$2:B364)-1)/2),"jjjjmmdd")</f>
        <v>19410701</v>
      </c>
      <c r="C364" s="26" t="str">
        <f>INDEX(Data,2,2+MOD(ROWS(C$2:C364)-1,2))</f>
        <v>08.00</v>
      </c>
      <c r="D364" s="41" t="str">
        <f t="shared" ca="1" si="26"/>
        <v>—</v>
      </c>
      <c r="E364" s="31">
        <f t="shared" ca="1" si="27"/>
        <v>7</v>
      </c>
      <c r="F364" s="42" t="str">
        <f t="shared" ca="1" si="28"/>
        <v>—</v>
      </c>
      <c r="G364" s="31">
        <f t="shared" ca="1" si="29"/>
        <v>7</v>
      </c>
    </row>
    <row r="365" spans="1:7" x14ac:dyDescent="0.25">
      <c r="A365" s="12">
        <f t="shared" si="25"/>
        <v>44</v>
      </c>
      <c r="B365" t="str">
        <f ca="1">TEXT(DATE(YEAR(Invoer!$A$5),1,1)+INT((ROWS(B$2:B365)-1)/2),"jjjjmmdd")</f>
        <v>19410701</v>
      </c>
      <c r="C365" s="26" t="str">
        <f>INDEX(Data,2,2+MOD(ROWS(C$2:C365)-1,2))</f>
        <v>15.00</v>
      </c>
      <c r="D365" s="41" t="str">
        <f t="shared" ca="1" si="26"/>
        <v>—</v>
      </c>
      <c r="E365" s="31">
        <f t="shared" ca="1" si="27"/>
        <v>7</v>
      </c>
      <c r="F365" s="42" t="str">
        <f t="shared" ca="1" si="28"/>
        <v>—</v>
      </c>
      <c r="G365" s="31">
        <f t="shared" ca="1" si="29"/>
        <v>7</v>
      </c>
    </row>
    <row r="366" spans="1:7" x14ac:dyDescent="0.25">
      <c r="A366" s="12">
        <f t="shared" si="25"/>
        <v>44</v>
      </c>
      <c r="B366" t="str">
        <f ca="1">TEXT(DATE(YEAR(Invoer!$A$5),1,1)+INT((ROWS(B$2:B366)-1)/2),"jjjjmmdd")</f>
        <v>19410702</v>
      </c>
      <c r="C366" s="26" t="str">
        <f>INDEX(Data,2,2+MOD(ROWS(C$2:C366)-1,2))</f>
        <v>08.00</v>
      </c>
      <c r="D366" s="41" t="str">
        <f t="shared" ca="1" si="26"/>
        <v>—</v>
      </c>
      <c r="E366" s="31">
        <f t="shared" ca="1" si="27"/>
        <v>7</v>
      </c>
      <c r="F366" s="42" t="str">
        <f t="shared" ca="1" si="28"/>
        <v>—</v>
      </c>
      <c r="G366" s="31">
        <f t="shared" ca="1" si="29"/>
        <v>7</v>
      </c>
    </row>
    <row r="367" spans="1:7" x14ac:dyDescent="0.25">
      <c r="A367" s="12">
        <f t="shared" si="25"/>
        <v>44</v>
      </c>
      <c r="B367" t="str">
        <f ca="1">TEXT(DATE(YEAR(Invoer!$A$5),1,1)+INT((ROWS(B$2:B367)-1)/2),"jjjjmmdd")</f>
        <v>19410702</v>
      </c>
      <c r="C367" s="26" t="str">
        <f>INDEX(Data,2,2+MOD(ROWS(C$2:C367)-1,2))</f>
        <v>15.00</v>
      </c>
      <c r="D367" s="41" t="str">
        <f t="shared" ca="1" si="26"/>
        <v>—</v>
      </c>
      <c r="E367" s="31">
        <f t="shared" ca="1" si="27"/>
        <v>7</v>
      </c>
      <c r="F367" s="42" t="str">
        <f t="shared" ca="1" si="28"/>
        <v>—</v>
      </c>
      <c r="G367" s="31">
        <f t="shared" ca="1" si="29"/>
        <v>7</v>
      </c>
    </row>
    <row r="368" spans="1:7" x14ac:dyDescent="0.25">
      <c r="A368" s="12">
        <f t="shared" si="25"/>
        <v>44</v>
      </c>
      <c r="B368" t="str">
        <f ca="1">TEXT(DATE(YEAR(Invoer!$A$5),1,1)+INT((ROWS(B$2:B368)-1)/2),"jjjjmmdd")</f>
        <v>19410703</v>
      </c>
      <c r="C368" s="26" t="str">
        <f>INDEX(Data,2,2+MOD(ROWS(C$2:C368)-1,2))</f>
        <v>08.00</v>
      </c>
      <c r="D368" s="41" t="str">
        <f t="shared" ca="1" si="26"/>
        <v>—</v>
      </c>
      <c r="E368" s="31">
        <f t="shared" ca="1" si="27"/>
        <v>7</v>
      </c>
      <c r="F368" s="42" t="str">
        <f t="shared" ca="1" si="28"/>
        <v>—</v>
      </c>
      <c r="G368" s="31">
        <f t="shared" ca="1" si="29"/>
        <v>7</v>
      </c>
    </row>
    <row r="369" spans="1:7" x14ac:dyDescent="0.25">
      <c r="A369" s="12">
        <f t="shared" si="25"/>
        <v>44</v>
      </c>
      <c r="B369" t="str">
        <f ca="1">TEXT(DATE(YEAR(Invoer!$A$5),1,1)+INT((ROWS(B$2:B369)-1)/2),"jjjjmmdd")</f>
        <v>19410703</v>
      </c>
      <c r="C369" s="26" t="str">
        <f>INDEX(Data,2,2+MOD(ROWS(C$2:C369)-1,2))</f>
        <v>15.00</v>
      </c>
      <c r="D369" s="41" t="str">
        <f t="shared" ca="1" si="26"/>
        <v>—</v>
      </c>
      <c r="E369" s="31">
        <f t="shared" ca="1" si="27"/>
        <v>7</v>
      </c>
      <c r="F369" s="42" t="str">
        <f t="shared" ca="1" si="28"/>
        <v>—</v>
      </c>
      <c r="G369" s="31">
        <f t="shared" ca="1" si="29"/>
        <v>7</v>
      </c>
    </row>
    <row r="370" spans="1:7" x14ac:dyDescent="0.25">
      <c r="A370" s="12">
        <f t="shared" si="25"/>
        <v>44</v>
      </c>
      <c r="B370" t="str">
        <f ca="1">TEXT(DATE(YEAR(Invoer!$A$5),1,1)+INT((ROWS(B$2:B370)-1)/2),"jjjjmmdd")</f>
        <v>19410704</v>
      </c>
      <c r="C370" s="26" t="str">
        <f>INDEX(Data,2,2+MOD(ROWS(C$2:C370)-1,2))</f>
        <v>08.00</v>
      </c>
      <c r="D370" s="41" t="str">
        <f t="shared" ca="1" si="26"/>
        <v>—</v>
      </c>
      <c r="E370" s="31">
        <f t="shared" ca="1" si="27"/>
        <v>7</v>
      </c>
      <c r="F370" s="42" t="str">
        <f t="shared" ca="1" si="28"/>
        <v>—</v>
      </c>
      <c r="G370" s="31">
        <f t="shared" ca="1" si="29"/>
        <v>7</v>
      </c>
    </row>
    <row r="371" spans="1:7" x14ac:dyDescent="0.25">
      <c r="A371" s="12">
        <f t="shared" si="25"/>
        <v>44</v>
      </c>
      <c r="B371" t="str">
        <f ca="1">TEXT(DATE(YEAR(Invoer!$A$5),1,1)+INT((ROWS(B$2:B371)-1)/2),"jjjjmmdd")</f>
        <v>19410704</v>
      </c>
      <c r="C371" s="26" t="str">
        <f>INDEX(Data,2,2+MOD(ROWS(C$2:C371)-1,2))</f>
        <v>15.00</v>
      </c>
      <c r="D371" s="41" t="str">
        <f t="shared" ca="1" si="26"/>
        <v>—</v>
      </c>
      <c r="E371" s="31">
        <f t="shared" ca="1" si="27"/>
        <v>7</v>
      </c>
      <c r="F371" s="42" t="str">
        <f t="shared" ca="1" si="28"/>
        <v>—</v>
      </c>
      <c r="G371" s="31">
        <f t="shared" ca="1" si="29"/>
        <v>7</v>
      </c>
    </row>
    <row r="372" spans="1:7" x14ac:dyDescent="0.25">
      <c r="A372" s="12">
        <f t="shared" si="25"/>
        <v>44</v>
      </c>
      <c r="B372" t="str">
        <f ca="1">TEXT(DATE(YEAR(Invoer!$A$5),1,1)+INT((ROWS(B$2:B372)-1)/2),"jjjjmmdd")</f>
        <v>19410705</v>
      </c>
      <c r="C372" s="26" t="str">
        <f>INDEX(Data,2,2+MOD(ROWS(C$2:C372)-1,2))</f>
        <v>08.00</v>
      </c>
      <c r="D372" s="41" t="str">
        <f t="shared" ca="1" si="26"/>
        <v>—</v>
      </c>
      <c r="E372" s="31">
        <f t="shared" ca="1" si="27"/>
        <v>7</v>
      </c>
      <c r="F372" s="42" t="str">
        <f t="shared" ca="1" si="28"/>
        <v>—</v>
      </c>
      <c r="G372" s="31">
        <f t="shared" ca="1" si="29"/>
        <v>7</v>
      </c>
    </row>
    <row r="373" spans="1:7" x14ac:dyDescent="0.25">
      <c r="A373" s="12">
        <f t="shared" si="25"/>
        <v>44</v>
      </c>
      <c r="B373" t="str">
        <f ca="1">TEXT(DATE(YEAR(Invoer!$A$5),1,1)+INT((ROWS(B$2:B373)-1)/2),"jjjjmmdd")</f>
        <v>19410705</v>
      </c>
      <c r="C373" s="26" t="str">
        <f>INDEX(Data,2,2+MOD(ROWS(C$2:C373)-1,2))</f>
        <v>15.00</v>
      </c>
      <c r="D373" s="41" t="str">
        <f t="shared" ca="1" si="26"/>
        <v>—</v>
      </c>
      <c r="E373" s="31">
        <f t="shared" ca="1" si="27"/>
        <v>7</v>
      </c>
      <c r="F373" s="42" t="str">
        <f t="shared" ca="1" si="28"/>
        <v>—</v>
      </c>
      <c r="G373" s="31">
        <f t="shared" ca="1" si="29"/>
        <v>7</v>
      </c>
    </row>
    <row r="374" spans="1:7" x14ac:dyDescent="0.25">
      <c r="A374" s="12">
        <f t="shared" si="25"/>
        <v>44</v>
      </c>
      <c r="B374" t="str">
        <f ca="1">TEXT(DATE(YEAR(Invoer!$A$5),1,1)+INT((ROWS(B$2:B374)-1)/2),"jjjjmmdd")</f>
        <v>19410706</v>
      </c>
      <c r="C374" s="26" t="str">
        <f>INDEX(Data,2,2+MOD(ROWS(C$2:C374)-1,2))</f>
        <v>08.00</v>
      </c>
      <c r="D374" s="41" t="str">
        <f t="shared" ca="1" si="26"/>
        <v>—</v>
      </c>
      <c r="E374" s="31">
        <f t="shared" ca="1" si="27"/>
        <v>7</v>
      </c>
      <c r="F374" s="42" t="str">
        <f t="shared" ca="1" si="28"/>
        <v>—</v>
      </c>
      <c r="G374" s="31">
        <f t="shared" ca="1" si="29"/>
        <v>7</v>
      </c>
    </row>
    <row r="375" spans="1:7" x14ac:dyDescent="0.25">
      <c r="A375" s="12">
        <f t="shared" si="25"/>
        <v>44</v>
      </c>
      <c r="B375" t="str">
        <f ca="1">TEXT(DATE(YEAR(Invoer!$A$5),1,1)+INT((ROWS(B$2:B375)-1)/2),"jjjjmmdd")</f>
        <v>19410706</v>
      </c>
      <c r="C375" s="26" t="str">
        <f>INDEX(Data,2,2+MOD(ROWS(C$2:C375)-1,2))</f>
        <v>15.00</v>
      </c>
      <c r="D375" s="41" t="str">
        <f t="shared" ca="1" si="26"/>
        <v>—</v>
      </c>
      <c r="E375" s="31">
        <f t="shared" ca="1" si="27"/>
        <v>7</v>
      </c>
      <c r="F375" s="42" t="str">
        <f t="shared" ca="1" si="28"/>
        <v>—</v>
      </c>
      <c r="G375" s="31">
        <f t="shared" ca="1" si="29"/>
        <v>7</v>
      </c>
    </row>
    <row r="376" spans="1:7" x14ac:dyDescent="0.25">
      <c r="A376" s="12">
        <f t="shared" si="25"/>
        <v>44</v>
      </c>
      <c r="B376" t="str">
        <f ca="1">TEXT(DATE(YEAR(Invoer!$A$5),1,1)+INT((ROWS(B$2:B376)-1)/2),"jjjjmmdd")</f>
        <v>19410707</v>
      </c>
      <c r="C376" s="26" t="str">
        <f>INDEX(Data,2,2+MOD(ROWS(C$2:C376)-1,2))</f>
        <v>08.00</v>
      </c>
      <c r="D376" s="41" t="str">
        <f t="shared" ca="1" si="26"/>
        <v>—</v>
      </c>
      <c r="E376" s="31">
        <f t="shared" ca="1" si="27"/>
        <v>7</v>
      </c>
      <c r="F376" s="42" t="str">
        <f t="shared" ca="1" si="28"/>
        <v>—</v>
      </c>
      <c r="G376" s="31">
        <f t="shared" ca="1" si="29"/>
        <v>7</v>
      </c>
    </row>
    <row r="377" spans="1:7" x14ac:dyDescent="0.25">
      <c r="A377" s="12">
        <f t="shared" si="25"/>
        <v>44</v>
      </c>
      <c r="B377" t="str">
        <f ca="1">TEXT(DATE(YEAR(Invoer!$A$5),1,1)+INT((ROWS(B$2:B377)-1)/2),"jjjjmmdd")</f>
        <v>19410707</v>
      </c>
      <c r="C377" s="26" t="str">
        <f>INDEX(Data,2,2+MOD(ROWS(C$2:C377)-1,2))</f>
        <v>15.00</v>
      </c>
      <c r="D377" s="41" t="str">
        <f t="shared" ca="1" si="26"/>
        <v>—</v>
      </c>
      <c r="E377" s="31">
        <f t="shared" ca="1" si="27"/>
        <v>7</v>
      </c>
      <c r="F377" s="42" t="str">
        <f t="shared" ca="1" si="28"/>
        <v>—</v>
      </c>
      <c r="G377" s="31">
        <f t="shared" ca="1" si="29"/>
        <v>7</v>
      </c>
    </row>
    <row r="378" spans="1:7" x14ac:dyDescent="0.25">
      <c r="A378" s="12">
        <f t="shared" si="25"/>
        <v>44</v>
      </c>
      <c r="B378" t="str">
        <f ca="1">TEXT(DATE(YEAR(Invoer!$A$5),1,1)+INT((ROWS(B$2:B378)-1)/2),"jjjjmmdd")</f>
        <v>19410708</v>
      </c>
      <c r="C378" s="26" t="str">
        <f>INDEX(Data,2,2+MOD(ROWS(C$2:C378)-1,2))</f>
        <v>08.00</v>
      </c>
      <c r="D378" s="41" t="str">
        <f t="shared" ca="1" si="26"/>
        <v>—</v>
      </c>
      <c r="E378" s="31">
        <f t="shared" ca="1" si="27"/>
        <v>7</v>
      </c>
      <c r="F378" s="42" t="str">
        <f t="shared" ca="1" si="28"/>
        <v>—</v>
      </c>
      <c r="G378" s="31">
        <f t="shared" ca="1" si="29"/>
        <v>7</v>
      </c>
    </row>
    <row r="379" spans="1:7" x14ac:dyDescent="0.25">
      <c r="A379" s="12">
        <f t="shared" si="25"/>
        <v>44</v>
      </c>
      <c r="B379" t="str">
        <f ca="1">TEXT(DATE(YEAR(Invoer!$A$5),1,1)+INT((ROWS(B$2:B379)-1)/2),"jjjjmmdd")</f>
        <v>19410708</v>
      </c>
      <c r="C379" s="26" t="str">
        <f>INDEX(Data,2,2+MOD(ROWS(C$2:C379)-1,2))</f>
        <v>15.00</v>
      </c>
      <c r="D379" s="41" t="str">
        <f t="shared" ca="1" si="26"/>
        <v>—</v>
      </c>
      <c r="E379" s="31">
        <f t="shared" ca="1" si="27"/>
        <v>7</v>
      </c>
      <c r="F379" s="42" t="str">
        <f t="shared" ca="1" si="28"/>
        <v>—</v>
      </c>
      <c r="G379" s="31">
        <f t="shared" ca="1" si="29"/>
        <v>7</v>
      </c>
    </row>
    <row r="380" spans="1:7" x14ac:dyDescent="0.25">
      <c r="A380" s="12">
        <f t="shared" si="25"/>
        <v>44</v>
      </c>
      <c r="B380" t="str">
        <f ca="1">TEXT(DATE(YEAR(Invoer!$A$5),1,1)+INT((ROWS(B$2:B380)-1)/2),"jjjjmmdd")</f>
        <v>19410709</v>
      </c>
      <c r="C380" s="26" t="str">
        <f>INDEX(Data,2,2+MOD(ROWS(C$2:C380)-1,2))</f>
        <v>08.00</v>
      </c>
      <c r="D380" s="41" t="str">
        <f t="shared" ca="1" si="26"/>
        <v>—</v>
      </c>
      <c r="E380" s="31">
        <f t="shared" ca="1" si="27"/>
        <v>7</v>
      </c>
      <c r="F380" s="42" t="str">
        <f t="shared" ca="1" si="28"/>
        <v>—</v>
      </c>
      <c r="G380" s="31">
        <f t="shared" ca="1" si="29"/>
        <v>7</v>
      </c>
    </row>
    <row r="381" spans="1:7" x14ac:dyDescent="0.25">
      <c r="A381" s="12">
        <f t="shared" si="25"/>
        <v>44</v>
      </c>
      <c r="B381" t="str">
        <f ca="1">TEXT(DATE(YEAR(Invoer!$A$5),1,1)+INT((ROWS(B$2:B381)-1)/2),"jjjjmmdd")</f>
        <v>19410709</v>
      </c>
      <c r="C381" s="26" t="str">
        <f>INDEX(Data,2,2+MOD(ROWS(C$2:C381)-1,2))</f>
        <v>15.00</v>
      </c>
      <c r="D381" s="41" t="str">
        <f t="shared" ca="1" si="26"/>
        <v>—</v>
      </c>
      <c r="E381" s="31">
        <f t="shared" ca="1" si="27"/>
        <v>7</v>
      </c>
      <c r="F381" s="42" t="str">
        <f t="shared" ca="1" si="28"/>
        <v>—</v>
      </c>
      <c r="G381" s="31">
        <f t="shared" ca="1" si="29"/>
        <v>7</v>
      </c>
    </row>
    <row r="382" spans="1:7" x14ac:dyDescent="0.25">
      <c r="A382" s="12">
        <f t="shared" si="25"/>
        <v>44</v>
      </c>
      <c r="B382" t="str">
        <f ca="1">TEXT(DATE(YEAR(Invoer!$A$5),1,1)+INT((ROWS(B$2:B382)-1)/2),"jjjjmmdd")</f>
        <v>19410710</v>
      </c>
      <c r="C382" s="26" t="str">
        <f>INDEX(Data,2,2+MOD(ROWS(C$2:C382)-1,2))</f>
        <v>08.00</v>
      </c>
      <c r="D382" s="41" t="str">
        <f t="shared" ca="1" si="26"/>
        <v>—</v>
      </c>
      <c r="E382" s="31">
        <f t="shared" ca="1" si="27"/>
        <v>7</v>
      </c>
      <c r="F382" s="42" t="str">
        <f t="shared" ca="1" si="28"/>
        <v>—</v>
      </c>
      <c r="G382" s="31">
        <f t="shared" ca="1" si="29"/>
        <v>7</v>
      </c>
    </row>
    <row r="383" spans="1:7" x14ac:dyDescent="0.25">
      <c r="A383" s="12">
        <f t="shared" si="25"/>
        <v>44</v>
      </c>
      <c r="B383" t="str">
        <f ca="1">TEXT(DATE(YEAR(Invoer!$A$5),1,1)+INT((ROWS(B$2:B383)-1)/2),"jjjjmmdd")</f>
        <v>19410710</v>
      </c>
      <c r="C383" s="26" t="str">
        <f>INDEX(Data,2,2+MOD(ROWS(C$2:C383)-1,2))</f>
        <v>15.00</v>
      </c>
      <c r="D383" s="41" t="str">
        <f t="shared" ca="1" si="26"/>
        <v>—</v>
      </c>
      <c r="E383" s="31">
        <f t="shared" ca="1" si="27"/>
        <v>7</v>
      </c>
      <c r="F383" s="42" t="str">
        <f t="shared" ca="1" si="28"/>
        <v>—</v>
      </c>
      <c r="G383" s="31">
        <f t="shared" ca="1" si="29"/>
        <v>7</v>
      </c>
    </row>
    <row r="384" spans="1:7" x14ac:dyDescent="0.25">
      <c r="A384" s="12">
        <f t="shared" si="25"/>
        <v>44</v>
      </c>
      <c r="B384" t="str">
        <f ca="1">TEXT(DATE(YEAR(Invoer!$A$5),1,1)+INT((ROWS(B$2:B384)-1)/2),"jjjjmmdd")</f>
        <v>19410711</v>
      </c>
      <c r="C384" s="26" t="str">
        <f>INDEX(Data,2,2+MOD(ROWS(C$2:C384)-1,2))</f>
        <v>08.00</v>
      </c>
      <c r="D384" s="41" t="str">
        <f t="shared" ca="1" si="26"/>
        <v>—</v>
      </c>
      <c r="E384" s="31">
        <f t="shared" ca="1" si="27"/>
        <v>7</v>
      </c>
      <c r="F384" s="42" t="str">
        <f t="shared" ca="1" si="28"/>
        <v>—</v>
      </c>
      <c r="G384" s="31">
        <f t="shared" ca="1" si="29"/>
        <v>7</v>
      </c>
    </row>
    <row r="385" spans="1:7" x14ac:dyDescent="0.25">
      <c r="A385" s="12">
        <f t="shared" si="25"/>
        <v>44</v>
      </c>
      <c r="B385" t="str">
        <f ca="1">TEXT(DATE(YEAR(Invoer!$A$5),1,1)+INT((ROWS(B$2:B385)-1)/2),"jjjjmmdd")</f>
        <v>19410711</v>
      </c>
      <c r="C385" s="26" t="str">
        <f>INDEX(Data,2,2+MOD(ROWS(C$2:C385)-1,2))</f>
        <v>15.00</v>
      </c>
      <c r="D385" s="41" t="str">
        <f t="shared" ca="1" si="26"/>
        <v>—</v>
      </c>
      <c r="E385" s="31">
        <f t="shared" ca="1" si="27"/>
        <v>7</v>
      </c>
      <c r="F385" s="42" t="str">
        <f t="shared" ca="1" si="28"/>
        <v>—</v>
      </c>
      <c r="G385" s="31">
        <f t="shared" ca="1" si="29"/>
        <v>7</v>
      </c>
    </row>
    <row r="386" spans="1:7" x14ac:dyDescent="0.25">
      <c r="A386" s="12">
        <f t="shared" ref="A386:A449" si="30">INDEX(Stations,2,1)</f>
        <v>44</v>
      </c>
      <c r="B386" t="str">
        <f ca="1">TEXT(DATE(YEAR(Invoer!$A$5),1,1)+INT((ROWS(B$2:B386)-1)/2),"jjjjmmdd")</f>
        <v>19410712</v>
      </c>
      <c r="C386" s="26" t="str">
        <f>INDEX(Data,2,2+MOD(ROWS(C$2:C386)-1,2))</f>
        <v>08.00</v>
      </c>
      <c r="D386" s="41" t="str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0.0254*VLOOKUP(DATEVALUE(LEFT($B386,4)&amp;"-"&amp;MID($B386,5,2)&amp;"-"&amp;RIGHT($B386,2)),Data,MATCH(LEFT(VLOOKUP(D$1,Parameters,2,FALSE()),4)&amp;"*",OFFSET(Data,0,0,1),0)+MATCH($C386,OFFSET(Data,1,0,1),0)-2,FALSE()))</f>
        <v>—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7</v>
      </c>
      <c r="F386" s="42" t="str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5*(VLOOKUP(DATEVALUE(LEFT($B386,4)&amp;"-"&amp;MID($B386,5,2)&amp;"-"&amp;RIGHT($B386,2)),Data,MATCH(LEFT(VLOOKUP(F$1,Parameters,2,FALSE()),4)&amp;"*",OFFSET(Data,0,0,1),0)+MATCH($C386,OFFSET(Data,1,0,1),0)-2,FALSE())-320)/90)</f>
        <v>—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7</v>
      </c>
    </row>
    <row r="387" spans="1:7" x14ac:dyDescent="0.25">
      <c r="A387" s="12">
        <f t="shared" si="30"/>
        <v>44</v>
      </c>
      <c r="B387" t="str">
        <f ca="1">TEXT(DATE(YEAR(Invoer!$A$5),1,1)+INT((ROWS(B$2:B387)-1)/2),"jjjjmmdd")</f>
        <v>19410712</v>
      </c>
      <c r="C387" s="26" t="str">
        <f>INDEX(Data,2,2+MOD(ROWS(C$2:C387)-1,2))</f>
        <v>15.00</v>
      </c>
      <c r="D387" s="41" t="str">
        <f t="shared" ca="1" si="31"/>
        <v>—</v>
      </c>
      <c r="E387" s="31">
        <f t="shared" ca="1" si="32"/>
        <v>7</v>
      </c>
      <c r="F387" s="42" t="str">
        <f t="shared" ca="1" si="33"/>
        <v>—</v>
      </c>
      <c r="G387" s="31">
        <f t="shared" ca="1" si="34"/>
        <v>7</v>
      </c>
    </row>
    <row r="388" spans="1:7" x14ac:dyDescent="0.25">
      <c r="A388" s="12">
        <f t="shared" si="30"/>
        <v>44</v>
      </c>
      <c r="B388" t="str">
        <f ca="1">TEXT(DATE(YEAR(Invoer!$A$5),1,1)+INT((ROWS(B$2:B388)-1)/2),"jjjjmmdd")</f>
        <v>19410713</v>
      </c>
      <c r="C388" s="26" t="str">
        <f>INDEX(Data,2,2+MOD(ROWS(C$2:C388)-1,2))</f>
        <v>08.00</v>
      </c>
      <c r="D388" s="41" t="str">
        <f t="shared" ca="1" si="31"/>
        <v>—</v>
      </c>
      <c r="E388" s="31">
        <f t="shared" ca="1" si="32"/>
        <v>7</v>
      </c>
      <c r="F388" s="42" t="str">
        <f t="shared" ca="1" si="33"/>
        <v>—</v>
      </c>
      <c r="G388" s="31">
        <f t="shared" ca="1" si="34"/>
        <v>7</v>
      </c>
    </row>
    <row r="389" spans="1:7" x14ac:dyDescent="0.25">
      <c r="A389" s="12">
        <f t="shared" si="30"/>
        <v>44</v>
      </c>
      <c r="B389" t="str">
        <f ca="1">TEXT(DATE(YEAR(Invoer!$A$5),1,1)+INT((ROWS(B$2:B389)-1)/2),"jjjjmmdd")</f>
        <v>19410713</v>
      </c>
      <c r="C389" s="26" t="str">
        <f>INDEX(Data,2,2+MOD(ROWS(C$2:C389)-1,2))</f>
        <v>15.00</v>
      </c>
      <c r="D389" s="41" t="str">
        <f t="shared" ca="1" si="31"/>
        <v>—</v>
      </c>
      <c r="E389" s="31">
        <f t="shared" ca="1" si="32"/>
        <v>7</v>
      </c>
      <c r="F389" s="42" t="str">
        <f t="shared" ca="1" si="33"/>
        <v>—</v>
      </c>
      <c r="G389" s="31">
        <f t="shared" ca="1" si="34"/>
        <v>7</v>
      </c>
    </row>
    <row r="390" spans="1:7" x14ac:dyDescent="0.25">
      <c r="A390" s="12">
        <f t="shared" si="30"/>
        <v>44</v>
      </c>
      <c r="B390" t="str">
        <f ca="1">TEXT(DATE(YEAR(Invoer!$A$5),1,1)+INT((ROWS(B$2:B390)-1)/2),"jjjjmmdd")</f>
        <v>19410714</v>
      </c>
      <c r="C390" s="26" t="str">
        <f>INDEX(Data,2,2+MOD(ROWS(C$2:C390)-1,2))</f>
        <v>08.00</v>
      </c>
      <c r="D390" s="41" t="str">
        <f t="shared" ca="1" si="31"/>
        <v>—</v>
      </c>
      <c r="E390" s="31">
        <f t="shared" ca="1" si="32"/>
        <v>7</v>
      </c>
      <c r="F390" s="42" t="str">
        <f t="shared" ca="1" si="33"/>
        <v>—</v>
      </c>
      <c r="G390" s="31">
        <f t="shared" ca="1" si="34"/>
        <v>7</v>
      </c>
    </row>
    <row r="391" spans="1:7" x14ac:dyDescent="0.25">
      <c r="A391" s="12">
        <f t="shared" si="30"/>
        <v>44</v>
      </c>
      <c r="B391" t="str">
        <f ca="1">TEXT(DATE(YEAR(Invoer!$A$5),1,1)+INT((ROWS(B$2:B391)-1)/2),"jjjjmmdd")</f>
        <v>19410714</v>
      </c>
      <c r="C391" s="26" t="str">
        <f>INDEX(Data,2,2+MOD(ROWS(C$2:C391)-1,2))</f>
        <v>15.00</v>
      </c>
      <c r="D391" s="41" t="str">
        <f t="shared" ca="1" si="31"/>
        <v>—</v>
      </c>
      <c r="E391" s="31">
        <f t="shared" ca="1" si="32"/>
        <v>7</v>
      </c>
      <c r="F391" s="42" t="str">
        <f t="shared" ca="1" si="33"/>
        <v>—</v>
      </c>
      <c r="G391" s="31">
        <f t="shared" ca="1" si="34"/>
        <v>7</v>
      </c>
    </row>
    <row r="392" spans="1:7" x14ac:dyDescent="0.25">
      <c r="A392" s="12">
        <f t="shared" si="30"/>
        <v>44</v>
      </c>
      <c r="B392" t="str">
        <f ca="1">TEXT(DATE(YEAR(Invoer!$A$5),1,1)+INT((ROWS(B$2:B392)-1)/2),"jjjjmmdd")</f>
        <v>19410715</v>
      </c>
      <c r="C392" s="26" t="str">
        <f>INDEX(Data,2,2+MOD(ROWS(C$2:C392)-1,2))</f>
        <v>08.00</v>
      </c>
      <c r="D392" s="41" t="str">
        <f t="shared" ca="1" si="31"/>
        <v>—</v>
      </c>
      <c r="E392" s="31">
        <f t="shared" ca="1" si="32"/>
        <v>7</v>
      </c>
      <c r="F392" s="42" t="str">
        <f t="shared" ca="1" si="33"/>
        <v>—</v>
      </c>
      <c r="G392" s="31">
        <f t="shared" ca="1" si="34"/>
        <v>7</v>
      </c>
    </row>
    <row r="393" spans="1:7" x14ac:dyDescent="0.25">
      <c r="A393" s="12">
        <f t="shared" si="30"/>
        <v>44</v>
      </c>
      <c r="B393" t="str">
        <f ca="1">TEXT(DATE(YEAR(Invoer!$A$5),1,1)+INT((ROWS(B$2:B393)-1)/2),"jjjjmmdd")</f>
        <v>19410715</v>
      </c>
      <c r="C393" s="26" t="str">
        <f>INDEX(Data,2,2+MOD(ROWS(C$2:C393)-1,2))</f>
        <v>15.00</v>
      </c>
      <c r="D393" s="41" t="str">
        <f t="shared" ca="1" si="31"/>
        <v>—</v>
      </c>
      <c r="E393" s="31">
        <f t="shared" ca="1" si="32"/>
        <v>7</v>
      </c>
      <c r="F393" s="42" t="str">
        <f t="shared" ca="1" si="33"/>
        <v>—</v>
      </c>
      <c r="G393" s="31">
        <f t="shared" ca="1" si="34"/>
        <v>7</v>
      </c>
    </row>
    <row r="394" spans="1:7" x14ac:dyDescent="0.25">
      <c r="A394" s="12">
        <f t="shared" si="30"/>
        <v>44</v>
      </c>
      <c r="B394" t="str">
        <f ca="1">TEXT(DATE(YEAR(Invoer!$A$5),1,1)+INT((ROWS(B$2:B394)-1)/2),"jjjjmmdd")</f>
        <v>19410716</v>
      </c>
      <c r="C394" s="26" t="str">
        <f>INDEX(Data,2,2+MOD(ROWS(C$2:C394)-1,2))</f>
        <v>08.00</v>
      </c>
      <c r="D394" s="41" t="str">
        <f t="shared" ca="1" si="31"/>
        <v>—</v>
      </c>
      <c r="E394" s="31">
        <f t="shared" ca="1" si="32"/>
        <v>7</v>
      </c>
      <c r="F394" s="42" t="str">
        <f t="shared" ca="1" si="33"/>
        <v>—</v>
      </c>
      <c r="G394" s="31">
        <f t="shared" ca="1" si="34"/>
        <v>7</v>
      </c>
    </row>
    <row r="395" spans="1:7" x14ac:dyDescent="0.25">
      <c r="A395" s="12">
        <f t="shared" si="30"/>
        <v>44</v>
      </c>
      <c r="B395" t="str">
        <f ca="1">TEXT(DATE(YEAR(Invoer!$A$5),1,1)+INT((ROWS(B$2:B395)-1)/2),"jjjjmmdd")</f>
        <v>19410716</v>
      </c>
      <c r="C395" s="26" t="str">
        <f>INDEX(Data,2,2+MOD(ROWS(C$2:C395)-1,2))</f>
        <v>15.00</v>
      </c>
      <c r="D395" s="41" t="str">
        <f t="shared" ca="1" si="31"/>
        <v>—</v>
      </c>
      <c r="E395" s="31">
        <f t="shared" ca="1" si="32"/>
        <v>7</v>
      </c>
      <c r="F395" s="42" t="str">
        <f t="shared" ca="1" si="33"/>
        <v>—</v>
      </c>
      <c r="G395" s="31">
        <f t="shared" ca="1" si="34"/>
        <v>7</v>
      </c>
    </row>
    <row r="396" spans="1:7" x14ac:dyDescent="0.25">
      <c r="A396" s="12">
        <f t="shared" si="30"/>
        <v>44</v>
      </c>
      <c r="B396" t="str">
        <f ca="1">TEXT(DATE(YEAR(Invoer!$A$5),1,1)+INT((ROWS(B$2:B396)-1)/2),"jjjjmmdd")</f>
        <v>19410717</v>
      </c>
      <c r="C396" s="26" t="str">
        <f>INDEX(Data,2,2+MOD(ROWS(C$2:C396)-1,2))</f>
        <v>08.00</v>
      </c>
      <c r="D396" s="41" t="str">
        <f t="shared" ca="1" si="31"/>
        <v>—</v>
      </c>
      <c r="E396" s="31">
        <f t="shared" ca="1" si="32"/>
        <v>7</v>
      </c>
      <c r="F396" s="42" t="str">
        <f t="shared" ca="1" si="33"/>
        <v>—</v>
      </c>
      <c r="G396" s="31">
        <f t="shared" ca="1" si="34"/>
        <v>7</v>
      </c>
    </row>
    <row r="397" spans="1:7" x14ac:dyDescent="0.25">
      <c r="A397" s="12">
        <f t="shared" si="30"/>
        <v>44</v>
      </c>
      <c r="B397" t="str">
        <f ca="1">TEXT(DATE(YEAR(Invoer!$A$5),1,1)+INT((ROWS(B$2:B397)-1)/2),"jjjjmmdd")</f>
        <v>19410717</v>
      </c>
      <c r="C397" s="26" t="str">
        <f>INDEX(Data,2,2+MOD(ROWS(C$2:C397)-1,2))</f>
        <v>15.00</v>
      </c>
      <c r="D397" s="41" t="str">
        <f t="shared" ca="1" si="31"/>
        <v>—</v>
      </c>
      <c r="E397" s="31">
        <f t="shared" ca="1" si="32"/>
        <v>7</v>
      </c>
      <c r="F397" s="42" t="str">
        <f t="shared" ca="1" si="33"/>
        <v>—</v>
      </c>
      <c r="G397" s="31">
        <f t="shared" ca="1" si="34"/>
        <v>7</v>
      </c>
    </row>
    <row r="398" spans="1:7" x14ac:dyDescent="0.25">
      <c r="A398" s="12">
        <f t="shared" si="30"/>
        <v>44</v>
      </c>
      <c r="B398" t="str">
        <f ca="1">TEXT(DATE(YEAR(Invoer!$A$5),1,1)+INT((ROWS(B$2:B398)-1)/2),"jjjjmmdd")</f>
        <v>19410718</v>
      </c>
      <c r="C398" s="26" t="str">
        <f>INDEX(Data,2,2+MOD(ROWS(C$2:C398)-1,2))</f>
        <v>08.00</v>
      </c>
      <c r="D398" s="41" t="str">
        <f t="shared" ca="1" si="31"/>
        <v>—</v>
      </c>
      <c r="E398" s="31">
        <f t="shared" ca="1" si="32"/>
        <v>7</v>
      </c>
      <c r="F398" s="42" t="str">
        <f t="shared" ca="1" si="33"/>
        <v>—</v>
      </c>
      <c r="G398" s="31">
        <f t="shared" ca="1" si="34"/>
        <v>7</v>
      </c>
    </row>
    <row r="399" spans="1:7" x14ac:dyDescent="0.25">
      <c r="A399" s="12">
        <f t="shared" si="30"/>
        <v>44</v>
      </c>
      <c r="B399" t="str">
        <f ca="1">TEXT(DATE(YEAR(Invoer!$A$5),1,1)+INT((ROWS(B$2:B399)-1)/2),"jjjjmmdd")</f>
        <v>19410718</v>
      </c>
      <c r="C399" s="26" t="str">
        <f>INDEX(Data,2,2+MOD(ROWS(C$2:C399)-1,2))</f>
        <v>15.00</v>
      </c>
      <c r="D399" s="41" t="str">
        <f t="shared" ca="1" si="31"/>
        <v>—</v>
      </c>
      <c r="E399" s="31">
        <f t="shared" ca="1" si="32"/>
        <v>7</v>
      </c>
      <c r="F399" s="42" t="str">
        <f t="shared" ca="1" si="33"/>
        <v>—</v>
      </c>
      <c r="G399" s="31">
        <f t="shared" ca="1" si="34"/>
        <v>7</v>
      </c>
    </row>
    <row r="400" spans="1:7" x14ac:dyDescent="0.25">
      <c r="A400" s="12">
        <f t="shared" si="30"/>
        <v>44</v>
      </c>
      <c r="B400" t="str">
        <f ca="1">TEXT(DATE(YEAR(Invoer!$A$5),1,1)+INT((ROWS(B$2:B400)-1)/2),"jjjjmmdd")</f>
        <v>19410719</v>
      </c>
      <c r="C400" s="26" t="str">
        <f>INDEX(Data,2,2+MOD(ROWS(C$2:C400)-1,2))</f>
        <v>08.00</v>
      </c>
      <c r="D400" s="41" t="str">
        <f t="shared" ca="1" si="31"/>
        <v>—</v>
      </c>
      <c r="E400" s="31">
        <f t="shared" ca="1" si="32"/>
        <v>7</v>
      </c>
      <c r="F400" s="42" t="str">
        <f t="shared" ca="1" si="33"/>
        <v>—</v>
      </c>
      <c r="G400" s="31">
        <f t="shared" ca="1" si="34"/>
        <v>7</v>
      </c>
    </row>
    <row r="401" spans="1:7" x14ac:dyDescent="0.25">
      <c r="A401" s="12">
        <f t="shared" si="30"/>
        <v>44</v>
      </c>
      <c r="B401" t="str">
        <f ca="1">TEXT(DATE(YEAR(Invoer!$A$5),1,1)+INT((ROWS(B$2:B401)-1)/2),"jjjjmmdd")</f>
        <v>19410719</v>
      </c>
      <c r="C401" s="26" t="str">
        <f>INDEX(Data,2,2+MOD(ROWS(C$2:C401)-1,2))</f>
        <v>15.00</v>
      </c>
      <c r="D401" s="41" t="str">
        <f t="shared" ca="1" si="31"/>
        <v>—</v>
      </c>
      <c r="E401" s="31">
        <f t="shared" ca="1" si="32"/>
        <v>7</v>
      </c>
      <c r="F401" s="42" t="str">
        <f t="shared" ca="1" si="33"/>
        <v>—</v>
      </c>
      <c r="G401" s="31">
        <f t="shared" ca="1" si="34"/>
        <v>7</v>
      </c>
    </row>
    <row r="402" spans="1:7" x14ac:dyDescent="0.25">
      <c r="A402" s="12">
        <f t="shared" si="30"/>
        <v>44</v>
      </c>
      <c r="B402" t="str">
        <f ca="1">TEXT(DATE(YEAR(Invoer!$A$5),1,1)+INT((ROWS(B$2:B402)-1)/2),"jjjjmmdd")</f>
        <v>19410720</v>
      </c>
      <c r="C402" s="26" t="str">
        <f>INDEX(Data,2,2+MOD(ROWS(C$2:C402)-1,2))</f>
        <v>08.00</v>
      </c>
      <c r="D402" s="41" t="str">
        <f t="shared" ca="1" si="31"/>
        <v>—</v>
      </c>
      <c r="E402" s="31">
        <f t="shared" ca="1" si="32"/>
        <v>7</v>
      </c>
      <c r="F402" s="42" t="str">
        <f t="shared" ca="1" si="33"/>
        <v>—</v>
      </c>
      <c r="G402" s="31">
        <f t="shared" ca="1" si="34"/>
        <v>7</v>
      </c>
    </row>
    <row r="403" spans="1:7" x14ac:dyDescent="0.25">
      <c r="A403" s="12">
        <f t="shared" si="30"/>
        <v>44</v>
      </c>
      <c r="B403" t="str">
        <f ca="1">TEXT(DATE(YEAR(Invoer!$A$5),1,1)+INT((ROWS(B$2:B403)-1)/2),"jjjjmmdd")</f>
        <v>19410720</v>
      </c>
      <c r="C403" s="26" t="str">
        <f>INDEX(Data,2,2+MOD(ROWS(C$2:C403)-1,2))</f>
        <v>15.00</v>
      </c>
      <c r="D403" s="41" t="str">
        <f t="shared" ca="1" si="31"/>
        <v>—</v>
      </c>
      <c r="E403" s="31">
        <f t="shared" ca="1" si="32"/>
        <v>7</v>
      </c>
      <c r="F403" s="42" t="str">
        <f t="shared" ca="1" si="33"/>
        <v>—</v>
      </c>
      <c r="G403" s="31">
        <f t="shared" ca="1" si="34"/>
        <v>7</v>
      </c>
    </row>
    <row r="404" spans="1:7" x14ac:dyDescent="0.25">
      <c r="A404" s="12">
        <f t="shared" si="30"/>
        <v>44</v>
      </c>
      <c r="B404" t="str">
        <f ca="1">TEXT(DATE(YEAR(Invoer!$A$5),1,1)+INT((ROWS(B$2:B404)-1)/2),"jjjjmmdd")</f>
        <v>19410721</v>
      </c>
      <c r="C404" s="26" t="str">
        <f>INDEX(Data,2,2+MOD(ROWS(C$2:C404)-1,2))</f>
        <v>08.00</v>
      </c>
      <c r="D404" s="41" t="str">
        <f t="shared" ca="1" si="31"/>
        <v>—</v>
      </c>
      <c r="E404" s="31">
        <f t="shared" ca="1" si="32"/>
        <v>7</v>
      </c>
      <c r="F404" s="42" t="str">
        <f t="shared" ca="1" si="33"/>
        <v>—</v>
      </c>
      <c r="G404" s="31">
        <f t="shared" ca="1" si="34"/>
        <v>7</v>
      </c>
    </row>
    <row r="405" spans="1:7" x14ac:dyDescent="0.25">
      <c r="A405" s="12">
        <f t="shared" si="30"/>
        <v>44</v>
      </c>
      <c r="B405" t="str">
        <f ca="1">TEXT(DATE(YEAR(Invoer!$A$5),1,1)+INT((ROWS(B$2:B405)-1)/2),"jjjjmmdd")</f>
        <v>19410721</v>
      </c>
      <c r="C405" s="26" t="str">
        <f>INDEX(Data,2,2+MOD(ROWS(C$2:C405)-1,2))</f>
        <v>15.00</v>
      </c>
      <c r="D405" s="41" t="str">
        <f t="shared" ca="1" si="31"/>
        <v>—</v>
      </c>
      <c r="E405" s="31">
        <f t="shared" ca="1" si="32"/>
        <v>7</v>
      </c>
      <c r="F405" s="42" t="str">
        <f t="shared" ca="1" si="33"/>
        <v>—</v>
      </c>
      <c r="G405" s="31">
        <f t="shared" ca="1" si="34"/>
        <v>7</v>
      </c>
    </row>
    <row r="406" spans="1:7" x14ac:dyDescent="0.25">
      <c r="A406" s="12">
        <f t="shared" si="30"/>
        <v>44</v>
      </c>
      <c r="B406" t="str">
        <f ca="1">TEXT(DATE(YEAR(Invoer!$A$5),1,1)+INT((ROWS(B$2:B406)-1)/2),"jjjjmmdd")</f>
        <v>19410722</v>
      </c>
      <c r="C406" s="26" t="str">
        <f>INDEX(Data,2,2+MOD(ROWS(C$2:C406)-1,2))</f>
        <v>08.00</v>
      </c>
      <c r="D406" s="41" t="str">
        <f t="shared" ca="1" si="31"/>
        <v>—</v>
      </c>
      <c r="E406" s="31">
        <f t="shared" ca="1" si="32"/>
        <v>7</v>
      </c>
      <c r="F406" s="42" t="str">
        <f t="shared" ca="1" si="33"/>
        <v>—</v>
      </c>
      <c r="G406" s="31">
        <f t="shared" ca="1" si="34"/>
        <v>7</v>
      </c>
    </row>
    <row r="407" spans="1:7" x14ac:dyDescent="0.25">
      <c r="A407" s="12">
        <f t="shared" si="30"/>
        <v>44</v>
      </c>
      <c r="B407" t="str">
        <f ca="1">TEXT(DATE(YEAR(Invoer!$A$5),1,1)+INT((ROWS(B$2:B407)-1)/2),"jjjjmmdd")</f>
        <v>19410722</v>
      </c>
      <c r="C407" s="26" t="str">
        <f>INDEX(Data,2,2+MOD(ROWS(C$2:C407)-1,2))</f>
        <v>15.00</v>
      </c>
      <c r="D407" s="41" t="str">
        <f t="shared" ca="1" si="31"/>
        <v>—</v>
      </c>
      <c r="E407" s="31">
        <f t="shared" ca="1" si="32"/>
        <v>7</v>
      </c>
      <c r="F407" s="42" t="str">
        <f t="shared" ca="1" si="33"/>
        <v>—</v>
      </c>
      <c r="G407" s="31">
        <f t="shared" ca="1" si="34"/>
        <v>7</v>
      </c>
    </row>
    <row r="408" spans="1:7" x14ac:dyDescent="0.25">
      <c r="A408" s="12">
        <f t="shared" si="30"/>
        <v>44</v>
      </c>
      <c r="B408" t="str">
        <f ca="1">TEXT(DATE(YEAR(Invoer!$A$5),1,1)+INT((ROWS(B$2:B408)-1)/2),"jjjjmmdd")</f>
        <v>19410723</v>
      </c>
      <c r="C408" s="26" t="str">
        <f>INDEX(Data,2,2+MOD(ROWS(C$2:C408)-1,2))</f>
        <v>08.00</v>
      </c>
      <c r="D408" s="41" t="str">
        <f t="shared" ca="1" si="31"/>
        <v>—</v>
      </c>
      <c r="E408" s="31">
        <f t="shared" ca="1" si="32"/>
        <v>7</v>
      </c>
      <c r="F408" s="42" t="str">
        <f t="shared" ca="1" si="33"/>
        <v>—</v>
      </c>
      <c r="G408" s="31">
        <f t="shared" ca="1" si="34"/>
        <v>7</v>
      </c>
    </row>
    <row r="409" spans="1:7" x14ac:dyDescent="0.25">
      <c r="A409" s="12">
        <f t="shared" si="30"/>
        <v>44</v>
      </c>
      <c r="B409" t="str">
        <f ca="1">TEXT(DATE(YEAR(Invoer!$A$5),1,1)+INT((ROWS(B$2:B409)-1)/2),"jjjjmmdd")</f>
        <v>19410723</v>
      </c>
      <c r="C409" s="26" t="str">
        <f>INDEX(Data,2,2+MOD(ROWS(C$2:C409)-1,2))</f>
        <v>15.00</v>
      </c>
      <c r="D409" s="41" t="str">
        <f t="shared" ca="1" si="31"/>
        <v>—</v>
      </c>
      <c r="E409" s="31">
        <f t="shared" ca="1" si="32"/>
        <v>7</v>
      </c>
      <c r="F409" s="42" t="str">
        <f t="shared" ca="1" si="33"/>
        <v>—</v>
      </c>
      <c r="G409" s="31">
        <f t="shared" ca="1" si="34"/>
        <v>7</v>
      </c>
    </row>
    <row r="410" spans="1:7" x14ac:dyDescent="0.25">
      <c r="A410" s="12">
        <f t="shared" si="30"/>
        <v>44</v>
      </c>
      <c r="B410" t="str">
        <f ca="1">TEXT(DATE(YEAR(Invoer!$A$5),1,1)+INT((ROWS(B$2:B410)-1)/2),"jjjjmmdd")</f>
        <v>19410724</v>
      </c>
      <c r="C410" s="26" t="str">
        <f>INDEX(Data,2,2+MOD(ROWS(C$2:C410)-1,2))</f>
        <v>08.00</v>
      </c>
      <c r="D410" s="41" t="str">
        <f t="shared" ca="1" si="31"/>
        <v>—</v>
      </c>
      <c r="E410" s="31">
        <f t="shared" ca="1" si="32"/>
        <v>7</v>
      </c>
      <c r="F410" s="42" t="str">
        <f t="shared" ca="1" si="33"/>
        <v>—</v>
      </c>
      <c r="G410" s="31">
        <f t="shared" ca="1" si="34"/>
        <v>7</v>
      </c>
    </row>
    <row r="411" spans="1:7" x14ac:dyDescent="0.25">
      <c r="A411" s="12">
        <f t="shared" si="30"/>
        <v>44</v>
      </c>
      <c r="B411" t="str">
        <f ca="1">TEXT(DATE(YEAR(Invoer!$A$5),1,1)+INT((ROWS(B$2:B411)-1)/2),"jjjjmmdd")</f>
        <v>19410724</v>
      </c>
      <c r="C411" s="26" t="str">
        <f>INDEX(Data,2,2+MOD(ROWS(C$2:C411)-1,2))</f>
        <v>15.00</v>
      </c>
      <c r="D411" s="41" t="str">
        <f t="shared" ca="1" si="31"/>
        <v>—</v>
      </c>
      <c r="E411" s="31">
        <f t="shared" ca="1" si="32"/>
        <v>7</v>
      </c>
      <c r="F411" s="42" t="str">
        <f t="shared" ca="1" si="33"/>
        <v>—</v>
      </c>
      <c r="G411" s="31">
        <f t="shared" ca="1" si="34"/>
        <v>7</v>
      </c>
    </row>
    <row r="412" spans="1:7" x14ac:dyDescent="0.25">
      <c r="A412" s="12">
        <f t="shared" si="30"/>
        <v>44</v>
      </c>
      <c r="B412" t="str">
        <f ca="1">TEXT(DATE(YEAR(Invoer!$A$5),1,1)+INT((ROWS(B$2:B412)-1)/2),"jjjjmmdd")</f>
        <v>19410725</v>
      </c>
      <c r="C412" s="26" t="str">
        <f>INDEX(Data,2,2+MOD(ROWS(C$2:C412)-1,2))</f>
        <v>08.00</v>
      </c>
      <c r="D412" s="41" t="str">
        <f t="shared" ca="1" si="31"/>
        <v>—</v>
      </c>
      <c r="E412" s="31">
        <f t="shared" ca="1" si="32"/>
        <v>7</v>
      </c>
      <c r="F412" s="42" t="str">
        <f t="shared" ca="1" si="33"/>
        <v>—</v>
      </c>
      <c r="G412" s="31">
        <f t="shared" ca="1" si="34"/>
        <v>7</v>
      </c>
    </row>
    <row r="413" spans="1:7" x14ac:dyDescent="0.25">
      <c r="A413" s="12">
        <f t="shared" si="30"/>
        <v>44</v>
      </c>
      <c r="B413" t="str">
        <f ca="1">TEXT(DATE(YEAR(Invoer!$A$5),1,1)+INT((ROWS(B$2:B413)-1)/2),"jjjjmmdd")</f>
        <v>19410725</v>
      </c>
      <c r="C413" s="26" t="str">
        <f>INDEX(Data,2,2+MOD(ROWS(C$2:C413)-1,2))</f>
        <v>15.00</v>
      </c>
      <c r="D413" s="41" t="str">
        <f t="shared" ca="1" si="31"/>
        <v>—</v>
      </c>
      <c r="E413" s="31">
        <f t="shared" ca="1" si="32"/>
        <v>7</v>
      </c>
      <c r="F413" s="42" t="str">
        <f t="shared" ca="1" si="33"/>
        <v>—</v>
      </c>
      <c r="G413" s="31">
        <f t="shared" ca="1" si="34"/>
        <v>7</v>
      </c>
    </row>
    <row r="414" spans="1:7" x14ac:dyDescent="0.25">
      <c r="A414" s="12">
        <f t="shared" si="30"/>
        <v>44</v>
      </c>
      <c r="B414" t="str">
        <f ca="1">TEXT(DATE(YEAR(Invoer!$A$5),1,1)+INT((ROWS(B$2:B414)-1)/2),"jjjjmmdd")</f>
        <v>19410726</v>
      </c>
      <c r="C414" s="26" t="str">
        <f>INDEX(Data,2,2+MOD(ROWS(C$2:C414)-1,2))</f>
        <v>08.00</v>
      </c>
      <c r="D414" s="41" t="str">
        <f t="shared" ca="1" si="31"/>
        <v>—</v>
      </c>
      <c r="E414" s="31">
        <f t="shared" ca="1" si="32"/>
        <v>7</v>
      </c>
      <c r="F414" s="42" t="str">
        <f t="shared" ca="1" si="33"/>
        <v>—</v>
      </c>
      <c r="G414" s="31">
        <f t="shared" ca="1" si="34"/>
        <v>7</v>
      </c>
    </row>
    <row r="415" spans="1:7" x14ac:dyDescent="0.25">
      <c r="A415" s="12">
        <f t="shared" si="30"/>
        <v>44</v>
      </c>
      <c r="B415" t="str">
        <f ca="1">TEXT(DATE(YEAR(Invoer!$A$5),1,1)+INT((ROWS(B$2:B415)-1)/2),"jjjjmmdd")</f>
        <v>19410726</v>
      </c>
      <c r="C415" s="26" t="str">
        <f>INDEX(Data,2,2+MOD(ROWS(C$2:C415)-1,2))</f>
        <v>15.00</v>
      </c>
      <c r="D415" s="41" t="str">
        <f t="shared" ca="1" si="31"/>
        <v>—</v>
      </c>
      <c r="E415" s="31">
        <f t="shared" ca="1" si="32"/>
        <v>7</v>
      </c>
      <c r="F415" s="42" t="str">
        <f t="shared" ca="1" si="33"/>
        <v>—</v>
      </c>
      <c r="G415" s="31">
        <f t="shared" ca="1" si="34"/>
        <v>7</v>
      </c>
    </row>
    <row r="416" spans="1:7" x14ac:dyDescent="0.25">
      <c r="A416" s="12">
        <f t="shared" si="30"/>
        <v>44</v>
      </c>
      <c r="B416" t="str">
        <f ca="1">TEXT(DATE(YEAR(Invoer!$A$5),1,1)+INT((ROWS(B$2:B416)-1)/2),"jjjjmmdd")</f>
        <v>19410727</v>
      </c>
      <c r="C416" s="26" t="str">
        <f>INDEX(Data,2,2+MOD(ROWS(C$2:C416)-1,2))</f>
        <v>08.00</v>
      </c>
      <c r="D416" s="41" t="str">
        <f t="shared" ca="1" si="31"/>
        <v>—</v>
      </c>
      <c r="E416" s="31">
        <f t="shared" ca="1" si="32"/>
        <v>7</v>
      </c>
      <c r="F416" s="42" t="str">
        <f t="shared" ca="1" si="33"/>
        <v>—</v>
      </c>
      <c r="G416" s="31">
        <f t="shared" ca="1" si="34"/>
        <v>7</v>
      </c>
    </row>
    <row r="417" spans="1:7" x14ac:dyDescent="0.25">
      <c r="A417" s="12">
        <f t="shared" si="30"/>
        <v>44</v>
      </c>
      <c r="B417" t="str">
        <f ca="1">TEXT(DATE(YEAR(Invoer!$A$5),1,1)+INT((ROWS(B$2:B417)-1)/2),"jjjjmmdd")</f>
        <v>19410727</v>
      </c>
      <c r="C417" s="26" t="str">
        <f>INDEX(Data,2,2+MOD(ROWS(C$2:C417)-1,2))</f>
        <v>15.00</v>
      </c>
      <c r="D417" s="41" t="str">
        <f t="shared" ca="1" si="31"/>
        <v>—</v>
      </c>
      <c r="E417" s="31">
        <f t="shared" ca="1" si="32"/>
        <v>7</v>
      </c>
      <c r="F417" s="42" t="str">
        <f t="shared" ca="1" si="33"/>
        <v>—</v>
      </c>
      <c r="G417" s="31">
        <f t="shared" ca="1" si="34"/>
        <v>7</v>
      </c>
    </row>
    <row r="418" spans="1:7" x14ac:dyDescent="0.25">
      <c r="A418" s="12">
        <f t="shared" si="30"/>
        <v>44</v>
      </c>
      <c r="B418" t="str">
        <f ca="1">TEXT(DATE(YEAR(Invoer!$A$5),1,1)+INT((ROWS(B$2:B418)-1)/2),"jjjjmmdd")</f>
        <v>19410728</v>
      </c>
      <c r="C418" s="26" t="str">
        <f>INDEX(Data,2,2+MOD(ROWS(C$2:C418)-1,2))</f>
        <v>08.00</v>
      </c>
      <c r="D418" s="41" t="str">
        <f t="shared" ca="1" si="31"/>
        <v>—</v>
      </c>
      <c r="E418" s="31">
        <f t="shared" ca="1" si="32"/>
        <v>7</v>
      </c>
      <c r="F418" s="42" t="str">
        <f t="shared" ca="1" si="33"/>
        <v>—</v>
      </c>
      <c r="G418" s="31">
        <f t="shared" ca="1" si="34"/>
        <v>7</v>
      </c>
    </row>
    <row r="419" spans="1:7" x14ac:dyDescent="0.25">
      <c r="A419" s="12">
        <f t="shared" si="30"/>
        <v>44</v>
      </c>
      <c r="B419" t="str">
        <f ca="1">TEXT(DATE(YEAR(Invoer!$A$5),1,1)+INT((ROWS(B$2:B419)-1)/2),"jjjjmmdd")</f>
        <v>19410728</v>
      </c>
      <c r="C419" s="26" t="str">
        <f>INDEX(Data,2,2+MOD(ROWS(C$2:C419)-1,2))</f>
        <v>15.00</v>
      </c>
      <c r="D419" s="41" t="str">
        <f t="shared" ca="1" si="31"/>
        <v>—</v>
      </c>
      <c r="E419" s="31">
        <f t="shared" ca="1" si="32"/>
        <v>7</v>
      </c>
      <c r="F419" s="42" t="str">
        <f t="shared" ca="1" si="33"/>
        <v>—</v>
      </c>
      <c r="G419" s="31">
        <f t="shared" ca="1" si="34"/>
        <v>7</v>
      </c>
    </row>
    <row r="420" spans="1:7" x14ac:dyDescent="0.25">
      <c r="A420" s="12">
        <f t="shared" si="30"/>
        <v>44</v>
      </c>
      <c r="B420" t="str">
        <f ca="1">TEXT(DATE(YEAR(Invoer!$A$5),1,1)+INT((ROWS(B$2:B420)-1)/2),"jjjjmmdd")</f>
        <v>19410729</v>
      </c>
      <c r="C420" s="26" t="str">
        <f>INDEX(Data,2,2+MOD(ROWS(C$2:C420)-1,2))</f>
        <v>08.00</v>
      </c>
      <c r="D420" s="41" t="str">
        <f t="shared" ca="1" si="31"/>
        <v>—</v>
      </c>
      <c r="E420" s="31">
        <f t="shared" ca="1" si="32"/>
        <v>7</v>
      </c>
      <c r="F420" s="42" t="str">
        <f t="shared" ca="1" si="33"/>
        <v>—</v>
      </c>
      <c r="G420" s="31">
        <f t="shared" ca="1" si="34"/>
        <v>7</v>
      </c>
    </row>
    <row r="421" spans="1:7" x14ac:dyDescent="0.25">
      <c r="A421" s="12">
        <f t="shared" si="30"/>
        <v>44</v>
      </c>
      <c r="B421" t="str">
        <f ca="1">TEXT(DATE(YEAR(Invoer!$A$5),1,1)+INT((ROWS(B$2:B421)-1)/2),"jjjjmmdd")</f>
        <v>19410729</v>
      </c>
      <c r="C421" s="26" t="str">
        <f>INDEX(Data,2,2+MOD(ROWS(C$2:C421)-1,2))</f>
        <v>15.00</v>
      </c>
      <c r="D421" s="41" t="str">
        <f t="shared" ca="1" si="31"/>
        <v>—</v>
      </c>
      <c r="E421" s="31">
        <f t="shared" ca="1" si="32"/>
        <v>7</v>
      </c>
      <c r="F421" s="42" t="str">
        <f t="shared" ca="1" si="33"/>
        <v>—</v>
      </c>
      <c r="G421" s="31">
        <f t="shared" ca="1" si="34"/>
        <v>7</v>
      </c>
    </row>
    <row r="422" spans="1:7" x14ac:dyDescent="0.25">
      <c r="A422" s="12">
        <f t="shared" si="30"/>
        <v>44</v>
      </c>
      <c r="B422" t="str">
        <f ca="1">TEXT(DATE(YEAR(Invoer!$A$5),1,1)+INT((ROWS(B$2:B422)-1)/2),"jjjjmmdd")</f>
        <v>19410730</v>
      </c>
      <c r="C422" s="26" t="str">
        <f>INDEX(Data,2,2+MOD(ROWS(C$2:C422)-1,2))</f>
        <v>08.00</v>
      </c>
      <c r="D422" s="41" t="str">
        <f t="shared" ca="1" si="31"/>
        <v>—</v>
      </c>
      <c r="E422" s="31">
        <f t="shared" ca="1" si="32"/>
        <v>7</v>
      </c>
      <c r="F422" s="42" t="str">
        <f t="shared" ca="1" si="33"/>
        <v>—</v>
      </c>
      <c r="G422" s="31">
        <f t="shared" ca="1" si="34"/>
        <v>7</v>
      </c>
    </row>
    <row r="423" spans="1:7" x14ac:dyDescent="0.25">
      <c r="A423" s="12">
        <f t="shared" si="30"/>
        <v>44</v>
      </c>
      <c r="B423" t="str">
        <f ca="1">TEXT(DATE(YEAR(Invoer!$A$5),1,1)+INT((ROWS(B$2:B423)-1)/2),"jjjjmmdd")</f>
        <v>19410730</v>
      </c>
      <c r="C423" s="26" t="str">
        <f>INDEX(Data,2,2+MOD(ROWS(C$2:C423)-1,2))</f>
        <v>15.00</v>
      </c>
      <c r="D423" s="41" t="str">
        <f t="shared" ca="1" si="31"/>
        <v>—</v>
      </c>
      <c r="E423" s="31">
        <f t="shared" ca="1" si="32"/>
        <v>7</v>
      </c>
      <c r="F423" s="42" t="str">
        <f t="shared" ca="1" si="33"/>
        <v>—</v>
      </c>
      <c r="G423" s="31">
        <f t="shared" ca="1" si="34"/>
        <v>7</v>
      </c>
    </row>
    <row r="424" spans="1:7" x14ac:dyDescent="0.25">
      <c r="A424" s="12">
        <f t="shared" si="30"/>
        <v>44</v>
      </c>
      <c r="B424" t="str">
        <f ca="1">TEXT(DATE(YEAR(Invoer!$A$5),1,1)+INT((ROWS(B$2:B424)-1)/2),"jjjjmmdd")</f>
        <v>19410731</v>
      </c>
      <c r="C424" s="26" t="str">
        <f>INDEX(Data,2,2+MOD(ROWS(C$2:C424)-1,2))</f>
        <v>08.00</v>
      </c>
      <c r="D424" s="41" t="str">
        <f t="shared" ca="1" si="31"/>
        <v>—</v>
      </c>
      <c r="E424" s="31">
        <f t="shared" ca="1" si="32"/>
        <v>7</v>
      </c>
      <c r="F424" s="42" t="str">
        <f t="shared" ca="1" si="33"/>
        <v>—</v>
      </c>
      <c r="G424" s="31">
        <f t="shared" ca="1" si="34"/>
        <v>7</v>
      </c>
    </row>
    <row r="425" spans="1:7" x14ac:dyDescent="0.25">
      <c r="A425" s="12">
        <f t="shared" si="30"/>
        <v>44</v>
      </c>
      <c r="B425" t="str">
        <f ca="1">TEXT(DATE(YEAR(Invoer!$A$5),1,1)+INT((ROWS(B$2:B425)-1)/2),"jjjjmmdd")</f>
        <v>19410731</v>
      </c>
      <c r="C425" s="26" t="str">
        <f>INDEX(Data,2,2+MOD(ROWS(C$2:C425)-1,2))</f>
        <v>15.00</v>
      </c>
      <c r="D425" s="41" t="str">
        <f t="shared" ca="1" si="31"/>
        <v>—</v>
      </c>
      <c r="E425" s="31">
        <f t="shared" ca="1" si="32"/>
        <v>7</v>
      </c>
      <c r="F425" s="42" t="str">
        <f t="shared" ca="1" si="33"/>
        <v>—</v>
      </c>
      <c r="G425" s="31">
        <f t="shared" ca="1" si="34"/>
        <v>7</v>
      </c>
    </row>
    <row r="426" spans="1:7" x14ac:dyDescent="0.25">
      <c r="A426" s="12">
        <f t="shared" si="30"/>
        <v>44</v>
      </c>
      <c r="B426" t="str">
        <f ca="1">TEXT(DATE(YEAR(Invoer!$A$5),1,1)+INT((ROWS(B$2:B426)-1)/2),"jjjjmmdd")</f>
        <v>19410801</v>
      </c>
      <c r="C426" s="26" t="str">
        <f>INDEX(Data,2,2+MOD(ROWS(C$2:C426)-1,2))</f>
        <v>08.00</v>
      </c>
      <c r="D426" s="41" t="str">
        <f t="shared" ca="1" si="31"/>
        <v>—</v>
      </c>
      <c r="E426" s="31">
        <f t="shared" ca="1" si="32"/>
        <v>7</v>
      </c>
      <c r="F426" s="42" t="str">
        <f t="shared" ca="1" si="33"/>
        <v>—</v>
      </c>
      <c r="G426" s="31">
        <f t="shared" ca="1" si="34"/>
        <v>7</v>
      </c>
    </row>
    <row r="427" spans="1:7" x14ac:dyDescent="0.25">
      <c r="A427" s="12">
        <f t="shared" si="30"/>
        <v>44</v>
      </c>
      <c r="B427" t="str">
        <f ca="1">TEXT(DATE(YEAR(Invoer!$A$5),1,1)+INT((ROWS(B$2:B427)-1)/2),"jjjjmmdd")</f>
        <v>19410801</v>
      </c>
      <c r="C427" s="26" t="str">
        <f>INDEX(Data,2,2+MOD(ROWS(C$2:C427)-1,2))</f>
        <v>15.00</v>
      </c>
      <c r="D427" s="41" t="str">
        <f t="shared" ca="1" si="31"/>
        <v>—</v>
      </c>
      <c r="E427" s="31">
        <f t="shared" ca="1" si="32"/>
        <v>7</v>
      </c>
      <c r="F427" s="42" t="str">
        <f t="shared" ca="1" si="33"/>
        <v>—</v>
      </c>
      <c r="G427" s="31">
        <f t="shared" ca="1" si="34"/>
        <v>7</v>
      </c>
    </row>
    <row r="428" spans="1:7" x14ac:dyDescent="0.25">
      <c r="A428" s="12">
        <f t="shared" si="30"/>
        <v>44</v>
      </c>
      <c r="B428" t="str">
        <f ca="1">TEXT(DATE(YEAR(Invoer!$A$5),1,1)+INT((ROWS(B$2:B428)-1)/2),"jjjjmmdd")</f>
        <v>19410802</v>
      </c>
      <c r="C428" s="26" t="str">
        <f>INDEX(Data,2,2+MOD(ROWS(C$2:C428)-1,2))</f>
        <v>08.00</v>
      </c>
      <c r="D428" s="41" t="str">
        <f t="shared" ca="1" si="31"/>
        <v>—</v>
      </c>
      <c r="E428" s="31">
        <f t="shared" ca="1" si="32"/>
        <v>7</v>
      </c>
      <c r="F428" s="42" t="str">
        <f t="shared" ca="1" si="33"/>
        <v>—</v>
      </c>
      <c r="G428" s="31">
        <f t="shared" ca="1" si="34"/>
        <v>7</v>
      </c>
    </row>
    <row r="429" spans="1:7" x14ac:dyDescent="0.25">
      <c r="A429" s="12">
        <f t="shared" si="30"/>
        <v>44</v>
      </c>
      <c r="B429" t="str">
        <f ca="1">TEXT(DATE(YEAR(Invoer!$A$5),1,1)+INT((ROWS(B$2:B429)-1)/2),"jjjjmmdd")</f>
        <v>19410802</v>
      </c>
      <c r="C429" s="26" t="str">
        <f>INDEX(Data,2,2+MOD(ROWS(C$2:C429)-1,2))</f>
        <v>15.00</v>
      </c>
      <c r="D429" s="41" t="str">
        <f t="shared" ca="1" si="31"/>
        <v>—</v>
      </c>
      <c r="E429" s="31">
        <f t="shared" ca="1" si="32"/>
        <v>7</v>
      </c>
      <c r="F429" s="42" t="str">
        <f t="shared" ca="1" si="33"/>
        <v>—</v>
      </c>
      <c r="G429" s="31">
        <f t="shared" ca="1" si="34"/>
        <v>7</v>
      </c>
    </row>
    <row r="430" spans="1:7" x14ac:dyDescent="0.25">
      <c r="A430" s="12">
        <f t="shared" si="30"/>
        <v>44</v>
      </c>
      <c r="B430" t="str">
        <f ca="1">TEXT(DATE(YEAR(Invoer!$A$5),1,1)+INT((ROWS(B$2:B430)-1)/2),"jjjjmmdd")</f>
        <v>19410803</v>
      </c>
      <c r="C430" s="26" t="str">
        <f>INDEX(Data,2,2+MOD(ROWS(C$2:C430)-1,2))</f>
        <v>08.00</v>
      </c>
      <c r="D430" s="41" t="str">
        <f t="shared" ca="1" si="31"/>
        <v>—</v>
      </c>
      <c r="E430" s="31">
        <f t="shared" ca="1" si="32"/>
        <v>7</v>
      </c>
      <c r="F430" s="42" t="str">
        <f t="shared" ca="1" si="33"/>
        <v>—</v>
      </c>
      <c r="G430" s="31">
        <f t="shared" ca="1" si="34"/>
        <v>7</v>
      </c>
    </row>
    <row r="431" spans="1:7" x14ac:dyDescent="0.25">
      <c r="A431" s="12">
        <f t="shared" si="30"/>
        <v>44</v>
      </c>
      <c r="B431" t="str">
        <f ca="1">TEXT(DATE(YEAR(Invoer!$A$5),1,1)+INT((ROWS(B$2:B431)-1)/2),"jjjjmmdd")</f>
        <v>19410803</v>
      </c>
      <c r="C431" s="26" t="str">
        <f>INDEX(Data,2,2+MOD(ROWS(C$2:C431)-1,2))</f>
        <v>15.00</v>
      </c>
      <c r="D431" s="41" t="str">
        <f t="shared" ca="1" si="31"/>
        <v>—</v>
      </c>
      <c r="E431" s="31">
        <f t="shared" ca="1" si="32"/>
        <v>7</v>
      </c>
      <c r="F431" s="42" t="str">
        <f t="shared" ca="1" si="33"/>
        <v>—</v>
      </c>
      <c r="G431" s="31">
        <f t="shared" ca="1" si="34"/>
        <v>7</v>
      </c>
    </row>
    <row r="432" spans="1:7" x14ac:dyDescent="0.25">
      <c r="A432" s="12">
        <f t="shared" si="30"/>
        <v>44</v>
      </c>
      <c r="B432" t="str">
        <f ca="1">TEXT(DATE(YEAR(Invoer!$A$5),1,1)+INT((ROWS(B$2:B432)-1)/2),"jjjjmmdd")</f>
        <v>19410804</v>
      </c>
      <c r="C432" s="26" t="str">
        <f>INDEX(Data,2,2+MOD(ROWS(C$2:C432)-1,2))</f>
        <v>08.00</v>
      </c>
      <c r="D432" s="41" t="str">
        <f t="shared" ca="1" si="31"/>
        <v>—</v>
      </c>
      <c r="E432" s="31">
        <f t="shared" ca="1" si="32"/>
        <v>7</v>
      </c>
      <c r="F432" s="42" t="str">
        <f t="shared" ca="1" si="33"/>
        <v>—</v>
      </c>
      <c r="G432" s="31">
        <f t="shared" ca="1" si="34"/>
        <v>7</v>
      </c>
    </row>
    <row r="433" spans="1:7" x14ac:dyDescent="0.25">
      <c r="A433" s="12">
        <f t="shared" si="30"/>
        <v>44</v>
      </c>
      <c r="B433" t="str">
        <f ca="1">TEXT(DATE(YEAR(Invoer!$A$5),1,1)+INT((ROWS(B$2:B433)-1)/2),"jjjjmmdd")</f>
        <v>19410804</v>
      </c>
      <c r="C433" s="26" t="str">
        <f>INDEX(Data,2,2+MOD(ROWS(C$2:C433)-1,2))</f>
        <v>15.00</v>
      </c>
      <c r="D433" s="41" t="str">
        <f t="shared" ca="1" si="31"/>
        <v>—</v>
      </c>
      <c r="E433" s="31">
        <f t="shared" ca="1" si="32"/>
        <v>7</v>
      </c>
      <c r="F433" s="42" t="str">
        <f t="shared" ca="1" si="33"/>
        <v>—</v>
      </c>
      <c r="G433" s="31">
        <f t="shared" ca="1" si="34"/>
        <v>7</v>
      </c>
    </row>
    <row r="434" spans="1:7" x14ac:dyDescent="0.25">
      <c r="A434" s="12">
        <f t="shared" si="30"/>
        <v>44</v>
      </c>
      <c r="B434" t="str">
        <f ca="1">TEXT(DATE(YEAR(Invoer!$A$5),1,1)+INT((ROWS(B$2:B434)-1)/2),"jjjjmmdd")</f>
        <v>19410805</v>
      </c>
      <c r="C434" s="26" t="str">
        <f>INDEX(Data,2,2+MOD(ROWS(C$2:C434)-1,2))</f>
        <v>08.00</v>
      </c>
      <c r="D434" s="41" t="str">
        <f t="shared" ca="1" si="31"/>
        <v>—</v>
      </c>
      <c r="E434" s="31">
        <f t="shared" ca="1" si="32"/>
        <v>7</v>
      </c>
      <c r="F434" s="42" t="str">
        <f t="shared" ca="1" si="33"/>
        <v>—</v>
      </c>
      <c r="G434" s="31">
        <f t="shared" ca="1" si="34"/>
        <v>7</v>
      </c>
    </row>
    <row r="435" spans="1:7" x14ac:dyDescent="0.25">
      <c r="A435" s="12">
        <f t="shared" si="30"/>
        <v>44</v>
      </c>
      <c r="B435" t="str">
        <f ca="1">TEXT(DATE(YEAR(Invoer!$A$5),1,1)+INT((ROWS(B$2:B435)-1)/2),"jjjjmmdd")</f>
        <v>19410805</v>
      </c>
      <c r="C435" s="26" t="str">
        <f>INDEX(Data,2,2+MOD(ROWS(C$2:C435)-1,2))</f>
        <v>15.00</v>
      </c>
      <c r="D435" s="41" t="str">
        <f t="shared" ca="1" si="31"/>
        <v>—</v>
      </c>
      <c r="E435" s="31">
        <f t="shared" ca="1" si="32"/>
        <v>7</v>
      </c>
      <c r="F435" s="42" t="str">
        <f t="shared" ca="1" si="33"/>
        <v>—</v>
      </c>
      <c r="G435" s="31">
        <f t="shared" ca="1" si="34"/>
        <v>7</v>
      </c>
    </row>
    <row r="436" spans="1:7" x14ac:dyDescent="0.25">
      <c r="A436" s="12">
        <f t="shared" si="30"/>
        <v>44</v>
      </c>
      <c r="B436" t="str">
        <f ca="1">TEXT(DATE(YEAR(Invoer!$A$5),1,1)+INT((ROWS(B$2:B436)-1)/2),"jjjjmmdd")</f>
        <v>19410806</v>
      </c>
      <c r="C436" s="26" t="str">
        <f>INDEX(Data,2,2+MOD(ROWS(C$2:C436)-1,2))</f>
        <v>08.00</v>
      </c>
      <c r="D436" s="41" t="str">
        <f t="shared" ca="1" si="31"/>
        <v>—</v>
      </c>
      <c r="E436" s="31">
        <f t="shared" ca="1" si="32"/>
        <v>7</v>
      </c>
      <c r="F436" s="42" t="str">
        <f t="shared" ca="1" si="33"/>
        <v>—</v>
      </c>
      <c r="G436" s="31">
        <f t="shared" ca="1" si="34"/>
        <v>7</v>
      </c>
    </row>
    <row r="437" spans="1:7" x14ac:dyDescent="0.25">
      <c r="A437" s="12">
        <f t="shared" si="30"/>
        <v>44</v>
      </c>
      <c r="B437" t="str">
        <f ca="1">TEXT(DATE(YEAR(Invoer!$A$5),1,1)+INT((ROWS(B$2:B437)-1)/2),"jjjjmmdd")</f>
        <v>19410806</v>
      </c>
      <c r="C437" s="26" t="str">
        <f>INDEX(Data,2,2+MOD(ROWS(C$2:C437)-1,2))</f>
        <v>15.00</v>
      </c>
      <c r="D437" s="41" t="str">
        <f t="shared" ca="1" si="31"/>
        <v>—</v>
      </c>
      <c r="E437" s="31">
        <f t="shared" ca="1" si="32"/>
        <v>7</v>
      </c>
      <c r="F437" s="42" t="str">
        <f t="shared" ca="1" si="33"/>
        <v>—</v>
      </c>
      <c r="G437" s="31">
        <f t="shared" ca="1" si="34"/>
        <v>7</v>
      </c>
    </row>
    <row r="438" spans="1:7" x14ac:dyDescent="0.25">
      <c r="A438" s="12">
        <f t="shared" si="30"/>
        <v>44</v>
      </c>
      <c r="B438" t="str">
        <f ca="1">TEXT(DATE(YEAR(Invoer!$A$5),1,1)+INT((ROWS(B$2:B438)-1)/2),"jjjjmmdd")</f>
        <v>19410807</v>
      </c>
      <c r="C438" s="26" t="str">
        <f>INDEX(Data,2,2+MOD(ROWS(C$2:C438)-1,2))</f>
        <v>08.00</v>
      </c>
      <c r="D438" s="41" t="str">
        <f t="shared" ca="1" si="31"/>
        <v>—</v>
      </c>
      <c r="E438" s="31">
        <f t="shared" ca="1" si="32"/>
        <v>7</v>
      </c>
      <c r="F438" s="42" t="str">
        <f t="shared" ca="1" si="33"/>
        <v>—</v>
      </c>
      <c r="G438" s="31">
        <f t="shared" ca="1" si="34"/>
        <v>7</v>
      </c>
    </row>
    <row r="439" spans="1:7" x14ac:dyDescent="0.25">
      <c r="A439" s="12">
        <f t="shared" si="30"/>
        <v>44</v>
      </c>
      <c r="B439" t="str">
        <f ca="1">TEXT(DATE(YEAR(Invoer!$A$5),1,1)+INT((ROWS(B$2:B439)-1)/2),"jjjjmmdd")</f>
        <v>19410807</v>
      </c>
      <c r="C439" s="26" t="str">
        <f>INDEX(Data,2,2+MOD(ROWS(C$2:C439)-1,2))</f>
        <v>15.00</v>
      </c>
      <c r="D439" s="41" t="str">
        <f t="shared" ca="1" si="31"/>
        <v>—</v>
      </c>
      <c r="E439" s="31">
        <f t="shared" ca="1" si="32"/>
        <v>7</v>
      </c>
      <c r="F439" s="42" t="str">
        <f t="shared" ca="1" si="33"/>
        <v>—</v>
      </c>
      <c r="G439" s="31">
        <f t="shared" ca="1" si="34"/>
        <v>7</v>
      </c>
    </row>
    <row r="440" spans="1:7" x14ac:dyDescent="0.25">
      <c r="A440" s="12">
        <f t="shared" si="30"/>
        <v>44</v>
      </c>
      <c r="B440" t="str">
        <f ca="1">TEXT(DATE(YEAR(Invoer!$A$5),1,1)+INT((ROWS(B$2:B440)-1)/2),"jjjjmmdd")</f>
        <v>19410808</v>
      </c>
      <c r="C440" s="26" t="str">
        <f>INDEX(Data,2,2+MOD(ROWS(C$2:C440)-1,2))</f>
        <v>08.00</v>
      </c>
      <c r="D440" s="41" t="str">
        <f t="shared" ca="1" si="31"/>
        <v>—</v>
      </c>
      <c r="E440" s="31">
        <f t="shared" ca="1" si="32"/>
        <v>7</v>
      </c>
      <c r="F440" s="42" t="str">
        <f t="shared" ca="1" si="33"/>
        <v>—</v>
      </c>
      <c r="G440" s="31">
        <f t="shared" ca="1" si="34"/>
        <v>7</v>
      </c>
    </row>
    <row r="441" spans="1:7" x14ac:dyDescent="0.25">
      <c r="A441" s="12">
        <f t="shared" si="30"/>
        <v>44</v>
      </c>
      <c r="B441" t="str">
        <f ca="1">TEXT(DATE(YEAR(Invoer!$A$5),1,1)+INT((ROWS(B$2:B441)-1)/2),"jjjjmmdd")</f>
        <v>19410808</v>
      </c>
      <c r="C441" s="26" t="str">
        <f>INDEX(Data,2,2+MOD(ROWS(C$2:C441)-1,2))</f>
        <v>15.00</v>
      </c>
      <c r="D441" s="41" t="str">
        <f t="shared" ca="1" si="31"/>
        <v>—</v>
      </c>
      <c r="E441" s="31">
        <f t="shared" ca="1" si="32"/>
        <v>7</v>
      </c>
      <c r="F441" s="42" t="str">
        <f t="shared" ca="1" si="33"/>
        <v>—</v>
      </c>
      <c r="G441" s="31">
        <f t="shared" ca="1" si="34"/>
        <v>7</v>
      </c>
    </row>
    <row r="442" spans="1:7" x14ac:dyDescent="0.25">
      <c r="A442" s="12">
        <f t="shared" si="30"/>
        <v>44</v>
      </c>
      <c r="B442" t="str">
        <f ca="1">TEXT(DATE(YEAR(Invoer!$A$5),1,1)+INT((ROWS(B$2:B442)-1)/2),"jjjjmmdd")</f>
        <v>19410809</v>
      </c>
      <c r="C442" s="26" t="str">
        <f>INDEX(Data,2,2+MOD(ROWS(C$2:C442)-1,2))</f>
        <v>08.00</v>
      </c>
      <c r="D442" s="41" t="str">
        <f t="shared" ca="1" si="31"/>
        <v>—</v>
      </c>
      <c r="E442" s="31">
        <f t="shared" ca="1" si="32"/>
        <v>7</v>
      </c>
      <c r="F442" s="42" t="str">
        <f t="shared" ca="1" si="33"/>
        <v>—</v>
      </c>
      <c r="G442" s="31">
        <f t="shared" ca="1" si="34"/>
        <v>7</v>
      </c>
    </row>
    <row r="443" spans="1:7" x14ac:dyDescent="0.25">
      <c r="A443" s="12">
        <f t="shared" si="30"/>
        <v>44</v>
      </c>
      <c r="B443" t="str">
        <f ca="1">TEXT(DATE(YEAR(Invoer!$A$5),1,1)+INT((ROWS(B$2:B443)-1)/2),"jjjjmmdd")</f>
        <v>19410809</v>
      </c>
      <c r="C443" s="26" t="str">
        <f>INDEX(Data,2,2+MOD(ROWS(C$2:C443)-1,2))</f>
        <v>15.00</v>
      </c>
      <c r="D443" s="41" t="str">
        <f t="shared" ca="1" si="31"/>
        <v>—</v>
      </c>
      <c r="E443" s="31">
        <f t="shared" ca="1" si="32"/>
        <v>7</v>
      </c>
      <c r="F443" s="42" t="str">
        <f t="shared" ca="1" si="33"/>
        <v>—</v>
      </c>
      <c r="G443" s="31">
        <f t="shared" ca="1" si="34"/>
        <v>7</v>
      </c>
    </row>
    <row r="444" spans="1:7" x14ac:dyDescent="0.25">
      <c r="A444" s="12">
        <f t="shared" si="30"/>
        <v>44</v>
      </c>
      <c r="B444" t="str">
        <f ca="1">TEXT(DATE(YEAR(Invoer!$A$5),1,1)+INT((ROWS(B$2:B444)-1)/2),"jjjjmmdd")</f>
        <v>19410810</v>
      </c>
      <c r="C444" s="26" t="str">
        <f>INDEX(Data,2,2+MOD(ROWS(C$2:C444)-1,2))</f>
        <v>08.00</v>
      </c>
      <c r="D444" s="41" t="str">
        <f t="shared" ca="1" si="31"/>
        <v>—</v>
      </c>
      <c r="E444" s="31">
        <f t="shared" ca="1" si="32"/>
        <v>7</v>
      </c>
      <c r="F444" s="42" t="str">
        <f t="shared" ca="1" si="33"/>
        <v>—</v>
      </c>
      <c r="G444" s="31">
        <f t="shared" ca="1" si="34"/>
        <v>7</v>
      </c>
    </row>
    <row r="445" spans="1:7" x14ac:dyDescent="0.25">
      <c r="A445" s="12">
        <f t="shared" si="30"/>
        <v>44</v>
      </c>
      <c r="B445" t="str">
        <f ca="1">TEXT(DATE(YEAR(Invoer!$A$5),1,1)+INT((ROWS(B$2:B445)-1)/2),"jjjjmmdd")</f>
        <v>19410810</v>
      </c>
      <c r="C445" s="26" t="str">
        <f>INDEX(Data,2,2+MOD(ROWS(C$2:C445)-1,2))</f>
        <v>15.00</v>
      </c>
      <c r="D445" s="41" t="str">
        <f t="shared" ca="1" si="31"/>
        <v>—</v>
      </c>
      <c r="E445" s="31">
        <f t="shared" ca="1" si="32"/>
        <v>7</v>
      </c>
      <c r="F445" s="42" t="str">
        <f t="shared" ca="1" si="33"/>
        <v>—</v>
      </c>
      <c r="G445" s="31">
        <f t="shared" ca="1" si="34"/>
        <v>7</v>
      </c>
    </row>
    <row r="446" spans="1:7" x14ac:dyDescent="0.25">
      <c r="A446" s="12">
        <f t="shared" si="30"/>
        <v>44</v>
      </c>
      <c r="B446" t="str">
        <f ca="1">TEXT(DATE(YEAR(Invoer!$A$5),1,1)+INT((ROWS(B$2:B446)-1)/2),"jjjjmmdd")</f>
        <v>19410811</v>
      </c>
      <c r="C446" s="26" t="str">
        <f>INDEX(Data,2,2+MOD(ROWS(C$2:C446)-1,2))</f>
        <v>08.00</v>
      </c>
      <c r="D446" s="41" t="str">
        <f t="shared" ca="1" si="31"/>
        <v>—</v>
      </c>
      <c r="E446" s="31">
        <f t="shared" ca="1" si="32"/>
        <v>7</v>
      </c>
      <c r="F446" s="42" t="str">
        <f t="shared" ca="1" si="33"/>
        <v>—</v>
      </c>
      <c r="G446" s="31">
        <f t="shared" ca="1" si="34"/>
        <v>7</v>
      </c>
    </row>
    <row r="447" spans="1:7" x14ac:dyDescent="0.25">
      <c r="A447" s="12">
        <f t="shared" si="30"/>
        <v>44</v>
      </c>
      <c r="B447" t="str">
        <f ca="1">TEXT(DATE(YEAR(Invoer!$A$5),1,1)+INT((ROWS(B$2:B447)-1)/2),"jjjjmmdd")</f>
        <v>19410811</v>
      </c>
      <c r="C447" s="26" t="str">
        <f>INDEX(Data,2,2+MOD(ROWS(C$2:C447)-1,2))</f>
        <v>15.00</v>
      </c>
      <c r="D447" s="41" t="str">
        <f t="shared" ca="1" si="31"/>
        <v>—</v>
      </c>
      <c r="E447" s="31">
        <f t="shared" ca="1" si="32"/>
        <v>7</v>
      </c>
      <c r="F447" s="42" t="str">
        <f t="shared" ca="1" si="33"/>
        <v>—</v>
      </c>
      <c r="G447" s="31">
        <f t="shared" ca="1" si="34"/>
        <v>7</v>
      </c>
    </row>
    <row r="448" spans="1:7" x14ac:dyDescent="0.25">
      <c r="A448" s="12">
        <f t="shared" si="30"/>
        <v>44</v>
      </c>
      <c r="B448" t="str">
        <f ca="1">TEXT(DATE(YEAR(Invoer!$A$5),1,1)+INT((ROWS(B$2:B448)-1)/2),"jjjjmmdd")</f>
        <v>19410812</v>
      </c>
      <c r="C448" s="26" t="str">
        <f>INDEX(Data,2,2+MOD(ROWS(C$2:C448)-1,2))</f>
        <v>08.00</v>
      </c>
      <c r="D448" s="41" t="str">
        <f t="shared" ca="1" si="31"/>
        <v>—</v>
      </c>
      <c r="E448" s="31">
        <f t="shared" ca="1" si="32"/>
        <v>7</v>
      </c>
      <c r="F448" s="42" t="str">
        <f t="shared" ca="1" si="33"/>
        <v>—</v>
      </c>
      <c r="G448" s="31">
        <f t="shared" ca="1" si="34"/>
        <v>7</v>
      </c>
    </row>
    <row r="449" spans="1:7" x14ac:dyDescent="0.25">
      <c r="A449" s="12">
        <f t="shared" si="30"/>
        <v>44</v>
      </c>
      <c r="B449" t="str">
        <f ca="1">TEXT(DATE(YEAR(Invoer!$A$5),1,1)+INT((ROWS(B$2:B449)-1)/2),"jjjjmmdd")</f>
        <v>19410812</v>
      </c>
      <c r="C449" s="26" t="str">
        <f>INDEX(Data,2,2+MOD(ROWS(C$2:C449)-1,2))</f>
        <v>15.00</v>
      </c>
      <c r="D449" s="41" t="str">
        <f t="shared" ca="1" si="31"/>
        <v>—</v>
      </c>
      <c r="E449" s="31">
        <f t="shared" ca="1" si="32"/>
        <v>7</v>
      </c>
      <c r="F449" s="42" t="str">
        <f t="shared" ca="1" si="33"/>
        <v>—</v>
      </c>
      <c r="G449" s="31">
        <f t="shared" ca="1" si="34"/>
        <v>7</v>
      </c>
    </row>
    <row r="450" spans="1:7" x14ac:dyDescent="0.25">
      <c r="A450" s="12">
        <f t="shared" ref="A450:A513" si="35">INDEX(Stations,2,1)</f>
        <v>44</v>
      </c>
      <c r="B450" t="str">
        <f ca="1">TEXT(DATE(YEAR(Invoer!$A$5),1,1)+INT((ROWS(B$2:B450)-1)/2),"jjjjmmdd")</f>
        <v>19410813</v>
      </c>
      <c r="C450" s="26" t="str">
        <f>INDEX(Data,2,2+MOD(ROWS(C$2:C450)-1,2))</f>
        <v>08.00</v>
      </c>
      <c r="D450" s="41" t="str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0.0254*VLOOKUP(DATEVALUE(LEFT($B450,4)&amp;"-"&amp;MID($B450,5,2)&amp;"-"&amp;RIGHT($B450,2)),Data,MATCH(LEFT(VLOOKUP(D$1,Parameters,2,FALSE()),4)&amp;"*",OFFSET(Data,0,0,1),0)+MATCH($C450,OFFSET(Data,1,0,1),0)-2,FALSE()))</f>
        <v>—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7</v>
      </c>
      <c r="F450" s="42" t="str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5*(VLOOKUP(DATEVALUE(LEFT($B450,4)&amp;"-"&amp;MID($B450,5,2)&amp;"-"&amp;RIGHT($B450,2)),Data,MATCH(LEFT(VLOOKUP(F$1,Parameters,2,FALSE()),4)&amp;"*",OFFSET(Data,0,0,1),0)+MATCH($C450,OFFSET(Data,1,0,1),0)-2,FALSE())-320)/90)</f>
        <v>—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7</v>
      </c>
    </row>
    <row r="451" spans="1:7" x14ac:dyDescent="0.25">
      <c r="A451" s="12">
        <f t="shared" si="35"/>
        <v>44</v>
      </c>
      <c r="B451" t="str">
        <f ca="1">TEXT(DATE(YEAR(Invoer!$A$5),1,1)+INT((ROWS(B$2:B451)-1)/2),"jjjjmmdd")</f>
        <v>19410813</v>
      </c>
      <c r="C451" s="26" t="str">
        <f>INDEX(Data,2,2+MOD(ROWS(C$2:C451)-1,2))</f>
        <v>15.00</v>
      </c>
      <c r="D451" s="41" t="str">
        <f t="shared" ca="1" si="36"/>
        <v>—</v>
      </c>
      <c r="E451" s="31">
        <f t="shared" ca="1" si="37"/>
        <v>7</v>
      </c>
      <c r="F451" s="42" t="str">
        <f t="shared" ca="1" si="38"/>
        <v>—</v>
      </c>
      <c r="G451" s="31">
        <f t="shared" ca="1" si="39"/>
        <v>7</v>
      </c>
    </row>
    <row r="452" spans="1:7" x14ac:dyDescent="0.25">
      <c r="A452" s="12">
        <f t="shared" si="35"/>
        <v>44</v>
      </c>
      <c r="B452" t="str">
        <f ca="1">TEXT(DATE(YEAR(Invoer!$A$5),1,1)+INT((ROWS(B$2:B452)-1)/2),"jjjjmmdd")</f>
        <v>19410814</v>
      </c>
      <c r="C452" s="26" t="str">
        <f>INDEX(Data,2,2+MOD(ROWS(C$2:C452)-1,2))</f>
        <v>08.00</v>
      </c>
      <c r="D452" s="41" t="str">
        <f t="shared" ca="1" si="36"/>
        <v>—</v>
      </c>
      <c r="E452" s="31">
        <f t="shared" ca="1" si="37"/>
        <v>7</v>
      </c>
      <c r="F452" s="42" t="str">
        <f t="shared" ca="1" si="38"/>
        <v>—</v>
      </c>
      <c r="G452" s="31">
        <f t="shared" ca="1" si="39"/>
        <v>7</v>
      </c>
    </row>
    <row r="453" spans="1:7" x14ac:dyDescent="0.25">
      <c r="A453" s="12">
        <f t="shared" si="35"/>
        <v>44</v>
      </c>
      <c r="B453" t="str">
        <f ca="1">TEXT(DATE(YEAR(Invoer!$A$5),1,1)+INT((ROWS(B$2:B453)-1)/2),"jjjjmmdd")</f>
        <v>19410814</v>
      </c>
      <c r="C453" s="26" t="str">
        <f>INDEX(Data,2,2+MOD(ROWS(C$2:C453)-1,2))</f>
        <v>15.00</v>
      </c>
      <c r="D453" s="41" t="str">
        <f t="shared" ca="1" si="36"/>
        <v>—</v>
      </c>
      <c r="E453" s="31">
        <f t="shared" ca="1" si="37"/>
        <v>7</v>
      </c>
      <c r="F453" s="42" t="str">
        <f t="shared" ca="1" si="38"/>
        <v>—</v>
      </c>
      <c r="G453" s="31">
        <f t="shared" ca="1" si="39"/>
        <v>7</v>
      </c>
    </row>
    <row r="454" spans="1:7" x14ac:dyDescent="0.25">
      <c r="A454" s="12">
        <f t="shared" si="35"/>
        <v>44</v>
      </c>
      <c r="B454" t="str">
        <f ca="1">TEXT(DATE(YEAR(Invoer!$A$5),1,1)+INT((ROWS(B$2:B454)-1)/2),"jjjjmmdd")</f>
        <v>19410815</v>
      </c>
      <c r="C454" s="26" t="str">
        <f>INDEX(Data,2,2+MOD(ROWS(C$2:C454)-1,2))</f>
        <v>08.00</v>
      </c>
      <c r="D454" s="41" t="str">
        <f t="shared" ca="1" si="36"/>
        <v>—</v>
      </c>
      <c r="E454" s="31">
        <f t="shared" ca="1" si="37"/>
        <v>7</v>
      </c>
      <c r="F454" s="42" t="str">
        <f t="shared" ca="1" si="38"/>
        <v>—</v>
      </c>
      <c r="G454" s="31">
        <f t="shared" ca="1" si="39"/>
        <v>7</v>
      </c>
    </row>
    <row r="455" spans="1:7" x14ac:dyDescent="0.25">
      <c r="A455" s="12">
        <f t="shared" si="35"/>
        <v>44</v>
      </c>
      <c r="B455" t="str">
        <f ca="1">TEXT(DATE(YEAR(Invoer!$A$5),1,1)+INT((ROWS(B$2:B455)-1)/2),"jjjjmmdd")</f>
        <v>19410815</v>
      </c>
      <c r="C455" s="26" t="str">
        <f>INDEX(Data,2,2+MOD(ROWS(C$2:C455)-1,2))</f>
        <v>15.00</v>
      </c>
      <c r="D455" s="41" t="str">
        <f t="shared" ca="1" si="36"/>
        <v>—</v>
      </c>
      <c r="E455" s="31">
        <f t="shared" ca="1" si="37"/>
        <v>7</v>
      </c>
      <c r="F455" s="42" t="str">
        <f t="shared" ca="1" si="38"/>
        <v>—</v>
      </c>
      <c r="G455" s="31">
        <f t="shared" ca="1" si="39"/>
        <v>7</v>
      </c>
    </row>
    <row r="456" spans="1:7" x14ac:dyDescent="0.25">
      <c r="A456" s="12">
        <f t="shared" si="35"/>
        <v>44</v>
      </c>
      <c r="B456" t="str">
        <f ca="1">TEXT(DATE(YEAR(Invoer!$A$5),1,1)+INT((ROWS(B$2:B456)-1)/2),"jjjjmmdd")</f>
        <v>19410816</v>
      </c>
      <c r="C456" s="26" t="str">
        <f>INDEX(Data,2,2+MOD(ROWS(C$2:C456)-1,2))</f>
        <v>08.00</v>
      </c>
      <c r="D456" s="41" t="str">
        <f t="shared" ca="1" si="36"/>
        <v>—</v>
      </c>
      <c r="E456" s="31">
        <f t="shared" ca="1" si="37"/>
        <v>7</v>
      </c>
      <c r="F456" s="42" t="str">
        <f t="shared" ca="1" si="38"/>
        <v>—</v>
      </c>
      <c r="G456" s="31">
        <f t="shared" ca="1" si="39"/>
        <v>7</v>
      </c>
    </row>
    <row r="457" spans="1:7" x14ac:dyDescent="0.25">
      <c r="A457" s="12">
        <f t="shared" si="35"/>
        <v>44</v>
      </c>
      <c r="B457" t="str">
        <f ca="1">TEXT(DATE(YEAR(Invoer!$A$5),1,1)+INT((ROWS(B$2:B457)-1)/2),"jjjjmmdd")</f>
        <v>19410816</v>
      </c>
      <c r="C457" s="26" t="str">
        <f>INDEX(Data,2,2+MOD(ROWS(C$2:C457)-1,2))</f>
        <v>15.00</v>
      </c>
      <c r="D457" s="41" t="str">
        <f t="shared" ca="1" si="36"/>
        <v>—</v>
      </c>
      <c r="E457" s="31">
        <f t="shared" ca="1" si="37"/>
        <v>7</v>
      </c>
      <c r="F457" s="42" t="str">
        <f t="shared" ca="1" si="38"/>
        <v>—</v>
      </c>
      <c r="G457" s="31">
        <f t="shared" ca="1" si="39"/>
        <v>7</v>
      </c>
    </row>
    <row r="458" spans="1:7" x14ac:dyDescent="0.25">
      <c r="A458" s="12">
        <f t="shared" si="35"/>
        <v>44</v>
      </c>
      <c r="B458" t="str">
        <f ca="1">TEXT(DATE(YEAR(Invoer!$A$5),1,1)+INT((ROWS(B$2:B458)-1)/2),"jjjjmmdd")</f>
        <v>19410817</v>
      </c>
      <c r="C458" s="26" t="str">
        <f>INDEX(Data,2,2+MOD(ROWS(C$2:C458)-1,2))</f>
        <v>08.00</v>
      </c>
      <c r="D458" s="41" t="str">
        <f t="shared" ca="1" si="36"/>
        <v>—</v>
      </c>
      <c r="E458" s="31">
        <f t="shared" ca="1" si="37"/>
        <v>7</v>
      </c>
      <c r="F458" s="42" t="str">
        <f t="shared" ca="1" si="38"/>
        <v>—</v>
      </c>
      <c r="G458" s="31">
        <f t="shared" ca="1" si="39"/>
        <v>7</v>
      </c>
    </row>
    <row r="459" spans="1:7" x14ac:dyDescent="0.25">
      <c r="A459" s="12">
        <f t="shared" si="35"/>
        <v>44</v>
      </c>
      <c r="B459" t="str">
        <f ca="1">TEXT(DATE(YEAR(Invoer!$A$5),1,1)+INT((ROWS(B$2:B459)-1)/2),"jjjjmmdd")</f>
        <v>19410817</v>
      </c>
      <c r="C459" s="26" t="str">
        <f>INDEX(Data,2,2+MOD(ROWS(C$2:C459)-1,2))</f>
        <v>15.00</v>
      </c>
      <c r="D459" s="41" t="str">
        <f t="shared" ca="1" si="36"/>
        <v>—</v>
      </c>
      <c r="E459" s="31">
        <f t="shared" ca="1" si="37"/>
        <v>7</v>
      </c>
      <c r="F459" s="42" t="str">
        <f t="shared" ca="1" si="38"/>
        <v>—</v>
      </c>
      <c r="G459" s="31">
        <f t="shared" ca="1" si="39"/>
        <v>7</v>
      </c>
    </row>
    <row r="460" spans="1:7" x14ac:dyDescent="0.25">
      <c r="A460" s="12">
        <f t="shared" si="35"/>
        <v>44</v>
      </c>
      <c r="B460" t="str">
        <f ca="1">TEXT(DATE(YEAR(Invoer!$A$5),1,1)+INT((ROWS(B$2:B460)-1)/2),"jjjjmmdd")</f>
        <v>19410818</v>
      </c>
      <c r="C460" s="26" t="str">
        <f>INDEX(Data,2,2+MOD(ROWS(C$2:C460)-1,2))</f>
        <v>08.00</v>
      </c>
      <c r="D460" s="41" t="str">
        <f t="shared" ca="1" si="36"/>
        <v>—</v>
      </c>
      <c r="E460" s="31">
        <f t="shared" ca="1" si="37"/>
        <v>7</v>
      </c>
      <c r="F460" s="42" t="str">
        <f t="shared" ca="1" si="38"/>
        <v>—</v>
      </c>
      <c r="G460" s="31">
        <f t="shared" ca="1" si="39"/>
        <v>7</v>
      </c>
    </row>
    <row r="461" spans="1:7" x14ac:dyDescent="0.25">
      <c r="A461" s="12">
        <f t="shared" si="35"/>
        <v>44</v>
      </c>
      <c r="B461" t="str">
        <f ca="1">TEXT(DATE(YEAR(Invoer!$A$5),1,1)+INT((ROWS(B$2:B461)-1)/2),"jjjjmmdd")</f>
        <v>19410818</v>
      </c>
      <c r="C461" s="26" t="str">
        <f>INDEX(Data,2,2+MOD(ROWS(C$2:C461)-1,2))</f>
        <v>15.00</v>
      </c>
      <c r="D461" s="41" t="str">
        <f t="shared" ca="1" si="36"/>
        <v>—</v>
      </c>
      <c r="E461" s="31">
        <f t="shared" ca="1" si="37"/>
        <v>7</v>
      </c>
      <c r="F461" s="42" t="str">
        <f t="shared" ca="1" si="38"/>
        <v>—</v>
      </c>
      <c r="G461" s="31">
        <f t="shared" ca="1" si="39"/>
        <v>7</v>
      </c>
    </row>
    <row r="462" spans="1:7" x14ac:dyDescent="0.25">
      <c r="A462" s="12">
        <f t="shared" si="35"/>
        <v>44</v>
      </c>
      <c r="B462" t="str">
        <f ca="1">TEXT(DATE(YEAR(Invoer!$A$5),1,1)+INT((ROWS(B$2:B462)-1)/2),"jjjjmmdd")</f>
        <v>19410819</v>
      </c>
      <c r="C462" s="26" t="str">
        <f>INDEX(Data,2,2+MOD(ROWS(C$2:C462)-1,2))</f>
        <v>08.00</v>
      </c>
      <c r="D462" s="41" t="str">
        <f t="shared" ca="1" si="36"/>
        <v>—</v>
      </c>
      <c r="E462" s="31">
        <f t="shared" ca="1" si="37"/>
        <v>7</v>
      </c>
      <c r="F462" s="42" t="str">
        <f t="shared" ca="1" si="38"/>
        <v>—</v>
      </c>
      <c r="G462" s="31">
        <f t="shared" ca="1" si="39"/>
        <v>7</v>
      </c>
    </row>
    <row r="463" spans="1:7" x14ac:dyDescent="0.25">
      <c r="A463" s="12">
        <f t="shared" si="35"/>
        <v>44</v>
      </c>
      <c r="B463" t="str">
        <f ca="1">TEXT(DATE(YEAR(Invoer!$A$5),1,1)+INT((ROWS(B$2:B463)-1)/2),"jjjjmmdd")</f>
        <v>19410819</v>
      </c>
      <c r="C463" s="26" t="str">
        <f>INDEX(Data,2,2+MOD(ROWS(C$2:C463)-1,2))</f>
        <v>15.00</v>
      </c>
      <c r="D463" s="41" t="str">
        <f t="shared" ca="1" si="36"/>
        <v>—</v>
      </c>
      <c r="E463" s="31">
        <f t="shared" ca="1" si="37"/>
        <v>7</v>
      </c>
      <c r="F463" s="42" t="str">
        <f t="shared" ca="1" si="38"/>
        <v>—</v>
      </c>
      <c r="G463" s="31">
        <f t="shared" ca="1" si="39"/>
        <v>7</v>
      </c>
    </row>
    <row r="464" spans="1:7" x14ac:dyDescent="0.25">
      <c r="A464" s="12">
        <f t="shared" si="35"/>
        <v>44</v>
      </c>
      <c r="B464" t="str">
        <f ca="1">TEXT(DATE(YEAR(Invoer!$A$5),1,1)+INT((ROWS(B$2:B464)-1)/2),"jjjjmmdd")</f>
        <v>19410820</v>
      </c>
      <c r="C464" s="26" t="str">
        <f>INDEX(Data,2,2+MOD(ROWS(C$2:C464)-1,2))</f>
        <v>08.00</v>
      </c>
      <c r="D464" s="41" t="str">
        <f t="shared" ca="1" si="36"/>
        <v>—</v>
      </c>
      <c r="E464" s="31">
        <f t="shared" ca="1" si="37"/>
        <v>7</v>
      </c>
      <c r="F464" s="42" t="str">
        <f t="shared" ca="1" si="38"/>
        <v>—</v>
      </c>
      <c r="G464" s="31">
        <f t="shared" ca="1" si="39"/>
        <v>7</v>
      </c>
    </row>
    <row r="465" spans="1:7" x14ac:dyDescent="0.25">
      <c r="A465" s="12">
        <f t="shared" si="35"/>
        <v>44</v>
      </c>
      <c r="B465" t="str">
        <f ca="1">TEXT(DATE(YEAR(Invoer!$A$5),1,1)+INT((ROWS(B$2:B465)-1)/2),"jjjjmmdd")</f>
        <v>19410820</v>
      </c>
      <c r="C465" s="26" t="str">
        <f>INDEX(Data,2,2+MOD(ROWS(C$2:C465)-1,2))</f>
        <v>15.00</v>
      </c>
      <c r="D465" s="41" t="str">
        <f t="shared" ca="1" si="36"/>
        <v>—</v>
      </c>
      <c r="E465" s="31">
        <f t="shared" ca="1" si="37"/>
        <v>7</v>
      </c>
      <c r="F465" s="42" t="str">
        <f t="shared" ca="1" si="38"/>
        <v>—</v>
      </c>
      <c r="G465" s="31">
        <f t="shared" ca="1" si="39"/>
        <v>7</v>
      </c>
    </row>
    <row r="466" spans="1:7" x14ac:dyDescent="0.25">
      <c r="A466" s="12">
        <f t="shared" si="35"/>
        <v>44</v>
      </c>
      <c r="B466" t="str">
        <f ca="1">TEXT(DATE(YEAR(Invoer!$A$5),1,1)+INT((ROWS(B$2:B466)-1)/2),"jjjjmmdd")</f>
        <v>19410821</v>
      </c>
      <c r="C466" s="26" t="str">
        <f>INDEX(Data,2,2+MOD(ROWS(C$2:C466)-1,2))</f>
        <v>08.00</v>
      </c>
      <c r="D466" s="41" t="str">
        <f t="shared" ca="1" si="36"/>
        <v>—</v>
      </c>
      <c r="E466" s="31">
        <f t="shared" ca="1" si="37"/>
        <v>7</v>
      </c>
      <c r="F466" s="42" t="str">
        <f t="shared" ca="1" si="38"/>
        <v>—</v>
      </c>
      <c r="G466" s="31">
        <f t="shared" ca="1" si="39"/>
        <v>7</v>
      </c>
    </row>
    <row r="467" spans="1:7" x14ac:dyDescent="0.25">
      <c r="A467" s="12">
        <f t="shared" si="35"/>
        <v>44</v>
      </c>
      <c r="B467" t="str">
        <f ca="1">TEXT(DATE(YEAR(Invoer!$A$5),1,1)+INT((ROWS(B$2:B467)-1)/2),"jjjjmmdd")</f>
        <v>19410821</v>
      </c>
      <c r="C467" s="26" t="str">
        <f>INDEX(Data,2,2+MOD(ROWS(C$2:C467)-1,2))</f>
        <v>15.00</v>
      </c>
      <c r="D467" s="41" t="str">
        <f t="shared" ca="1" si="36"/>
        <v>—</v>
      </c>
      <c r="E467" s="31">
        <f t="shared" ca="1" si="37"/>
        <v>7</v>
      </c>
      <c r="F467" s="42" t="str">
        <f t="shared" ca="1" si="38"/>
        <v>—</v>
      </c>
      <c r="G467" s="31">
        <f t="shared" ca="1" si="39"/>
        <v>7</v>
      </c>
    </row>
    <row r="468" spans="1:7" x14ac:dyDescent="0.25">
      <c r="A468" s="12">
        <f t="shared" si="35"/>
        <v>44</v>
      </c>
      <c r="B468" t="str">
        <f ca="1">TEXT(DATE(YEAR(Invoer!$A$5),1,1)+INT((ROWS(B$2:B468)-1)/2),"jjjjmmdd")</f>
        <v>19410822</v>
      </c>
      <c r="C468" s="26" t="str">
        <f>INDEX(Data,2,2+MOD(ROWS(C$2:C468)-1,2))</f>
        <v>08.00</v>
      </c>
      <c r="D468" s="41" t="str">
        <f t="shared" ca="1" si="36"/>
        <v>—</v>
      </c>
      <c r="E468" s="31">
        <f t="shared" ca="1" si="37"/>
        <v>7</v>
      </c>
      <c r="F468" s="42" t="str">
        <f t="shared" ca="1" si="38"/>
        <v>—</v>
      </c>
      <c r="G468" s="31">
        <f t="shared" ca="1" si="39"/>
        <v>7</v>
      </c>
    </row>
    <row r="469" spans="1:7" x14ac:dyDescent="0.25">
      <c r="A469" s="12">
        <f t="shared" si="35"/>
        <v>44</v>
      </c>
      <c r="B469" t="str">
        <f ca="1">TEXT(DATE(YEAR(Invoer!$A$5),1,1)+INT((ROWS(B$2:B469)-1)/2),"jjjjmmdd")</f>
        <v>19410822</v>
      </c>
      <c r="C469" s="26" t="str">
        <f>INDEX(Data,2,2+MOD(ROWS(C$2:C469)-1,2))</f>
        <v>15.00</v>
      </c>
      <c r="D469" s="41" t="str">
        <f t="shared" ca="1" si="36"/>
        <v>—</v>
      </c>
      <c r="E469" s="31">
        <f t="shared" ca="1" si="37"/>
        <v>7</v>
      </c>
      <c r="F469" s="42" t="str">
        <f t="shared" ca="1" si="38"/>
        <v>—</v>
      </c>
      <c r="G469" s="31">
        <f t="shared" ca="1" si="39"/>
        <v>7</v>
      </c>
    </row>
    <row r="470" spans="1:7" x14ac:dyDescent="0.25">
      <c r="A470" s="12">
        <f t="shared" si="35"/>
        <v>44</v>
      </c>
      <c r="B470" t="str">
        <f ca="1">TEXT(DATE(YEAR(Invoer!$A$5),1,1)+INT((ROWS(B$2:B470)-1)/2),"jjjjmmdd")</f>
        <v>19410823</v>
      </c>
      <c r="C470" s="26" t="str">
        <f>INDEX(Data,2,2+MOD(ROWS(C$2:C470)-1,2))</f>
        <v>08.00</v>
      </c>
      <c r="D470" s="41" t="str">
        <f t="shared" ca="1" si="36"/>
        <v>—</v>
      </c>
      <c r="E470" s="31">
        <f t="shared" ca="1" si="37"/>
        <v>7</v>
      </c>
      <c r="F470" s="42" t="str">
        <f t="shared" ca="1" si="38"/>
        <v>—</v>
      </c>
      <c r="G470" s="31">
        <f t="shared" ca="1" si="39"/>
        <v>7</v>
      </c>
    </row>
    <row r="471" spans="1:7" x14ac:dyDescent="0.25">
      <c r="A471" s="12">
        <f t="shared" si="35"/>
        <v>44</v>
      </c>
      <c r="B471" t="str">
        <f ca="1">TEXT(DATE(YEAR(Invoer!$A$5),1,1)+INT((ROWS(B$2:B471)-1)/2),"jjjjmmdd")</f>
        <v>19410823</v>
      </c>
      <c r="C471" s="26" t="str">
        <f>INDEX(Data,2,2+MOD(ROWS(C$2:C471)-1,2))</f>
        <v>15.00</v>
      </c>
      <c r="D471" s="41" t="str">
        <f t="shared" ca="1" si="36"/>
        <v>—</v>
      </c>
      <c r="E471" s="31">
        <f t="shared" ca="1" si="37"/>
        <v>7</v>
      </c>
      <c r="F471" s="42" t="str">
        <f t="shared" ca="1" si="38"/>
        <v>—</v>
      </c>
      <c r="G471" s="31">
        <f t="shared" ca="1" si="39"/>
        <v>7</v>
      </c>
    </row>
    <row r="472" spans="1:7" x14ac:dyDescent="0.25">
      <c r="A472" s="12">
        <f t="shared" si="35"/>
        <v>44</v>
      </c>
      <c r="B472" t="str">
        <f ca="1">TEXT(DATE(YEAR(Invoer!$A$5),1,1)+INT((ROWS(B$2:B472)-1)/2),"jjjjmmdd")</f>
        <v>19410824</v>
      </c>
      <c r="C472" s="26" t="str">
        <f>INDEX(Data,2,2+MOD(ROWS(C$2:C472)-1,2))</f>
        <v>08.00</v>
      </c>
      <c r="D472" s="41" t="str">
        <f t="shared" ca="1" si="36"/>
        <v>—</v>
      </c>
      <c r="E472" s="31">
        <f t="shared" ca="1" si="37"/>
        <v>7</v>
      </c>
      <c r="F472" s="42" t="str">
        <f t="shared" ca="1" si="38"/>
        <v>—</v>
      </c>
      <c r="G472" s="31">
        <f t="shared" ca="1" si="39"/>
        <v>7</v>
      </c>
    </row>
    <row r="473" spans="1:7" x14ac:dyDescent="0.25">
      <c r="A473" s="12">
        <f t="shared" si="35"/>
        <v>44</v>
      </c>
      <c r="B473" t="str">
        <f ca="1">TEXT(DATE(YEAR(Invoer!$A$5),1,1)+INT((ROWS(B$2:B473)-1)/2),"jjjjmmdd")</f>
        <v>19410824</v>
      </c>
      <c r="C473" s="26" t="str">
        <f>INDEX(Data,2,2+MOD(ROWS(C$2:C473)-1,2))</f>
        <v>15.00</v>
      </c>
      <c r="D473" s="41" t="str">
        <f t="shared" ca="1" si="36"/>
        <v>—</v>
      </c>
      <c r="E473" s="31">
        <f t="shared" ca="1" si="37"/>
        <v>7</v>
      </c>
      <c r="F473" s="42" t="str">
        <f t="shared" ca="1" si="38"/>
        <v>—</v>
      </c>
      <c r="G473" s="31">
        <f t="shared" ca="1" si="39"/>
        <v>7</v>
      </c>
    </row>
    <row r="474" spans="1:7" x14ac:dyDescent="0.25">
      <c r="A474" s="12">
        <f t="shared" si="35"/>
        <v>44</v>
      </c>
      <c r="B474" t="str">
        <f ca="1">TEXT(DATE(YEAR(Invoer!$A$5),1,1)+INT((ROWS(B$2:B474)-1)/2),"jjjjmmdd")</f>
        <v>19410825</v>
      </c>
      <c r="C474" s="26" t="str">
        <f>INDEX(Data,2,2+MOD(ROWS(C$2:C474)-1,2))</f>
        <v>08.00</v>
      </c>
      <c r="D474" s="41" t="str">
        <f t="shared" ca="1" si="36"/>
        <v>—</v>
      </c>
      <c r="E474" s="31">
        <f t="shared" ca="1" si="37"/>
        <v>7</v>
      </c>
      <c r="F474" s="42" t="str">
        <f t="shared" ca="1" si="38"/>
        <v>—</v>
      </c>
      <c r="G474" s="31">
        <f t="shared" ca="1" si="39"/>
        <v>7</v>
      </c>
    </row>
    <row r="475" spans="1:7" x14ac:dyDescent="0.25">
      <c r="A475" s="12">
        <f t="shared" si="35"/>
        <v>44</v>
      </c>
      <c r="B475" t="str">
        <f ca="1">TEXT(DATE(YEAR(Invoer!$A$5),1,1)+INT((ROWS(B$2:B475)-1)/2),"jjjjmmdd")</f>
        <v>19410825</v>
      </c>
      <c r="C475" s="26" t="str">
        <f>INDEX(Data,2,2+MOD(ROWS(C$2:C475)-1,2))</f>
        <v>15.00</v>
      </c>
      <c r="D475" s="41" t="str">
        <f t="shared" ca="1" si="36"/>
        <v>—</v>
      </c>
      <c r="E475" s="31">
        <f t="shared" ca="1" si="37"/>
        <v>7</v>
      </c>
      <c r="F475" s="42" t="str">
        <f t="shared" ca="1" si="38"/>
        <v>—</v>
      </c>
      <c r="G475" s="31">
        <f t="shared" ca="1" si="39"/>
        <v>7</v>
      </c>
    </row>
    <row r="476" spans="1:7" x14ac:dyDescent="0.25">
      <c r="A476" s="12">
        <f t="shared" si="35"/>
        <v>44</v>
      </c>
      <c r="B476" t="str">
        <f ca="1">TEXT(DATE(YEAR(Invoer!$A$5),1,1)+INT((ROWS(B$2:B476)-1)/2),"jjjjmmdd")</f>
        <v>19410826</v>
      </c>
      <c r="C476" s="26" t="str">
        <f>INDEX(Data,2,2+MOD(ROWS(C$2:C476)-1,2))</f>
        <v>08.00</v>
      </c>
      <c r="D476" s="41" t="str">
        <f t="shared" ca="1" si="36"/>
        <v>—</v>
      </c>
      <c r="E476" s="31">
        <f t="shared" ca="1" si="37"/>
        <v>7</v>
      </c>
      <c r="F476" s="42" t="str">
        <f t="shared" ca="1" si="38"/>
        <v>—</v>
      </c>
      <c r="G476" s="31">
        <f t="shared" ca="1" si="39"/>
        <v>7</v>
      </c>
    </row>
    <row r="477" spans="1:7" x14ac:dyDescent="0.25">
      <c r="A477" s="12">
        <f t="shared" si="35"/>
        <v>44</v>
      </c>
      <c r="B477" t="str">
        <f ca="1">TEXT(DATE(YEAR(Invoer!$A$5),1,1)+INT((ROWS(B$2:B477)-1)/2),"jjjjmmdd")</f>
        <v>19410826</v>
      </c>
      <c r="C477" s="26" t="str">
        <f>INDEX(Data,2,2+MOD(ROWS(C$2:C477)-1,2))</f>
        <v>15.00</v>
      </c>
      <c r="D477" s="41" t="str">
        <f t="shared" ca="1" si="36"/>
        <v>—</v>
      </c>
      <c r="E477" s="31">
        <f t="shared" ca="1" si="37"/>
        <v>7</v>
      </c>
      <c r="F477" s="42" t="str">
        <f t="shared" ca="1" si="38"/>
        <v>—</v>
      </c>
      <c r="G477" s="31">
        <f t="shared" ca="1" si="39"/>
        <v>7</v>
      </c>
    </row>
    <row r="478" spans="1:7" x14ac:dyDescent="0.25">
      <c r="A478" s="12">
        <f t="shared" si="35"/>
        <v>44</v>
      </c>
      <c r="B478" t="str">
        <f ca="1">TEXT(DATE(YEAR(Invoer!$A$5),1,1)+INT((ROWS(B$2:B478)-1)/2),"jjjjmmdd")</f>
        <v>19410827</v>
      </c>
      <c r="C478" s="26" t="str">
        <f>INDEX(Data,2,2+MOD(ROWS(C$2:C478)-1,2))</f>
        <v>08.00</v>
      </c>
      <c r="D478" s="41" t="str">
        <f t="shared" ca="1" si="36"/>
        <v>—</v>
      </c>
      <c r="E478" s="31">
        <f t="shared" ca="1" si="37"/>
        <v>7</v>
      </c>
      <c r="F478" s="42" t="str">
        <f t="shared" ca="1" si="38"/>
        <v>—</v>
      </c>
      <c r="G478" s="31">
        <f t="shared" ca="1" si="39"/>
        <v>7</v>
      </c>
    </row>
    <row r="479" spans="1:7" x14ac:dyDescent="0.25">
      <c r="A479" s="12">
        <f t="shared" si="35"/>
        <v>44</v>
      </c>
      <c r="B479" t="str">
        <f ca="1">TEXT(DATE(YEAR(Invoer!$A$5),1,1)+INT((ROWS(B$2:B479)-1)/2),"jjjjmmdd")</f>
        <v>19410827</v>
      </c>
      <c r="C479" s="26" t="str">
        <f>INDEX(Data,2,2+MOD(ROWS(C$2:C479)-1,2))</f>
        <v>15.00</v>
      </c>
      <c r="D479" s="41" t="str">
        <f t="shared" ca="1" si="36"/>
        <v>—</v>
      </c>
      <c r="E479" s="31">
        <f t="shared" ca="1" si="37"/>
        <v>7</v>
      </c>
      <c r="F479" s="42" t="str">
        <f t="shared" ca="1" si="38"/>
        <v>—</v>
      </c>
      <c r="G479" s="31">
        <f t="shared" ca="1" si="39"/>
        <v>7</v>
      </c>
    </row>
    <row r="480" spans="1:7" x14ac:dyDescent="0.25">
      <c r="A480" s="12">
        <f t="shared" si="35"/>
        <v>44</v>
      </c>
      <c r="B480" t="str">
        <f ca="1">TEXT(DATE(YEAR(Invoer!$A$5),1,1)+INT((ROWS(B$2:B480)-1)/2),"jjjjmmdd")</f>
        <v>19410828</v>
      </c>
      <c r="C480" s="26" t="str">
        <f>INDEX(Data,2,2+MOD(ROWS(C$2:C480)-1,2))</f>
        <v>08.00</v>
      </c>
      <c r="D480" s="41" t="str">
        <f t="shared" ca="1" si="36"/>
        <v>—</v>
      </c>
      <c r="E480" s="31">
        <f t="shared" ca="1" si="37"/>
        <v>7</v>
      </c>
      <c r="F480" s="42" t="str">
        <f t="shared" ca="1" si="38"/>
        <v>—</v>
      </c>
      <c r="G480" s="31">
        <f t="shared" ca="1" si="39"/>
        <v>7</v>
      </c>
    </row>
    <row r="481" spans="1:7" x14ac:dyDescent="0.25">
      <c r="A481" s="12">
        <f t="shared" si="35"/>
        <v>44</v>
      </c>
      <c r="B481" t="str">
        <f ca="1">TEXT(DATE(YEAR(Invoer!$A$5),1,1)+INT((ROWS(B$2:B481)-1)/2),"jjjjmmdd")</f>
        <v>19410828</v>
      </c>
      <c r="C481" s="26" t="str">
        <f>INDEX(Data,2,2+MOD(ROWS(C$2:C481)-1,2))</f>
        <v>15.00</v>
      </c>
      <c r="D481" s="41" t="str">
        <f t="shared" ca="1" si="36"/>
        <v>—</v>
      </c>
      <c r="E481" s="31">
        <f t="shared" ca="1" si="37"/>
        <v>7</v>
      </c>
      <c r="F481" s="42" t="str">
        <f t="shared" ca="1" si="38"/>
        <v>—</v>
      </c>
      <c r="G481" s="31">
        <f t="shared" ca="1" si="39"/>
        <v>7</v>
      </c>
    </row>
    <row r="482" spans="1:7" x14ac:dyDescent="0.25">
      <c r="A482" s="12">
        <f t="shared" si="35"/>
        <v>44</v>
      </c>
      <c r="B482" t="str">
        <f ca="1">TEXT(DATE(YEAR(Invoer!$A$5),1,1)+INT((ROWS(B$2:B482)-1)/2),"jjjjmmdd")</f>
        <v>19410829</v>
      </c>
      <c r="C482" s="26" t="str">
        <f>INDEX(Data,2,2+MOD(ROWS(C$2:C482)-1,2))</f>
        <v>08.00</v>
      </c>
      <c r="D482" s="41" t="str">
        <f t="shared" ca="1" si="36"/>
        <v>—</v>
      </c>
      <c r="E482" s="31">
        <f t="shared" ca="1" si="37"/>
        <v>7</v>
      </c>
      <c r="F482" s="42" t="str">
        <f t="shared" ca="1" si="38"/>
        <v>—</v>
      </c>
      <c r="G482" s="31">
        <f t="shared" ca="1" si="39"/>
        <v>7</v>
      </c>
    </row>
    <row r="483" spans="1:7" x14ac:dyDescent="0.25">
      <c r="A483" s="12">
        <f t="shared" si="35"/>
        <v>44</v>
      </c>
      <c r="B483" t="str">
        <f ca="1">TEXT(DATE(YEAR(Invoer!$A$5),1,1)+INT((ROWS(B$2:B483)-1)/2),"jjjjmmdd")</f>
        <v>19410829</v>
      </c>
      <c r="C483" s="26" t="str">
        <f>INDEX(Data,2,2+MOD(ROWS(C$2:C483)-1,2))</f>
        <v>15.00</v>
      </c>
      <c r="D483" s="41" t="str">
        <f t="shared" ca="1" si="36"/>
        <v>—</v>
      </c>
      <c r="E483" s="31">
        <f t="shared" ca="1" si="37"/>
        <v>7</v>
      </c>
      <c r="F483" s="42" t="str">
        <f t="shared" ca="1" si="38"/>
        <v>—</v>
      </c>
      <c r="G483" s="31">
        <f t="shared" ca="1" si="39"/>
        <v>7</v>
      </c>
    </row>
    <row r="484" spans="1:7" x14ac:dyDescent="0.25">
      <c r="A484" s="12">
        <f t="shared" si="35"/>
        <v>44</v>
      </c>
      <c r="B484" t="str">
        <f ca="1">TEXT(DATE(YEAR(Invoer!$A$5),1,1)+INT((ROWS(B$2:B484)-1)/2),"jjjjmmdd")</f>
        <v>19410830</v>
      </c>
      <c r="C484" s="26" t="str">
        <f>INDEX(Data,2,2+MOD(ROWS(C$2:C484)-1,2))</f>
        <v>08.00</v>
      </c>
      <c r="D484" s="41" t="str">
        <f t="shared" ca="1" si="36"/>
        <v>—</v>
      </c>
      <c r="E484" s="31">
        <f t="shared" ca="1" si="37"/>
        <v>7</v>
      </c>
      <c r="F484" s="42" t="str">
        <f t="shared" ca="1" si="38"/>
        <v>—</v>
      </c>
      <c r="G484" s="31">
        <f t="shared" ca="1" si="39"/>
        <v>7</v>
      </c>
    </row>
    <row r="485" spans="1:7" x14ac:dyDescent="0.25">
      <c r="A485" s="12">
        <f t="shared" si="35"/>
        <v>44</v>
      </c>
      <c r="B485" t="str">
        <f ca="1">TEXT(DATE(YEAR(Invoer!$A$5),1,1)+INT((ROWS(B$2:B485)-1)/2),"jjjjmmdd")</f>
        <v>19410830</v>
      </c>
      <c r="C485" s="26" t="str">
        <f>INDEX(Data,2,2+MOD(ROWS(C$2:C485)-1,2))</f>
        <v>15.00</v>
      </c>
      <c r="D485" s="41" t="str">
        <f t="shared" ca="1" si="36"/>
        <v>—</v>
      </c>
      <c r="E485" s="31">
        <f t="shared" ca="1" si="37"/>
        <v>7</v>
      </c>
      <c r="F485" s="42" t="str">
        <f t="shared" ca="1" si="38"/>
        <v>—</v>
      </c>
      <c r="G485" s="31">
        <f t="shared" ca="1" si="39"/>
        <v>7</v>
      </c>
    </row>
    <row r="486" spans="1:7" x14ac:dyDescent="0.25">
      <c r="A486" s="12">
        <f t="shared" si="35"/>
        <v>44</v>
      </c>
      <c r="B486" t="str">
        <f ca="1">TEXT(DATE(YEAR(Invoer!$A$5),1,1)+INT((ROWS(B$2:B486)-1)/2),"jjjjmmdd")</f>
        <v>19410831</v>
      </c>
      <c r="C486" s="26" t="str">
        <f>INDEX(Data,2,2+MOD(ROWS(C$2:C486)-1,2))</f>
        <v>08.00</v>
      </c>
      <c r="D486" s="41" t="str">
        <f t="shared" ca="1" si="36"/>
        <v>—</v>
      </c>
      <c r="E486" s="31">
        <f t="shared" ca="1" si="37"/>
        <v>7</v>
      </c>
      <c r="F486" s="42" t="str">
        <f t="shared" ca="1" si="38"/>
        <v>—</v>
      </c>
      <c r="G486" s="31">
        <f t="shared" ca="1" si="39"/>
        <v>7</v>
      </c>
    </row>
    <row r="487" spans="1:7" x14ac:dyDescent="0.25">
      <c r="A487" s="12">
        <f t="shared" si="35"/>
        <v>44</v>
      </c>
      <c r="B487" t="str">
        <f ca="1">TEXT(DATE(YEAR(Invoer!$A$5),1,1)+INT((ROWS(B$2:B487)-1)/2),"jjjjmmdd")</f>
        <v>19410831</v>
      </c>
      <c r="C487" s="26" t="str">
        <f>INDEX(Data,2,2+MOD(ROWS(C$2:C487)-1,2))</f>
        <v>15.00</v>
      </c>
      <c r="D487" s="41" t="str">
        <f t="shared" ca="1" si="36"/>
        <v>—</v>
      </c>
      <c r="E487" s="31">
        <f t="shared" ca="1" si="37"/>
        <v>7</v>
      </c>
      <c r="F487" s="42" t="str">
        <f t="shared" ca="1" si="38"/>
        <v>—</v>
      </c>
      <c r="G487" s="31">
        <f t="shared" ca="1" si="39"/>
        <v>7</v>
      </c>
    </row>
    <row r="488" spans="1:7" x14ac:dyDescent="0.25">
      <c r="A488" s="12">
        <f t="shared" si="35"/>
        <v>44</v>
      </c>
      <c r="B488" t="str">
        <f ca="1">TEXT(DATE(YEAR(Invoer!$A$5),1,1)+INT((ROWS(B$2:B488)-1)/2),"jjjjmmdd")</f>
        <v>19410901</v>
      </c>
      <c r="C488" s="26" t="str">
        <f>INDEX(Data,2,2+MOD(ROWS(C$2:C488)-1,2))</f>
        <v>08.00</v>
      </c>
      <c r="D488" s="41" t="str">
        <f t="shared" ca="1" si="36"/>
        <v>—</v>
      </c>
      <c r="E488" s="31">
        <f t="shared" ca="1" si="37"/>
        <v>7</v>
      </c>
      <c r="F488" s="42" t="str">
        <f t="shared" ca="1" si="38"/>
        <v>—</v>
      </c>
      <c r="G488" s="31">
        <f t="shared" ca="1" si="39"/>
        <v>7</v>
      </c>
    </row>
    <row r="489" spans="1:7" x14ac:dyDescent="0.25">
      <c r="A489" s="12">
        <f t="shared" si="35"/>
        <v>44</v>
      </c>
      <c r="B489" t="str">
        <f ca="1">TEXT(DATE(YEAR(Invoer!$A$5),1,1)+INT((ROWS(B$2:B489)-1)/2),"jjjjmmdd")</f>
        <v>19410901</v>
      </c>
      <c r="C489" s="26" t="str">
        <f>INDEX(Data,2,2+MOD(ROWS(C$2:C489)-1,2))</f>
        <v>15.00</v>
      </c>
      <c r="D489" s="41" t="str">
        <f t="shared" ca="1" si="36"/>
        <v>—</v>
      </c>
      <c r="E489" s="31">
        <f t="shared" ca="1" si="37"/>
        <v>7</v>
      </c>
      <c r="F489" s="42" t="str">
        <f t="shared" ca="1" si="38"/>
        <v>—</v>
      </c>
      <c r="G489" s="31">
        <f t="shared" ca="1" si="39"/>
        <v>7</v>
      </c>
    </row>
    <row r="490" spans="1:7" x14ac:dyDescent="0.25">
      <c r="A490" s="12">
        <f t="shared" si="35"/>
        <v>44</v>
      </c>
      <c r="B490" t="str">
        <f ca="1">TEXT(DATE(YEAR(Invoer!$A$5),1,1)+INT((ROWS(B$2:B490)-1)/2),"jjjjmmdd")</f>
        <v>19410902</v>
      </c>
      <c r="C490" s="26" t="str">
        <f>INDEX(Data,2,2+MOD(ROWS(C$2:C490)-1,2))</f>
        <v>08.00</v>
      </c>
      <c r="D490" s="41" t="str">
        <f t="shared" ca="1" si="36"/>
        <v>—</v>
      </c>
      <c r="E490" s="31">
        <f t="shared" ca="1" si="37"/>
        <v>7</v>
      </c>
      <c r="F490" s="42" t="str">
        <f t="shared" ca="1" si="38"/>
        <v>—</v>
      </c>
      <c r="G490" s="31">
        <f t="shared" ca="1" si="39"/>
        <v>7</v>
      </c>
    </row>
    <row r="491" spans="1:7" x14ac:dyDescent="0.25">
      <c r="A491" s="12">
        <f t="shared" si="35"/>
        <v>44</v>
      </c>
      <c r="B491" t="str">
        <f ca="1">TEXT(DATE(YEAR(Invoer!$A$5),1,1)+INT((ROWS(B$2:B491)-1)/2),"jjjjmmdd")</f>
        <v>19410902</v>
      </c>
      <c r="C491" s="26" t="str">
        <f>INDEX(Data,2,2+MOD(ROWS(C$2:C491)-1,2))</f>
        <v>15.00</v>
      </c>
      <c r="D491" s="41" t="str">
        <f t="shared" ca="1" si="36"/>
        <v>—</v>
      </c>
      <c r="E491" s="31">
        <f t="shared" ca="1" si="37"/>
        <v>7</v>
      </c>
      <c r="F491" s="42" t="str">
        <f t="shared" ca="1" si="38"/>
        <v>—</v>
      </c>
      <c r="G491" s="31">
        <f t="shared" ca="1" si="39"/>
        <v>7</v>
      </c>
    </row>
    <row r="492" spans="1:7" x14ac:dyDescent="0.25">
      <c r="A492" s="12">
        <f t="shared" si="35"/>
        <v>44</v>
      </c>
      <c r="B492" t="str">
        <f ca="1">TEXT(DATE(YEAR(Invoer!$A$5),1,1)+INT((ROWS(B$2:B492)-1)/2),"jjjjmmdd")</f>
        <v>19410903</v>
      </c>
      <c r="C492" s="26" t="str">
        <f>INDEX(Data,2,2+MOD(ROWS(C$2:C492)-1,2))</f>
        <v>08.00</v>
      </c>
      <c r="D492" s="41" t="str">
        <f t="shared" ca="1" si="36"/>
        <v>—</v>
      </c>
      <c r="E492" s="31">
        <f t="shared" ca="1" si="37"/>
        <v>7</v>
      </c>
      <c r="F492" s="42" t="str">
        <f t="shared" ca="1" si="38"/>
        <v>—</v>
      </c>
      <c r="G492" s="31">
        <f t="shared" ca="1" si="39"/>
        <v>7</v>
      </c>
    </row>
    <row r="493" spans="1:7" x14ac:dyDescent="0.25">
      <c r="A493" s="12">
        <f t="shared" si="35"/>
        <v>44</v>
      </c>
      <c r="B493" t="str">
        <f ca="1">TEXT(DATE(YEAR(Invoer!$A$5),1,1)+INT((ROWS(B$2:B493)-1)/2),"jjjjmmdd")</f>
        <v>19410903</v>
      </c>
      <c r="C493" s="26" t="str">
        <f>INDEX(Data,2,2+MOD(ROWS(C$2:C493)-1,2))</f>
        <v>15.00</v>
      </c>
      <c r="D493" s="41" t="str">
        <f t="shared" ca="1" si="36"/>
        <v>—</v>
      </c>
      <c r="E493" s="31">
        <f t="shared" ca="1" si="37"/>
        <v>7</v>
      </c>
      <c r="F493" s="42" t="str">
        <f t="shared" ca="1" si="38"/>
        <v>—</v>
      </c>
      <c r="G493" s="31">
        <f t="shared" ca="1" si="39"/>
        <v>7</v>
      </c>
    </row>
    <row r="494" spans="1:7" x14ac:dyDescent="0.25">
      <c r="A494" s="12">
        <f t="shared" si="35"/>
        <v>44</v>
      </c>
      <c r="B494" t="str">
        <f ca="1">TEXT(DATE(YEAR(Invoer!$A$5),1,1)+INT((ROWS(B$2:B494)-1)/2),"jjjjmmdd")</f>
        <v>19410904</v>
      </c>
      <c r="C494" s="26" t="str">
        <f>INDEX(Data,2,2+MOD(ROWS(C$2:C494)-1,2))</f>
        <v>08.00</v>
      </c>
      <c r="D494" s="41" t="str">
        <f t="shared" ca="1" si="36"/>
        <v>—</v>
      </c>
      <c r="E494" s="31">
        <f t="shared" ca="1" si="37"/>
        <v>7</v>
      </c>
      <c r="F494" s="42" t="str">
        <f t="shared" ca="1" si="38"/>
        <v>—</v>
      </c>
      <c r="G494" s="31">
        <f t="shared" ca="1" si="39"/>
        <v>7</v>
      </c>
    </row>
    <row r="495" spans="1:7" x14ac:dyDescent="0.25">
      <c r="A495" s="12">
        <f t="shared" si="35"/>
        <v>44</v>
      </c>
      <c r="B495" t="str">
        <f ca="1">TEXT(DATE(YEAR(Invoer!$A$5),1,1)+INT((ROWS(B$2:B495)-1)/2),"jjjjmmdd")</f>
        <v>19410904</v>
      </c>
      <c r="C495" s="26" t="str">
        <f>INDEX(Data,2,2+MOD(ROWS(C$2:C495)-1,2))</f>
        <v>15.00</v>
      </c>
      <c r="D495" s="41" t="str">
        <f t="shared" ca="1" si="36"/>
        <v>—</v>
      </c>
      <c r="E495" s="31">
        <f t="shared" ca="1" si="37"/>
        <v>7</v>
      </c>
      <c r="F495" s="42" t="str">
        <f t="shared" ca="1" si="38"/>
        <v>—</v>
      </c>
      <c r="G495" s="31">
        <f t="shared" ca="1" si="39"/>
        <v>7</v>
      </c>
    </row>
    <row r="496" spans="1:7" x14ac:dyDescent="0.25">
      <c r="A496" s="12">
        <f t="shared" si="35"/>
        <v>44</v>
      </c>
      <c r="B496" t="str">
        <f ca="1">TEXT(DATE(YEAR(Invoer!$A$5),1,1)+INT((ROWS(B$2:B496)-1)/2),"jjjjmmdd")</f>
        <v>19410905</v>
      </c>
      <c r="C496" s="26" t="str">
        <f>INDEX(Data,2,2+MOD(ROWS(C$2:C496)-1,2))</f>
        <v>08.00</v>
      </c>
      <c r="D496" s="41" t="str">
        <f t="shared" ca="1" si="36"/>
        <v>—</v>
      </c>
      <c r="E496" s="31">
        <f t="shared" ca="1" si="37"/>
        <v>7</v>
      </c>
      <c r="F496" s="42" t="str">
        <f t="shared" ca="1" si="38"/>
        <v>—</v>
      </c>
      <c r="G496" s="31">
        <f t="shared" ca="1" si="39"/>
        <v>7</v>
      </c>
    </row>
    <row r="497" spans="1:7" x14ac:dyDescent="0.25">
      <c r="A497" s="12">
        <f t="shared" si="35"/>
        <v>44</v>
      </c>
      <c r="B497" t="str">
        <f ca="1">TEXT(DATE(YEAR(Invoer!$A$5),1,1)+INT((ROWS(B$2:B497)-1)/2),"jjjjmmdd")</f>
        <v>19410905</v>
      </c>
      <c r="C497" s="26" t="str">
        <f>INDEX(Data,2,2+MOD(ROWS(C$2:C497)-1,2))</f>
        <v>15.00</v>
      </c>
      <c r="D497" s="41" t="str">
        <f t="shared" ca="1" si="36"/>
        <v>—</v>
      </c>
      <c r="E497" s="31">
        <f t="shared" ca="1" si="37"/>
        <v>7</v>
      </c>
      <c r="F497" s="42" t="str">
        <f t="shared" ca="1" si="38"/>
        <v>—</v>
      </c>
      <c r="G497" s="31">
        <f t="shared" ca="1" si="39"/>
        <v>7</v>
      </c>
    </row>
    <row r="498" spans="1:7" x14ac:dyDescent="0.25">
      <c r="A498" s="12">
        <f t="shared" si="35"/>
        <v>44</v>
      </c>
      <c r="B498" t="str">
        <f ca="1">TEXT(DATE(YEAR(Invoer!$A$5),1,1)+INT((ROWS(B$2:B498)-1)/2),"jjjjmmdd")</f>
        <v>19410906</v>
      </c>
      <c r="C498" s="26" t="str">
        <f>INDEX(Data,2,2+MOD(ROWS(C$2:C498)-1,2))</f>
        <v>08.00</v>
      </c>
      <c r="D498" s="41" t="str">
        <f t="shared" ca="1" si="36"/>
        <v>—</v>
      </c>
      <c r="E498" s="31">
        <f t="shared" ca="1" si="37"/>
        <v>7</v>
      </c>
      <c r="F498" s="42" t="str">
        <f t="shared" ca="1" si="38"/>
        <v>—</v>
      </c>
      <c r="G498" s="31">
        <f t="shared" ca="1" si="39"/>
        <v>7</v>
      </c>
    </row>
    <row r="499" spans="1:7" x14ac:dyDescent="0.25">
      <c r="A499" s="12">
        <f t="shared" si="35"/>
        <v>44</v>
      </c>
      <c r="B499" t="str">
        <f ca="1">TEXT(DATE(YEAR(Invoer!$A$5),1,1)+INT((ROWS(B$2:B499)-1)/2),"jjjjmmdd")</f>
        <v>19410906</v>
      </c>
      <c r="C499" s="26" t="str">
        <f>INDEX(Data,2,2+MOD(ROWS(C$2:C499)-1,2))</f>
        <v>15.00</v>
      </c>
      <c r="D499" s="41" t="str">
        <f t="shared" ca="1" si="36"/>
        <v>—</v>
      </c>
      <c r="E499" s="31">
        <f t="shared" ca="1" si="37"/>
        <v>7</v>
      </c>
      <c r="F499" s="42" t="str">
        <f t="shared" ca="1" si="38"/>
        <v>—</v>
      </c>
      <c r="G499" s="31">
        <f t="shared" ca="1" si="39"/>
        <v>7</v>
      </c>
    </row>
    <row r="500" spans="1:7" x14ac:dyDescent="0.25">
      <c r="A500" s="12">
        <f t="shared" si="35"/>
        <v>44</v>
      </c>
      <c r="B500" t="str">
        <f ca="1">TEXT(DATE(YEAR(Invoer!$A$5),1,1)+INT((ROWS(B$2:B500)-1)/2),"jjjjmmdd")</f>
        <v>19410907</v>
      </c>
      <c r="C500" s="26" t="str">
        <f>INDEX(Data,2,2+MOD(ROWS(C$2:C500)-1,2))</f>
        <v>08.00</v>
      </c>
      <c r="D500" s="41" t="str">
        <f t="shared" ca="1" si="36"/>
        <v>—</v>
      </c>
      <c r="E500" s="31">
        <f t="shared" ca="1" si="37"/>
        <v>7</v>
      </c>
      <c r="F500" s="42" t="str">
        <f t="shared" ca="1" si="38"/>
        <v>—</v>
      </c>
      <c r="G500" s="31">
        <f t="shared" ca="1" si="39"/>
        <v>7</v>
      </c>
    </row>
    <row r="501" spans="1:7" x14ac:dyDescent="0.25">
      <c r="A501" s="12">
        <f t="shared" si="35"/>
        <v>44</v>
      </c>
      <c r="B501" t="str">
        <f ca="1">TEXT(DATE(YEAR(Invoer!$A$5),1,1)+INT((ROWS(B$2:B501)-1)/2),"jjjjmmdd")</f>
        <v>19410907</v>
      </c>
      <c r="C501" s="26" t="str">
        <f>INDEX(Data,2,2+MOD(ROWS(C$2:C501)-1,2))</f>
        <v>15.00</v>
      </c>
      <c r="D501" s="41" t="str">
        <f t="shared" ca="1" si="36"/>
        <v>—</v>
      </c>
      <c r="E501" s="31">
        <f t="shared" ca="1" si="37"/>
        <v>7</v>
      </c>
      <c r="F501" s="42" t="str">
        <f t="shared" ca="1" si="38"/>
        <v>—</v>
      </c>
      <c r="G501" s="31">
        <f t="shared" ca="1" si="39"/>
        <v>7</v>
      </c>
    </row>
    <row r="502" spans="1:7" x14ac:dyDescent="0.25">
      <c r="A502" s="12">
        <f t="shared" si="35"/>
        <v>44</v>
      </c>
      <c r="B502" t="str">
        <f ca="1">TEXT(DATE(YEAR(Invoer!$A$5),1,1)+INT((ROWS(B$2:B502)-1)/2),"jjjjmmdd")</f>
        <v>19410908</v>
      </c>
      <c r="C502" s="26" t="str">
        <f>INDEX(Data,2,2+MOD(ROWS(C$2:C502)-1,2))</f>
        <v>08.00</v>
      </c>
      <c r="D502" s="41" t="str">
        <f t="shared" ca="1" si="36"/>
        <v>—</v>
      </c>
      <c r="E502" s="31">
        <f t="shared" ca="1" si="37"/>
        <v>7</v>
      </c>
      <c r="F502" s="42" t="str">
        <f t="shared" ca="1" si="38"/>
        <v>—</v>
      </c>
      <c r="G502" s="31">
        <f t="shared" ca="1" si="39"/>
        <v>7</v>
      </c>
    </row>
    <row r="503" spans="1:7" x14ac:dyDescent="0.25">
      <c r="A503" s="12">
        <f t="shared" si="35"/>
        <v>44</v>
      </c>
      <c r="B503" t="str">
        <f ca="1">TEXT(DATE(YEAR(Invoer!$A$5),1,1)+INT((ROWS(B$2:B503)-1)/2),"jjjjmmdd")</f>
        <v>19410908</v>
      </c>
      <c r="C503" s="26" t="str">
        <f>INDEX(Data,2,2+MOD(ROWS(C$2:C503)-1,2))</f>
        <v>15.00</v>
      </c>
      <c r="D503" s="41" t="str">
        <f t="shared" ca="1" si="36"/>
        <v>—</v>
      </c>
      <c r="E503" s="31">
        <f t="shared" ca="1" si="37"/>
        <v>7</v>
      </c>
      <c r="F503" s="42" t="str">
        <f t="shared" ca="1" si="38"/>
        <v>—</v>
      </c>
      <c r="G503" s="31">
        <f t="shared" ca="1" si="39"/>
        <v>7</v>
      </c>
    </row>
    <row r="504" spans="1:7" x14ac:dyDescent="0.25">
      <c r="A504" s="12">
        <f t="shared" si="35"/>
        <v>44</v>
      </c>
      <c r="B504" t="str">
        <f ca="1">TEXT(DATE(YEAR(Invoer!$A$5),1,1)+INT((ROWS(B$2:B504)-1)/2),"jjjjmmdd")</f>
        <v>19410909</v>
      </c>
      <c r="C504" s="26" t="str">
        <f>INDEX(Data,2,2+MOD(ROWS(C$2:C504)-1,2))</f>
        <v>08.00</v>
      </c>
      <c r="D504" s="41" t="str">
        <f t="shared" ca="1" si="36"/>
        <v>—</v>
      </c>
      <c r="E504" s="31">
        <f t="shared" ca="1" si="37"/>
        <v>7</v>
      </c>
      <c r="F504" s="42" t="str">
        <f t="shared" ca="1" si="38"/>
        <v>—</v>
      </c>
      <c r="G504" s="31">
        <f t="shared" ca="1" si="39"/>
        <v>7</v>
      </c>
    </row>
    <row r="505" spans="1:7" x14ac:dyDescent="0.25">
      <c r="A505" s="12">
        <f t="shared" si="35"/>
        <v>44</v>
      </c>
      <c r="B505" t="str">
        <f ca="1">TEXT(DATE(YEAR(Invoer!$A$5),1,1)+INT((ROWS(B$2:B505)-1)/2),"jjjjmmdd")</f>
        <v>19410909</v>
      </c>
      <c r="C505" s="26" t="str">
        <f>INDEX(Data,2,2+MOD(ROWS(C$2:C505)-1,2))</f>
        <v>15.00</v>
      </c>
      <c r="D505" s="41" t="str">
        <f t="shared" ca="1" si="36"/>
        <v>—</v>
      </c>
      <c r="E505" s="31">
        <f t="shared" ca="1" si="37"/>
        <v>7</v>
      </c>
      <c r="F505" s="42" t="str">
        <f t="shared" ca="1" si="38"/>
        <v>—</v>
      </c>
      <c r="G505" s="31">
        <f t="shared" ca="1" si="39"/>
        <v>7</v>
      </c>
    </row>
    <row r="506" spans="1:7" x14ac:dyDescent="0.25">
      <c r="A506" s="12">
        <f t="shared" si="35"/>
        <v>44</v>
      </c>
      <c r="B506" t="str">
        <f ca="1">TEXT(DATE(YEAR(Invoer!$A$5),1,1)+INT((ROWS(B$2:B506)-1)/2),"jjjjmmdd")</f>
        <v>19410910</v>
      </c>
      <c r="C506" s="26" t="str">
        <f>INDEX(Data,2,2+MOD(ROWS(C$2:C506)-1,2))</f>
        <v>08.00</v>
      </c>
      <c r="D506" s="41" t="str">
        <f t="shared" ca="1" si="36"/>
        <v>—</v>
      </c>
      <c r="E506" s="31">
        <f t="shared" ca="1" si="37"/>
        <v>7</v>
      </c>
      <c r="F506" s="42" t="str">
        <f t="shared" ca="1" si="38"/>
        <v>—</v>
      </c>
      <c r="G506" s="31">
        <f t="shared" ca="1" si="39"/>
        <v>7</v>
      </c>
    </row>
    <row r="507" spans="1:7" x14ac:dyDescent="0.25">
      <c r="A507" s="12">
        <f t="shared" si="35"/>
        <v>44</v>
      </c>
      <c r="B507" t="str">
        <f ca="1">TEXT(DATE(YEAR(Invoer!$A$5),1,1)+INT((ROWS(B$2:B507)-1)/2),"jjjjmmdd")</f>
        <v>19410910</v>
      </c>
      <c r="C507" s="26" t="str">
        <f>INDEX(Data,2,2+MOD(ROWS(C$2:C507)-1,2))</f>
        <v>15.00</v>
      </c>
      <c r="D507" s="41" t="str">
        <f t="shared" ca="1" si="36"/>
        <v>—</v>
      </c>
      <c r="E507" s="31">
        <f t="shared" ca="1" si="37"/>
        <v>7</v>
      </c>
      <c r="F507" s="42" t="str">
        <f t="shared" ca="1" si="38"/>
        <v>—</v>
      </c>
      <c r="G507" s="31">
        <f t="shared" ca="1" si="39"/>
        <v>7</v>
      </c>
    </row>
    <row r="508" spans="1:7" x14ac:dyDescent="0.25">
      <c r="A508" s="12">
        <f t="shared" si="35"/>
        <v>44</v>
      </c>
      <c r="B508" t="str">
        <f ca="1">TEXT(DATE(YEAR(Invoer!$A$5),1,1)+INT((ROWS(B$2:B508)-1)/2),"jjjjmmdd")</f>
        <v>19410911</v>
      </c>
      <c r="C508" s="26" t="str">
        <f>INDEX(Data,2,2+MOD(ROWS(C$2:C508)-1,2))</f>
        <v>08.00</v>
      </c>
      <c r="D508" s="41" t="str">
        <f t="shared" ca="1" si="36"/>
        <v>—</v>
      </c>
      <c r="E508" s="31">
        <f t="shared" ca="1" si="37"/>
        <v>7</v>
      </c>
      <c r="F508" s="42" t="str">
        <f t="shared" ca="1" si="38"/>
        <v>—</v>
      </c>
      <c r="G508" s="31">
        <f t="shared" ca="1" si="39"/>
        <v>7</v>
      </c>
    </row>
    <row r="509" spans="1:7" x14ac:dyDescent="0.25">
      <c r="A509" s="12">
        <f t="shared" si="35"/>
        <v>44</v>
      </c>
      <c r="B509" t="str">
        <f ca="1">TEXT(DATE(YEAR(Invoer!$A$5),1,1)+INT((ROWS(B$2:B509)-1)/2),"jjjjmmdd")</f>
        <v>19410911</v>
      </c>
      <c r="C509" s="26" t="str">
        <f>INDEX(Data,2,2+MOD(ROWS(C$2:C509)-1,2))</f>
        <v>15.00</v>
      </c>
      <c r="D509" s="41" t="str">
        <f t="shared" ca="1" si="36"/>
        <v>—</v>
      </c>
      <c r="E509" s="31">
        <f t="shared" ca="1" si="37"/>
        <v>7</v>
      </c>
      <c r="F509" s="42" t="str">
        <f t="shared" ca="1" si="38"/>
        <v>—</v>
      </c>
      <c r="G509" s="31">
        <f t="shared" ca="1" si="39"/>
        <v>7</v>
      </c>
    </row>
    <row r="510" spans="1:7" x14ac:dyDescent="0.25">
      <c r="A510" s="12">
        <f t="shared" si="35"/>
        <v>44</v>
      </c>
      <c r="B510" t="str">
        <f ca="1">TEXT(DATE(YEAR(Invoer!$A$5),1,1)+INT((ROWS(B$2:B510)-1)/2),"jjjjmmdd")</f>
        <v>19410912</v>
      </c>
      <c r="C510" s="26" t="str">
        <f>INDEX(Data,2,2+MOD(ROWS(C$2:C510)-1,2))</f>
        <v>08.00</v>
      </c>
      <c r="D510" s="41" t="str">
        <f t="shared" ca="1" si="36"/>
        <v>—</v>
      </c>
      <c r="E510" s="31">
        <f t="shared" ca="1" si="37"/>
        <v>7</v>
      </c>
      <c r="F510" s="42" t="str">
        <f t="shared" ca="1" si="38"/>
        <v>—</v>
      </c>
      <c r="G510" s="31">
        <f t="shared" ca="1" si="39"/>
        <v>7</v>
      </c>
    </row>
    <row r="511" spans="1:7" x14ac:dyDescent="0.25">
      <c r="A511" s="12">
        <f t="shared" si="35"/>
        <v>44</v>
      </c>
      <c r="B511" t="str">
        <f ca="1">TEXT(DATE(YEAR(Invoer!$A$5),1,1)+INT((ROWS(B$2:B511)-1)/2),"jjjjmmdd")</f>
        <v>19410912</v>
      </c>
      <c r="C511" s="26" t="str">
        <f>INDEX(Data,2,2+MOD(ROWS(C$2:C511)-1,2))</f>
        <v>15.00</v>
      </c>
      <c r="D511" s="41" t="str">
        <f t="shared" ca="1" si="36"/>
        <v>—</v>
      </c>
      <c r="E511" s="31">
        <f t="shared" ca="1" si="37"/>
        <v>7</v>
      </c>
      <c r="F511" s="42" t="str">
        <f t="shared" ca="1" si="38"/>
        <v>—</v>
      </c>
      <c r="G511" s="31">
        <f t="shared" ca="1" si="39"/>
        <v>7</v>
      </c>
    </row>
    <row r="512" spans="1:7" x14ac:dyDescent="0.25">
      <c r="A512" s="12">
        <f t="shared" si="35"/>
        <v>44</v>
      </c>
      <c r="B512" t="str">
        <f ca="1">TEXT(DATE(YEAR(Invoer!$A$5),1,1)+INT((ROWS(B$2:B512)-1)/2),"jjjjmmdd")</f>
        <v>19410913</v>
      </c>
      <c r="C512" s="26" t="str">
        <f>INDEX(Data,2,2+MOD(ROWS(C$2:C512)-1,2))</f>
        <v>08.00</v>
      </c>
      <c r="D512" s="41" t="str">
        <f t="shared" ca="1" si="36"/>
        <v>—</v>
      </c>
      <c r="E512" s="31">
        <f t="shared" ca="1" si="37"/>
        <v>7</v>
      </c>
      <c r="F512" s="42" t="str">
        <f t="shared" ca="1" si="38"/>
        <v>—</v>
      </c>
      <c r="G512" s="31">
        <f t="shared" ca="1" si="39"/>
        <v>7</v>
      </c>
    </row>
    <row r="513" spans="1:7" x14ac:dyDescent="0.25">
      <c r="A513" s="12">
        <f t="shared" si="35"/>
        <v>44</v>
      </c>
      <c r="B513" t="str">
        <f ca="1">TEXT(DATE(YEAR(Invoer!$A$5),1,1)+INT((ROWS(B$2:B513)-1)/2),"jjjjmmdd")</f>
        <v>19410913</v>
      </c>
      <c r="C513" s="26" t="str">
        <f>INDEX(Data,2,2+MOD(ROWS(C$2:C513)-1,2))</f>
        <v>15.00</v>
      </c>
      <c r="D513" s="41" t="str">
        <f t="shared" ca="1" si="36"/>
        <v>—</v>
      </c>
      <c r="E513" s="31">
        <f t="shared" ca="1" si="37"/>
        <v>7</v>
      </c>
      <c r="F513" s="42" t="str">
        <f t="shared" ca="1" si="38"/>
        <v>—</v>
      </c>
      <c r="G513" s="31">
        <f t="shared" ca="1" si="39"/>
        <v>7</v>
      </c>
    </row>
    <row r="514" spans="1:7" x14ac:dyDescent="0.25">
      <c r="A514" s="12">
        <f t="shared" ref="A514:A577" si="40">INDEX(Stations,2,1)</f>
        <v>44</v>
      </c>
      <c r="B514" t="str">
        <f ca="1">TEXT(DATE(YEAR(Invoer!$A$5),1,1)+INT((ROWS(B$2:B514)-1)/2),"jjjjmmdd")</f>
        <v>19410914</v>
      </c>
      <c r="C514" s="26" t="str">
        <f>INDEX(Data,2,2+MOD(ROWS(C$2:C514)-1,2))</f>
        <v>08.00</v>
      </c>
      <c r="D514" s="41" t="str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0.0254*VLOOKUP(DATEVALUE(LEFT($B514,4)&amp;"-"&amp;MID($B514,5,2)&amp;"-"&amp;RIGHT($B514,2)),Data,MATCH(LEFT(VLOOKUP(D$1,Parameters,2,FALSE()),4)&amp;"*",OFFSET(Data,0,0,1),0)+MATCH($C514,OFFSET(Data,1,0,1),0)-2,FALSE()))</f>
        <v>—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7</v>
      </c>
      <c r="F514" s="42" t="str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5*(VLOOKUP(DATEVALUE(LEFT($B514,4)&amp;"-"&amp;MID($B514,5,2)&amp;"-"&amp;RIGHT($B514,2)),Data,MATCH(LEFT(VLOOKUP(F$1,Parameters,2,FALSE()),4)&amp;"*",OFFSET(Data,0,0,1),0)+MATCH($C514,OFFSET(Data,1,0,1),0)-2,FALSE())-320)/90)</f>
        <v>—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7</v>
      </c>
    </row>
    <row r="515" spans="1:7" x14ac:dyDescent="0.25">
      <c r="A515" s="12">
        <f t="shared" si="40"/>
        <v>44</v>
      </c>
      <c r="B515" t="str">
        <f ca="1">TEXT(DATE(YEAR(Invoer!$A$5),1,1)+INT((ROWS(B$2:B515)-1)/2),"jjjjmmdd")</f>
        <v>19410914</v>
      </c>
      <c r="C515" s="26" t="str">
        <f>INDEX(Data,2,2+MOD(ROWS(C$2:C515)-1,2))</f>
        <v>15.00</v>
      </c>
      <c r="D515" s="41" t="str">
        <f t="shared" ca="1" si="41"/>
        <v>—</v>
      </c>
      <c r="E515" s="31">
        <f t="shared" ca="1" si="42"/>
        <v>7</v>
      </c>
      <c r="F515" s="42" t="str">
        <f t="shared" ca="1" si="43"/>
        <v>—</v>
      </c>
      <c r="G515" s="31">
        <f t="shared" ca="1" si="44"/>
        <v>7</v>
      </c>
    </row>
    <row r="516" spans="1:7" x14ac:dyDescent="0.25">
      <c r="A516" s="12">
        <f t="shared" si="40"/>
        <v>44</v>
      </c>
      <c r="B516" t="str">
        <f ca="1">TEXT(DATE(YEAR(Invoer!$A$5),1,1)+INT((ROWS(B$2:B516)-1)/2),"jjjjmmdd")</f>
        <v>19410915</v>
      </c>
      <c r="C516" s="26" t="str">
        <f>INDEX(Data,2,2+MOD(ROWS(C$2:C516)-1,2))</f>
        <v>08.00</v>
      </c>
      <c r="D516" s="41" t="str">
        <f t="shared" ca="1" si="41"/>
        <v>—</v>
      </c>
      <c r="E516" s="31">
        <f t="shared" ca="1" si="42"/>
        <v>7</v>
      </c>
      <c r="F516" s="42" t="str">
        <f t="shared" ca="1" si="43"/>
        <v>—</v>
      </c>
      <c r="G516" s="31">
        <f t="shared" ca="1" si="44"/>
        <v>7</v>
      </c>
    </row>
    <row r="517" spans="1:7" x14ac:dyDescent="0.25">
      <c r="A517" s="12">
        <f t="shared" si="40"/>
        <v>44</v>
      </c>
      <c r="B517" t="str">
        <f ca="1">TEXT(DATE(YEAR(Invoer!$A$5),1,1)+INT((ROWS(B$2:B517)-1)/2),"jjjjmmdd")</f>
        <v>19410915</v>
      </c>
      <c r="C517" s="26" t="str">
        <f>INDEX(Data,2,2+MOD(ROWS(C$2:C517)-1,2))</f>
        <v>15.00</v>
      </c>
      <c r="D517" s="41" t="str">
        <f t="shared" ca="1" si="41"/>
        <v>—</v>
      </c>
      <c r="E517" s="31">
        <f t="shared" ca="1" si="42"/>
        <v>7</v>
      </c>
      <c r="F517" s="42" t="str">
        <f t="shared" ca="1" si="43"/>
        <v>—</v>
      </c>
      <c r="G517" s="31">
        <f t="shared" ca="1" si="44"/>
        <v>7</v>
      </c>
    </row>
    <row r="518" spans="1:7" x14ac:dyDescent="0.25">
      <c r="A518" s="12">
        <f t="shared" si="40"/>
        <v>44</v>
      </c>
      <c r="B518" t="str">
        <f ca="1">TEXT(DATE(YEAR(Invoer!$A$5),1,1)+INT((ROWS(B$2:B518)-1)/2),"jjjjmmdd")</f>
        <v>19410916</v>
      </c>
      <c r="C518" s="26" t="str">
        <f>INDEX(Data,2,2+MOD(ROWS(C$2:C518)-1,2))</f>
        <v>08.00</v>
      </c>
      <c r="D518" s="41" t="str">
        <f t="shared" ca="1" si="41"/>
        <v>—</v>
      </c>
      <c r="E518" s="31">
        <f t="shared" ca="1" si="42"/>
        <v>7</v>
      </c>
      <c r="F518" s="42" t="str">
        <f t="shared" ca="1" si="43"/>
        <v>—</v>
      </c>
      <c r="G518" s="31">
        <f t="shared" ca="1" si="44"/>
        <v>7</v>
      </c>
    </row>
    <row r="519" spans="1:7" x14ac:dyDescent="0.25">
      <c r="A519" s="12">
        <f t="shared" si="40"/>
        <v>44</v>
      </c>
      <c r="B519" t="str">
        <f ca="1">TEXT(DATE(YEAR(Invoer!$A$5),1,1)+INT((ROWS(B$2:B519)-1)/2),"jjjjmmdd")</f>
        <v>19410916</v>
      </c>
      <c r="C519" s="26" t="str">
        <f>INDEX(Data,2,2+MOD(ROWS(C$2:C519)-1,2))</f>
        <v>15.00</v>
      </c>
      <c r="D519" s="41" t="str">
        <f t="shared" ca="1" si="41"/>
        <v>—</v>
      </c>
      <c r="E519" s="31">
        <f t="shared" ca="1" si="42"/>
        <v>7</v>
      </c>
      <c r="F519" s="42" t="str">
        <f t="shared" ca="1" si="43"/>
        <v>—</v>
      </c>
      <c r="G519" s="31">
        <f t="shared" ca="1" si="44"/>
        <v>7</v>
      </c>
    </row>
    <row r="520" spans="1:7" x14ac:dyDescent="0.25">
      <c r="A520" s="12">
        <f t="shared" si="40"/>
        <v>44</v>
      </c>
      <c r="B520" t="str">
        <f ca="1">TEXT(DATE(YEAR(Invoer!$A$5),1,1)+INT((ROWS(B$2:B520)-1)/2),"jjjjmmdd")</f>
        <v>19410917</v>
      </c>
      <c r="C520" s="26" t="str">
        <f>INDEX(Data,2,2+MOD(ROWS(C$2:C520)-1,2))</f>
        <v>08.00</v>
      </c>
      <c r="D520" s="41" t="str">
        <f t="shared" ca="1" si="41"/>
        <v>—</v>
      </c>
      <c r="E520" s="31">
        <f t="shared" ca="1" si="42"/>
        <v>7</v>
      </c>
      <c r="F520" s="42" t="str">
        <f t="shared" ca="1" si="43"/>
        <v>—</v>
      </c>
      <c r="G520" s="31">
        <f t="shared" ca="1" si="44"/>
        <v>7</v>
      </c>
    </row>
    <row r="521" spans="1:7" x14ac:dyDescent="0.25">
      <c r="A521" s="12">
        <f t="shared" si="40"/>
        <v>44</v>
      </c>
      <c r="B521" t="str">
        <f ca="1">TEXT(DATE(YEAR(Invoer!$A$5),1,1)+INT((ROWS(B$2:B521)-1)/2),"jjjjmmdd")</f>
        <v>19410917</v>
      </c>
      <c r="C521" s="26" t="str">
        <f>INDEX(Data,2,2+MOD(ROWS(C$2:C521)-1,2))</f>
        <v>15.00</v>
      </c>
      <c r="D521" s="41" t="str">
        <f t="shared" ca="1" si="41"/>
        <v>—</v>
      </c>
      <c r="E521" s="31">
        <f t="shared" ca="1" si="42"/>
        <v>7</v>
      </c>
      <c r="F521" s="42" t="str">
        <f t="shared" ca="1" si="43"/>
        <v>—</v>
      </c>
      <c r="G521" s="31">
        <f t="shared" ca="1" si="44"/>
        <v>7</v>
      </c>
    </row>
    <row r="522" spans="1:7" x14ac:dyDescent="0.25">
      <c r="A522" s="12">
        <f t="shared" si="40"/>
        <v>44</v>
      </c>
      <c r="B522" t="str">
        <f ca="1">TEXT(DATE(YEAR(Invoer!$A$5),1,1)+INT((ROWS(B$2:B522)-1)/2),"jjjjmmdd")</f>
        <v>19410918</v>
      </c>
      <c r="C522" s="26" t="str">
        <f>INDEX(Data,2,2+MOD(ROWS(C$2:C522)-1,2))</f>
        <v>08.00</v>
      </c>
      <c r="D522" s="41" t="str">
        <f t="shared" ca="1" si="41"/>
        <v>—</v>
      </c>
      <c r="E522" s="31">
        <f t="shared" ca="1" si="42"/>
        <v>7</v>
      </c>
      <c r="F522" s="42" t="str">
        <f t="shared" ca="1" si="43"/>
        <v>—</v>
      </c>
      <c r="G522" s="31">
        <f t="shared" ca="1" si="44"/>
        <v>7</v>
      </c>
    </row>
    <row r="523" spans="1:7" x14ac:dyDescent="0.25">
      <c r="A523" s="12">
        <f t="shared" si="40"/>
        <v>44</v>
      </c>
      <c r="B523" t="str">
        <f ca="1">TEXT(DATE(YEAR(Invoer!$A$5),1,1)+INT((ROWS(B$2:B523)-1)/2),"jjjjmmdd")</f>
        <v>19410918</v>
      </c>
      <c r="C523" s="26" t="str">
        <f>INDEX(Data,2,2+MOD(ROWS(C$2:C523)-1,2))</f>
        <v>15.00</v>
      </c>
      <c r="D523" s="41" t="str">
        <f t="shared" ca="1" si="41"/>
        <v>—</v>
      </c>
      <c r="E523" s="31">
        <f t="shared" ca="1" si="42"/>
        <v>7</v>
      </c>
      <c r="F523" s="42" t="str">
        <f t="shared" ca="1" si="43"/>
        <v>—</v>
      </c>
      <c r="G523" s="31">
        <f t="shared" ca="1" si="44"/>
        <v>7</v>
      </c>
    </row>
    <row r="524" spans="1:7" x14ac:dyDescent="0.25">
      <c r="A524" s="12">
        <f t="shared" si="40"/>
        <v>44</v>
      </c>
      <c r="B524" t="str">
        <f ca="1">TEXT(DATE(YEAR(Invoer!$A$5),1,1)+INT((ROWS(B$2:B524)-1)/2),"jjjjmmdd")</f>
        <v>19410919</v>
      </c>
      <c r="C524" s="26" t="str">
        <f>INDEX(Data,2,2+MOD(ROWS(C$2:C524)-1,2))</f>
        <v>08.00</v>
      </c>
      <c r="D524" s="41" t="str">
        <f t="shared" ca="1" si="41"/>
        <v>—</v>
      </c>
      <c r="E524" s="31">
        <f t="shared" ca="1" si="42"/>
        <v>7</v>
      </c>
      <c r="F524" s="42" t="str">
        <f t="shared" ca="1" si="43"/>
        <v>—</v>
      </c>
      <c r="G524" s="31">
        <f t="shared" ca="1" si="44"/>
        <v>7</v>
      </c>
    </row>
    <row r="525" spans="1:7" x14ac:dyDescent="0.25">
      <c r="A525" s="12">
        <f t="shared" si="40"/>
        <v>44</v>
      </c>
      <c r="B525" t="str">
        <f ca="1">TEXT(DATE(YEAR(Invoer!$A$5),1,1)+INT((ROWS(B$2:B525)-1)/2),"jjjjmmdd")</f>
        <v>19410919</v>
      </c>
      <c r="C525" s="26" t="str">
        <f>INDEX(Data,2,2+MOD(ROWS(C$2:C525)-1,2))</f>
        <v>15.00</v>
      </c>
      <c r="D525" s="41" t="str">
        <f t="shared" ca="1" si="41"/>
        <v>—</v>
      </c>
      <c r="E525" s="31">
        <f t="shared" ca="1" si="42"/>
        <v>7</v>
      </c>
      <c r="F525" s="42" t="str">
        <f t="shared" ca="1" si="43"/>
        <v>—</v>
      </c>
      <c r="G525" s="31">
        <f t="shared" ca="1" si="44"/>
        <v>7</v>
      </c>
    </row>
    <row r="526" spans="1:7" x14ac:dyDescent="0.25">
      <c r="A526" s="12">
        <f t="shared" si="40"/>
        <v>44</v>
      </c>
      <c r="B526" t="str">
        <f ca="1">TEXT(DATE(YEAR(Invoer!$A$5),1,1)+INT((ROWS(B$2:B526)-1)/2),"jjjjmmdd")</f>
        <v>19410920</v>
      </c>
      <c r="C526" s="26" t="str">
        <f>INDEX(Data,2,2+MOD(ROWS(C$2:C526)-1,2))</f>
        <v>08.00</v>
      </c>
      <c r="D526" s="41" t="str">
        <f t="shared" ca="1" si="41"/>
        <v>—</v>
      </c>
      <c r="E526" s="31">
        <f t="shared" ca="1" si="42"/>
        <v>7</v>
      </c>
      <c r="F526" s="42" t="str">
        <f t="shared" ca="1" si="43"/>
        <v>—</v>
      </c>
      <c r="G526" s="31">
        <f t="shared" ca="1" si="44"/>
        <v>7</v>
      </c>
    </row>
    <row r="527" spans="1:7" x14ac:dyDescent="0.25">
      <c r="A527" s="12">
        <f t="shared" si="40"/>
        <v>44</v>
      </c>
      <c r="B527" t="str">
        <f ca="1">TEXT(DATE(YEAR(Invoer!$A$5),1,1)+INT((ROWS(B$2:B527)-1)/2),"jjjjmmdd")</f>
        <v>19410920</v>
      </c>
      <c r="C527" s="26" t="str">
        <f>INDEX(Data,2,2+MOD(ROWS(C$2:C527)-1,2))</f>
        <v>15.00</v>
      </c>
      <c r="D527" s="41" t="str">
        <f t="shared" ca="1" si="41"/>
        <v>—</v>
      </c>
      <c r="E527" s="31">
        <f t="shared" ca="1" si="42"/>
        <v>7</v>
      </c>
      <c r="F527" s="42" t="str">
        <f t="shared" ca="1" si="43"/>
        <v>—</v>
      </c>
      <c r="G527" s="31">
        <f t="shared" ca="1" si="44"/>
        <v>7</v>
      </c>
    </row>
    <row r="528" spans="1:7" x14ac:dyDescent="0.25">
      <c r="A528" s="12">
        <f t="shared" si="40"/>
        <v>44</v>
      </c>
      <c r="B528" t="str">
        <f ca="1">TEXT(DATE(YEAR(Invoer!$A$5),1,1)+INT((ROWS(B$2:B528)-1)/2),"jjjjmmdd")</f>
        <v>19410921</v>
      </c>
      <c r="C528" s="26" t="str">
        <f>INDEX(Data,2,2+MOD(ROWS(C$2:C528)-1,2))</f>
        <v>08.00</v>
      </c>
      <c r="D528" s="41" t="str">
        <f t="shared" ca="1" si="41"/>
        <v>—</v>
      </c>
      <c r="E528" s="31">
        <f t="shared" ca="1" si="42"/>
        <v>7</v>
      </c>
      <c r="F528" s="42" t="str">
        <f t="shared" ca="1" si="43"/>
        <v>—</v>
      </c>
      <c r="G528" s="31">
        <f t="shared" ca="1" si="44"/>
        <v>7</v>
      </c>
    </row>
    <row r="529" spans="1:7" x14ac:dyDescent="0.25">
      <c r="A529" s="12">
        <f t="shared" si="40"/>
        <v>44</v>
      </c>
      <c r="B529" t="str">
        <f ca="1">TEXT(DATE(YEAR(Invoer!$A$5),1,1)+INT((ROWS(B$2:B529)-1)/2),"jjjjmmdd")</f>
        <v>19410921</v>
      </c>
      <c r="C529" s="26" t="str">
        <f>INDEX(Data,2,2+MOD(ROWS(C$2:C529)-1,2))</f>
        <v>15.00</v>
      </c>
      <c r="D529" s="41" t="str">
        <f t="shared" ca="1" si="41"/>
        <v>—</v>
      </c>
      <c r="E529" s="31">
        <f t="shared" ca="1" si="42"/>
        <v>7</v>
      </c>
      <c r="F529" s="42" t="str">
        <f t="shared" ca="1" si="43"/>
        <v>—</v>
      </c>
      <c r="G529" s="31">
        <f t="shared" ca="1" si="44"/>
        <v>7</v>
      </c>
    </row>
    <row r="530" spans="1:7" x14ac:dyDescent="0.25">
      <c r="A530" s="12">
        <f t="shared" si="40"/>
        <v>44</v>
      </c>
      <c r="B530" t="str">
        <f ca="1">TEXT(DATE(YEAR(Invoer!$A$5),1,1)+INT((ROWS(B$2:B530)-1)/2),"jjjjmmdd")</f>
        <v>19410922</v>
      </c>
      <c r="C530" s="26" t="str">
        <f>INDEX(Data,2,2+MOD(ROWS(C$2:C530)-1,2))</f>
        <v>08.00</v>
      </c>
      <c r="D530" s="41" t="str">
        <f t="shared" ca="1" si="41"/>
        <v>—</v>
      </c>
      <c r="E530" s="31">
        <f t="shared" ca="1" si="42"/>
        <v>7</v>
      </c>
      <c r="F530" s="42" t="str">
        <f t="shared" ca="1" si="43"/>
        <v>—</v>
      </c>
      <c r="G530" s="31">
        <f t="shared" ca="1" si="44"/>
        <v>7</v>
      </c>
    </row>
    <row r="531" spans="1:7" x14ac:dyDescent="0.25">
      <c r="A531" s="12">
        <f t="shared" si="40"/>
        <v>44</v>
      </c>
      <c r="B531" t="str">
        <f ca="1">TEXT(DATE(YEAR(Invoer!$A$5),1,1)+INT((ROWS(B$2:B531)-1)/2),"jjjjmmdd")</f>
        <v>19410922</v>
      </c>
      <c r="C531" s="26" t="str">
        <f>INDEX(Data,2,2+MOD(ROWS(C$2:C531)-1,2))</f>
        <v>15.00</v>
      </c>
      <c r="D531" s="41" t="str">
        <f t="shared" ca="1" si="41"/>
        <v>—</v>
      </c>
      <c r="E531" s="31">
        <f t="shared" ca="1" si="42"/>
        <v>7</v>
      </c>
      <c r="F531" s="42" t="str">
        <f t="shared" ca="1" si="43"/>
        <v>—</v>
      </c>
      <c r="G531" s="31">
        <f t="shared" ca="1" si="44"/>
        <v>7</v>
      </c>
    </row>
    <row r="532" spans="1:7" x14ac:dyDescent="0.25">
      <c r="A532" s="12">
        <f t="shared" si="40"/>
        <v>44</v>
      </c>
      <c r="B532" t="str">
        <f ca="1">TEXT(DATE(YEAR(Invoer!$A$5),1,1)+INT((ROWS(B$2:B532)-1)/2),"jjjjmmdd")</f>
        <v>19410923</v>
      </c>
      <c r="C532" s="26" t="str">
        <f>INDEX(Data,2,2+MOD(ROWS(C$2:C532)-1,2))</f>
        <v>08.00</v>
      </c>
      <c r="D532" s="41" t="str">
        <f t="shared" ca="1" si="41"/>
        <v>—</v>
      </c>
      <c r="E532" s="31">
        <f t="shared" ca="1" si="42"/>
        <v>7</v>
      </c>
      <c r="F532" s="42" t="str">
        <f t="shared" ca="1" si="43"/>
        <v>—</v>
      </c>
      <c r="G532" s="31">
        <f t="shared" ca="1" si="44"/>
        <v>7</v>
      </c>
    </row>
    <row r="533" spans="1:7" x14ac:dyDescent="0.25">
      <c r="A533" s="12">
        <f t="shared" si="40"/>
        <v>44</v>
      </c>
      <c r="B533" t="str">
        <f ca="1">TEXT(DATE(YEAR(Invoer!$A$5),1,1)+INT((ROWS(B$2:B533)-1)/2),"jjjjmmdd")</f>
        <v>19410923</v>
      </c>
      <c r="C533" s="26" t="str">
        <f>INDEX(Data,2,2+MOD(ROWS(C$2:C533)-1,2))</f>
        <v>15.00</v>
      </c>
      <c r="D533" s="41" t="str">
        <f t="shared" ca="1" si="41"/>
        <v>—</v>
      </c>
      <c r="E533" s="31">
        <f t="shared" ca="1" si="42"/>
        <v>7</v>
      </c>
      <c r="F533" s="42" t="str">
        <f t="shared" ca="1" si="43"/>
        <v>—</v>
      </c>
      <c r="G533" s="31">
        <f t="shared" ca="1" si="44"/>
        <v>7</v>
      </c>
    </row>
    <row r="534" spans="1:7" x14ac:dyDescent="0.25">
      <c r="A534" s="12">
        <f t="shared" si="40"/>
        <v>44</v>
      </c>
      <c r="B534" t="str">
        <f ca="1">TEXT(DATE(YEAR(Invoer!$A$5),1,1)+INT((ROWS(B$2:B534)-1)/2),"jjjjmmdd")</f>
        <v>19410924</v>
      </c>
      <c r="C534" s="26" t="str">
        <f>INDEX(Data,2,2+MOD(ROWS(C$2:C534)-1,2))</f>
        <v>08.00</v>
      </c>
      <c r="D534" s="41" t="str">
        <f t="shared" ca="1" si="41"/>
        <v>—</v>
      </c>
      <c r="E534" s="31">
        <f t="shared" ca="1" si="42"/>
        <v>7</v>
      </c>
      <c r="F534" s="42" t="str">
        <f t="shared" ca="1" si="43"/>
        <v>—</v>
      </c>
      <c r="G534" s="31">
        <f t="shared" ca="1" si="44"/>
        <v>7</v>
      </c>
    </row>
    <row r="535" spans="1:7" x14ac:dyDescent="0.25">
      <c r="A535" s="12">
        <f t="shared" si="40"/>
        <v>44</v>
      </c>
      <c r="B535" t="str">
        <f ca="1">TEXT(DATE(YEAR(Invoer!$A$5),1,1)+INT((ROWS(B$2:B535)-1)/2),"jjjjmmdd")</f>
        <v>19410924</v>
      </c>
      <c r="C535" s="26" t="str">
        <f>INDEX(Data,2,2+MOD(ROWS(C$2:C535)-1,2))</f>
        <v>15.00</v>
      </c>
      <c r="D535" s="41" t="str">
        <f t="shared" ca="1" si="41"/>
        <v>—</v>
      </c>
      <c r="E535" s="31">
        <f t="shared" ca="1" si="42"/>
        <v>7</v>
      </c>
      <c r="F535" s="42" t="str">
        <f t="shared" ca="1" si="43"/>
        <v>—</v>
      </c>
      <c r="G535" s="31">
        <f t="shared" ca="1" si="44"/>
        <v>7</v>
      </c>
    </row>
    <row r="536" spans="1:7" x14ac:dyDescent="0.25">
      <c r="A536" s="12">
        <f t="shared" si="40"/>
        <v>44</v>
      </c>
      <c r="B536" t="str">
        <f ca="1">TEXT(DATE(YEAR(Invoer!$A$5),1,1)+INT((ROWS(B$2:B536)-1)/2),"jjjjmmdd")</f>
        <v>19410925</v>
      </c>
      <c r="C536" s="26" t="str">
        <f>INDEX(Data,2,2+MOD(ROWS(C$2:C536)-1,2))</f>
        <v>08.00</v>
      </c>
      <c r="D536" s="41" t="str">
        <f t="shared" ca="1" si="41"/>
        <v>—</v>
      </c>
      <c r="E536" s="31">
        <f t="shared" ca="1" si="42"/>
        <v>7</v>
      </c>
      <c r="F536" s="42" t="str">
        <f t="shared" ca="1" si="43"/>
        <v>—</v>
      </c>
      <c r="G536" s="31">
        <f t="shared" ca="1" si="44"/>
        <v>7</v>
      </c>
    </row>
    <row r="537" spans="1:7" x14ac:dyDescent="0.25">
      <c r="A537" s="12">
        <f t="shared" si="40"/>
        <v>44</v>
      </c>
      <c r="B537" t="str">
        <f ca="1">TEXT(DATE(YEAR(Invoer!$A$5),1,1)+INT((ROWS(B$2:B537)-1)/2),"jjjjmmdd")</f>
        <v>19410925</v>
      </c>
      <c r="C537" s="26" t="str">
        <f>INDEX(Data,2,2+MOD(ROWS(C$2:C537)-1,2))</f>
        <v>15.00</v>
      </c>
      <c r="D537" s="41" t="str">
        <f t="shared" ca="1" si="41"/>
        <v>—</v>
      </c>
      <c r="E537" s="31">
        <f t="shared" ca="1" si="42"/>
        <v>7</v>
      </c>
      <c r="F537" s="42" t="str">
        <f t="shared" ca="1" si="43"/>
        <v>—</v>
      </c>
      <c r="G537" s="31">
        <f t="shared" ca="1" si="44"/>
        <v>7</v>
      </c>
    </row>
    <row r="538" spans="1:7" x14ac:dyDescent="0.25">
      <c r="A538" s="12">
        <f t="shared" si="40"/>
        <v>44</v>
      </c>
      <c r="B538" t="str">
        <f ca="1">TEXT(DATE(YEAR(Invoer!$A$5),1,1)+INT((ROWS(B$2:B538)-1)/2),"jjjjmmdd")</f>
        <v>19410926</v>
      </c>
      <c r="C538" s="26" t="str">
        <f>INDEX(Data,2,2+MOD(ROWS(C$2:C538)-1,2))</f>
        <v>08.00</v>
      </c>
      <c r="D538" s="41" t="str">
        <f t="shared" ca="1" si="41"/>
        <v>—</v>
      </c>
      <c r="E538" s="31">
        <f t="shared" ca="1" si="42"/>
        <v>7</v>
      </c>
      <c r="F538" s="42" t="str">
        <f t="shared" ca="1" si="43"/>
        <v>—</v>
      </c>
      <c r="G538" s="31">
        <f t="shared" ca="1" si="44"/>
        <v>7</v>
      </c>
    </row>
    <row r="539" spans="1:7" x14ac:dyDescent="0.25">
      <c r="A539" s="12">
        <f t="shared" si="40"/>
        <v>44</v>
      </c>
      <c r="B539" t="str">
        <f ca="1">TEXT(DATE(YEAR(Invoer!$A$5),1,1)+INT((ROWS(B$2:B539)-1)/2),"jjjjmmdd")</f>
        <v>19410926</v>
      </c>
      <c r="C539" s="26" t="str">
        <f>INDEX(Data,2,2+MOD(ROWS(C$2:C539)-1,2))</f>
        <v>15.00</v>
      </c>
      <c r="D539" s="41" t="str">
        <f t="shared" ca="1" si="41"/>
        <v>—</v>
      </c>
      <c r="E539" s="31">
        <f t="shared" ca="1" si="42"/>
        <v>7</v>
      </c>
      <c r="F539" s="42" t="str">
        <f t="shared" ca="1" si="43"/>
        <v>—</v>
      </c>
      <c r="G539" s="31">
        <f t="shared" ca="1" si="44"/>
        <v>7</v>
      </c>
    </row>
    <row r="540" spans="1:7" x14ac:dyDescent="0.25">
      <c r="A540" s="12">
        <f t="shared" si="40"/>
        <v>44</v>
      </c>
      <c r="B540" t="str">
        <f ca="1">TEXT(DATE(YEAR(Invoer!$A$5),1,1)+INT((ROWS(B$2:B540)-1)/2),"jjjjmmdd")</f>
        <v>19410927</v>
      </c>
      <c r="C540" s="26" t="str">
        <f>INDEX(Data,2,2+MOD(ROWS(C$2:C540)-1,2))</f>
        <v>08.00</v>
      </c>
      <c r="D540" s="41" t="str">
        <f t="shared" ca="1" si="41"/>
        <v>—</v>
      </c>
      <c r="E540" s="31">
        <f t="shared" ca="1" si="42"/>
        <v>7</v>
      </c>
      <c r="F540" s="42" t="str">
        <f t="shared" ca="1" si="43"/>
        <v>—</v>
      </c>
      <c r="G540" s="31">
        <f t="shared" ca="1" si="44"/>
        <v>7</v>
      </c>
    </row>
    <row r="541" spans="1:7" x14ac:dyDescent="0.25">
      <c r="A541" s="12">
        <f t="shared" si="40"/>
        <v>44</v>
      </c>
      <c r="B541" t="str">
        <f ca="1">TEXT(DATE(YEAR(Invoer!$A$5),1,1)+INT((ROWS(B$2:B541)-1)/2),"jjjjmmdd")</f>
        <v>19410927</v>
      </c>
      <c r="C541" s="26" t="str">
        <f>INDEX(Data,2,2+MOD(ROWS(C$2:C541)-1,2))</f>
        <v>15.00</v>
      </c>
      <c r="D541" s="41" t="str">
        <f t="shared" ca="1" si="41"/>
        <v>—</v>
      </c>
      <c r="E541" s="31">
        <f t="shared" ca="1" si="42"/>
        <v>7</v>
      </c>
      <c r="F541" s="42" t="str">
        <f t="shared" ca="1" si="43"/>
        <v>—</v>
      </c>
      <c r="G541" s="31">
        <f t="shared" ca="1" si="44"/>
        <v>7</v>
      </c>
    </row>
    <row r="542" spans="1:7" x14ac:dyDescent="0.25">
      <c r="A542" s="12">
        <f t="shared" si="40"/>
        <v>44</v>
      </c>
      <c r="B542" t="str">
        <f ca="1">TEXT(DATE(YEAR(Invoer!$A$5),1,1)+INT((ROWS(B$2:B542)-1)/2),"jjjjmmdd")</f>
        <v>19410928</v>
      </c>
      <c r="C542" s="26" t="str">
        <f>INDEX(Data,2,2+MOD(ROWS(C$2:C542)-1,2))</f>
        <v>08.00</v>
      </c>
      <c r="D542" s="41" t="str">
        <f t="shared" ca="1" si="41"/>
        <v>—</v>
      </c>
      <c r="E542" s="31">
        <f t="shared" ca="1" si="42"/>
        <v>7</v>
      </c>
      <c r="F542" s="42" t="str">
        <f t="shared" ca="1" si="43"/>
        <v>—</v>
      </c>
      <c r="G542" s="31">
        <f t="shared" ca="1" si="44"/>
        <v>7</v>
      </c>
    </row>
    <row r="543" spans="1:7" x14ac:dyDescent="0.25">
      <c r="A543" s="12">
        <f t="shared" si="40"/>
        <v>44</v>
      </c>
      <c r="B543" t="str">
        <f ca="1">TEXT(DATE(YEAR(Invoer!$A$5),1,1)+INT((ROWS(B$2:B543)-1)/2),"jjjjmmdd")</f>
        <v>19410928</v>
      </c>
      <c r="C543" s="26" t="str">
        <f>INDEX(Data,2,2+MOD(ROWS(C$2:C543)-1,2))</f>
        <v>15.00</v>
      </c>
      <c r="D543" s="41" t="str">
        <f t="shared" ca="1" si="41"/>
        <v>—</v>
      </c>
      <c r="E543" s="31">
        <f t="shared" ca="1" si="42"/>
        <v>7</v>
      </c>
      <c r="F543" s="42" t="str">
        <f t="shared" ca="1" si="43"/>
        <v>—</v>
      </c>
      <c r="G543" s="31">
        <f t="shared" ca="1" si="44"/>
        <v>7</v>
      </c>
    </row>
    <row r="544" spans="1:7" x14ac:dyDescent="0.25">
      <c r="A544" s="12">
        <f t="shared" si="40"/>
        <v>44</v>
      </c>
      <c r="B544" t="str">
        <f ca="1">TEXT(DATE(YEAR(Invoer!$A$5),1,1)+INT((ROWS(B$2:B544)-1)/2),"jjjjmmdd")</f>
        <v>19410929</v>
      </c>
      <c r="C544" s="26" t="str">
        <f>INDEX(Data,2,2+MOD(ROWS(C$2:C544)-1,2))</f>
        <v>08.00</v>
      </c>
      <c r="D544" s="41" t="str">
        <f t="shared" ca="1" si="41"/>
        <v>—</v>
      </c>
      <c r="E544" s="31">
        <f t="shared" ca="1" si="42"/>
        <v>7</v>
      </c>
      <c r="F544" s="42" t="str">
        <f t="shared" ca="1" si="43"/>
        <v>—</v>
      </c>
      <c r="G544" s="31">
        <f t="shared" ca="1" si="44"/>
        <v>7</v>
      </c>
    </row>
    <row r="545" spans="1:7" x14ac:dyDescent="0.25">
      <c r="A545" s="12">
        <f t="shared" si="40"/>
        <v>44</v>
      </c>
      <c r="B545" t="str">
        <f ca="1">TEXT(DATE(YEAR(Invoer!$A$5),1,1)+INT((ROWS(B$2:B545)-1)/2),"jjjjmmdd")</f>
        <v>19410929</v>
      </c>
      <c r="C545" s="26" t="str">
        <f>INDEX(Data,2,2+MOD(ROWS(C$2:C545)-1,2))</f>
        <v>15.00</v>
      </c>
      <c r="D545" s="41" t="str">
        <f t="shared" ca="1" si="41"/>
        <v>—</v>
      </c>
      <c r="E545" s="31">
        <f t="shared" ca="1" si="42"/>
        <v>7</v>
      </c>
      <c r="F545" s="42" t="str">
        <f t="shared" ca="1" si="43"/>
        <v>—</v>
      </c>
      <c r="G545" s="31">
        <f t="shared" ca="1" si="44"/>
        <v>7</v>
      </c>
    </row>
    <row r="546" spans="1:7" x14ac:dyDescent="0.25">
      <c r="A546" s="12">
        <f t="shared" si="40"/>
        <v>44</v>
      </c>
      <c r="B546" t="str">
        <f ca="1">TEXT(DATE(YEAR(Invoer!$A$5),1,1)+INT((ROWS(B$2:B546)-1)/2),"jjjjmmdd")</f>
        <v>19410930</v>
      </c>
      <c r="C546" s="26" t="str">
        <f>INDEX(Data,2,2+MOD(ROWS(C$2:C546)-1,2))</f>
        <v>08.00</v>
      </c>
      <c r="D546" s="41" t="str">
        <f t="shared" ca="1" si="41"/>
        <v>—</v>
      </c>
      <c r="E546" s="31">
        <f t="shared" ca="1" si="42"/>
        <v>7</v>
      </c>
      <c r="F546" s="42" t="str">
        <f t="shared" ca="1" si="43"/>
        <v>—</v>
      </c>
      <c r="G546" s="31">
        <f t="shared" ca="1" si="44"/>
        <v>7</v>
      </c>
    </row>
    <row r="547" spans="1:7" x14ac:dyDescent="0.25">
      <c r="A547" s="12">
        <f t="shared" si="40"/>
        <v>44</v>
      </c>
      <c r="B547" t="str">
        <f ca="1">TEXT(DATE(YEAR(Invoer!$A$5),1,1)+INT((ROWS(B$2:B547)-1)/2),"jjjjmmdd")</f>
        <v>19410930</v>
      </c>
      <c r="C547" s="26" t="str">
        <f>INDEX(Data,2,2+MOD(ROWS(C$2:C547)-1,2))</f>
        <v>15.00</v>
      </c>
      <c r="D547" s="41" t="str">
        <f t="shared" ca="1" si="41"/>
        <v>—</v>
      </c>
      <c r="E547" s="31">
        <f t="shared" ca="1" si="42"/>
        <v>7</v>
      </c>
      <c r="F547" s="42" t="str">
        <f t="shared" ca="1" si="43"/>
        <v>—</v>
      </c>
      <c r="G547" s="31">
        <f t="shared" ca="1" si="44"/>
        <v>7</v>
      </c>
    </row>
    <row r="548" spans="1:7" x14ac:dyDescent="0.25">
      <c r="A548" s="12">
        <f t="shared" si="40"/>
        <v>44</v>
      </c>
      <c r="B548" t="str">
        <f ca="1">TEXT(DATE(YEAR(Invoer!$A$5),1,1)+INT((ROWS(B$2:B548)-1)/2),"jjjjmmdd")</f>
        <v>19411001</v>
      </c>
      <c r="C548" s="26" t="str">
        <f>INDEX(Data,2,2+MOD(ROWS(C$2:C548)-1,2))</f>
        <v>08.00</v>
      </c>
      <c r="D548" s="41" t="str">
        <f t="shared" ca="1" si="41"/>
        <v>—</v>
      </c>
      <c r="E548" s="31">
        <f t="shared" ca="1" si="42"/>
        <v>7</v>
      </c>
      <c r="F548" s="42" t="str">
        <f t="shared" ca="1" si="43"/>
        <v>—</v>
      </c>
      <c r="G548" s="31">
        <f t="shared" ca="1" si="44"/>
        <v>7</v>
      </c>
    </row>
    <row r="549" spans="1:7" x14ac:dyDescent="0.25">
      <c r="A549" s="12">
        <f t="shared" si="40"/>
        <v>44</v>
      </c>
      <c r="B549" t="str">
        <f ca="1">TEXT(DATE(YEAR(Invoer!$A$5),1,1)+INT((ROWS(B$2:B549)-1)/2),"jjjjmmdd")</f>
        <v>19411001</v>
      </c>
      <c r="C549" s="26" t="str">
        <f>INDEX(Data,2,2+MOD(ROWS(C$2:C549)-1,2))</f>
        <v>15.00</v>
      </c>
      <c r="D549" s="41" t="str">
        <f t="shared" ca="1" si="41"/>
        <v>—</v>
      </c>
      <c r="E549" s="31">
        <f t="shared" ca="1" si="42"/>
        <v>7</v>
      </c>
      <c r="F549" s="42" t="str">
        <f t="shared" ca="1" si="43"/>
        <v>—</v>
      </c>
      <c r="G549" s="31">
        <f t="shared" ca="1" si="44"/>
        <v>7</v>
      </c>
    </row>
    <row r="550" spans="1:7" x14ac:dyDescent="0.25">
      <c r="A550" s="12">
        <f t="shared" si="40"/>
        <v>44</v>
      </c>
      <c r="B550" t="str">
        <f ca="1">TEXT(DATE(YEAR(Invoer!$A$5),1,1)+INT((ROWS(B$2:B550)-1)/2),"jjjjmmdd")</f>
        <v>19411002</v>
      </c>
      <c r="C550" s="26" t="str">
        <f>INDEX(Data,2,2+MOD(ROWS(C$2:C550)-1,2))</f>
        <v>08.00</v>
      </c>
      <c r="D550" s="41" t="str">
        <f t="shared" ca="1" si="41"/>
        <v>—</v>
      </c>
      <c r="E550" s="31">
        <f t="shared" ca="1" si="42"/>
        <v>7</v>
      </c>
      <c r="F550" s="42" t="str">
        <f t="shared" ca="1" si="43"/>
        <v>—</v>
      </c>
      <c r="G550" s="31">
        <f t="shared" ca="1" si="44"/>
        <v>7</v>
      </c>
    </row>
    <row r="551" spans="1:7" x14ac:dyDescent="0.25">
      <c r="A551" s="12">
        <f t="shared" si="40"/>
        <v>44</v>
      </c>
      <c r="B551" t="str">
        <f ca="1">TEXT(DATE(YEAR(Invoer!$A$5),1,1)+INT((ROWS(B$2:B551)-1)/2),"jjjjmmdd")</f>
        <v>19411002</v>
      </c>
      <c r="C551" s="26" t="str">
        <f>INDEX(Data,2,2+MOD(ROWS(C$2:C551)-1,2))</f>
        <v>15.00</v>
      </c>
      <c r="D551" s="41" t="str">
        <f t="shared" ca="1" si="41"/>
        <v>—</v>
      </c>
      <c r="E551" s="31">
        <f t="shared" ca="1" si="42"/>
        <v>7</v>
      </c>
      <c r="F551" s="42" t="str">
        <f t="shared" ca="1" si="43"/>
        <v>—</v>
      </c>
      <c r="G551" s="31">
        <f t="shared" ca="1" si="44"/>
        <v>7</v>
      </c>
    </row>
    <row r="552" spans="1:7" x14ac:dyDescent="0.25">
      <c r="A552" s="12">
        <f t="shared" si="40"/>
        <v>44</v>
      </c>
      <c r="B552" t="str">
        <f ca="1">TEXT(DATE(YEAR(Invoer!$A$5),1,1)+INT((ROWS(B$2:B552)-1)/2),"jjjjmmdd")</f>
        <v>19411003</v>
      </c>
      <c r="C552" s="26" t="str">
        <f>INDEX(Data,2,2+MOD(ROWS(C$2:C552)-1,2))</f>
        <v>08.00</v>
      </c>
      <c r="D552" s="41" t="str">
        <f t="shared" ca="1" si="41"/>
        <v>—</v>
      </c>
      <c r="E552" s="31">
        <f t="shared" ca="1" si="42"/>
        <v>7</v>
      </c>
      <c r="F552" s="42" t="str">
        <f t="shared" ca="1" si="43"/>
        <v>—</v>
      </c>
      <c r="G552" s="31">
        <f t="shared" ca="1" si="44"/>
        <v>7</v>
      </c>
    </row>
    <row r="553" spans="1:7" x14ac:dyDescent="0.25">
      <c r="A553" s="12">
        <f t="shared" si="40"/>
        <v>44</v>
      </c>
      <c r="B553" t="str">
        <f ca="1">TEXT(DATE(YEAR(Invoer!$A$5),1,1)+INT((ROWS(B$2:B553)-1)/2),"jjjjmmdd")</f>
        <v>19411003</v>
      </c>
      <c r="C553" s="26" t="str">
        <f>INDEX(Data,2,2+MOD(ROWS(C$2:C553)-1,2))</f>
        <v>15.00</v>
      </c>
      <c r="D553" s="41" t="str">
        <f t="shared" ca="1" si="41"/>
        <v>—</v>
      </c>
      <c r="E553" s="31">
        <f t="shared" ca="1" si="42"/>
        <v>7</v>
      </c>
      <c r="F553" s="42" t="str">
        <f t="shared" ca="1" si="43"/>
        <v>—</v>
      </c>
      <c r="G553" s="31">
        <f t="shared" ca="1" si="44"/>
        <v>7</v>
      </c>
    </row>
    <row r="554" spans="1:7" x14ac:dyDescent="0.25">
      <c r="A554" s="12">
        <f t="shared" si="40"/>
        <v>44</v>
      </c>
      <c r="B554" t="str">
        <f ca="1">TEXT(DATE(YEAR(Invoer!$A$5),1,1)+INT((ROWS(B$2:B554)-1)/2),"jjjjmmdd")</f>
        <v>19411004</v>
      </c>
      <c r="C554" s="26" t="str">
        <f>INDEX(Data,2,2+MOD(ROWS(C$2:C554)-1,2))</f>
        <v>08.00</v>
      </c>
      <c r="D554" s="41" t="str">
        <f t="shared" ca="1" si="41"/>
        <v>—</v>
      </c>
      <c r="E554" s="31">
        <f t="shared" ca="1" si="42"/>
        <v>7</v>
      </c>
      <c r="F554" s="42" t="str">
        <f t="shared" ca="1" si="43"/>
        <v>—</v>
      </c>
      <c r="G554" s="31">
        <f t="shared" ca="1" si="44"/>
        <v>7</v>
      </c>
    </row>
    <row r="555" spans="1:7" x14ac:dyDescent="0.25">
      <c r="A555" s="12">
        <f t="shared" si="40"/>
        <v>44</v>
      </c>
      <c r="B555" t="str">
        <f ca="1">TEXT(DATE(YEAR(Invoer!$A$5),1,1)+INT((ROWS(B$2:B555)-1)/2),"jjjjmmdd")</f>
        <v>19411004</v>
      </c>
      <c r="C555" s="26" t="str">
        <f>INDEX(Data,2,2+MOD(ROWS(C$2:C555)-1,2))</f>
        <v>15.00</v>
      </c>
      <c r="D555" s="41" t="str">
        <f t="shared" ca="1" si="41"/>
        <v>—</v>
      </c>
      <c r="E555" s="31">
        <f t="shared" ca="1" si="42"/>
        <v>7</v>
      </c>
      <c r="F555" s="42" t="str">
        <f t="shared" ca="1" si="43"/>
        <v>—</v>
      </c>
      <c r="G555" s="31">
        <f t="shared" ca="1" si="44"/>
        <v>7</v>
      </c>
    </row>
    <row r="556" spans="1:7" x14ac:dyDescent="0.25">
      <c r="A556" s="12">
        <f t="shared" si="40"/>
        <v>44</v>
      </c>
      <c r="B556" t="str">
        <f ca="1">TEXT(DATE(YEAR(Invoer!$A$5),1,1)+INT((ROWS(B$2:B556)-1)/2),"jjjjmmdd")</f>
        <v>19411005</v>
      </c>
      <c r="C556" s="26" t="str">
        <f>INDEX(Data,2,2+MOD(ROWS(C$2:C556)-1,2))</f>
        <v>08.00</v>
      </c>
      <c r="D556" s="41" t="str">
        <f t="shared" ca="1" si="41"/>
        <v>—</v>
      </c>
      <c r="E556" s="31">
        <f t="shared" ca="1" si="42"/>
        <v>7</v>
      </c>
      <c r="F556" s="42" t="str">
        <f t="shared" ca="1" si="43"/>
        <v>—</v>
      </c>
      <c r="G556" s="31">
        <f t="shared" ca="1" si="44"/>
        <v>7</v>
      </c>
    </row>
    <row r="557" spans="1:7" x14ac:dyDescent="0.25">
      <c r="A557" s="12">
        <f t="shared" si="40"/>
        <v>44</v>
      </c>
      <c r="B557" t="str">
        <f ca="1">TEXT(DATE(YEAR(Invoer!$A$5),1,1)+INT((ROWS(B$2:B557)-1)/2),"jjjjmmdd")</f>
        <v>19411005</v>
      </c>
      <c r="C557" s="26" t="str">
        <f>INDEX(Data,2,2+MOD(ROWS(C$2:C557)-1,2))</f>
        <v>15.00</v>
      </c>
      <c r="D557" s="41" t="str">
        <f t="shared" ca="1" si="41"/>
        <v>—</v>
      </c>
      <c r="E557" s="31">
        <f t="shared" ca="1" si="42"/>
        <v>7</v>
      </c>
      <c r="F557" s="42" t="str">
        <f t="shared" ca="1" si="43"/>
        <v>—</v>
      </c>
      <c r="G557" s="31">
        <f t="shared" ca="1" si="44"/>
        <v>7</v>
      </c>
    </row>
    <row r="558" spans="1:7" x14ac:dyDescent="0.25">
      <c r="A558" s="12">
        <f t="shared" si="40"/>
        <v>44</v>
      </c>
      <c r="B558" t="str">
        <f ca="1">TEXT(DATE(YEAR(Invoer!$A$5),1,1)+INT((ROWS(B$2:B558)-1)/2),"jjjjmmdd")</f>
        <v>19411006</v>
      </c>
      <c r="C558" s="26" t="str">
        <f>INDEX(Data,2,2+MOD(ROWS(C$2:C558)-1,2))</f>
        <v>08.00</v>
      </c>
      <c r="D558" s="41" t="str">
        <f t="shared" ca="1" si="41"/>
        <v>—</v>
      </c>
      <c r="E558" s="31">
        <f t="shared" ca="1" si="42"/>
        <v>7</v>
      </c>
      <c r="F558" s="42" t="str">
        <f t="shared" ca="1" si="43"/>
        <v>—</v>
      </c>
      <c r="G558" s="31">
        <f t="shared" ca="1" si="44"/>
        <v>7</v>
      </c>
    </row>
    <row r="559" spans="1:7" x14ac:dyDescent="0.25">
      <c r="A559" s="12">
        <f t="shared" si="40"/>
        <v>44</v>
      </c>
      <c r="B559" t="str">
        <f ca="1">TEXT(DATE(YEAR(Invoer!$A$5),1,1)+INT((ROWS(B$2:B559)-1)/2),"jjjjmmdd")</f>
        <v>19411006</v>
      </c>
      <c r="C559" s="26" t="str">
        <f>INDEX(Data,2,2+MOD(ROWS(C$2:C559)-1,2))</f>
        <v>15.00</v>
      </c>
      <c r="D559" s="41" t="str">
        <f t="shared" ca="1" si="41"/>
        <v>—</v>
      </c>
      <c r="E559" s="31">
        <f t="shared" ca="1" si="42"/>
        <v>7</v>
      </c>
      <c r="F559" s="42" t="str">
        <f t="shared" ca="1" si="43"/>
        <v>—</v>
      </c>
      <c r="G559" s="31">
        <f t="shared" ca="1" si="44"/>
        <v>7</v>
      </c>
    </row>
    <row r="560" spans="1:7" x14ac:dyDescent="0.25">
      <c r="A560" s="12">
        <f t="shared" si="40"/>
        <v>44</v>
      </c>
      <c r="B560" t="str">
        <f ca="1">TEXT(DATE(YEAR(Invoer!$A$5),1,1)+INT((ROWS(B$2:B560)-1)/2),"jjjjmmdd")</f>
        <v>19411007</v>
      </c>
      <c r="C560" s="26" t="str">
        <f>INDEX(Data,2,2+MOD(ROWS(C$2:C560)-1,2))</f>
        <v>08.00</v>
      </c>
      <c r="D560" s="41" t="str">
        <f t="shared" ca="1" si="41"/>
        <v>—</v>
      </c>
      <c r="E560" s="31">
        <f t="shared" ca="1" si="42"/>
        <v>7</v>
      </c>
      <c r="F560" s="42" t="str">
        <f t="shared" ca="1" si="43"/>
        <v>—</v>
      </c>
      <c r="G560" s="31">
        <f t="shared" ca="1" si="44"/>
        <v>7</v>
      </c>
    </row>
    <row r="561" spans="1:7" x14ac:dyDescent="0.25">
      <c r="A561" s="12">
        <f t="shared" si="40"/>
        <v>44</v>
      </c>
      <c r="B561" t="str">
        <f ca="1">TEXT(DATE(YEAR(Invoer!$A$5),1,1)+INT((ROWS(B$2:B561)-1)/2),"jjjjmmdd")</f>
        <v>19411007</v>
      </c>
      <c r="C561" s="26" t="str">
        <f>INDEX(Data,2,2+MOD(ROWS(C$2:C561)-1,2))</f>
        <v>15.00</v>
      </c>
      <c r="D561" s="41" t="str">
        <f t="shared" ca="1" si="41"/>
        <v>—</v>
      </c>
      <c r="E561" s="31">
        <f t="shared" ca="1" si="42"/>
        <v>7</v>
      </c>
      <c r="F561" s="42" t="str">
        <f t="shared" ca="1" si="43"/>
        <v>—</v>
      </c>
      <c r="G561" s="31">
        <f t="shared" ca="1" si="44"/>
        <v>7</v>
      </c>
    </row>
    <row r="562" spans="1:7" x14ac:dyDescent="0.25">
      <c r="A562" s="12">
        <f t="shared" si="40"/>
        <v>44</v>
      </c>
      <c r="B562" t="str">
        <f ca="1">TEXT(DATE(YEAR(Invoer!$A$5),1,1)+INT((ROWS(B$2:B562)-1)/2),"jjjjmmdd")</f>
        <v>19411008</v>
      </c>
      <c r="C562" s="26" t="str">
        <f>INDEX(Data,2,2+MOD(ROWS(C$2:C562)-1,2))</f>
        <v>08.00</v>
      </c>
      <c r="D562" s="41" t="str">
        <f t="shared" ca="1" si="41"/>
        <v>—</v>
      </c>
      <c r="E562" s="31">
        <f t="shared" ca="1" si="42"/>
        <v>7</v>
      </c>
      <c r="F562" s="42" t="str">
        <f t="shared" ca="1" si="43"/>
        <v>—</v>
      </c>
      <c r="G562" s="31">
        <f t="shared" ca="1" si="44"/>
        <v>7</v>
      </c>
    </row>
    <row r="563" spans="1:7" x14ac:dyDescent="0.25">
      <c r="A563" s="12">
        <f t="shared" si="40"/>
        <v>44</v>
      </c>
      <c r="B563" t="str">
        <f ca="1">TEXT(DATE(YEAR(Invoer!$A$5),1,1)+INT((ROWS(B$2:B563)-1)/2),"jjjjmmdd")</f>
        <v>19411008</v>
      </c>
      <c r="C563" s="26" t="str">
        <f>INDEX(Data,2,2+MOD(ROWS(C$2:C563)-1,2))</f>
        <v>15.00</v>
      </c>
      <c r="D563" s="41" t="str">
        <f t="shared" ca="1" si="41"/>
        <v>—</v>
      </c>
      <c r="E563" s="31">
        <f t="shared" ca="1" si="42"/>
        <v>7</v>
      </c>
      <c r="F563" s="42" t="str">
        <f t="shared" ca="1" si="43"/>
        <v>—</v>
      </c>
      <c r="G563" s="31">
        <f t="shared" ca="1" si="44"/>
        <v>7</v>
      </c>
    </row>
    <row r="564" spans="1:7" x14ac:dyDescent="0.25">
      <c r="A564" s="12">
        <f t="shared" si="40"/>
        <v>44</v>
      </c>
      <c r="B564" t="str">
        <f ca="1">TEXT(DATE(YEAR(Invoer!$A$5),1,1)+INT((ROWS(B$2:B564)-1)/2),"jjjjmmdd")</f>
        <v>19411009</v>
      </c>
      <c r="C564" s="26" t="str">
        <f>INDEX(Data,2,2+MOD(ROWS(C$2:C564)-1,2))</f>
        <v>08.00</v>
      </c>
      <c r="D564" s="41" t="str">
        <f t="shared" ca="1" si="41"/>
        <v>—</v>
      </c>
      <c r="E564" s="31">
        <f t="shared" ca="1" si="42"/>
        <v>7</v>
      </c>
      <c r="F564" s="42" t="str">
        <f t="shared" ca="1" si="43"/>
        <v>—</v>
      </c>
      <c r="G564" s="31">
        <f t="shared" ca="1" si="44"/>
        <v>7</v>
      </c>
    </row>
    <row r="565" spans="1:7" x14ac:dyDescent="0.25">
      <c r="A565" s="12">
        <f t="shared" si="40"/>
        <v>44</v>
      </c>
      <c r="B565" t="str">
        <f ca="1">TEXT(DATE(YEAR(Invoer!$A$5),1,1)+INT((ROWS(B$2:B565)-1)/2),"jjjjmmdd")</f>
        <v>19411009</v>
      </c>
      <c r="C565" s="26" t="str">
        <f>INDEX(Data,2,2+MOD(ROWS(C$2:C565)-1,2))</f>
        <v>15.00</v>
      </c>
      <c r="D565" s="41" t="str">
        <f t="shared" ca="1" si="41"/>
        <v>—</v>
      </c>
      <c r="E565" s="31">
        <f t="shared" ca="1" si="42"/>
        <v>7</v>
      </c>
      <c r="F565" s="42" t="str">
        <f t="shared" ca="1" si="43"/>
        <v>—</v>
      </c>
      <c r="G565" s="31">
        <f t="shared" ca="1" si="44"/>
        <v>7</v>
      </c>
    </row>
    <row r="566" spans="1:7" x14ac:dyDescent="0.25">
      <c r="A566" s="12">
        <f t="shared" si="40"/>
        <v>44</v>
      </c>
      <c r="B566" t="str">
        <f ca="1">TEXT(DATE(YEAR(Invoer!$A$5),1,1)+INT((ROWS(B$2:B566)-1)/2),"jjjjmmdd")</f>
        <v>19411010</v>
      </c>
      <c r="C566" s="26" t="str">
        <f>INDEX(Data,2,2+MOD(ROWS(C$2:C566)-1,2))</f>
        <v>08.00</v>
      </c>
      <c r="D566" s="41" t="str">
        <f t="shared" ca="1" si="41"/>
        <v>—</v>
      </c>
      <c r="E566" s="31">
        <f t="shared" ca="1" si="42"/>
        <v>7</v>
      </c>
      <c r="F566" s="42" t="str">
        <f t="shared" ca="1" si="43"/>
        <v>—</v>
      </c>
      <c r="G566" s="31">
        <f t="shared" ca="1" si="44"/>
        <v>7</v>
      </c>
    </row>
    <row r="567" spans="1:7" x14ac:dyDescent="0.25">
      <c r="A567" s="12">
        <f t="shared" si="40"/>
        <v>44</v>
      </c>
      <c r="B567" t="str">
        <f ca="1">TEXT(DATE(YEAR(Invoer!$A$5),1,1)+INT((ROWS(B$2:B567)-1)/2),"jjjjmmdd")</f>
        <v>19411010</v>
      </c>
      <c r="C567" s="26" t="str">
        <f>INDEX(Data,2,2+MOD(ROWS(C$2:C567)-1,2))</f>
        <v>15.00</v>
      </c>
      <c r="D567" s="41" t="str">
        <f t="shared" ca="1" si="41"/>
        <v>—</v>
      </c>
      <c r="E567" s="31">
        <f t="shared" ca="1" si="42"/>
        <v>7</v>
      </c>
      <c r="F567" s="42" t="str">
        <f t="shared" ca="1" si="43"/>
        <v>—</v>
      </c>
      <c r="G567" s="31">
        <f t="shared" ca="1" si="44"/>
        <v>7</v>
      </c>
    </row>
    <row r="568" spans="1:7" x14ac:dyDescent="0.25">
      <c r="A568" s="12">
        <f t="shared" si="40"/>
        <v>44</v>
      </c>
      <c r="B568" t="str">
        <f ca="1">TEXT(DATE(YEAR(Invoer!$A$5),1,1)+INT((ROWS(B$2:B568)-1)/2),"jjjjmmdd")</f>
        <v>19411011</v>
      </c>
      <c r="C568" s="26" t="str">
        <f>INDEX(Data,2,2+MOD(ROWS(C$2:C568)-1,2))</f>
        <v>08.00</v>
      </c>
      <c r="D568" s="41" t="str">
        <f t="shared" ca="1" si="41"/>
        <v>—</v>
      </c>
      <c r="E568" s="31">
        <f t="shared" ca="1" si="42"/>
        <v>7</v>
      </c>
      <c r="F568" s="42" t="str">
        <f t="shared" ca="1" si="43"/>
        <v>—</v>
      </c>
      <c r="G568" s="31">
        <f t="shared" ca="1" si="44"/>
        <v>7</v>
      </c>
    </row>
    <row r="569" spans="1:7" x14ac:dyDescent="0.25">
      <c r="A569" s="12">
        <f t="shared" si="40"/>
        <v>44</v>
      </c>
      <c r="B569" t="str">
        <f ca="1">TEXT(DATE(YEAR(Invoer!$A$5),1,1)+INT((ROWS(B$2:B569)-1)/2),"jjjjmmdd")</f>
        <v>19411011</v>
      </c>
      <c r="C569" s="26" t="str">
        <f>INDEX(Data,2,2+MOD(ROWS(C$2:C569)-1,2))</f>
        <v>15.00</v>
      </c>
      <c r="D569" s="41" t="str">
        <f t="shared" ca="1" si="41"/>
        <v>—</v>
      </c>
      <c r="E569" s="31">
        <f t="shared" ca="1" si="42"/>
        <v>7</v>
      </c>
      <c r="F569" s="42" t="str">
        <f t="shared" ca="1" si="43"/>
        <v>—</v>
      </c>
      <c r="G569" s="31">
        <f t="shared" ca="1" si="44"/>
        <v>7</v>
      </c>
    </row>
    <row r="570" spans="1:7" x14ac:dyDescent="0.25">
      <c r="A570" s="12">
        <f t="shared" si="40"/>
        <v>44</v>
      </c>
      <c r="B570" t="str">
        <f ca="1">TEXT(DATE(YEAR(Invoer!$A$5),1,1)+INT((ROWS(B$2:B570)-1)/2),"jjjjmmdd")</f>
        <v>19411012</v>
      </c>
      <c r="C570" s="26" t="str">
        <f>INDEX(Data,2,2+MOD(ROWS(C$2:C570)-1,2))</f>
        <v>08.00</v>
      </c>
      <c r="D570" s="41" t="str">
        <f t="shared" ca="1" si="41"/>
        <v>—</v>
      </c>
      <c r="E570" s="31">
        <f t="shared" ca="1" si="42"/>
        <v>7</v>
      </c>
      <c r="F570" s="42" t="str">
        <f t="shared" ca="1" si="43"/>
        <v>—</v>
      </c>
      <c r="G570" s="31">
        <f t="shared" ca="1" si="44"/>
        <v>7</v>
      </c>
    </row>
    <row r="571" spans="1:7" x14ac:dyDescent="0.25">
      <c r="A571" s="12">
        <f t="shared" si="40"/>
        <v>44</v>
      </c>
      <c r="B571" t="str">
        <f ca="1">TEXT(DATE(YEAR(Invoer!$A$5),1,1)+INT((ROWS(B$2:B571)-1)/2),"jjjjmmdd")</f>
        <v>19411012</v>
      </c>
      <c r="C571" s="26" t="str">
        <f>INDEX(Data,2,2+MOD(ROWS(C$2:C571)-1,2))</f>
        <v>15.00</v>
      </c>
      <c r="D571" s="41" t="str">
        <f t="shared" ca="1" si="41"/>
        <v>—</v>
      </c>
      <c r="E571" s="31">
        <f t="shared" ca="1" si="42"/>
        <v>7</v>
      </c>
      <c r="F571" s="42" t="str">
        <f t="shared" ca="1" si="43"/>
        <v>—</v>
      </c>
      <c r="G571" s="31">
        <f t="shared" ca="1" si="44"/>
        <v>7</v>
      </c>
    </row>
    <row r="572" spans="1:7" x14ac:dyDescent="0.25">
      <c r="A572" s="12">
        <f t="shared" si="40"/>
        <v>44</v>
      </c>
      <c r="B572" t="str">
        <f ca="1">TEXT(DATE(YEAR(Invoer!$A$5),1,1)+INT((ROWS(B$2:B572)-1)/2),"jjjjmmdd")</f>
        <v>19411013</v>
      </c>
      <c r="C572" s="26" t="str">
        <f>INDEX(Data,2,2+MOD(ROWS(C$2:C572)-1,2))</f>
        <v>08.00</v>
      </c>
      <c r="D572" s="41" t="str">
        <f t="shared" ca="1" si="41"/>
        <v>—</v>
      </c>
      <c r="E572" s="31">
        <f t="shared" ca="1" si="42"/>
        <v>7</v>
      </c>
      <c r="F572" s="42" t="str">
        <f t="shared" ca="1" si="43"/>
        <v>—</v>
      </c>
      <c r="G572" s="31">
        <f t="shared" ca="1" si="44"/>
        <v>7</v>
      </c>
    </row>
    <row r="573" spans="1:7" x14ac:dyDescent="0.25">
      <c r="A573" s="12">
        <f t="shared" si="40"/>
        <v>44</v>
      </c>
      <c r="B573" t="str">
        <f ca="1">TEXT(DATE(YEAR(Invoer!$A$5),1,1)+INT((ROWS(B$2:B573)-1)/2),"jjjjmmdd")</f>
        <v>19411013</v>
      </c>
      <c r="C573" s="26" t="str">
        <f>INDEX(Data,2,2+MOD(ROWS(C$2:C573)-1,2))</f>
        <v>15.00</v>
      </c>
      <c r="D573" s="41" t="str">
        <f t="shared" ca="1" si="41"/>
        <v>—</v>
      </c>
      <c r="E573" s="31">
        <f t="shared" ca="1" si="42"/>
        <v>7</v>
      </c>
      <c r="F573" s="42" t="str">
        <f t="shared" ca="1" si="43"/>
        <v>—</v>
      </c>
      <c r="G573" s="31">
        <f t="shared" ca="1" si="44"/>
        <v>7</v>
      </c>
    </row>
    <row r="574" spans="1:7" x14ac:dyDescent="0.25">
      <c r="A574" s="12">
        <f t="shared" si="40"/>
        <v>44</v>
      </c>
      <c r="B574" t="str">
        <f ca="1">TEXT(DATE(YEAR(Invoer!$A$5),1,1)+INT((ROWS(B$2:B574)-1)/2),"jjjjmmdd")</f>
        <v>19411014</v>
      </c>
      <c r="C574" s="26" t="str">
        <f>INDEX(Data,2,2+MOD(ROWS(C$2:C574)-1,2))</f>
        <v>08.00</v>
      </c>
      <c r="D574" s="41" t="str">
        <f t="shared" ca="1" si="41"/>
        <v>—</v>
      </c>
      <c r="E574" s="31">
        <f t="shared" ca="1" si="42"/>
        <v>7</v>
      </c>
      <c r="F574" s="42" t="str">
        <f t="shared" ca="1" si="43"/>
        <v>—</v>
      </c>
      <c r="G574" s="31">
        <f t="shared" ca="1" si="44"/>
        <v>7</v>
      </c>
    </row>
    <row r="575" spans="1:7" x14ac:dyDescent="0.25">
      <c r="A575" s="12">
        <f t="shared" si="40"/>
        <v>44</v>
      </c>
      <c r="B575" t="str">
        <f ca="1">TEXT(DATE(YEAR(Invoer!$A$5),1,1)+INT((ROWS(B$2:B575)-1)/2),"jjjjmmdd")</f>
        <v>19411014</v>
      </c>
      <c r="C575" s="26" t="str">
        <f>INDEX(Data,2,2+MOD(ROWS(C$2:C575)-1,2))</f>
        <v>15.00</v>
      </c>
      <c r="D575" s="41" t="str">
        <f t="shared" ca="1" si="41"/>
        <v>—</v>
      </c>
      <c r="E575" s="31">
        <f t="shared" ca="1" si="42"/>
        <v>7</v>
      </c>
      <c r="F575" s="42" t="str">
        <f t="shared" ca="1" si="43"/>
        <v>—</v>
      </c>
      <c r="G575" s="31">
        <f t="shared" ca="1" si="44"/>
        <v>7</v>
      </c>
    </row>
    <row r="576" spans="1:7" x14ac:dyDescent="0.25">
      <c r="A576" s="12">
        <f t="shared" si="40"/>
        <v>44</v>
      </c>
      <c r="B576" t="str">
        <f ca="1">TEXT(DATE(YEAR(Invoer!$A$5),1,1)+INT((ROWS(B$2:B576)-1)/2),"jjjjmmdd")</f>
        <v>19411015</v>
      </c>
      <c r="C576" s="26" t="str">
        <f>INDEX(Data,2,2+MOD(ROWS(C$2:C576)-1,2))</f>
        <v>08.00</v>
      </c>
      <c r="D576" s="41" t="str">
        <f t="shared" ca="1" si="41"/>
        <v>—</v>
      </c>
      <c r="E576" s="31">
        <f t="shared" ca="1" si="42"/>
        <v>7</v>
      </c>
      <c r="F576" s="42" t="str">
        <f t="shared" ca="1" si="43"/>
        <v>—</v>
      </c>
      <c r="G576" s="31">
        <f t="shared" ca="1" si="44"/>
        <v>7</v>
      </c>
    </row>
    <row r="577" spans="1:7" x14ac:dyDescent="0.25">
      <c r="A577" s="12">
        <f t="shared" si="40"/>
        <v>44</v>
      </c>
      <c r="B577" t="str">
        <f ca="1">TEXT(DATE(YEAR(Invoer!$A$5),1,1)+INT((ROWS(B$2:B577)-1)/2),"jjjjmmdd")</f>
        <v>19411015</v>
      </c>
      <c r="C577" s="26" t="str">
        <f>INDEX(Data,2,2+MOD(ROWS(C$2:C577)-1,2))</f>
        <v>15.00</v>
      </c>
      <c r="D577" s="41" t="str">
        <f t="shared" ca="1" si="41"/>
        <v>—</v>
      </c>
      <c r="E577" s="31">
        <f t="shared" ca="1" si="42"/>
        <v>7</v>
      </c>
      <c r="F577" s="42" t="str">
        <f t="shared" ca="1" si="43"/>
        <v>—</v>
      </c>
      <c r="G577" s="31">
        <f t="shared" ca="1" si="44"/>
        <v>7</v>
      </c>
    </row>
    <row r="578" spans="1:7" x14ac:dyDescent="0.25">
      <c r="A578" s="12">
        <f t="shared" ref="A578:A641" si="45">INDEX(Stations,2,1)</f>
        <v>44</v>
      </c>
      <c r="B578" t="str">
        <f ca="1">TEXT(DATE(YEAR(Invoer!$A$5),1,1)+INT((ROWS(B$2:B578)-1)/2),"jjjjmmdd")</f>
        <v>19411016</v>
      </c>
      <c r="C578" s="26" t="str">
        <f>INDEX(Data,2,2+MOD(ROWS(C$2:C578)-1,2))</f>
        <v>08.00</v>
      </c>
      <c r="D578" s="41" t="str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0.0254*VLOOKUP(DATEVALUE(LEFT($B578,4)&amp;"-"&amp;MID($B578,5,2)&amp;"-"&amp;RIGHT($B578,2)),Data,MATCH(LEFT(VLOOKUP(D$1,Parameters,2,FALSE()),4)&amp;"*",OFFSET(Data,0,0,1),0)+MATCH($C578,OFFSET(Data,1,0,1),0)-2,FALSE()))</f>
        <v>—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7</v>
      </c>
      <c r="F578" s="42" t="str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5*(VLOOKUP(DATEVALUE(LEFT($B578,4)&amp;"-"&amp;MID($B578,5,2)&amp;"-"&amp;RIGHT($B578,2)),Data,MATCH(LEFT(VLOOKUP(F$1,Parameters,2,FALSE()),4)&amp;"*",OFFSET(Data,0,0,1),0)+MATCH($C578,OFFSET(Data,1,0,1),0)-2,FALSE())-320)/90)</f>
        <v>—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7</v>
      </c>
    </row>
    <row r="579" spans="1:7" x14ac:dyDescent="0.25">
      <c r="A579" s="12">
        <f t="shared" si="45"/>
        <v>44</v>
      </c>
      <c r="B579" t="str">
        <f ca="1">TEXT(DATE(YEAR(Invoer!$A$5),1,1)+INT((ROWS(B$2:B579)-1)/2),"jjjjmmdd")</f>
        <v>19411016</v>
      </c>
      <c r="C579" s="26" t="str">
        <f>INDEX(Data,2,2+MOD(ROWS(C$2:C579)-1,2))</f>
        <v>15.00</v>
      </c>
      <c r="D579" s="41" t="str">
        <f t="shared" ca="1" si="46"/>
        <v>—</v>
      </c>
      <c r="E579" s="31">
        <f t="shared" ca="1" si="47"/>
        <v>7</v>
      </c>
      <c r="F579" s="42" t="str">
        <f t="shared" ca="1" si="48"/>
        <v>—</v>
      </c>
      <c r="G579" s="31">
        <f t="shared" ca="1" si="49"/>
        <v>7</v>
      </c>
    </row>
    <row r="580" spans="1:7" x14ac:dyDescent="0.25">
      <c r="A580" s="12">
        <f t="shared" si="45"/>
        <v>44</v>
      </c>
      <c r="B580" t="str">
        <f ca="1">TEXT(DATE(YEAR(Invoer!$A$5),1,1)+INT((ROWS(B$2:B580)-1)/2),"jjjjmmdd")</f>
        <v>19411017</v>
      </c>
      <c r="C580" s="26" t="str">
        <f>INDEX(Data,2,2+MOD(ROWS(C$2:C580)-1,2))</f>
        <v>08.00</v>
      </c>
      <c r="D580" s="41" t="str">
        <f t="shared" ca="1" si="46"/>
        <v>—</v>
      </c>
      <c r="E580" s="31">
        <f t="shared" ca="1" si="47"/>
        <v>7</v>
      </c>
      <c r="F580" s="42" t="str">
        <f t="shared" ca="1" si="48"/>
        <v>—</v>
      </c>
      <c r="G580" s="31">
        <f t="shared" ca="1" si="49"/>
        <v>7</v>
      </c>
    </row>
    <row r="581" spans="1:7" x14ac:dyDescent="0.25">
      <c r="A581" s="12">
        <f t="shared" si="45"/>
        <v>44</v>
      </c>
      <c r="B581" t="str">
        <f ca="1">TEXT(DATE(YEAR(Invoer!$A$5),1,1)+INT((ROWS(B$2:B581)-1)/2),"jjjjmmdd")</f>
        <v>19411017</v>
      </c>
      <c r="C581" s="26" t="str">
        <f>INDEX(Data,2,2+MOD(ROWS(C$2:C581)-1,2))</f>
        <v>15.00</v>
      </c>
      <c r="D581" s="41" t="str">
        <f t="shared" ca="1" si="46"/>
        <v>—</v>
      </c>
      <c r="E581" s="31">
        <f t="shared" ca="1" si="47"/>
        <v>7</v>
      </c>
      <c r="F581" s="42" t="str">
        <f t="shared" ca="1" si="48"/>
        <v>—</v>
      </c>
      <c r="G581" s="31">
        <f t="shared" ca="1" si="49"/>
        <v>7</v>
      </c>
    </row>
    <row r="582" spans="1:7" x14ac:dyDescent="0.25">
      <c r="A582" s="12">
        <f t="shared" si="45"/>
        <v>44</v>
      </c>
      <c r="B582" t="str">
        <f ca="1">TEXT(DATE(YEAR(Invoer!$A$5),1,1)+INT((ROWS(B$2:B582)-1)/2),"jjjjmmdd")</f>
        <v>19411018</v>
      </c>
      <c r="C582" s="26" t="str">
        <f>INDEX(Data,2,2+MOD(ROWS(C$2:C582)-1,2))</f>
        <v>08.00</v>
      </c>
      <c r="D582" s="41" t="str">
        <f t="shared" ca="1" si="46"/>
        <v>—</v>
      </c>
      <c r="E582" s="31">
        <f t="shared" ca="1" si="47"/>
        <v>7</v>
      </c>
      <c r="F582" s="42" t="str">
        <f t="shared" ca="1" si="48"/>
        <v>—</v>
      </c>
      <c r="G582" s="31">
        <f t="shared" ca="1" si="49"/>
        <v>7</v>
      </c>
    </row>
    <row r="583" spans="1:7" x14ac:dyDescent="0.25">
      <c r="A583" s="12">
        <f t="shared" si="45"/>
        <v>44</v>
      </c>
      <c r="B583" t="str">
        <f ca="1">TEXT(DATE(YEAR(Invoer!$A$5),1,1)+INT((ROWS(B$2:B583)-1)/2),"jjjjmmdd")</f>
        <v>19411018</v>
      </c>
      <c r="C583" s="26" t="str">
        <f>INDEX(Data,2,2+MOD(ROWS(C$2:C583)-1,2))</f>
        <v>15.00</v>
      </c>
      <c r="D583" s="41" t="str">
        <f t="shared" ca="1" si="46"/>
        <v>—</v>
      </c>
      <c r="E583" s="31">
        <f t="shared" ca="1" si="47"/>
        <v>7</v>
      </c>
      <c r="F583" s="42" t="str">
        <f t="shared" ca="1" si="48"/>
        <v>—</v>
      </c>
      <c r="G583" s="31">
        <f t="shared" ca="1" si="49"/>
        <v>7</v>
      </c>
    </row>
    <row r="584" spans="1:7" x14ac:dyDescent="0.25">
      <c r="A584" s="12">
        <f t="shared" si="45"/>
        <v>44</v>
      </c>
      <c r="B584" t="str">
        <f ca="1">TEXT(DATE(YEAR(Invoer!$A$5),1,1)+INT((ROWS(B$2:B584)-1)/2),"jjjjmmdd")</f>
        <v>19411019</v>
      </c>
      <c r="C584" s="26" t="str">
        <f>INDEX(Data,2,2+MOD(ROWS(C$2:C584)-1,2))</f>
        <v>08.00</v>
      </c>
      <c r="D584" s="41" t="str">
        <f t="shared" ca="1" si="46"/>
        <v>—</v>
      </c>
      <c r="E584" s="31">
        <f t="shared" ca="1" si="47"/>
        <v>7</v>
      </c>
      <c r="F584" s="42" t="str">
        <f t="shared" ca="1" si="48"/>
        <v>—</v>
      </c>
      <c r="G584" s="31">
        <f t="shared" ca="1" si="49"/>
        <v>7</v>
      </c>
    </row>
    <row r="585" spans="1:7" x14ac:dyDescent="0.25">
      <c r="A585" s="12">
        <f t="shared" si="45"/>
        <v>44</v>
      </c>
      <c r="B585" t="str">
        <f ca="1">TEXT(DATE(YEAR(Invoer!$A$5),1,1)+INT((ROWS(B$2:B585)-1)/2),"jjjjmmdd")</f>
        <v>19411019</v>
      </c>
      <c r="C585" s="26" t="str">
        <f>INDEX(Data,2,2+MOD(ROWS(C$2:C585)-1,2))</f>
        <v>15.00</v>
      </c>
      <c r="D585" s="41" t="str">
        <f t="shared" ca="1" si="46"/>
        <v>—</v>
      </c>
      <c r="E585" s="31">
        <f t="shared" ca="1" si="47"/>
        <v>7</v>
      </c>
      <c r="F585" s="42" t="str">
        <f t="shared" ca="1" si="48"/>
        <v>—</v>
      </c>
      <c r="G585" s="31">
        <f t="shared" ca="1" si="49"/>
        <v>7</v>
      </c>
    </row>
    <row r="586" spans="1:7" x14ac:dyDescent="0.25">
      <c r="A586" s="12">
        <f t="shared" si="45"/>
        <v>44</v>
      </c>
      <c r="B586" t="str">
        <f ca="1">TEXT(DATE(YEAR(Invoer!$A$5),1,1)+INT((ROWS(B$2:B586)-1)/2),"jjjjmmdd")</f>
        <v>19411020</v>
      </c>
      <c r="C586" s="26" t="str">
        <f>INDEX(Data,2,2+MOD(ROWS(C$2:C586)-1,2))</f>
        <v>08.00</v>
      </c>
      <c r="D586" s="41" t="str">
        <f t="shared" ca="1" si="46"/>
        <v>—</v>
      </c>
      <c r="E586" s="31">
        <f t="shared" ca="1" si="47"/>
        <v>7</v>
      </c>
      <c r="F586" s="42" t="str">
        <f t="shared" ca="1" si="48"/>
        <v>—</v>
      </c>
      <c r="G586" s="31">
        <f t="shared" ca="1" si="49"/>
        <v>7</v>
      </c>
    </row>
    <row r="587" spans="1:7" x14ac:dyDescent="0.25">
      <c r="A587" s="12">
        <f t="shared" si="45"/>
        <v>44</v>
      </c>
      <c r="B587" t="str">
        <f ca="1">TEXT(DATE(YEAR(Invoer!$A$5),1,1)+INT((ROWS(B$2:B587)-1)/2),"jjjjmmdd")</f>
        <v>19411020</v>
      </c>
      <c r="C587" s="26" t="str">
        <f>INDEX(Data,2,2+MOD(ROWS(C$2:C587)-1,2))</f>
        <v>15.00</v>
      </c>
      <c r="D587" s="41" t="str">
        <f t="shared" ca="1" si="46"/>
        <v>—</v>
      </c>
      <c r="E587" s="31">
        <f t="shared" ca="1" si="47"/>
        <v>7</v>
      </c>
      <c r="F587" s="42" t="str">
        <f t="shared" ca="1" si="48"/>
        <v>—</v>
      </c>
      <c r="G587" s="31">
        <f t="shared" ca="1" si="49"/>
        <v>7</v>
      </c>
    </row>
    <row r="588" spans="1:7" x14ac:dyDescent="0.25">
      <c r="A588" s="12">
        <f t="shared" si="45"/>
        <v>44</v>
      </c>
      <c r="B588" t="str">
        <f ca="1">TEXT(DATE(YEAR(Invoer!$A$5),1,1)+INT((ROWS(B$2:B588)-1)/2),"jjjjmmdd")</f>
        <v>19411021</v>
      </c>
      <c r="C588" s="26" t="str">
        <f>INDEX(Data,2,2+MOD(ROWS(C$2:C588)-1,2))</f>
        <v>08.00</v>
      </c>
      <c r="D588" s="41" t="str">
        <f t="shared" ca="1" si="46"/>
        <v>—</v>
      </c>
      <c r="E588" s="31">
        <f t="shared" ca="1" si="47"/>
        <v>7</v>
      </c>
      <c r="F588" s="42" t="str">
        <f t="shared" ca="1" si="48"/>
        <v>—</v>
      </c>
      <c r="G588" s="31">
        <f t="shared" ca="1" si="49"/>
        <v>7</v>
      </c>
    </row>
    <row r="589" spans="1:7" x14ac:dyDescent="0.25">
      <c r="A589" s="12">
        <f t="shared" si="45"/>
        <v>44</v>
      </c>
      <c r="B589" t="str">
        <f ca="1">TEXT(DATE(YEAR(Invoer!$A$5),1,1)+INT((ROWS(B$2:B589)-1)/2),"jjjjmmdd")</f>
        <v>19411021</v>
      </c>
      <c r="C589" s="26" t="str">
        <f>INDEX(Data,2,2+MOD(ROWS(C$2:C589)-1,2))</f>
        <v>15.00</v>
      </c>
      <c r="D589" s="41" t="str">
        <f t="shared" ca="1" si="46"/>
        <v>—</v>
      </c>
      <c r="E589" s="31">
        <f t="shared" ca="1" si="47"/>
        <v>7</v>
      </c>
      <c r="F589" s="42" t="str">
        <f t="shared" ca="1" si="48"/>
        <v>—</v>
      </c>
      <c r="G589" s="31">
        <f t="shared" ca="1" si="49"/>
        <v>7</v>
      </c>
    </row>
    <row r="590" spans="1:7" x14ac:dyDescent="0.25">
      <c r="A590" s="12">
        <f t="shared" si="45"/>
        <v>44</v>
      </c>
      <c r="B590" t="str">
        <f ca="1">TEXT(DATE(YEAR(Invoer!$A$5),1,1)+INT((ROWS(B$2:B590)-1)/2),"jjjjmmdd")</f>
        <v>19411022</v>
      </c>
      <c r="C590" s="26" t="str">
        <f>INDEX(Data,2,2+MOD(ROWS(C$2:C590)-1,2))</f>
        <v>08.00</v>
      </c>
      <c r="D590" s="41" t="str">
        <f t="shared" ca="1" si="46"/>
        <v>—</v>
      </c>
      <c r="E590" s="31">
        <f t="shared" ca="1" si="47"/>
        <v>7</v>
      </c>
      <c r="F590" s="42" t="str">
        <f t="shared" ca="1" si="48"/>
        <v>—</v>
      </c>
      <c r="G590" s="31">
        <f t="shared" ca="1" si="49"/>
        <v>7</v>
      </c>
    </row>
    <row r="591" spans="1:7" x14ac:dyDescent="0.25">
      <c r="A591" s="12">
        <f t="shared" si="45"/>
        <v>44</v>
      </c>
      <c r="B591" t="str">
        <f ca="1">TEXT(DATE(YEAR(Invoer!$A$5),1,1)+INT((ROWS(B$2:B591)-1)/2),"jjjjmmdd")</f>
        <v>19411022</v>
      </c>
      <c r="C591" s="26" t="str">
        <f>INDEX(Data,2,2+MOD(ROWS(C$2:C591)-1,2))</f>
        <v>15.00</v>
      </c>
      <c r="D591" s="41" t="str">
        <f t="shared" ca="1" si="46"/>
        <v>—</v>
      </c>
      <c r="E591" s="31">
        <f t="shared" ca="1" si="47"/>
        <v>7</v>
      </c>
      <c r="F591" s="42" t="str">
        <f t="shared" ca="1" si="48"/>
        <v>—</v>
      </c>
      <c r="G591" s="31">
        <f t="shared" ca="1" si="49"/>
        <v>7</v>
      </c>
    </row>
    <row r="592" spans="1:7" x14ac:dyDescent="0.25">
      <c r="A592" s="12">
        <f t="shared" si="45"/>
        <v>44</v>
      </c>
      <c r="B592" t="str">
        <f ca="1">TEXT(DATE(YEAR(Invoer!$A$5),1,1)+INT((ROWS(B$2:B592)-1)/2),"jjjjmmdd")</f>
        <v>19411023</v>
      </c>
      <c r="C592" s="26" t="str">
        <f>INDEX(Data,2,2+MOD(ROWS(C$2:C592)-1,2))</f>
        <v>08.00</v>
      </c>
      <c r="D592" s="41" t="str">
        <f t="shared" ca="1" si="46"/>
        <v>—</v>
      </c>
      <c r="E592" s="31">
        <f t="shared" ca="1" si="47"/>
        <v>7</v>
      </c>
      <c r="F592" s="42" t="str">
        <f t="shared" ca="1" si="48"/>
        <v>—</v>
      </c>
      <c r="G592" s="31">
        <f t="shared" ca="1" si="49"/>
        <v>7</v>
      </c>
    </row>
    <row r="593" spans="1:7" x14ac:dyDescent="0.25">
      <c r="A593" s="12">
        <f t="shared" si="45"/>
        <v>44</v>
      </c>
      <c r="B593" t="str">
        <f ca="1">TEXT(DATE(YEAR(Invoer!$A$5),1,1)+INT((ROWS(B$2:B593)-1)/2),"jjjjmmdd")</f>
        <v>19411023</v>
      </c>
      <c r="C593" s="26" t="str">
        <f>INDEX(Data,2,2+MOD(ROWS(C$2:C593)-1,2))</f>
        <v>15.00</v>
      </c>
      <c r="D593" s="41" t="str">
        <f t="shared" ca="1" si="46"/>
        <v>—</v>
      </c>
      <c r="E593" s="31">
        <f t="shared" ca="1" si="47"/>
        <v>7</v>
      </c>
      <c r="F593" s="42" t="str">
        <f t="shared" ca="1" si="48"/>
        <v>—</v>
      </c>
      <c r="G593" s="31">
        <f t="shared" ca="1" si="49"/>
        <v>7</v>
      </c>
    </row>
    <row r="594" spans="1:7" x14ac:dyDescent="0.25">
      <c r="A594" s="12">
        <f t="shared" si="45"/>
        <v>44</v>
      </c>
      <c r="B594" t="str">
        <f ca="1">TEXT(DATE(YEAR(Invoer!$A$5),1,1)+INT((ROWS(B$2:B594)-1)/2),"jjjjmmdd")</f>
        <v>19411024</v>
      </c>
      <c r="C594" s="26" t="str">
        <f>INDEX(Data,2,2+MOD(ROWS(C$2:C594)-1,2))</f>
        <v>08.00</v>
      </c>
      <c r="D594" s="41" t="str">
        <f t="shared" ca="1" si="46"/>
        <v>—</v>
      </c>
      <c r="E594" s="31">
        <f t="shared" ca="1" si="47"/>
        <v>7</v>
      </c>
      <c r="F594" s="42" t="str">
        <f t="shared" ca="1" si="48"/>
        <v>—</v>
      </c>
      <c r="G594" s="31">
        <f t="shared" ca="1" si="49"/>
        <v>7</v>
      </c>
    </row>
    <row r="595" spans="1:7" x14ac:dyDescent="0.25">
      <c r="A595" s="12">
        <f t="shared" si="45"/>
        <v>44</v>
      </c>
      <c r="B595" t="str">
        <f ca="1">TEXT(DATE(YEAR(Invoer!$A$5),1,1)+INT((ROWS(B$2:B595)-1)/2),"jjjjmmdd")</f>
        <v>19411024</v>
      </c>
      <c r="C595" s="26" t="str">
        <f>INDEX(Data,2,2+MOD(ROWS(C$2:C595)-1,2))</f>
        <v>15.00</v>
      </c>
      <c r="D595" s="41" t="str">
        <f t="shared" ca="1" si="46"/>
        <v>—</v>
      </c>
      <c r="E595" s="31">
        <f t="shared" ca="1" si="47"/>
        <v>7</v>
      </c>
      <c r="F595" s="42" t="str">
        <f t="shared" ca="1" si="48"/>
        <v>—</v>
      </c>
      <c r="G595" s="31">
        <f t="shared" ca="1" si="49"/>
        <v>7</v>
      </c>
    </row>
    <row r="596" spans="1:7" x14ac:dyDescent="0.25">
      <c r="A596" s="12">
        <f t="shared" si="45"/>
        <v>44</v>
      </c>
      <c r="B596" t="str">
        <f ca="1">TEXT(DATE(YEAR(Invoer!$A$5),1,1)+INT((ROWS(B$2:B596)-1)/2),"jjjjmmdd")</f>
        <v>19411025</v>
      </c>
      <c r="C596" s="26" t="str">
        <f>INDEX(Data,2,2+MOD(ROWS(C$2:C596)-1,2))</f>
        <v>08.00</v>
      </c>
      <c r="D596" s="41" t="str">
        <f t="shared" ca="1" si="46"/>
        <v>—</v>
      </c>
      <c r="E596" s="31">
        <f t="shared" ca="1" si="47"/>
        <v>7</v>
      </c>
      <c r="F596" s="42" t="str">
        <f t="shared" ca="1" si="48"/>
        <v>—</v>
      </c>
      <c r="G596" s="31">
        <f t="shared" ca="1" si="49"/>
        <v>7</v>
      </c>
    </row>
    <row r="597" spans="1:7" x14ac:dyDescent="0.25">
      <c r="A597" s="12">
        <f t="shared" si="45"/>
        <v>44</v>
      </c>
      <c r="B597" t="str">
        <f ca="1">TEXT(DATE(YEAR(Invoer!$A$5),1,1)+INT((ROWS(B$2:B597)-1)/2),"jjjjmmdd")</f>
        <v>19411025</v>
      </c>
      <c r="C597" s="26" t="str">
        <f>INDEX(Data,2,2+MOD(ROWS(C$2:C597)-1,2))</f>
        <v>15.00</v>
      </c>
      <c r="D597" s="41" t="str">
        <f t="shared" ca="1" si="46"/>
        <v>—</v>
      </c>
      <c r="E597" s="31">
        <f t="shared" ca="1" si="47"/>
        <v>7</v>
      </c>
      <c r="F597" s="42" t="str">
        <f t="shared" ca="1" si="48"/>
        <v>—</v>
      </c>
      <c r="G597" s="31">
        <f t="shared" ca="1" si="49"/>
        <v>7</v>
      </c>
    </row>
    <row r="598" spans="1:7" x14ac:dyDescent="0.25">
      <c r="A598" s="12">
        <f t="shared" si="45"/>
        <v>44</v>
      </c>
      <c r="B598" t="str">
        <f ca="1">TEXT(DATE(YEAR(Invoer!$A$5),1,1)+INT((ROWS(B$2:B598)-1)/2),"jjjjmmdd")</f>
        <v>19411026</v>
      </c>
      <c r="C598" s="26" t="str">
        <f>INDEX(Data,2,2+MOD(ROWS(C$2:C598)-1,2))</f>
        <v>08.00</v>
      </c>
      <c r="D598" s="41" t="str">
        <f t="shared" ca="1" si="46"/>
        <v>—</v>
      </c>
      <c r="E598" s="31">
        <f t="shared" ca="1" si="47"/>
        <v>7</v>
      </c>
      <c r="F598" s="42" t="str">
        <f t="shared" ca="1" si="48"/>
        <v>—</v>
      </c>
      <c r="G598" s="31">
        <f t="shared" ca="1" si="49"/>
        <v>7</v>
      </c>
    </row>
    <row r="599" spans="1:7" x14ac:dyDescent="0.25">
      <c r="A599" s="12">
        <f t="shared" si="45"/>
        <v>44</v>
      </c>
      <c r="B599" t="str">
        <f ca="1">TEXT(DATE(YEAR(Invoer!$A$5),1,1)+INT((ROWS(B$2:B599)-1)/2),"jjjjmmdd")</f>
        <v>19411026</v>
      </c>
      <c r="C599" s="26" t="str">
        <f>INDEX(Data,2,2+MOD(ROWS(C$2:C599)-1,2))</f>
        <v>15.00</v>
      </c>
      <c r="D599" s="41" t="str">
        <f t="shared" ca="1" si="46"/>
        <v>—</v>
      </c>
      <c r="E599" s="31">
        <f t="shared" ca="1" si="47"/>
        <v>7</v>
      </c>
      <c r="F599" s="42" t="str">
        <f t="shared" ca="1" si="48"/>
        <v>—</v>
      </c>
      <c r="G599" s="31">
        <f t="shared" ca="1" si="49"/>
        <v>7</v>
      </c>
    </row>
    <row r="600" spans="1:7" x14ac:dyDescent="0.25">
      <c r="A600" s="12">
        <f t="shared" si="45"/>
        <v>44</v>
      </c>
      <c r="B600" t="str">
        <f ca="1">TEXT(DATE(YEAR(Invoer!$A$5),1,1)+INT((ROWS(B$2:B600)-1)/2),"jjjjmmdd")</f>
        <v>19411027</v>
      </c>
      <c r="C600" s="26" t="str">
        <f>INDEX(Data,2,2+MOD(ROWS(C$2:C600)-1,2))</f>
        <v>08.00</v>
      </c>
      <c r="D600" s="41" t="str">
        <f t="shared" ca="1" si="46"/>
        <v>—</v>
      </c>
      <c r="E600" s="31">
        <f t="shared" ca="1" si="47"/>
        <v>7</v>
      </c>
      <c r="F600" s="42" t="str">
        <f t="shared" ca="1" si="48"/>
        <v>—</v>
      </c>
      <c r="G600" s="31">
        <f t="shared" ca="1" si="49"/>
        <v>7</v>
      </c>
    </row>
    <row r="601" spans="1:7" x14ac:dyDescent="0.25">
      <c r="A601" s="12">
        <f t="shared" si="45"/>
        <v>44</v>
      </c>
      <c r="B601" t="str">
        <f ca="1">TEXT(DATE(YEAR(Invoer!$A$5),1,1)+INT((ROWS(B$2:B601)-1)/2),"jjjjmmdd")</f>
        <v>19411027</v>
      </c>
      <c r="C601" s="26" t="str">
        <f>INDEX(Data,2,2+MOD(ROWS(C$2:C601)-1,2))</f>
        <v>15.00</v>
      </c>
      <c r="D601" s="41" t="str">
        <f t="shared" ca="1" si="46"/>
        <v>—</v>
      </c>
      <c r="E601" s="31">
        <f t="shared" ca="1" si="47"/>
        <v>7</v>
      </c>
      <c r="F601" s="42" t="str">
        <f t="shared" ca="1" si="48"/>
        <v>—</v>
      </c>
      <c r="G601" s="31">
        <f t="shared" ca="1" si="49"/>
        <v>7</v>
      </c>
    </row>
    <row r="602" spans="1:7" x14ac:dyDescent="0.25">
      <c r="A602" s="12">
        <f t="shared" si="45"/>
        <v>44</v>
      </c>
      <c r="B602" t="str">
        <f ca="1">TEXT(DATE(YEAR(Invoer!$A$5),1,1)+INT((ROWS(B$2:B602)-1)/2),"jjjjmmdd")</f>
        <v>19411028</v>
      </c>
      <c r="C602" s="26" t="str">
        <f>INDEX(Data,2,2+MOD(ROWS(C$2:C602)-1,2))</f>
        <v>08.00</v>
      </c>
      <c r="D602" s="41" t="str">
        <f t="shared" ca="1" si="46"/>
        <v>—</v>
      </c>
      <c r="E602" s="31">
        <f t="shared" ca="1" si="47"/>
        <v>7</v>
      </c>
      <c r="F602" s="42" t="str">
        <f t="shared" ca="1" si="48"/>
        <v>—</v>
      </c>
      <c r="G602" s="31">
        <f t="shared" ca="1" si="49"/>
        <v>7</v>
      </c>
    </row>
    <row r="603" spans="1:7" x14ac:dyDescent="0.25">
      <c r="A603" s="12">
        <f t="shared" si="45"/>
        <v>44</v>
      </c>
      <c r="B603" t="str">
        <f ca="1">TEXT(DATE(YEAR(Invoer!$A$5),1,1)+INT((ROWS(B$2:B603)-1)/2),"jjjjmmdd")</f>
        <v>19411028</v>
      </c>
      <c r="C603" s="26" t="str">
        <f>INDEX(Data,2,2+MOD(ROWS(C$2:C603)-1,2))</f>
        <v>15.00</v>
      </c>
      <c r="D603" s="41" t="str">
        <f t="shared" ca="1" si="46"/>
        <v>—</v>
      </c>
      <c r="E603" s="31">
        <f t="shared" ca="1" si="47"/>
        <v>7</v>
      </c>
      <c r="F603" s="42" t="str">
        <f t="shared" ca="1" si="48"/>
        <v>—</v>
      </c>
      <c r="G603" s="31">
        <f t="shared" ca="1" si="49"/>
        <v>7</v>
      </c>
    </row>
    <row r="604" spans="1:7" x14ac:dyDescent="0.25">
      <c r="A604" s="12">
        <f t="shared" si="45"/>
        <v>44</v>
      </c>
      <c r="B604" t="str">
        <f ca="1">TEXT(DATE(YEAR(Invoer!$A$5),1,1)+INT((ROWS(B$2:B604)-1)/2),"jjjjmmdd")</f>
        <v>19411029</v>
      </c>
      <c r="C604" s="26" t="str">
        <f>INDEX(Data,2,2+MOD(ROWS(C$2:C604)-1,2))</f>
        <v>08.00</v>
      </c>
      <c r="D604" s="41" t="str">
        <f t="shared" ca="1" si="46"/>
        <v>—</v>
      </c>
      <c r="E604" s="31">
        <f t="shared" ca="1" si="47"/>
        <v>7</v>
      </c>
      <c r="F604" s="42" t="str">
        <f t="shared" ca="1" si="48"/>
        <v>—</v>
      </c>
      <c r="G604" s="31">
        <f t="shared" ca="1" si="49"/>
        <v>7</v>
      </c>
    </row>
    <row r="605" spans="1:7" x14ac:dyDescent="0.25">
      <c r="A605" s="12">
        <f t="shared" si="45"/>
        <v>44</v>
      </c>
      <c r="B605" t="str">
        <f ca="1">TEXT(DATE(YEAR(Invoer!$A$5),1,1)+INT((ROWS(B$2:B605)-1)/2),"jjjjmmdd")</f>
        <v>19411029</v>
      </c>
      <c r="C605" s="26" t="str">
        <f>INDEX(Data,2,2+MOD(ROWS(C$2:C605)-1,2))</f>
        <v>15.00</v>
      </c>
      <c r="D605" s="41" t="str">
        <f t="shared" ca="1" si="46"/>
        <v>—</v>
      </c>
      <c r="E605" s="31">
        <f t="shared" ca="1" si="47"/>
        <v>7</v>
      </c>
      <c r="F605" s="42" t="str">
        <f t="shared" ca="1" si="48"/>
        <v>—</v>
      </c>
      <c r="G605" s="31">
        <f t="shared" ca="1" si="49"/>
        <v>7</v>
      </c>
    </row>
    <row r="606" spans="1:7" x14ac:dyDescent="0.25">
      <c r="A606" s="12">
        <f t="shared" si="45"/>
        <v>44</v>
      </c>
      <c r="B606" t="str">
        <f ca="1">TEXT(DATE(YEAR(Invoer!$A$5),1,1)+INT((ROWS(B$2:B606)-1)/2),"jjjjmmdd")</f>
        <v>19411030</v>
      </c>
      <c r="C606" s="26" t="str">
        <f>INDEX(Data,2,2+MOD(ROWS(C$2:C606)-1,2))</f>
        <v>08.00</v>
      </c>
      <c r="D606" s="41" t="str">
        <f t="shared" ca="1" si="46"/>
        <v>—</v>
      </c>
      <c r="E606" s="31">
        <f t="shared" ca="1" si="47"/>
        <v>7</v>
      </c>
      <c r="F606" s="42" t="str">
        <f t="shared" ca="1" si="48"/>
        <v>—</v>
      </c>
      <c r="G606" s="31">
        <f t="shared" ca="1" si="49"/>
        <v>7</v>
      </c>
    </row>
    <row r="607" spans="1:7" x14ac:dyDescent="0.25">
      <c r="A607" s="12">
        <f t="shared" si="45"/>
        <v>44</v>
      </c>
      <c r="B607" t="str">
        <f ca="1">TEXT(DATE(YEAR(Invoer!$A$5),1,1)+INT((ROWS(B$2:B607)-1)/2),"jjjjmmdd")</f>
        <v>19411030</v>
      </c>
      <c r="C607" s="26" t="str">
        <f>INDEX(Data,2,2+MOD(ROWS(C$2:C607)-1,2))</f>
        <v>15.00</v>
      </c>
      <c r="D607" s="41" t="str">
        <f t="shared" ca="1" si="46"/>
        <v>—</v>
      </c>
      <c r="E607" s="31">
        <f t="shared" ca="1" si="47"/>
        <v>7</v>
      </c>
      <c r="F607" s="42" t="str">
        <f t="shared" ca="1" si="48"/>
        <v>—</v>
      </c>
      <c r="G607" s="31">
        <f t="shared" ca="1" si="49"/>
        <v>7</v>
      </c>
    </row>
    <row r="608" spans="1:7" x14ac:dyDescent="0.25">
      <c r="A608" s="12">
        <f t="shared" si="45"/>
        <v>44</v>
      </c>
      <c r="B608" t="str">
        <f ca="1">TEXT(DATE(YEAR(Invoer!$A$5),1,1)+INT((ROWS(B$2:B608)-1)/2),"jjjjmmdd")</f>
        <v>19411031</v>
      </c>
      <c r="C608" s="26" t="str">
        <f>INDEX(Data,2,2+MOD(ROWS(C$2:C608)-1,2))</f>
        <v>08.00</v>
      </c>
      <c r="D608" s="41" t="str">
        <f t="shared" ca="1" si="46"/>
        <v>—</v>
      </c>
      <c r="E608" s="31">
        <f t="shared" ca="1" si="47"/>
        <v>7</v>
      </c>
      <c r="F608" s="42" t="str">
        <f t="shared" ca="1" si="48"/>
        <v>—</v>
      </c>
      <c r="G608" s="31">
        <f t="shared" ca="1" si="49"/>
        <v>7</v>
      </c>
    </row>
    <row r="609" spans="1:7" x14ac:dyDescent="0.25">
      <c r="A609" s="12">
        <f t="shared" si="45"/>
        <v>44</v>
      </c>
      <c r="B609" t="str">
        <f ca="1">TEXT(DATE(YEAR(Invoer!$A$5),1,1)+INT((ROWS(B$2:B609)-1)/2),"jjjjmmdd")</f>
        <v>19411031</v>
      </c>
      <c r="C609" s="26" t="str">
        <f>INDEX(Data,2,2+MOD(ROWS(C$2:C609)-1,2))</f>
        <v>15.00</v>
      </c>
      <c r="D609" s="41" t="str">
        <f t="shared" ca="1" si="46"/>
        <v>—</v>
      </c>
      <c r="E609" s="31">
        <f t="shared" ca="1" si="47"/>
        <v>7</v>
      </c>
      <c r="F609" s="42" t="str">
        <f t="shared" ca="1" si="48"/>
        <v>—</v>
      </c>
      <c r="G609" s="31">
        <f t="shared" ca="1" si="49"/>
        <v>7</v>
      </c>
    </row>
    <row r="610" spans="1:7" x14ac:dyDescent="0.25">
      <c r="A610" s="12">
        <f t="shared" si="45"/>
        <v>44</v>
      </c>
      <c r="B610" t="str">
        <f ca="1">TEXT(DATE(YEAR(Invoer!$A$5),1,1)+INT((ROWS(B$2:B610)-1)/2),"jjjjmmdd")</f>
        <v>19411101</v>
      </c>
      <c r="C610" s="26" t="str">
        <f>INDEX(Data,2,2+MOD(ROWS(C$2:C610)-1,2))</f>
        <v>08.00</v>
      </c>
      <c r="D610" s="41" t="str">
        <f t="shared" ca="1" si="46"/>
        <v>—</v>
      </c>
      <c r="E610" s="31">
        <f t="shared" ca="1" si="47"/>
        <v>7</v>
      </c>
      <c r="F610" s="42" t="str">
        <f t="shared" ca="1" si="48"/>
        <v>—</v>
      </c>
      <c r="G610" s="31">
        <f t="shared" ca="1" si="49"/>
        <v>7</v>
      </c>
    </row>
    <row r="611" spans="1:7" x14ac:dyDescent="0.25">
      <c r="A611" s="12">
        <f t="shared" si="45"/>
        <v>44</v>
      </c>
      <c r="B611" t="str">
        <f ca="1">TEXT(DATE(YEAR(Invoer!$A$5),1,1)+INT((ROWS(B$2:B611)-1)/2),"jjjjmmdd")</f>
        <v>19411101</v>
      </c>
      <c r="C611" s="26" t="str">
        <f>INDEX(Data,2,2+MOD(ROWS(C$2:C611)-1,2))</f>
        <v>15.00</v>
      </c>
      <c r="D611" s="41" t="str">
        <f t="shared" ca="1" si="46"/>
        <v>—</v>
      </c>
      <c r="E611" s="31">
        <f t="shared" ca="1" si="47"/>
        <v>7</v>
      </c>
      <c r="F611" s="42" t="str">
        <f t="shared" ca="1" si="48"/>
        <v>—</v>
      </c>
      <c r="G611" s="31">
        <f t="shared" ca="1" si="49"/>
        <v>7</v>
      </c>
    </row>
    <row r="612" spans="1:7" x14ac:dyDescent="0.25">
      <c r="A612" s="12">
        <f t="shared" si="45"/>
        <v>44</v>
      </c>
      <c r="B612" t="str">
        <f ca="1">TEXT(DATE(YEAR(Invoer!$A$5),1,1)+INT((ROWS(B$2:B612)-1)/2),"jjjjmmdd")</f>
        <v>19411102</v>
      </c>
      <c r="C612" s="26" t="str">
        <f>INDEX(Data,2,2+MOD(ROWS(C$2:C612)-1,2))</f>
        <v>08.00</v>
      </c>
      <c r="D612" s="41" t="str">
        <f t="shared" ca="1" si="46"/>
        <v>—</v>
      </c>
      <c r="E612" s="31">
        <f t="shared" ca="1" si="47"/>
        <v>7</v>
      </c>
      <c r="F612" s="42" t="str">
        <f t="shared" ca="1" si="48"/>
        <v>—</v>
      </c>
      <c r="G612" s="31">
        <f t="shared" ca="1" si="49"/>
        <v>7</v>
      </c>
    </row>
    <row r="613" spans="1:7" x14ac:dyDescent="0.25">
      <c r="A613" s="12">
        <f t="shared" si="45"/>
        <v>44</v>
      </c>
      <c r="B613" t="str">
        <f ca="1">TEXT(DATE(YEAR(Invoer!$A$5),1,1)+INT((ROWS(B$2:B613)-1)/2),"jjjjmmdd")</f>
        <v>19411102</v>
      </c>
      <c r="C613" s="26" t="str">
        <f>INDEX(Data,2,2+MOD(ROWS(C$2:C613)-1,2))</f>
        <v>15.00</v>
      </c>
      <c r="D613" s="41" t="str">
        <f t="shared" ca="1" si="46"/>
        <v>—</v>
      </c>
      <c r="E613" s="31">
        <f t="shared" ca="1" si="47"/>
        <v>7</v>
      </c>
      <c r="F613" s="42" t="str">
        <f t="shared" ca="1" si="48"/>
        <v>—</v>
      </c>
      <c r="G613" s="31">
        <f t="shared" ca="1" si="49"/>
        <v>7</v>
      </c>
    </row>
    <row r="614" spans="1:7" x14ac:dyDescent="0.25">
      <c r="A614" s="12">
        <f t="shared" si="45"/>
        <v>44</v>
      </c>
      <c r="B614" t="str">
        <f ca="1">TEXT(DATE(YEAR(Invoer!$A$5),1,1)+INT((ROWS(B$2:B614)-1)/2),"jjjjmmdd")</f>
        <v>19411103</v>
      </c>
      <c r="C614" s="26" t="str">
        <f>INDEX(Data,2,2+MOD(ROWS(C$2:C614)-1,2))</f>
        <v>08.00</v>
      </c>
      <c r="D614" s="41" t="str">
        <f t="shared" ca="1" si="46"/>
        <v>—</v>
      </c>
      <c r="E614" s="31">
        <f t="shared" ca="1" si="47"/>
        <v>7</v>
      </c>
      <c r="F614" s="42" t="str">
        <f t="shared" ca="1" si="48"/>
        <v>—</v>
      </c>
      <c r="G614" s="31">
        <f t="shared" ca="1" si="49"/>
        <v>7</v>
      </c>
    </row>
    <row r="615" spans="1:7" x14ac:dyDescent="0.25">
      <c r="A615" s="12">
        <f t="shared" si="45"/>
        <v>44</v>
      </c>
      <c r="B615" t="str">
        <f ca="1">TEXT(DATE(YEAR(Invoer!$A$5),1,1)+INT((ROWS(B$2:B615)-1)/2),"jjjjmmdd")</f>
        <v>19411103</v>
      </c>
      <c r="C615" s="26" t="str">
        <f>INDEX(Data,2,2+MOD(ROWS(C$2:C615)-1,2))</f>
        <v>15.00</v>
      </c>
      <c r="D615" s="41" t="str">
        <f t="shared" ca="1" si="46"/>
        <v>—</v>
      </c>
      <c r="E615" s="31">
        <f t="shared" ca="1" si="47"/>
        <v>7</v>
      </c>
      <c r="F615" s="42" t="str">
        <f t="shared" ca="1" si="48"/>
        <v>—</v>
      </c>
      <c r="G615" s="31">
        <f t="shared" ca="1" si="49"/>
        <v>7</v>
      </c>
    </row>
    <row r="616" spans="1:7" x14ac:dyDescent="0.25">
      <c r="A616" s="12">
        <f t="shared" si="45"/>
        <v>44</v>
      </c>
      <c r="B616" t="str">
        <f ca="1">TEXT(DATE(YEAR(Invoer!$A$5),1,1)+INT((ROWS(B$2:B616)-1)/2),"jjjjmmdd")</f>
        <v>19411104</v>
      </c>
      <c r="C616" s="26" t="str">
        <f>INDEX(Data,2,2+MOD(ROWS(C$2:C616)-1,2))</f>
        <v>08.00</v>
      </c>
      <c r="D616" s="41" t="str">
        <f t="shared" ca="1" si="46"/>
        <v>—</v>
      </c>
      <c r="E616" s="31">
        <f t="shared" ca="1" si="47"/>
        <v>7</v>
      </c>
      <c r="F616" s="42" t="str">
        <f t="shared" ca="1" si="48"/>
        <v>—</v>
      </c>
      <c r="G616" s="31">
        <f t="shared" ca="1" si="49"/>
        <v>7</v>
      </c>
    </row>
    <row r="617" spans="1:7" x14ac:dyDescent="0.25">
      <c r="A617" s="12">
        <f t="shared" si="45"/>
        <v>44</v>
      </c>
      <c r="B617" t="str">
        <f ca="1">TEXT(DATE(YEAR(Invoer!$A$5),1,1)+INT((ROWS(B$2:B617)-1)/2),"jjjjmmdd")</f>
        <v>19411104</v>
      </c>
      <c r="C617" s="26" t="str">
        <f>INDEX(Data,2,2+MOD(ROWS(C$2:C617)-1,2))</f>
        <v>15.00</v>
      </c>
      <c r="D617" s="41" t="str">
        <f t="shared" ca="1" si="46"/>
        <v>—</v>
      </c>
      <c r="E617" s="31">
        <f t="shared" ca="1" si="47"/>
        <v>7</v>
      </c>
      <c r="F617" s="42" t="str">
        <f t="shared" ca="1" si="48"/>
        <v>—</v>
      </c>
      <c r="G617" s="31">
        <f t="shared" ca="1" si="49"/>
        <v>7</v>
      </c>
    </row>
    <row r="618" spans="1:7" x14ac:dyDescent="0.25">
      <c r="A618" s="12">
        <f t="shared" si="45"/>
        <v>44</v>
      </c>
      <c r="B618" t="str">
        <f ca="1">TEXT(DATE(YEAR(Invoer!$A$5),1,1)+INT((ROWS(B$2:B618)-1)/2),"jjjjmmdd")</f>
        <v>19411105</v>
      </c>
      <c r="C618" s="26" t="str">
        <f>INDEX(Data,2,2+MOD(ROWS(C$2:C618)-1,2))</f>
        <v>08.00</v>
      </c>
      <c r="D618" s="41" t="str">
        <f t="shared" ca="1" si="46"/>
        <v>—</v>
      </c>
      <c r="E618" s="31">
        <f t="shared" ca="1" si="47"/>
        <v>7</v>
      </c>
      <c r="F618" s="42" t="str">
        <f t="shared" ca="1" si="48"/>
        <v>—</v>
      </c>
      <c r="G618" s="31">
        <f t="shared" ca="1" si="49"/>
        <v>7</v>
      </c>
    </row>
    <row r="619" spans="1:7" x14ac:dyDescent="0.25">
      <c r="A619" s="12">
        <f t="shared" si="45"/>
        <v>44</v>
      </c>
      <c r="B619" t="str">
        <f ca="1">TEXT(DATE(YEAR(Invoer!$A$5),1,1)+INT((ROWS(B$2:B619)-1)/2),"jjjjmmdd")</f>
        <v>19411105</v>
      </c>
      <c r="C619" s="26" t="str">
        <f>INDEX(Data,2,2+MOD(ROWS(C$2:C619)-1,2))</f>
        <v>15.00</v>
      </c>
      <c r="D619" s="41" t="str">
        <f t="shared" ca="1" si="46"/>
        <v>—</v>
      </c>
      <c r="E619" s="31">
        <f t="shared" ca="1" si="47"/>
        <v>7</v>
      </c>
      <c r="F619" s="42" t="str">
        <f t="shared" ca="1" si="48"/>
        <v>—</v>
      </c>
      <c r="G619" s="31">
        <f t="shared" ca="1" si="49"/>
        <v>7</v>
      </c>
    </row>
    <row r="620" spans="1:7" x14ac:dyDescent="0.25">
      <c r="A620" s="12">
        <f t="shared" si="45"/>
        <v>44</v>
      </c>
      <c r="B620" t="str">
        <f ca="1">TEXT(DATE(YEAR(Invoer!$A$5),1,1)+INT((ROWS(B$2:B620)-1)/2),"jjjjmmdd")</f>
        <v>19411106</v>
      </c>
      <c r="C620" s="26" t="str">
        <f>INDEX(Data,2,2+MOD(ROWS(C$2:C620)-1,2))</f>
        <v>08.00</v>
      </c>
      <c r="D620" s="41" t="str">
        <f t="shared" ca="1" si="46"/>
        <v>—</v>
      </c>
      <c r="E620" s="31">
        <f t="shared" ca="1" si="47"/>
        <v>7</v>
      </c>
      <c r="F620" s="42" t="str">
        <f t="shared" ca="1" si="48"/>
        <v>—</v>
      </c>
      <c r="G620" s="31">
        <f t="shared" ca="1" si="49"/>
        <v>7</v>
      </c>
    </row>
    <row r="621" spans="1:7" x14ac:dyDescent="0.25">
      <c r="A621" s="12">
        <f t="shared" si="45"/>
        <v>44</v>
      </c>
      <c r="B621" t="str">
        <f ca="1">TEXT(DATE(YEAR(Invoer!$A$5),1,1)+INT((ROWS(B$2:B621)-1)/2),"jjjjmmdd")</f>
        <v>19411106</v>
      </c>
      <c r="C621" s="26" t="str">
        <f>INDEX(Data,2,2+MOD(ROWS(C$2:C621)-1,2))</f>
        <v>15.00</v>
      </c>
      <c r="D621" s="41" t="str">
        <f t="shared" ca="1" si="46"/>
        <v>—</v>
      </c>
      <c r="E621" s="31">
        <f t="shared" ca="1" si="47"/>
        <v>7</v>
      </c>
      <c r="F621" s="42" t="str">
        <f t="shared" ca="1" si="48"/>
        <v>—</v>
      </c>
      <c r="G621" s="31">
        <f t="shared" ca="1" si="49"/>
        <v>7</v>
      </c>
    </row>
    <row r="622" spans="1:7" x14ac:dyDescent="0.25">
      <c r="A622" s="12">
        <f t="shared" si="45"/>
        <v>44</v>
      </c>
      <c r="B622" t="str">
        <f ca="1">TEXT(DATE(YEAR(Invoer!$A$5),1,1)+INT((ROWS(B$2:B622)-1)/2),"jjjjmmdd")</f>
        <v>19411107</v>
      </c>
      <c r="C622" s="26" t="str">
        <f>INDEX(Data,2,2+MOD(ROWS(C$2:C622)-1,2))</f>
        <v>08.00</v>
      </c>
      <c r="D622" s="41" t="str">
        <f t="shared" ca="1" si="46"/>
        <v>—</v>
      </c>
      <c r="E622" s="31">
        <f t="shared" ca="1" si="47"/>
        <v>7</v>
      </c>
      <c r="F622" s="42" t="str">
        <f t="shared" ca="1" si="48"/>
        <v>—</v>
      </c>
      <c r="G622" s="31">
        <f t="shared" ca="1" si="49"/>
        <v>7</v>
      </c>
    </row>
    <row r="623" spans="1:7" x14ac:dyDescent="0.25">
      <c r="A623" s="12">
        <f t="shared" si="45"/>
        <v>44</v>
      </c>
      <c r="B623" t="str">
        <f ca="1">TEXT(DATE(YEAR(Invoer!$A$5),1,1)+INT((ROWS(B$2:B623)-1)/2),"jjjjmmdd")</f>
        <v>19411107</v>
      </c>
      <c r="C623" s="26" t="str">
        <f>INDEX(Data,2,2+MOD(ROWS(C$2:C623)-1,2))</f>
        <v>15.00</v>
      </c>
      <c r="D623" s="41" t="str">
        <f t="shared" ca="1" si="46"/>
        <v>—</v>
      </c>
      <c r="E623" s="31">
        <f t="shared" ca="1" si="47"/>
        <v>7</v>
      </c>
      <c r="F623" s="42" t="str">
        <f t="shared" ca="1" si="48"/>
        <v>—</v>
      </c>
      <c r="G623" s="31">
        <f t="shared" ca="1" si="49"/>
        <v>7</v>
      </c>
    </row>
    <row r="624" spans="1:7" x14ac:dyDescent="0.25">
      <c r="A624" s="12">
        <f t="shared" si="45"/>
        <v>44</v>
      </c>
      <c r="B624" t="str">
        <f ca="1">TEXT(DATE(YEAR(Invoer!$A$5),1,1)+INT((ROWS(B$2:B624)-1)/2),"jjjjmmdd")</f>
        <v>19411108</v>
      </c>
      <c r="C624" s="26" t="str">
        <f>INDEX(Data,2,2+MOD(ROWS(C$2:C624)-1,2))</f>
        <v>08.00</v>
      </c>
      <c r="D624" s="41" t="str">
        <f t="shared" ca="1" si="46"/>
        <v>—</v>
      </c>
      <c r="E624" s="31">
        <f t="shared" ca="1" si="47"/>
        <v>7</v>
      </c>
      <c r="F624" s="42" t="str">
        <f t="shared" ca="1" si="48"/>
        <v>—</v>
      </c>
      <c r="G624" s="31">
        <f t="shared" ca="1" si="49"/>
        <v>7</v>
      </c>
    </row>
    <row r="625" spans="1:7" x14ac:dyDescent="0.25">
      <c r="A625" s="12">
        <f t="shared" si="45"/>
        <v>44</v>
      </c>
      <c r="B625" t="str">
        <f ca="1">TEXT(DATE(YEAR(Invoer!$A$5),1,1)+INT((ROWS(B$2:B625)-1)/2),"jjjjmmdd")</f>
        <v>19411108</v>
      </c>
      <c r="C625" s="26" t="str">
        <f>INDEX(Data,2,2+MOD(ROWS(C$2:C625)-1,2))</f>
        <v>15.00</v>
      </c>
      <c r="D625" s="41" t="str">
        <f t="shared" ca="1" si="46"/>
        <v>—</v>
      </c>
      <c r="E625" s="31">
        <f t="shared" ca="1" si="47"/>
        <v>7</v>
      </c>
      <c r="F625" s="42" t="str">
        <f t="shared" ca="1" si="48"/>
        <v>—</v>
      </c>
      <c r="G625" s="31">
        <f t="shared" ca="1" si="49"/>
        <v>7</v>
      </c>
    </row>
    <row r="626" spans="1:7" x14ac:dyDescent="0.25">
      <c r="A626" s="12">
        <f t="shared" si="45"/>
        <v>44</v>
      </c>
      <c r="B626" t="str">
        <f ca="1">TEXT(DATE(YEAR(Invoer!$A$5),1,1)+INT((ROWS(B$2:B626)-1)/2),"jjjjmmdd")</f>
        <v>19411109</v>
      </c>
      <c r="C626" s="26" t="str">
        <f>INDEX(Data,2,2+MOD(ROWS(C$2:C626)-1,2))</f>
        <v>08.00</v>
      </c>
      <c r="D626" s="41" t="str">
        <f t="shared" ca="1" si="46"/>
        <v>—</v>
      </c>
      <c r="E626" s="31">
        <f t="shared" ca="1" si="47"/>
        <v>7</v>
      </c>
      <c r="F626" s="42" t="str">
        <f t="shared" ca="1" si="48"/>
        <v>—</v>
      </c>
      <c r="G626" s="31">
        <f t="shared" ca="1" si="49"/>
        <v>7</v>
      </c>
    </row>
    <row r="627" spans="1:7" x14ac:dyDescent="0.25">
      <c r="A627" s="12">
        <f t="shared" si="45"/>
        <v>44</v>
      </c>
      <c r="B627" t="str">
        <f ca="1">TEXT(DATE(YEAR(Invoer!$A$5),1,1)+INT((ROWS(B$2:B627)-1)/2),"jjjjmmdd")</f>
        <v>19411109</v>
      </c>
      <c r="C627" s="26" t="str">
        <f>INDEX(Data,2,2+MOD(ROWS(C$2:C627)-1,2))</f>
        <v>15.00</v>
      </c>
      <c r="D627" s="41" t="str">
        <f t="shared" ca="1" si="46"/>
        <v>—</v>
      </c>
      <c r="E627" s="31">
        <f t="shared" ca="1" si="47"/>
        <v>7</v>
      </c>
      <c r="F627" s="42" t="str">
        <f t="shared" ca="1" si="48"/>
        <v>—</v>
      </c>
      <c r="G627" s="31">
        <f t="shared" ca="1" si="49"/>
        <v>7</v>
      </c>
    </row>
    <row r="628" spans="1:7" x14ac:dyDescent="0.25">
      <c r="A628" s="12">
        <f t="shared" si="45"/>
        <v>44</v>
      </c>
      <c r="B628" t="str">
        <f ca="1">TEXT(DATE(YEAR(Invoer!$A$5),1,1)+INT((ROWS(B$2:B628)-1)/2),"jjjjmmdd")</f>
        <v>19411110</v>
      </c>
      <c r="C628" s="26" t="str">
        <f>INDEX(Data,2,2+MOD(ROWS(C$2:C628)-1,2))</f>
        <v>08.00</v>
      </c>
      <c r="D628" s="41" t="str">
        <f t="shared" ca="1" si="46"/>
        <v>—</v>
      </c>
      <c r="E628" s="31">
        <f t="shared" ca="1" si="47"/>
        <v>7</v>
      </c>
      <c r="F628" s="42" t="str">
        <f t="shared" ca="1" si="48"/>
        <v>—</v>
      </c>
      <c r="G628" s="31">
        <f t="shared" ca="1" si="49"/>
        <v>7</v>
      </c>
    </row>
    <row r="629" spans="1:7" x14ac:dyDescent="0.25">
      <c r="A629" s="12">
        <f t="shared" si="45"/>
        <v>44</v>
      </c>
      <c r="B629" t="str">
        <f ca="1">TEXT(DATE(YEAR(Invoer!$A$5),1,1)+INT((ROWS(B$2:B629)-1)/2),"jjjjmmdd")</f>
        <v>19411110</v>
      </c>
      <c r="C629" s="26" t="str">
        <f>INDEX(Data,2,2+MOD(ROWS(C$2:C629)-1,2))</f>
        <v>15.00</v>
      </c>
      <c r="D629" s="41" t="str">
        <f t="shared" ca="1" si="46"/>
        <v>—</v>
      </c>
      <c r="E629" s="31">
        <f t="shared" ca="1" si="47"/>
        <v>7</v>
      </c>
      <c r="F629" s="42" t="str">
        <f t="shared" ca="1" si="48"/>
        <v>—</v>
      </c>
      <c r="G629" s="31">
        <f t="shared" ca="1" si="49"/>
        <v>7</v>
      </c>
    </row>
    <row r="630" spans="1:7" x14ac:dyDescent="0.25">
      <c r="A630" s="12">
        <f t="shared" si="45"/>
        <v>44</v>
      </c>
      <c r="B630" t="str">
        <f ca="1">TEXT(DATE(YEAR(Invoer!$A$5),1,1)+INT((ROWS(B$2:B630)-1)/2),"jjjjmmdd")</f>
        <v>19411111</v>
      </c>
      <c r="C630" s="26" t="str">
        <f>INDEX(Data,2,2+MOD(ROWS(C$2:C630)-1,2))</f>
        <v>08.00</v>
      </c>
      <c r="D630" s="41" t="str">
        <f t="shared" ca="1" si="46"/>
        <v>—</v>
      </c>
      <c r="E630" s="31">
        <f t="shared" ca="1" si="47"/>
        <v>7</v>
      </c>
      <c r="F630" s="42" t="str">
        <f t="shared" ca="1" si="48"/>
        <v>—</v>
      </c>
      <c r="G630" s="31">
        <f t="shared" ca="1" si="49"/>
        <v>7</v>
      </c>
    </row>
    <row r="631" spans="1:7" x14ac:dyDescent="0.25">
      <c r="A631" s="12">
        <f t="shared" si="45"/>
        <v>44</v>
      </c>
      <c r="B631" t="str">
        <f ca="1">TEXT(DATE(YEAR(Invoer!$A$5),1,1)+INT((ROWS(B$2:B631)-1)/2),"jjjjmmdd")</f>
        <v>19411111</v>
      </c>
      <c r="C631" s="26" t="str">
        <f>INDEX(Data,2,2+MOD(ROWS(C$2:C631)-1,2))</f>
        <v>15.00</v>
      </c>
      <c r="D631" s="41" t="str">
        <f t="shared" ca="1" si="46"/>
        <v>—</v>
      </c>
      <c r="E631" s="31">
        <f t="shared" ca="1" si="47"/>
        <v>7</v>
      </c>
      <c r="F631" s="42" t="str">
        <f t="shared" ca="1" si="48"/>
        <v>—</v>
      </c>
      <c r="G631" s="31">
        <f t="shared" ca="1" si="49"/>
        <v>7</v>
      </c>
    </row>
    <row r="632" spans="1:7" x14ac:dyDescent="0.25">
      <c r="A632" s="12">
        <f t="shared" si="45"/>
        <v>44</v>
      </c>
      <c r="B632" t="str">
        <f ca="1">TEXT(DATE(YEAR(Invoer!$A$5),1,1)+INT((ROWS(B$2:B632)-1)/2),"jjjjmmdd")</f>
        <v>19411112</v>
      </c>
      <c r="C632" s="26" t="str">
        <f>INDEX(Data,2,2+MOD(ROWS(C$2:C632)-1,2))</f>
        <v>08.00</v>
      </c>
      <c r="D632" s="41" t="str">
        <f t="shared" ca="1" si="46"/>
        <v>—</v>
      </c>
      <c r="E632" s="31">
        <f t="shared" ca="1" si="47"/>
        <v>7</v>
      </c>
      <c r="F632" s="42" t="str">
        <f t="shared" ca="1" si="48"/>
        <v>—</v>
      </c>
      <c r="G632" s="31">
        <f t="shared" ca="1" si="49"/>
        <v>7</v>
      </c>
    </row>
    <row r="633" spans="1:7" x14ac:dyDescent="0.25">
      <c r="A633" s="12">
        <f t="shared" si="45"/>
        <v>44</v>
      </c>
      <c r="B633" t="str">
        <f ca="1">TEXT(DATE(YEAR(Invoer!$A$5),1,1)+INT((ROWS(B$2:B633)-1)/2),"jjjjmmdd")</f>
        <v>19411112</v>
      </c>
      <c r="C633" s="26" t="str">
        <f>INDEX(Data,2,2+MOD(ROWS(C$2:C633)-1,2))</f>
        <v>15.00</v>
      </c>
      <c r="D633" s="41" t="str">
        <f t="shared" ca="1" si="46"/>
        <v>—</v>
      </c>
      <c r="E633" s="31">
        <f t="shared" ca="1" si="47"/>
        <v>7</v>
      </c>
      <c r="F633" s="42" t="str">
        <f t="shared" ca="1" si="48"/>
        <v>—</v>
      </c>
      <c r="G633" s="31">
        <f t="shared" ca="1" si="49"/>
        <v>7</v>
      </c>
    </row>
    <row r="634" spans="1:7" x14ac:dyDescent="0.25">
      <c r="A634" s="12">
        <f t="shared" si="45"/>
        <v>44</v>
      </c>
      <c r="B634" t="str">
        <f ca="1">TEXT(DATE(YEAR(Invoer!$A$5),1,1)+INT((ROWS(B$2:B634)-1)/2),"jjjjmmdd")</f>
        <v>19411113</v>
      </c>
      <c r="C634" s="26" t="str">
        <f>INDEX(Data,2,2+MOD(ROWS(C$2:C634)-1,2))</f>
        <v>08.00</v>
      </c>
      <c r="D634" s="41" t="str">
        <f t="shared" ca="1" si="46"/>
        <v>—</v>
      </c>
      <c r="E634" s="31">
        <f t="shared" ca="1" si="47"/>
        <v>7</v>
      </c>
      <c r="F634" s="42" t="str">
        <f t="shared" ca="1" si="48"/>
        <v>—</v>
      </c>
      <c r="G634" s="31">
        <f t="shared" ca="1" si="49"/>
        <v>7</v>
      </c>
    </row>
    <row r="635" spans="1:7" x14ac:dyDescent="0.25">
      <c r="A635" s="12">
        <f t="shared" si="45"/>
        <v>44</v>
      </c>
      <c r="B635" t="str">
        <f ca="1">TEXT(DATE(YEAR(Invoer!$A$5),1,1)+INT((ROWS(B$2:B635)-1)/2),"jjjjmmdd")</f>
        <v>19411113</v>
      </c>
      <c r="C635" s="26" t="str">
        <f>INDEX(Data,2,2+MOD(ROWS(C$2:C635)-1,2))</f>
        <v>15.00</v>
      </c>
      <c r="D635" s="41" t="str">
        <f t="shared" ca="1" si="46"/>
        <v>—</v>
      </c>
      <c r="E635" s="31">
        <f t="shared" ca="1" si="47"/>
        <v>7</v>
      </c>
      <c r="F635" s="42" t="str">
        <f t="shared" ca="1" si="48"/>
        <v>—</v>
      </c>
      <c r="G635" s="31">
        <f t="shared" ca="1" si="49"/>
        <v>7</v>
      </c>
    </row>
    <row r="636" spans="1:7" x14ac:dyDescent="0.25">
      <c r="A636" s="12">
        <f t="shared" si="45"/>
        <v>44</v>
      </c>
      <c r="B636" t="str">
        <f ca="1">TEXT(DATE(YEAR(Invoer!$A$5),1,1)+INT((ROWS(B$2:B636)-1)/2),"jjjjmmdd")</f>
        <v>19411114</v>
      </c>
      <c r="C636" s="26" t="str">
        <f>INDEX(Data,2,2+MOD(ROWS(C$2:C636)-1,2))</f>
        <v>08.00</v>
      </c>
      <c r="D636" s="41" t="str">
        <f t="shared" ca="1" si="46"/>
        <v>—</v>
      </c>
      <c r="E636" s="31">
        <f t="shared" ca="1" si="47"/>
        <v>7</v>
      </c>
      <c r="F636" s="42" t="str">
        <f t="shared" ca="1" si="48"/>
        <v>—</v>
      </c>
      <c r="G636" s="31">
        <f t="shared" ca="1" si="49"/>
        <v>7</v>
      </c>
    </row>
    <row r="637" spans="1:7" x14ac:dyDescent="0.25">
      <c r="A637" s="12">
        <f t="shared" si="45"/>
        <v>44</v>
      </c>
      <c r="B637" t="str">
        <f ca="1">TEXT(DATE(YEAR(Invoer!$A$5),1,1)+INT((ROWS(B$2:B637)-1)/2),"jjjjmmdd")</f>
        <v>19411114</v>
      </c>
      <c r="C637" s="26" t="str">
        <f>INDEX(Data,2,2+MOD(ROWS(C$2:C637)-1,2))</f>
        <v>15.00</v>
      </c>
      <c r="D637" s="41" t="str">
        <f t="shared" ca="1" si="46"/>
        <v>—</v>
      </c>
      <c r="E637" s="31">
        <f t="shared" ca="1" si="47"/>
        <v>7</v>
      </c>
      <c r="F637" s="42" t="str">
        <f t="shared" ca="1" si="48"/>
        <v>—</v>
      </c>
      <c r="G637" s="31">
        <f t="shared" ca="1" si="49"/>
        <v>7</v>
      </c>
    </row>
    <row r="638" spans="1:7" x14ac:dyDescent="0.25">
      <c r="A638" s="12">
        <f t="shared" si="45"/>
        <v>44</v>
      </c>
      <c r="B638" t="str">
        <f ca="1">TEXT(DATE(YEAR(Invoer!$A$5),1,1)+INT((ROWS(B$2:B638)-1)/2),"jjjjmmdd")</f>
        <v>19411115</v>
      </c>
      <c r="C638" s="26" t="str">
        <f>INDEX(Data,2,2+MOD(ROWS(C$2:C638)-1,2))</f>
        <v>08.00</v>
      </c>
      <c r="D638" s="41" t="str">
        <f t="shared" ca="1" si="46"/>
        <v>—</v>
      </c>
      <c r="E638" s="31">
        <f t="shared" ca="1" si="47"/>
        <v>7</v>
      </c>
      <c r="F638" s="42" t="str">
        <f t="shared" ca="1" si="48"/>
        <v>—</v>
      </c>
      <c r="G638" s="31">
        <f t="shared" ca="1" si="49"/>
        <v>7</v>
      </c>
    </row>
    <row r="639" spans="1:7" x14ac:dyDescent="0.25">
      <c r="A639" s="12">
        <f t="shared" si="45"/>
        <v>44</v>
      </c>
      <c r="B639" t="str">
        <f ca="1">TEXT(DATE(YEAR(Invoer!$A$5),1,1)+INT((ROWS(B$2:B639)-1)/2),"jjjjmmdd")</f>
        <v>19411115</v>
      </c>
      <c r="C639" s="26" t="str">
        <f>INDEX(Data,2,2+MOD(ROWS(C$2:C639)-1,2))</f>
        <v>15.00</v>
      </c>
      <c r="D639" s="41" t="str">
        <f t="shared" ca="1" si="46"/>
        <v>—</v>
      </c>
      <c r="E639" s="31">
        <f t="shared" ca="1" si="47"/>
        <v>7</v>
      </c>
      <c r="F639" s="42" t="str">
        <f t="shared" ca="1" si="48"/>
        <v>—</v>
      </c>
      <c r="G639" s="31">
        <f t="shared" ca="1" si="49"/>
        <v>7</v>
      </c>
    </row>
    <row r="640" spans="1:7" x14ac:dyDescent="0.25">
      <c r="A640" s="12">
        <f t="shared" si="45"/>
        <v>44</v>
      </c>
      <c r="B640" t="str">
        <f ca="1">TEXT(DATE(YEAR(Invoer!$A$5),1,1)+INT((ROWS(B$2:B640)-1)/2),"jjjjmmdd")</f>
        <v>19411116</v>
      </c>
      <c r="C640" s="26" t="str">
        <f>INDEX(Data,2,2+MOD(ROWS(C$2:C640)-1,2))</f>
        <v>08.00</v>
      </c>
      <c r="D640" s="41" t="str">
        <f t="shared" ca="1" si="46"/>
        <v>—</v>
      </c>
      <c r="E640" s="31">
        <f t="shared" ca="1" si="47"/>
        <v>7</v>
      </c>
      <c r="F640" s="42" t="str">
        <f t="shared" ca="1" si="48"/>
        <v>—</v>
      </c>
      <c r="G640" s="31">
        <f t="shared" ca="1" si="49"/>
        <v>7</v>
      </c>
    </row>
    <row r="641" spans="1:7" x14ac:dyDescent="0.25">
      <c r="A641" s="12">
        <f t="shared" si="45"/>
        <v>44</v>
      </c>
      <c r="B641" t="str">
        <f ca="1">TEXT(DATE(YEAR(Invoer!$A$5),1,1)+INT((ROWS(B$2:B641)-1)/2),"jjjjmmdd")</f>
        <v>19411116</v>
      </c>
      <c r="C641" s="26" t="str">
        <f>INDEX(Data,2,2+MOD(ROWS(C$2:C641)-1,2))</f>
        <v>15.00</v>
      </c>
      <c r="D641" s="41" t="str">
        <f t="shared" ca="1" si="46"/>
        <v>—</v>
      </c>
      <c r="E641" s="31">
        <f t="shared" ca="1" si="47"/>
        <v>7</v>
      </c>
      <c r="F641" s="42" t="str">
        <f t="shared" ca="1" si="48"/>
        <v>—</v>
      </c>
      <c r="G641" s="31">
        <f t="shared" ca="1" si="49"/>
        <v>7</v>
      </c>
    </row>
    <row r="642" spans="1:7" x14ac:dyDescent="0.25">
      <c r="A642" s="12">
        <f t="shared" ref="A642:A705" si="50">INDEX(Stations,2,1)</f>
        <v>44</v>
      </c>
      <c r="B642" t="str">
        <f ca="1">TEXT(DATE(YEAR(Invoer!$A$5),1,1)+INT((ROWS(B$2:B642)-1)/2),"jjjjmmdd")</f>
        <v>19411117</v>
      </c>
      <c r="C642" s="26" t="str">
        <f>INDEX(Data,2,2+MOD(ROWS(C$2:C642)-1,2))</f>
        <v>08.00</v>
      </c>
      <c r="D642" s="41" t="str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0.0254*VLOOKUP(DATEVALUE(LEFT($B642,4)&amp;"-"&amp;MID($B642,5,2)&amp;"-"&amp;RIGHT($B642,2)),Data,MATCH(LEFT(VLOOKUP(D$1,Parameters,2,FALSE()),4)&amp;"*",OFFSET(Data,0,0,1),0)+MATCH($C642,OFFSET(Data,1,0,1),0)-2,FALSE()))</f>
        <v>—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7</v>
      </c>
      <c r="F642" s="42" t="str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5*(VLOOKUP(DATEVALUE(LEFT($B642,4)&amp;"-"&amp;MID($B642,5,2)&amp;"-"&amp;RIGHT($B642,2)),Data,MATCH(LEFT(VLOOKUP(F$1,Parameters,2,FALSE()),4)&amp;"*",OFFSET(Data,0,0,1),0)+MATCH($C642,OFFSET(Data,1,0,1),0)-2,FALSE())-320)/90)</f>
        <v>—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7</v>
      </c>
    </row>
    <row r="643" spans="1:7" x14ac:dyDescent="0.25">
      <c r="A643" s="12">
        <f t="shared" si="50"/>
        <v>44</v>
      </c>
      <c r="B643" t="str">
        <f ca="1">TEXT(DATE(YEAR(Invoer!$A$5),1,1)+INT((ROWS(B$2:B643)-1)/2),"jjjjmmdd")</f>
        <v>19411117</v>
      </c>
      <c r="C643" s="26" t="str">
        <f>INDEX(Data,2,2+MOD(ROWS(C$2:C643)-1,2))</f>
        <v>15.00</v>
      </c>
      <c r="D643" s="41" t="str">
        <f t="shared" ca="1" si="51"/>
        <v>—</v>
      </c>
      <c r="E643" s="31">
        <f t="shared" ca="1" si="52"/>
        <v>7</v>
      </c>
      <c r="F643" s="42" t="str">
        <f t="shared" ca="1" si="53"/>
        <v>—</v>
      </c>
      <c r="G643" s="31">
        <f t="shared" ca="1" si="54"/>
        <v>7</v>
      </c>
    </row>
    <row r="644" spans="1:7" x14ac:dyDescent="0.25">
      <c r="A644" s="12">
        <f t="shared" si="50"/>
        <v>44</v>
      </c>
      <c r="B644" t="str">
        <f ca="1">TEXT(DATE(YEAR(Invoer!$A$5),1,1)+INT((ROWS(B$2:B644)-1)/2),"jjjjmmdd")</f>
        <v>19411118</v>
      </c>
      <c r="C644" s="26" t="str">
        <f>INDEX(Data,2,2+MOD(ROWS(C$2:C644)-1,2))</f>
        <v>08.00</v>
      </c>
      <c r="D644" s="41" t="str">
        <f t="shared" ca="1" si="51"/>
        <v>—</v>
      </c>
      <c r="E644" s="31">
        <f t="shared" ca="1" si="52"/>
        <v>7</v>
      </c>
      <c r="F644" s="42" t="str">
        <f t="shared" ca="1" si="53"/>
        <v>—</v>
      </c>
      <c r="G644" s="31">
        <f t="shared" ca="1" si="54"/>
        <v>7</v>
      </c>
    </row>
    <row r="645" spans="1:7" x14ac:dyDescent="0.25">
      <c r="A645" s="12">
        <f t="shared" si="50"/>
        <v>44</v>
      </c>
      <c r="B645" t="str">
        <f ca="1">TEXT(DATE(YEAR(Invoer!$A$5),1,1)+INT((ROWS(B$2:B645)-1)/2),"jjjjmmdd")</f>
        <v>19411118</v>
      </c>
      <c r="C645" s="26" t="str">
        <f>INDEX(Data,2,2+MOD(ROWS(C$2:C645)-1,2))</f>
        <v>15.00</v>
      </c>
      <c r="D645" s="41" t="str">
        <f t="shared" ca="1" si="51"/>
        <v>—</v>
      </c>
      <c r="E645" s="31">
        <f t="shared" ca="1" si="52"/>
        <v>7</v>
      </c>
      <c r="F645" s="42" t="str">
        <f t="shared" ca="1" si="53"/>
        <v>—</v>
      </c>
      <c r="G645" s="31">
        <f t="shared" ca="1" si="54"/>
        <v>7</v>
      </c>
    </row>
    <row r="646" spans="1:7" x14ac:dyDescent="0.25">
      <c r="A646" s="12">
        <f t="shared" si="50"/>
        <v>44</v>
      </c>
      <c r="B646" t="str">
        <f ca="1">TEXT(DATE(YEAR(Invoer!$A$5),1,1)+INT((ROWS(B$2:B646)-1)/2),"jjjjmmdd")</f>
        <v>19411119</v>
      </c>
      <c r="C646" s="26" t="str">
        <f>INDEX(Data,2,2+MOD(ROWS(C$2:C646)-1,2))</f>
        <v>08.00</v>
      </c>
      <c r="D646" s="41" t="str">
        <f t="shared" ca="1" si="51"/>
        <v>—</v>
      </c>
      <c r="E646" s="31">
        <f t="shared" ca="1" si="52"/>
        <v>7</v>
      </c>
      <c r="F646" s="42" t="str">
        <f t="shared" ca="1" si="53"/>
        <v>—</v>
      </c>
      <c r="G646" s="31">
        <f t="shared" ca="1" si="54"/>
        <v>7</v>
      </c>
    </row>
    <row r="647" spans="1:7" x14ac:dyDescent="0.25">
      <c r="A647" s="12">
        <f t="shared" si="50"/>
        <v>44</v>
      </c>
      <c r="B647" t="str">
        <f ca="1">TEXT(DATE(YEAR(Invoer!$A$5),1,1)+INT((ROWS(B$2:B647)-1)/2),"jjjjmmdd")</f>
        <v>19411119</v>
      </c>
      <c r="C647" s="26" t="str">
        <f>INDEX(Data,2,2+MOD(ROWS(C$2:C647)-1,2))</f>
        <v>15.00</v>
      </c>
      <c r="D647" s="41" t="str">
        <f t="shared" ca="1" si="51"/>
        <v>—</v>
      </c>
      <c r="E647" s="31">
        <f t="shared" ca="1" si="52"/>
        <v>7</v>
      </c>
      <c r="F647" s="42" t="str">
        <f t="shared" ca="1" si="53"/>
        <v>—</v>
      </c>
      <c r="G647" s="31">
        <f t="shared" ca="1" si="54"/>
        <v>7</v>
      </c>
    </row>
    <row r="648" spans="1:7" x14ac:dyDescent="0.25">
      <c r="A648" s="12">
        <f t="shared" si="50"/>
        <v>44</v>
      </c>
      <c r="B648" t="str">
        <f ca="1">TEXT(DATE(YEAR(Invoer!$A$5),1,1)+INT((ROWS(B$2:B648)-1)/2),"jjjjmmdd")</f>
        <v>19411120</v>
      </c>
      <c r="C648" s="26" t="str">
        <f>INDEX(Data,2,2+MOD(ROWS(C$2:C648)-1,2))</f>
        <v>08.00</v>
      </c>
      <c r="D648" s="41" t="str">
        <f t="shared" ca="1" si="51"/>
        <v>—</v>
      </c>
      <c r="E648" s="31">
        <f t="shared" ca="1" si="52"/>
        <v>7</v>
      </c>
      <c r="F648" s="42" t="str">
        <f t="shared" ca="1" si="53"/>
        <v>—</v>
      </c>
      <c r="G648" s="31">
        <f t="shared" ca="1" si="54"/>
        <v>7</v>
      </c>
    </row>
    <row r="649" spans="1:7" x14ac:dyDescent="0.25">
      <c r="A649" s="12">
        <f t="shared" si="50"/>
        <v>44</v>
      </c>
      <c r="B649" t="str">
        <f ca="1">TEXT(DATE(YEAR(Invoer!$A$5),1,1)+INT((ROWS(B$2:B649)-1)/2),"jjjjmmdd")</f>
        <v>19411120</v>
      </c>
      <c r="C649" s="26" t="str">
        <f>INDEX(Data,2,2+MOD(ROWS(C$2:C649)-1,2))</f>
        <v>15.00</v>
      </c>
      <c r="D649" s="41" t="str">
        <f t="shared" ca="1" si="51"/>
        <v>—</v>
      </c>
      <c r="E649" s="31">
        <f t="shared" ca="1" si="52"/>
        <v>7</v>
      </c>
      <c r="F649" s="42" t="str">
        <f t="shared" ca="1" si="53"/>
        <v>—</v>
      </c>
      <c r="G649" s="31">
        <f t="shared" ca="1" si="54"/>
        <v>7</v>
      </c>
    </row>
    <row r="650" spans="1:7" x14ac:dyDescent="0.25">
      <c r="A650" s="12">
        <f t="shared" si="50"/>
        <v>44</v>
      </c>
      <c r="B650" t="str">
        <f ca="1">TEXT(DATE(YEAR(Invoer!$A$5),1,1)+INT((ROWS(B$2:B650)-1)/2),"jjjjmmdd")</f>
        <v>19411121</v>
      </c>
      <c r="C650" s="26" t="str">
        <f>INDEX(Data,2,2+MOD(ROWS(C$2:C650)-1,2))</f>
        <v>08.00</v>
      </c>
      <c r="D650" s="41" t="str">
        <f t="shared" ca="1" si="51"/>
        <v>—</v>
      </c>
      <c r="E650" s="31">
        <f t="shared" ca="1" si="52"/>
        <v>7</v>
      </c>
      <c r="F650" s="42" t="str">
        <f t="shared" ca="1" si="53"/>
        <v>—</v>
      </c>
      <c r="G650" s="31">
        <f t="shared" ca="1" si="54"/>
        <v>7</v>
      </c>
    </row>
    <row r="651" spans="1:7" x14ac:dyDescent="0.25">
      <c r="A651" s="12">
        <f t="shared" si="50"/>
        <v>44</v>
      </c>
      <c r="B651" t="str">
        <f ca="1">TEXT(DATE(YEAR(Invoer!$A$5),1,1)+INT((ROWS(B$2:B651)-1)/2),"jjjjmmdd")</f>
        <v>19411121</v>
      </c>
      <c r="C651" s="26" t="str">
        <f>INDEX(Data,2,2+MOD(ROWS(C$2:C651)-1,2))</f>
        <v>15.00</v>
      </c>
      <c r="D651" s="41" t="str">
        <f t="shared" ca="1" si="51"/>
        <v>—</v>
      </c>
      <c r="E651" s="31">
        <f t="shared" ca="1" si="52"/>
        <v>7</v>
      </c>
      <c r="F651" s="42" t="str">
        <f t="shared" ca="1" si="53"/>
        <v>—</v>
      </c>
      <c r="G651" s="31">
        <f t="shared" ca="1" si="54"/>
        <v>7</v>
      </c>
    </row>
    <row r="652" spans="1:7" x14ac:dyDescent="0.25">
      <c r="A652" s="12">
        <f t="shared" si="50"/>
        <v>44</v>
      </c>
      <c r="B652" t="str">
        <f ca="1">TEXT(DATE(YEAR(Invoer!$A$5),1,1)+INT((ROWS(B$2:B652)-1)/2),"jjjjmmdd")</f>
        <v>19411122</v>
      </c>
      <c r="C652" s="26" t="str">
        <f>INDEX(Data,2,2+MOD(ROWS(C$2:C652)-1,2))</f>
        <v>08.00</v>
      </c>
      <c r="D652" s="41" t="str">
        <f t="shared" ca="1" si="51"/>
        <v>—</v>
      </c>
      <c r="E652" s="31">
        <f t="shared" ca="1" si="52"/>
        <v>7</v>
      </c>
      <c r="F652" s="42" t="str">
        <f t="shared" ca="1" si="53"/>
        <v>—</v>
      </c>
      <c r="G652" s="31">
        <f t="shared" ca="1" si="54"/>
        <v>7</v>
      </c>
    </row>
    <row r="653" spans="1:7" x14ac:dyDescent="0.25">
      <c r="A653" s="12">
        <f t="shared" si="50"/>
        <v>44</v>
      </c>
      <c r="B653" t="str">
        <f ca="1">TEXT(DATE(YEAR(Invoer!$A$5),1,1)+INT((ROWS(B$2:B653)-1)/2),"jjjjmmdd")</f>
        <v>19411122</v>
      </c>
      <c r="C653" s="26" t="str">
        <f>INDEX(Data,2,2+MOD(ROWS(C$2:C653)-1,2))</f>
        <v>15.00</v>
      </c>
      <c r="D653" s="41" t="str">
        <f t="shared" ca="1" si="51"/>
        <v>—</v>
      </c>
      <c r="E653" s="31">
        <f t="shared" ca="1" si="52"/>
        <v>7</v>
      </c>
      <c r="F653" s="42" t="str">
        <f t="shared" ca="1" si="53"/>
        <v>—</v>
      </c>
      <c r="G653" s="31">
        <f t="shared" ca="1" si="54"/>
        <v>7</v>
      </c>
    </row>
    <row r="654" spans="1:7" x14ac:dyDescent="0.25">
      <c r="A654" s="12">
        <f t="shared" si="50"/>
        <v>44</v>
      </c>
      <c r="B654" t="str">
        <f ca="1">TEXT(DATE(YEAR(Invoer!$A$5),1,1)+INT((ROWS(B$2:B654)-1)/2),"jjjjmmdd")</f>
        <v>19411123</v>
      </c>
      <c r="C654" s="26" t="str">
        <f>INDEX(Data,2,2+MOD(ROWS(C$2:C654)-1,2))</f>
        <v>08.00</v>
      </c>
      <c r="D654" s="41" t="str">
        <f t="shared" ca="1" si="51"/>
        <v>—</v>
      </c>
      <c r="E654" s="31">
        <f t="shared" ca="1" si="52"/>
        <v>7</v>
      </c>
      <c r="F654" s="42" t="str">
        <f t="shared" ca="1" si="53"/>
        <v>—</v>
      </c>
      <c r="G654" s="31">
        <f t="shared" ca="1" si="54"/>
        <v>7</v>
      </c>
    </row>
    <row r="655" spans="1:7" x14ac:dyDescent="0.25">
      <c r="A655" s="12">
        <f t="shared" si="50"/>
        <v>44</v>
      </c>
      <c r="B655" t="str">
        <f ca="1">TEXT(DATE(YEAR(Invoer!$A$5),1,1)+INT((ROWS(B$2:B655)-1)/2),"jjjjmmdd")</f>
        <v>19411123</v>
      </c>
      <c r="C655" s="26" t="str">
        <f>INDEX(Data,2,2+MOD(ROWS(C$2:C655)-1,2))</f>
        <v>15.00</v>
      </c>
      <c r="D655" s="41" t="str">
        <f t="shared" ca="1" si="51"/>
        <v>—</v>
      </c>
      <c r="E655" s="31">
        <f t="shared" ca="1" si="52"/>
        <v>7</v>
      </c>
      <c r="F655" s="42" t="str">
        <f t="shared" ca="1" si="53"/>
        <v>—</v>
      </c>
      <c r="G655" s="31">
        <f t="shared" ca="1" si="54"/>
        <v>7</v>
      </c>
    </row>
    <row r="656" spans="1:7" x14ac:dyDescent="0.25">
      <c r="A656" s="12">
        <f t="shared" si="50"/>
        <v>44</v>
      </c>
      <c r="B656" t="str">
        <f ca="1">TEXT(DATE(YEAR(Invoer!$A$5),1,1)+INT((ROWS(B$2:B656)-1)/2),"jjjjmmdd")</f>
        <v>19411124</v>
      </c>
      <c r="C656" s="26" t="str">
        <f>INDEX(Data,2,2+MOD(ROWS(C$2:C656)-1,2))</f>
        <v>08.00</v>
      </c>
      <c r="D656" s="41" t="str">
        <f t="shared" ca="1" si="51"/>
        <v>—</v>
      </c>
      <c r="E656" s="31">
        <f t="shared" ca="1" si="52"/>
        <v>7</v>
      </c>
      <c r="F656" s="42" t="str">
        <f t="shared" ca="1" si="53"/>
        <v>—</v>
      </c>
      <c r="G656" s="31">
        <f t="shared" ca="1" si="54"/>
        <v>7</v>
      </c>
    </row>
    <row r="657" spans="1:7" x14ac:dyDescent="0.25">
      <c r="A657" s="12">
        <f t="shared" si="50"/>
        <v>44</v>
      </c>
      <c r="B657" t="str">
        <f ca="1">TEXT(DATE(YEAR(Invoer!$A$5),1,1)+INT((ROWS(B$2:B657)-1)/2),"jjjjmmdd")</f>
        <v>19411124</v>
      </c>
      <c r="C657" s="26" t="str">
        <f>INDEX(Data,2,2+MOD(ROWS(C$2:C657)-1,2))</f>
        <v>15.00</v>
      </c>
      <c r="D657" s="41" t="str">
        <f t="shared" ca="1" si="51"/>
        <v>—</v>
      </c>
      <c r="E657" s="31">
        <f t="shared" ca="1" si="52"/>
        <v>7</v>
      </c>
      <c r="F657" s="42" t="str">
        <f t="shared" ca="1" si="53"/>
        <v>—</v>
      </c>
      <c r="G657" s="31">
        <f t="shared" ca="1" si="54"/>
        <v>7</v>
      </c>
    </row>
    <row r="658" spans="1:7" x14ac:dyDescent="0.25">
      <c r="A658" s="12">
        <f t="shared" si="50"/>
        <v>44</v>
      </c>
      <c r="B658" t="str">
        <f ca="1">TEXT(DATE(YEAR(Invoer!$A$5),1,1)+INT((ROWS(B$2:B658)-1)/2),"jjjjmmdd")</f>
        <v>19411125</v>
      </c>
      <c r="C658" s="26" t="str">
        <f>INDEX(Data,2,2+MOD(ROWS(C$2:C658)-1,2))</f>
        <v>08.00</v>
      </c>
      <c r="D658" s="41" t="str">
        <f t="shared" ca="1" si="51"/>
        <v>—</v>
      </c>
      <c r="E658" s="31">
        <f t="shared" ca="1" si="52"/>
        <v>7</v>
      </c>
      <c r="F658" s="42" t="str">
        <f t="shared" ca="1" si="53"/>
        <v>—</v>
      </c>
      <c r="G658" s="31">
        <f t="shared" ca="1" si="54"/>
        <v>7</v>
      </c>
    </row>
    <row r="659" spans="1:7" x14ac:dyDescent="0.25">
      <c r="A659" s="12">
        <f t="shared" si="50"/>
        <v>44</v>
      </c>
      <c r="B659" t="str">
        <f ca="1">TEXT(DATE(YEAR(Invoer!$A$5),1,1)+INT((ROWS(B$2:B659)-1)/2),"jjjjmmdd")</f>
        <v>19411125</v>
      </c>
      <c r="C659" s="26" t="str">
        <f>INDEX(Data,2,2+MOD(ROWS(C$2:C659)-1,2))</f>
        <v>15.00</v>
      </c>
      <c r="D659" s="41" t="str">
        <f t="shared" ca="1" si="51"/>
        <v>—</v>
      </c>
      <c r="E659" s="31">
        <f t="shared" ca="1" si="52"/>
        <v>7</v>
      </c>
      <c r="F659" s="42" t="str">
        <f t="shared" ca="1" si="53"/>
        <v>—</v>
      </c>
      <c r="G659" s="31">
        <f t="shared" ca="1" si="54"/>
        <v>7</v>
      </c>
    </row>
    <row r="660" spans="1:7" x14ac:dyDescent="0.25">
      <c r="A660" s="12">
        <f t="shared" si="50"/>
        <v>44</v>
      </c>
      <c r="B660" t="str">
        <f ca="1">TEXT(DATE(YEAR(Invoer!$A$5),1,1)+INT((ROWS(B$2:B660)-1)/2),"jjjjmmdd")</f>
        <v>19411126</v>
      </c>
      <c r="C660" s="26" t="str">
        <f>INDEX(Data,2,2+MOD(ROWS(C$2:C660)-1,2))</f>
        <v>08.00</v>
      </c>
      <c r="D660" s="41" t="str">
        <f t="shared" ca="1" si="51"/>
        <v>—</v>
      </c>
      <c r="E660" s="31">
        <f t="shared" ca="1" si="52"/>
        <v>7</v>
      </c>
      <c r="F660" s="42" t="str">
        <f t="shared" ca="1" si="53"/>
        <v>—</v>
      </c>
      <c r="G660" s="31">
        <f t="shared" ca="1" si="54"/>
        <v>7</v>
      </c>
    </row>
    <row r="661" spans="1:7" x14ac:dyDescent="0.25">
      <c r="A661" s="12">
        <f t="shared" si="50"/>
        <v>44</v>
      </c>
      <c r="B661" t="str">
        <f ca="1">TEXT(DATE(YEAR(Invoer!$A$5),1,1)+INT((ROWS(B$2:B661)-1)/2),"jjjjmmdd")</f>
        <v>19411126</v>
      </c>
      <c r="C661" s="26" t="str">
        <f>INDEX(Data,2,2+MOD(ROWS(C$2:C661)-1,2))</f>
        <v>15.00</v>
      </c>
      <c r="D661" s="41" t="str">
        <f t="shared" ca="1" si="51"/>
        <v>—</v>
      </c>
      <c r="E661" s="31">
        <f t="shared" ca="1" si="52"/>
        <v>7</v>
      </c>
      <c r="F661" s="42" t="str">
        <f t="shared" ca="1" si="53"/>
        <v>—</v>
      </c>
      <c r="G661" s="31">
        <f t="shared" ca="1" si="54"/>
        <v>7</v>
      </c>
    </row>
    <row r="662" spans="1:7" x14ac:dyDescent="0.25">
      <c r="A662" s="12">
        <f t="shared" si="50"/>
        <v>44</v>
      </c>
      <c r="B662" t="str">
        <f ca="1">TEXT(DATE(YEAR(Invoer!$A$5),1,1)+INT((ROWS(B$2:B662)-1)/2),"jjjjmmdd")</f>
        <v>19411127</v>
      </c>
      <c r="C662" s="26" t="str">
        <f>INDEX(Data,2,2+MOD(ROWS(C$2:C662)-1,2))</f>
        <v>08.00</v>
      </c>
      <c r="D662" s="41" t="str">
        <f t="shared" ca="1" si="51"/>
        <v>—</v>
      </c>
      <c r="E662" s="31">
        <f t="shared" ca="1" si="52"/>
        <v>7</v>
      </c>
      <c r="F662" s="42" t="str">
        <f t="shared" ca="1" si="53"/>
        <v>—</v>
      </c>
      <c r="G662" s="31">
        <f t="shared" ca="1" si="54"/>
        <v>7</v>
      </c>
    </row>
    <row r="663" spans="1:7" x14ac:dyDescent="0.25">
      <c r="A663" s="12">
        <f t="shared" si="50"/>
        <v>44</v>
      </c>
      <c r="B663" t="str">
        <f ca="1">TEXT(DATE(YEAR(Invoer!$A$5),1,1)+INT((ROWS(B$2:B663)-1)/2),"jjjjmmdd")</f>
        <v>19411127</v>
      </c>
      <c r="C663" s="26" t="str">
        <f>INDEX(Data,2,2+MOD(ROWS(C$2:C663)-1,2))</f>
        <v>15.00</v>
      </c>
      <c r="D663" s="41" t="str">
        <f t="shared" ca="1" si="51"/>
        <v>—</v>
      </c>
      <c r="E663" s="31">
        <f t="shared" ca="1" si="52"/>
        <v>7</v>
      </c>
      <c r="F663" s="42" t="str">
        <f t="shared" ca="1" si="53"/>
        <v>—</v>
      </c>
      <c r="G663" s="31">
        <f t="shared" ca="1" si="54"/>
        <v>7</v>
      </c>
    </row>
    <row r="664" spans="1:7" x14ac:dyDescent="0.25">
      <c r="A664" s="12">
        <f t="shared" si="50"/>
        <v>44</v>
      </c>
      <c r="B664" t="str">
        <f ca="1">TEXT(DATE(YEAR(Invoer!$A$5),1,1)+INT((ROWS(B$2:B664)-1)/2),"jjjjmmdd")</f>
        <v>19411128</v>
      </c>
      <c r="C664" s="26" t="str">
        <f>INDEX(Data,2,2+MOD(ROWS(C$2:C664)-1,2))</f>
        <v>08.00</v>
      </c>
      <c r="D664" s="41" t="str">
        <f t="shared" ca="1" si="51"/>
        <v>—</v>
      </c>
      <c r="E664" s="31">
        <f t="shared" ca="1" si="52"/>
        <v>7</v>
      </c>
      <c r="F664" s="42" t="str">
        <f t="shared" ca="1" si="53"/>
        <v>—</v>
      </c>
      <c r="G664" s="31">
        <f t="shared" ca="1" si="54"/>
        <v>7</v>
      </c>
    </row>
    <row r="665" spans="1:7" x14ac:dyDescent="0.25">
      <c r="A665" s="12">
        <f t="shared" si="50"/>
        <v>44</v>
      </c>
      <c r="B665" t="str">
        <f ca="1">TEXT(DATE(YEAR(Invoer!$A$5),1,1)+INT((ROWS(B$2:B665)-1)/2),"jjjjmmdd")</f>
        <v>19411128</v>
      </c>
      <c r="C665" s="26" t="str">
        <f>INDEX(Data,2,2+MOD(ROWS(C$2:C665)-1,2))</f>
        <v>15.00</v>
      </c>
      <c r="D665" s="41" t="str">
        <f t="shared" ca="1" si="51"/>
        <v>—</v>
      </c>
      <c r="E665" s="31">
        <f t="shared" ca="1" si="52"/>
        <v>7</v>
      </c>
      <c r="F665" s="42" t="str">
        <f t="shared" ca="1" si="53"/>
        <v>—</v>
      </c>
      <c r="G665" s="31">
        <f t="shared" ca="1" si="54"/>
        <v>7</v>
      </c>
    </row>
    <row r="666" spans="1:7" x14ac:dyDescent="0.25">
      <c r="A666" s="12">
        <f t="shared" si="50"/>
        <v>44</v>
      </c>
      <c r="B666" t="str">
        <f ca="1">TEXT(DATE(YEAR(Invoer!$A$5),1,1)+INT((ROWS(B$2:B666)-1)/2),"jjjjmmdd")</f>
        <v>19411129</v>
      </c>
      <c r="C666" s="26" t="str">
        <f>INDEX(Data,2,2+MOD(ROWS(C$2:C666)-1,2))</f>
        <v>08.00</v>
      </c>
      <c r="D666" s="41" t="str">
        <f t="shared" ca="1" si="51"/>
        <v>—</v>
      </c>
      <c r="E666" s="31">
        <f t="shared" ca="1" si="52"/>
        <v>7</v>
      </c>
      <c r="F666" s="42" t="str">
        <f t="shared" ca="1" si="53"/>
        <v>—</v>
      </c>
      <c r="G666" s="31">
        <f t="shared" ca="1" si="54"/>
        <v>7</v>
      </c>
    </row>
    <row r="667" spans="1:7" x14ac:dyDescent="0.25">
      <c r="A667" s="12">
        <f t="shared" si="50"/>
        <v>44</v>
      </c>
      <c r="B667" t="str">
        <f ca="1">TEXT(DATE(YEAR(Invoer!$A$5),1,1)+INT((ROWS(B$2:B667)-1)/2),"jjjjmmdd")</f>
        <v>19411129</v>
      </c>
      <c r="C667" s="26" t="str">
        <f>INDEX(Data,2,2+MOD(ROWS(C$2:C667)-1,2))</f>
        <v>15.00</v>
      </c>
      <c r="D667" s="41" t="str">
        <f t="shared" ca="1" si="51"/>
        <v>—</v>
      </c>
      <c r="E667" s="31">
        <f t="shared" ca="1" si="52"/>
        <v>7</v>
      </c>
      <c r="F667" s="42" t="str">
        <f t="shared" ca="1" si="53"/>
        <v>—</v>
      </c>
      <c r="G667" s="31">
        <f t="shared" ca="1" si="54"/>
        <v>7</v>
      </c>
    </row>
    <row r="668" spans="1:7" x14ac:dyDescent="0.25">
      <c r="A668" s="12">
        <f t="shared" si="50"/>
        <v>44</v>
      </c>
      <c r="B668" t="str">
        <f ca="1">TEXT(DATE(YEAR(Invoer!$A$5),1,1)+INT((ROWS(B$2:B668)-1)/2),"jjjjmmdd")</f>
        <v>19411130</v>
      </c>
      <c r="C668" s="26" t="str">
        <f>INDEX(Data,2,2+MOD(ROWS(C$2:C668)-1,2))</f>
        <v>08.00</v>
      </c>
      <c r="D668" s="41" t="str">
        <f t="shared" ca="1" si="51"/>
        <v>—</v>
      </c>
      <c r="E668" s="31">
        <f t="shared" ca="1" si="52"/>
        <v>7</v>
      </c>
      <c r="F668" s="42" t="str">
        <f t="shared" ca="1" si="53"/>
        <v>—</v>
      </c>
      <c r="G668" s="31">
        <f t="shared" ca="1" si="54"/>
        <v>7</v>
      </c>
    </row>
    <row r="669" spans="1:7" x14ac:dyDescent="0.25">
      <c r="A669" s="12">
        <f t="shared" si="50"/>
        <v>44</v>
      </c>
      <c r="B669" t="str">
        <f ca="1">TEXT(DATE(YEAR(Invoer!$A$5),1,1)+INT((ROWS(B$2:B669)-1)/2),"jjjjmmdd")</f>
        <v>19411130</v>
      </c>
      <c r="C669" s="26" t="str">
        <f>INDEX(Data,2,2+MOD(ROWS(C$2:C669)-1,2))</f>
        <v>15.00</v>
      </c>
      <c r="D669" s="41" t="str">
        <f t="shared" ca="1" si="51"/>
        <v>—</v>
      </c>
      <c r="E669" s="31">
        <f t="shared" ca="1" si="52"/>
        <v>7</v>
      </c>
      <c r="F669" s="42" t="str">
        <f t="shared" ca="1" si="53"/>
        <v>—</v>
      </c>
      <c r="G669" s="31">
        <f t="shared" ca="1" si="54"/>
        <v>7</v>
      </c>
    </row>
    <row r="670" spans="1:7" x14ac:dyDescent="0.25">
      <c r="A670" s="12">
        <f t="shared" si="50"/>
        <v>44</v>
      </c>
      <c r="B670" t="str">
        <f ca="1">TEXT(DATE(YEAR(Invoer!$A$5),1,1)+INT((ROWS(B$2:B670)-1)/2),"jjjjmmdd")</f>
        <v>19411201</v>
      </c>
      <c r="C670" s="26" t="str">
        <f>INDEX(Data,2,2+MOD(ROWS(C$2:C670)-1,2))</f>
        <v>08.00</v>
      </c>
      <c r="D670" s="41" t="str">
        <f t="shared" ca="1" si="51"/>
        <v>—</v>
      </c>
      <c r="E670" s="31">
        <f t="shared" ca="1" si="52"/>
        <v>7</v>
      </c>
      <c r="F670" s="42" t="str">
        <f t="shared" ca="1" si="53"/>
        <v>—</v>
      </c>
      <c r="G670" s="31">
        <f t="shared" ca="1" si="54"/>
        <v>7</v>
      </c>
    </row>
    <row r="671" spans="1:7" x14ac:dyDescent="0.25">
      <c r="A671" s="12">
        <f t="shared" si="50"/>
        <v>44</v>
      </c>
      <c r="B671" t="str">
        <f ca="1">TEXT(DATE(YEAR(Invoer!$A$5),1,1)+INT((ROWS(B$2:B671)-1)/2),"jjjjmmdd")</f>
        <v>19411201</v>
      </c>
      <c r="C671" s="26" t="str">
        <f>INDEX(Data,2,2+MOD(ROWS(C$2:C671)-1,2))</f>
        <v>15.00</v>
      </c>
      <c r="D671" s="41" t="str">
        <f t="shared" ca="1" si="51"/>
        <v>—</v>
      </c>
      <c r="E671" s="31">
        <f t="shared" ca="1" si="52"/>
        <v>7</v>
      </c>
      <c r="F671" s="42" t="str">
        <f t="shared" ca="1" si="53"/>
        <v>—</v>
      </c>
      <c r="G671" s="31">
        <f t="shared" ca="1" si="54"/>
        <v>7</v>
      </c>
    </row>
    <row r="672" spans="1:7" x14ac:dyDescent="0.25">
      <c r="A672" s="12">
        <f t="shared" si="50"/>
        <v>44</v>
      </c>
      <c r="B672" t="str">
        <f ca="1">TEXT(DATE(YEAR(Invoer!$A$5),1,1)+INT((ROWS(B$2:B672)-1)/2),"jjjjmmdd")</f>
        <v>19411202</v>
      </c>
      <c r="C672" s="26" t="str">
        <f>INDEX(Data,2,2+MOD(ROWS(C$2:C672)-1,2))</f>
        <v>08.00</v>
      </c>
      <c r="D672" s="41" t="str">
        <f t="shared" ca="1" si="51"/>
        <v>—</v>
      </c>
      <c r="E672" s="31">
        <f t="shared" ca="1" si="52"/>
        <v>7</v>
      </c>
      <c r="F672" s="42" t="str">
        <f t="shared" ca="1" si="53"/>
        <v>—</v>
      </c>
      <c r="G672" s="31">
        <f t="shared" ca="1" si="54"/>
        <v>7</v>
      </c>
    </row>
    <row r="673" spans="1:7" x14ac:dyDescent="0.25">
      <c r="A673" s="12">
        <f t="shared" si="50"/>
        <v>44</v>
      </c>
      <c r="B673" t="str">
        <f ca="1">TEXT(DATE(YEAR(Invoer!$A$5),1,1)+INT((ROWS(B$2:B673)-1)/2),"jjjjmmdd")</f>
        <v>19411202</v>
      </c>
      <c r="C673" s="26" t="str">
        <f>INDEX(Data,2,2+MOD(ROWS(C$2:C673)-1,2))</f>
        <v>15.00</v>
      </c>
      <c r="D673" s="41" t="str">
        <f t="shared" ca="1" si="51"/>
        <v>—</v>
      </c>
      <c r="E673" s="31">
        <f t="shared" ca="1" si="52"/>
        <v>7</v>
      </c>
      <c r="F673" s="42" t="str">
        <f t="shared" ca="1" si="53"/>
        <v>—</v>
      </c>
      <c r="G673" s="31">
        <f t="shared" ca="1" si="54"/>
        <v>7</v>
      </c>
    </row>
    <row r="674" spans="1:7" x14ac:dyDescent="0.25">
      <c r="A674" s="12">
        <f t="shared" si="50"/>
        <v>44</v>
      </c>
      <c r="B674" t="str">
        <f ca="1">TEXT(DATE(YEAR(Invoer!$A$5),1,1)+INT((ROWS(B$2:B674)-1)/2),"jjjjmmdd")</f>
        <v>19411203</v>
      </c>
      <c r="C674" s="26" t="str">
        <f>INDEX(Data,2,2+MOD(ROWS(C$2:C674)-1,2))</f>
        <v>08.00</v>
      </c>
      <c r="D674" s="41" t="str">
        <f t="shared" ca="1" si="51"/>
        <v>—</v>
      </c>
      <c r="E674" s="31">
        <f t="shared" ca="1" si="52"/>
        <v>7</v>
      </c>
      <c r="F674" s="42" t="str">
        <f t="shared" ca="1" si="53"/>
        <v>—</v>
      </c>
      <c r="G674" s="31">
        <f t="shared" ca="1" si="54"/>
        <v>7</v>
      </c>
    </row>
    <row r="675" spans="1:7" x14ac:dyDescent="0.25">
      <c r="A675" s="12">
        <f t="shared" si="50"/>
        <v>44</v>
      </c>
      <c r="B675" t="str">
        <f ca="1">TEXT(DATE(YEAR(Invoer!$A$5),1,1)+INT((ROWS(B$2:B675)-1)/2),"jjjjmmdd")</f>
        <v>19411203</v>
      </c>
      <c r="C675" s="26" t="str">
        <f>INDEX(Data,2,2+MOD(ROWS(C$2:C675)-1,2))</f>
        <v>15.00</v>
      </c>
      <c r="D675" s="41" t="str">
        <f t="shared" ca="1" si="51"/>
        <v>—</v>
      </c>
      <c r="E675" s="31">
        <f t="shared" ca="1" si="52"/>
        <v>7</v>
      </c>
      <c r="F675" s="42" t="str">
        <f t="shared" ca="1" si="53"/>
        <v>—</v>
      </c>
      <c r="G675" s="31">
        <f t="shared" ca="1" si="54"/>
        <v>7</v>
      </c>
    </row>
    <row r="676" spans="1:7" x14ac:dyDescent="0.25">
      <c r="A676" s="12">
        <f t="shared" si="50"/>
        <v>44</v>
      </c>
      <c r="B676" t="str">
        <f ca="1">TEXT(DATE(YEAR(Invoer!$A$5),1,1)+INT((ROWS(B$2:B676)-1)/2),"jjjjmmdd")</f>
        <v>19411204</v>
      </c>
      <c r="C676" s="26" t="str">
        <f>INDEX(Data,2,2+MOD(ROWS(C$2:C676)-1,2))</f>
        <v>08.00</v>
      </c>
      <c r="D676" s="41" t="str">
        <f t="shared" ca="1" si="51"/>
        <v>—</v>
      </c>
      <c r="E676" s="31">
        <f t="shared" ca="1" si="52"/>
        <v>7</v>
      </c>
      <c r="F676" s="42" t="str">
        <f t="shared" ca="1" si="53"/>
        <v>—</v>
      </c>
      <c r="G676" s="31">
        <f t="shared" ca="1" si="54"/>
        <v>7</v>
      </c>
    </row>
    <row r="677" spans="1:7" x14ac:dyDescent="0.25">
      <c r="A677" s="12">
        <f t="shared" si="50"/>
        <v>44</v>
      </c>
      <c r="B677" t="str">
        <f ca="1">TEXT(DATE(YEAR(Invoer!$A$5),1,1)+INT((ROWS(B$2:B677)-1)/2),"jjjjmmdd")</f>
        <v>19411204</v>
      </c>
      <c r="C677" s="26" t="str">
        <f>INDEX(Data,2,2+MOD(ROWS(C$2:C677)-1,2))</f>
        <v>15.00</v>
      </c>
      <c r="D677" s="41" t="str">
        <f t="shared" ca="1" si="51"/>
        <v>—</v>
      </c>
      <c r="E677" s="31">
        <f t="shared" ca="1" si="52"/>
        <v>7</v>
      </c>
      <c r="F677" s="42" t="str">
        <f t="shared" ca="1" si="53"/>
        <v>—</v>
      </c>
      <c r="G677" s="31">
        <f t="shared" ca="1" si="54"/>
        <v>7</v>
      </c>
    </row>
    <row r="678" spans="1:7" x14ac:dyDescent="0.25">
      <c r="A678" s="12">
        <f t="shared" si="50"/>
        <v>44</v>
      </c>
      <c r="B678" t="str">
        <f ca="1">TEXT(DATE(YEAR(Invoer!$A$5),1,1)+INT((ROWS(B$2:B678)-1)/2),"jjjjmmdd")</f>
        <v>19411205</v>
      </c>
      <c r="C678" s="26" t="str">
        <f>INDEX(Data,2,2+MOD(ROWS(C$2:C678)-1,2))</f>
        <v>08.00</v>
      </c>
      <c r="D678" s="41" t="str">
        <f t="shared" ca="1" si="51"/>
        <v>—</v>
      </c>
      <c r="E678" s="31">
        <f t="shared" ca="1" si="52"/>
        <v>7</v>
      </c>
      <c r="F678" s="42" t="str">
        <f t="shared" ca="1" si="53"/>
        <v>—</v>
      </c>
      <c r="G678" s="31">
        <f t="shared" ca="1" si="54"/>
        <v>7</v>
      </c>
    </row>
    <row r="679" spans="1:7" x14ac:dyDescent="0.25">
      <c r="A679" s="12">
        <f t="shared" si="50"/>
        <v>44</v>
      </c>
      <c r="B679" t="str">
        <f ca="1">TEXT(DATE(YEAR(Invoer!$A$5),1,1)+INT((ROWS(B$2:B679)-1)/2),"jjjjmmdd")</f>
        <v>19411205</v>
      </c>
      <c r="C679" s="26" t="str">
        <f>INDEX(Data,2,2+MOD(ROWS(C$2:C679)-1,2))</f>
        <v>15.00</v>
      </c>
      <c r="D679" s="41" t="str">
        <f t="shared" ca="1" si="51"/>
        <v>—</v>
      </c>
      <c r="E679" s="31">
        <f t="shared" ca="1" si="52"/>
        <v>7</v>
      </c>
      <c r="F679" s="42" t="str">
        <f t="shared" ca="1" si="53"/>
        <v>—</v>
      </c>
      <c r="G679" s="31">
        <f t="shared" ca="1" si="54"/>
        <v>7</v>
      </c>
    </row>
    <row r="680" spans="1:7" x14ac:dyDescent="0.25">
      <c r="A680" s="12">
        <f t="shared" si="50"/>
        <v>44</v>
      </c>
      <c r="B680" t="str">
        <f ca="1">TEXT(DATE(YEAR(Invoer!$A$5),1,1)+INT((ROWS(B$2:B680)-1)/2),"jjjjmmdd")</f>
        <v>19411206</v>
      </c>
      <c r="C680" s="26" t="str">
        <f>INDEX(Data,2,2+MOD(ROWS(C$2:C680)-1,2))</f>
        <v>08.00</v>
      </c>
      <c r="D680" s="41" t="str">
        <f t="shared" ca="1" si="51"/>
        <v>—</v>
      </c>
      <c r="E680" s="31">
        <f t="shared" ca="1" si="52"/>
        <v>7</v>
      </c>
      <c r="F680" s="42" t="str">
        <f t="shared" ca="1" si="53"/>
        <v>—</v>
      </c>
      <c r="G680" s="31">
        <f t="shared" ca="1" si="54"/>
        <v>7</v>
      </c>
    </row>
    <row r="681" spans="1:7" x14ac:dyDescent="0.25">
      <c r="A681" s="12">
        <f t="shared" si="50"/>
        <v>44</v>
      </c>
      <c r="B681" t="str">
        <f ca="1">TEXT(DATE(YEAR(Invoer!$A$5),1,1)+INT((ROWS(B$2:B681)-1)/2),"jjjjmmdd")</f>
        <v>19411206</v>
      </c>
      <c r="C681" s="26" t="str">
        <f>INDEX(Data,2,2+MOD(ROWS(C$2:C681)-1,2))</f>
        <v>15.00</v>
      </c>
      <c r="D681" s="41" t="str">
        <f t="shared" ca="1" si="51"/>
        <v>—</v>
      </c>
      <c r="E681" s="31">
        <f t="shared" ca="1" si="52"/>
        <v>7</v>
      </c>
      <c r="F681" s="42" t="str">
        <f t="shared" ca="1" si="53"/>
        <v>—</v>
      </c>
      <c r="G681" s="31">
        <f t="shared" ca="1" si="54"/>
        <v>7</v>
      </c>
    </row>
    <row r="682" spans="1:7" x14ac:dyDescent="0.25">
      <c r="A682" s="12">
        <f t="shared" si="50"/>
        <v>44</v>
      </c>
      <c r="B682" t="str">
        <f ca="1">TEXT(DATE(YEAR(Invoer!$A$5),1,1)+INT((ROWS(B$2:B682)-1)/2),"jjjjmmdd")</f>
        <v>19411207</v>
      </c>
      <c r="C682" s="26" t="str">
        <f>INDEX(Data,2,2+MOD(ROWS(C$2:C682)-1,2))</f>
        <v>08.00</v>
      </c>
      <c r="D682" s="41" t="str">
        <f t="shared" ca="1" si="51"/>
        <v>—</v>
      </c>
      <c r="E682" s="31">
        <f t="shared" ca="1" si="52"/>
        <v>7</v>
      </c>
      <c r="F682" s="42" t="str">
        <f t="shared" ca="1" si="53"/>
        <v>—</v>
      </c>
      <c r="G682" s="31">
        <f t="shared" ca="1" si="54"/>
        <v>7</v>
      </c>
    </row>
    <row r="683" spans="1:7" x14ac:dyDescent="0.25">
      <c r="A683" s="12">
        <f t="shared" si="50"/>
        <v>44</v>
      </c>
      <c r="B683" t="str">
        <f ca="1">TEXT(DATE(YEAR(Invoer!$A$5),1,1)+INT((ROWS(B$2:B683)-1)/2),"jjjjmmdd")</f>
        <v>19411207</v>
      </c>
      <c r="C683" s="26" t="str">
        <f>INDEX(Data,2,2+MOD(ROWS(C$2:C683)-1,2))</f>
        <v>15.00</v>
      </c>
      <c r="D683" s="41" t="str">
        <f t="shared" ca="1" si="51"/>
        <v>—</v>
      </c>
      <c r="E683" s="31">
        <f t="shared" ca="1" si="52"/>
        <v>7</v>
      </c>
      <c r="F683" s="42" t="str">
        <f t="shared" ca="1" si="53"/>
        <v>—</v>
      </c>
      <c r="G683" s="31">
        <f t="shared" ca="1" si="54"/>
        <v>7</v>
      </c>
    </row>
    <row r="684" spans="1:7" x14ac:dyDescent="0.25">
      <c r="A684" s="12">
        <f t="shared" si="50"/>
        <v>44</v>
      </c>
      <c r="B684" t="str">
        <f ca="1">TEXT(DATE(YEAR(Invoer!$A$5),1,1)+INT((ROWS(B$2:B684)-1)/2),"jjjjmmdd")</f>
        <v>19411208</v>
      </c>
      <c r="C684" s="26" t="str">
        <f>INDEX(Data,2,2+MOD(ROWS(C$2:C684)-1,2))</f>
        <v>08.00</v>
      </c>
      <c r="D684" s="41" t="str">
        <f t="shared" ca="1" si="51"/>
        <v>—</v>
      </c>
      <c r="E684" s="31">
        <f t="shared" ca="1" si="52"/>
        <v>7</v>
      </c>
      <c r="F684" s="42" t="str">
        <f t="shared" ca="1" si="53"/>
        <v>—</v>
      </c>
      <c r="G684" s="31">
        <f t="shared" ca="1" si="54"/>
        <v>7</v>
      </c>
    </row>
    <row r="685" spans="1:7" x14ac:dyDescent="0.25">
      <c r="A685" s="12">
        <f t="shared" si="50"/>
        <v>44</v>
      </c>
      <c r="B685" t="str">
        <f ca="1">TEXT(DATE(YEAR(Invoer!$A$5),1,1)+INT((ROWS(B$2:B685)-1)/2),"jjjjmmdd")</f>
        <v>19411208</v>
      </c>
      <c r="C685" s="26" t="str">
        <f>INDEX(Data,2,2+MOD(ROWS(C$2:C685)-1,2))</f>
        <v>15.00</v>
      </c>
      <c r="D685" s="41" t="str">
        <f t="shared" ca="1" si="51"/>
        <v>—</v>
      </c>
      <c r="E685" s="31">
        <f t="shared" ca="1" si="52"/>
        <v>7</v>
      </c>
      <c r="F685" s="42" t="str">
        <f t="shared" ca="1" si="53"/>
        <v>—</v>
      </c>
      <c r="G685" s="31">
        <f t="shared" ca="1" si="54"/>
        <v>7</v>
      </c>
    </row>
    <row r="686" spans="1:7" x14ac:dyDescent="0.25">
      <c r="A686" s="12">
        <f t="shared" si="50"/>
        <v>44</v>
      </c>
      <c r="B686" t="str">
        <f ca="1">TEXT(DATE(YEAR(Invoer!$A$5),1,1)+INT((ROWS(B$2:B686)-1)/2),"jjjjmmdd")</f>
        <v>19411209</v>
      </c>
      <c r="C686" s="26" t="str">
        <f>INDEX(Data,2,2+MOD(ROWS(C$2:C686)-1,2))</f>
        <v>08.00</v>
      </c>
      <c r="D686" s="41" t="str">
        <f t="shared" ca="1" si="51"/>
        <v>—</v>
      </c>
      <c r="E686" s="31">
        <f t="shared" ca="1" si="52"/>
        <v>7</v>
      </c>
      <c r="F686" s="42" t="str">
        <f t="shared" ca="1" si="53"/>
        <v>—</v>
      </c>
      <c r="G686" s="31">
        <f t="shared" ca="1" si="54"/>
        <v>7</v>
      </c>
    </row>
    <row r="687" spans="1:7" x14ac:dyDescent="0.25">
      <c r="A687" s="12">
        <f t="shared" si="50"/>
        <v>44</v>
      </c>
      <c r="B687" t="str">
        <f ca="1">TEXT(DATE(YEAR(Invoer!$A$5),1,1)+INT((ROWS(B$2:B687)-1)/2),"jjjjmmdd")</f>
        <v>19411209</v>
      </c>
      <c r="C687" s="26" t="str">
        <f>INDEX(Data,2,2+MOD(ROWS(C$2:C687)-1,2))</f>
        <v>15.00</v>
      </c>
      <c r="D687" s="41" t="str">
        <f t="shared" ca="1" si="51"/>
        <v>—</v>
      </c>
      <c r="E687" s="31">
        <f t="shared" ca="1" si="52"/>
        <v>7</v>
      </c>
      <c r="F687" s="42" t="str">
        <f t="shared" ca="1" si="53"/>
        <v>—</v>
      </c>
      <c r="G687" s="31">
        <f t="shared" ca="1" si="54"/>
        <v>7</v>
      </c>
    </row>
    <row r="688" spans="1:7" x14ac:dyDescent="0.25">
      <c r="A688" s="12">
        <f t="shared" si="50"/>
        <v>44</v>
      </c>
      <c r="B688" t="str">
        <f ca="1">TEXT(DATE(YEAR(Invoer!$A$5),1,1)+INT((ROWS(B$2:B688)-1)/2),"jjjjmmdd")</f>
        <v>19411210</v>
      </c>
      <c r="C688" s="26" t="str">
        <f>INDEX(Data,2,2+MOD(ROWS(C$2:C688)-1,2))</f>
        <v>08.00</v>
      </c>
      <c r="D688" s="41" t="str">
        <f t="shared" ca="1" si="51"/>
        <v>—</v>
      </c>
      <c r="E688" s="31">
        <f t="shared" ca="1" si="52"/>
        <v>7</v>
      </c>
      <c r="F688" s="42" t="str">
        <f t="shared" ca="1" si="53"/>
        <v>—</v>
      </c>
      <c r="G688" s="31">
        <f t="shared" ca="1" si="54"/>
        <v>7</v>
      </c>
    </row>
    <row r="689" spans="1:7" x14ac:dyDescent="0.25">
      <c r="A689" s="12">
        <f t="shared" si="50"/>
        <v>44</v>
      </c>
      <c r="B689" t="str">
        <f ca="1">TEXT(DATE(YEAR(Invoer!$A$5),1,1)+INT((ROWS(B$2:B689)-1)/2),"jjjjmmdd")</f>
        <v>19411210</v>
      </c>
      <c r="C689" s="26" t="str">
        <f>INDEX(Data,2,2+MOD(ROWS(C$2:C689)-1,2))</f>
        <v>15.00</v>
      </c>
      <c r="D689" s="41" t="str">
        <f t="shared" ca="1" si="51"/>
        <v>—</v>
      </c>
      <c r="E689" s="31">
        <f t="shared" ca="1" si="52"/>
        <v>7</v>
      </c>
      <c r="F689" s="42" t="str">
        <f t="shared" ca="1" si="53"/>
        <v>—</v>
      </c>
      <c r="G689" s="31">
        <f t="shared" ca="1" si="54"/>
        <v>7</v>
      </c>
    </row>
    <row r="690" spans="1:7" x14ac:dyDescent="0.25">
      <c r="A690" s="12">
        <f t="shared" si="50"/>
        <v>44</v>
      </c>
      <c r="B690" t="str">
        <f ca="1">TEXT(DATE(YEAR(Invoer!$A$5),1,1)+INT((ROWS(B$2:B690)-1)/2),"jjjjmmdd")</f>
        <v>19411211</v>
      </c>
      <c r="C690" s="26" t="str">
        <f>INDEX(Data,2,2+MOD(ROWS(C$2:C690)-1,2))</f>
        <v>08.00</v>
      </c>
      <c r="D690" s="41" t="str">
        <f t="shared" ca="1" si="51"/>
        <v>—</v>
      </c>
      <c r="E690" s="31">
        <f t="shared" ca="1" si="52"/>
        <v>7</v>
      </c>
      <c r="F690" s="42" t="str">
        <f t="shared" ca="1" si="53"/>
        <v>—</v>
      </c>
      <c r="G690" s="31">
        <f t="shared" ca="1" si="54"/>
        <v>7</v>
      </c>
    </row>
    <row r="691" spans="1:7" x14ac:dyDescent="0.25">
      <c r="A691" s="12">
        <f t="shared" si="50"/>
        <v>44</v>
      </c>
      <c r="B691" t="str">
        <f ca="1">TEXT(DATE(YEAR(Invoer!$A$5),1,1)+INT((ROWS(B$2:B691)-1)/2),"jjjjmmdd")</f>
        <v>19411211</v>
      </c>
      <c r="C691" s="26" t="str">
        <f>INDEX(Data,2,2+MOD(ROWS(C$2:C691)-1,2))</f>
        <v>15.00</v>
      </c>
      <c r="D691" s="41" t="str">
        <f t="shared" ca="1" si="51"/>
        <v>—</v>
      </c>
      <c r="E691" s="31">
        <f t="shared" ca="1" si="52"/>
        <v>7</v>
      </c>
      <c r="F691" s="42" t="str">
        <f t="shared" ca="1" si="53"/>
        <v>—</v>
      </c>
      <c r="G691" s="31">
        <f t="shared" ca="1" si="54"/>
        <v>7</v>
      </c>
    </row>
    <row r="692" spans="1:7" x14ac:dyDescent="0.25">
      <c r="A692" s="12">
        <f t="shared" si="50"/>
        <v>44</v>
      </c>
      <c r="B692" t="str">
        <f ca="1">TEXT(DATE(YEAR(Invoer!$A$5),1,1)+INT((ROWS(B$2:B692)-1)/2),"jjjjmmdd")</f>
        <v>19411212</v>
      </c>
      <c r="C692" s="26" t="str">
        <f>INDEX(Data,2,2+MOD(ROWS(C$2:C692)-1,2))</f>
        <v>08.00</v>
      </c>
      <c r="D692" s="41" t="str">
        <f t="shared" ca="1" si="51"/>
        <v>—</v>
      </c>
      <c r="E692" s="31">
        <f t="shared" ca="1" si="52"/>
        <v>7</v>
      </c>
      <c r="F692" s="42" t="str">
        <f t="shared" ca="1" si="53"/>
        <v>—</v>
      </c>
      <c r="G692" s="31">
        <f t="shared" ca="1" si="54"/>
        <v>7</v>
      </c>
    </row>
    <row r="693" spans="1:7" x14ac:dyDescent="0.25">
      <c r="A693" s="12">
        <f t="shared" si="50"/>
        <v>44</v>
      </c>
      <c r="B693" t="str">
        <f ca="1">TEXT(DATE(YEAR(Invoer!$A$5),1,1)+INT((ROWS(B$2:B693)-1)/2),"jjjjmmdd")</f>
        <v>19411212</v>
      </c>
      <c r="C693" s="26" t="str">
        <f>INDEX(Data,2,2+MOD(ROWS(C$2:C693)-1,2))</f>
        <v>15.00</v>
      </c>
      <c r="D693" s="41" t="str">
        <f t="shared" ca="1" si="51"/>
        <v>—</v>
      </c>
      <c r="E693" s="31">
        <f t="shared" ca="1" si="52"/>
        <v>7</v>
      </c>
      <c r="F693" s="42" t="str">
        <f t="shared" ca="1" si="53"/>
        <v>—</v>
      </c>
      <c r="G693" s="31">
        <f t="shared" ca="1" si="54"/>
        <v>7</v>
      </c>
    </row>
    <row r="694" spans="1:7" x14ac:dyDescent="0.25">
      <c r="A694" s="12">
        <f t="shared" si="50"/>
        <v>44</v>
      </c>
      <c r="B694" t="str">
        <f ca="1">TEXT(DATE(YEAR(Invoer!$A$5),1,1)+INT((ROWS(B$2:B694)-1)/2),"jjjjmmdd")</f>
        <v>19411213</v>
      </c>
      <c r="C694" s="26" t="str">
        <f>INDEX(Data,2,2+MOD(ROWS(C$2:C694)-1,2))</f>
        <v>08.00</v>
      </c>
      <c r="D694" s="41" t="str">
        <f t="shared" ca="1" si="51"/>
        <v>—</v>
      </c>
      <c r="E694" s="31">
        <f t="shared" ca="1" si="52"/>
        <v>7</v>
      </c>
      <c r="F694" s="42" t="str">
        <f t="shared" ca="1" si="53"/>
        <v>—</v>
      </c>
      <c r="G694" s="31">
        <f t="shared" ca="1" si="54"/>
        <v>7</v>
      </c>
    </row>
    <row r="695" spans="1:7" x14ac:dyDescent="0.25">
      <c r="A695" s="12">
        <f t="shared" si="50"/>
        <v>44</v>
      </c>
      <c r="B695" t="str">
        <f ca="1">TEXT(DATE(YEAR(Invoer!$A$5),1,1)+INT((ROWS(B$2:B695)-1)/2),"jjjjmmdd")</f>
        <v>19411213</v>
      </c>
      <c r="C695" s="26" t="str">
        <f>INDEX(Data,2,2+MOD(ROWS(C$2:C695)-1,2))</f>
        <v>15.00</v>
      </c>
      <c r="D695" s="41" t="str">
        <f t="shared" ca="1" si="51"/>
        <v>—</v>
      </c>
      <c r="E695" s="31">
        <f t="shared" ca="1" si="52"/>
        <v>7</v>
      </c>
      <c r="F695" s="42" t="str">
        <f t="shared" ca="1" si="53"/>
        <v>—</v>
      </c>
      <c r="G695" s="31">
        <f t="shared" ca="1" si="54"/>
        <v>7</v>
      </c>
    </row>
    <row r="696" spans="1:7" x14ac:dyDescent="0.25">
      <c r="A696" s="12">
        <f t="shared" si="50"/>
        <v>44</v>
      </c>
      <c r="B696" t="str">
        <f ca="1">TEXT(DATE(YEAR(Invoer!$A$5),1,1)+INT((ROWS(B$2:B696)-1)/2),"jjjjmmdd")</f>
        <v>19411214</v>
      </c>
      <c r="C696" s="26" t="str">
        <f>INDEX(Data,2,2+MOD(ROWS(C$2:C696)-1,2))</f>
        <v>08.00</v>
      </c>
      <c r="D696" s="41" t="str">
        <f t="shared" ca="1" si="51"/>
        <v>—</v>
      </c>
      <c r="E696" s="31">
        <f t="shared" ca="1" si="52"/>
        <v>7</v>
      </c>
      <c r="F696" s="42" t="str">
        <f t="shared" ca="1" si="53"/>
        <v>—</v>
      </c>
      <c r="G696" s="31">
        <f t="shared" ca="1" si="54"/>
        <v>7</v>
      </c>
    </row>
    <row r="697" spans="1:7" x14ac:dyDescent="0.25">
      <c r="A697" s="12">
        <f t="shared" si="50"/>
        <v>44</v>
      </c>
      <c r="B697" t="str">
        <f ca="1">TEXT(DATE(YEAR(Invoer!$A$5),1,1)+INT((ROWS(B$2:B697)-1)/2),"jjjjmmdd")</f>
        <v>19411214</v>
      </c>
      <c r="C697" s="26" t="str">
        <f>INDEX(Data,2,2+MOD(ROWS(C$2:C697)-1,2))</f>
        <v>15.00</v>
      </c>
      <c r="D697" s="41" t="str">
        <f t="shared" ca="1" si="51"/>
        <v>—</v>
      </c>
      <c r="E697" s="31">
        <f t="shared" ca="1" si="52"/>
        <v>7</v>
      </c>
      <c r="F697" s="42" t="str">
        <f t="shared" ca="1" si="53"/>
        <v>—</v>
      </c>
      <c r="G697" s="31">
        <f t="shared" ca="1" si="54"/>
        <v>7</v>
      </c>
    </row>
    <row r="698" spans="1:7" x14ac:dyDescent="0.25">
      <c r="A698" s="12">
        <f t="shared" si="50"/>
        <v>44</v>
      </c>
      <c r="B698" t="str">
        <f ca="1">TEXT(DATE(YEAR(Invoer!$A$5),1,1)+INT((ROWS(B$2:B698)-1)/2),"jjjjmmdd")</f>
        <v>19411215</v>
      </c>
      <c r="C698" s="26" t="str">
        <f>INDEX(Data,2,2+MOD(ROWS(C$2:C698)-1,2))</f>
        <v>08.00</v>
      </c>
      <c r="D698" s="41" t="str">
        <f t="shared" ca="1" si="51"/>
        <v>—</v>
      </c>
      <c r="E698" s="31">
        <f t="shared" ca="1" si="52"/>
        <v>7</v>
      </c>
      <c r="F698" s="42" t="str">
        <f t="shared" ca="1" si="53"/>
        <v>—</v>
      </c>
      <c r="G698" s="31">
        <f t="shared" ca="1" si="54"/>
        <v>7</v>
      </c>
    </row>
    <row r="699" spans="1:7" x14ac:dyDescent="0.25">
      <c r="A699" s="12">
        <f t="shared" si="50"/>
        <v>44</v>
      </c>
      <c r="B699" t="str">
        <f ca="1">TEXT(DATE(YEAR(Invoer!$A$5),1,1)+INT((ROWS(B$2:B699)-1)/2),"jjjjmmdd")</f>
        <v>19411215</v>
      </c>
      <c r="C699" s="26" t="str">
        <f>INDEX(Data,2,2+MOD(ROWS(C$2:C699)-1,2))</f>
        <v>15.00</v>
      </c>
      <c r="D699" s="41" t="str">
        <f t="shared" ca="1" si="51"/>
        <v>—</v>
      </c>
      <c r="E699" s="31">
        <f t="shared" ca="1" si="52"/>
        <v>7</v>
      </c>
      <c r="F699" s="42" t="str">
        <f t="shared" ca="1" si="53"/>
        <v>—</v>
      </c>
      <c r="G699" s="31">
        <f t="shared" ca="1" si="54"/>
        <v>7</v>
      </c>
    </row>
    <row r="700" spans="1:7" x14ac:dyDescent="0.25">
      <c r="A700" s="12">
        <f t="shared" si="50"/>
        <v>44</v>
      </c>
      <c r="B700" t="str">
        <f ca="1">TEXT(DATE(YEAR(Invoer!$A$5),1,1)+INT((ROWS(B$2:B700)-1)/2),"jjjjmmdd")</f>
        <v>19411216</v>
      </c>
      <c r="C700" s="26" t="str">
        <f>INDEX(Data,2,2+MOD(ROWS(C$2:C700)-1,2))</f>
        <v>08.00</v>
      </c>
      <c r="D700" s="41" t="str">
        <f t="shared" ca="1" si="51"/>
        <v>—</v>
      </c>
      <c r="E700" s="31">
        <f t="shared" ca="1" si="52"/>
        <v>7</v>
      </c>
      <c r="F700" s="42" t="str">
        <f t="shared" ca="1" si="53"/>
        <v>—</v>
      </c>
      <c r="G700" s="31">
        <f t="shared" ca="1" si="54"/>
        <v>7</v>
      </c>
    </row>
    <row r="701" spans="1:7" x14ac:dyDescent="0.25">
      <c r="A701" s="12">
        <f t="shared" si="50"/>
        <v>44</v>
      </c>
      <c r="B701" t="str">
        <f ca="1">TEXT(DATE(YEAR(Invoer!$A$5),1,1)+INT((ROWS(B$2:B701)-1)/2),"jjjjmmdd")</f>
        <v>19411216</v>
      </c>
      <c r="C701" s="26" t="str">
        <f>INDEX(Data,2,2+MOD(ROWS(C$2:C701)-1,2))</f>
        <v>15.00</v>
      </c>
      <c r="D701" s="41" t="str">
        <f t="shared" ca="1" si="51"/>
        <v>—</v>
      </c>
      <c r="E701" s="31">
        <f t="shared" ca="1" si="52"/>
        <v>7</v>
      </c>
      <c r="F701" s="42" t="str">
        <f t="shared" ca="1" si="53"/>
        <v>—</v>
      </c>
      <c r="G701" s="31">
        <f t="shared" ca="1" si="54"/>
        <v>7</v>
      </c>
    </row>
    <row r="702" spans="1:7" x14ac:dyDescent="0.25">
      <c r="A702" s="12">
        <f t="shared" si="50"/>
        <v>44</v>
      </c>
      <c r="B702" t="str">
        <f ca="1">TEXT(DATE(YEAR(Invoer!$A$5),1,1)+INT((ROWS(B$2:B702)-1)/2),"jjjjmmdd")</f>
        <v>19411217</v>
      </c>
      <c r="C702" s="26" t="str">
        <f>INDEX(Data,2,2+MOD(ROWS(C$2:C702)-1,2))</f>
        <v>08.00</v>
      </c>
      <c r="D702" s="41" t="str">
        <f t="shared" ca="1" si="51"/>
        <v>—</v>
      </c>
      <c r="E702" s="31">
        <f t="shared" ca="1" si="52"/>
        <v>7</v>
      </c>
      <c r="F702" s="42" t="str">
        <f t="shared" ca="1" si="53"/>
        <v>—</v>
      </c>
      <c r="G702" s="31">
        <f t="shared" ca="1" si="54"/>
        <v>7</v>
      </c>
    </row>
    <row r="703" spans="1:7" x14ac:dyDescent="0.25">
      <c r="A703" s="12">
        <f t="shared" si="50"/>
        <v>44</v>
      </c>
      <c r="B703" t="str">
        <f ca="1">TEXT(DATE(YEAR(Invoer!$A$5),1,1)+INT((ROWS(B$2:B703)-1)/2),"jjjjmmdd")</f>
        <v>19411217</v>
      </c>
      <c r="C703" s="26" t="str">
        <f>INDEX(Data,2,2+MOD(ROWS(C$2:C703)-1,2))</f>
        <v>15.00</v>
      </c>
      <c r="D703" s="41" t="str">
        <f t="shared" ca="1" si="51"/>
        <v>—</v>
      </c>
      <c r="E703" s="31">
        <f t="shared" ca="1" si="52"/>
        <v>7</v>
      </c>
      <c r="F703" s="42" t="str">
        <f t="shared" ca="1" si="53"/>
        <v>—</v>
      </c>
      <c r="G703" s="31">
        <f t="shared" ca="1" si="54"/>
        <v>7</v>
      </c>
    </row>
    <row r="704" spans="1:7" x14ac:dyDescent="0.25">
      <c r="A704" s="12">
        <f t="shared" si="50"/>
        <v>44</v>
      </c>
      <c r="B704" t="str">
        <f ca="1">TEXT(DATE(YEAR(Invoer!$A$5),1,1)+INT((ROWS(B$2:B704)-1)/2),"jjjjmmdd")</f>
        <v>19411218</v>
      </c>
      <c r="C704" s="26" t="str">
        <f>INDEX(Data,2,2+MOD(ROWS(C$2:C704)-1,2))</f>
        <v>08.00</v>
      </c>
      <c r="D704" s="41" t="str">
        <f t="shared" ca="1" si="51"/>
        <v>—</v>
      </c>
      <c r="E704" s="31">
        <f t="shared" ca="1" si="52"/>
        <v>7</v>
      </c>
      <c r="F704" s="42" t="str">
        <f t="shared" ca="1" si="53"/>
        <v>—</v>
      </c>
      <c r="G704" s="31">
        <f t="shared" ca="1" si="54"/>
        <v>7</v>
      </c>
    </row>
    <row r="705" spans="1:7" x14ac:dyDescent="0.25">
      <c r="A705" s="12">
        <f t="shared" si="50"/>
        <v>44</v>
      </c>
      <c r="B705" t="str">
        <f ca="1">TEXT(DATE(YEAR(Invoer!$A$5),1,1)+INT((ROWS(B$2:B705)-1)/2),"jjjjmmdd")</f>
        <v>19411218</v>
      </c>
      <c r="C705" s="26" t="str">
        <f>INDEX(Data,2,2+MOD(ROWS(C$2:C705)-1,2))</f>
        <v>15.00</v>
      </c>
      <c r="D705" s="41" t="str">
        <f t="shared" ca="1" si="51"/>
        <v>—</v>
      </c>
      <c r="E705" s="31">
        <f t="shared" ca="1" si="52"/>
        <v>7</v>
      </c>
      <c r="F705" s="42" t="str">
        <f t="shared" ca="1" si="53"/>
        <v>—</v>
      </c>
      <c r="G705" s="31">
        <f t="shared" ca="1" si="54"/>
        <v>7</v>
      </c>
    </row>
    <row r="706" spans="1:7" x14ac:dyDescent="0.25">
      <c r="A706" s="12">
        <f t="shared" ref="A706:A731" si="55">INDEX(Stations,2,1)</f>
        <v>44</v>
      </c>
      <c r="B706" t="str">
        <f ca="1">TEXT(DATE(YEAR(Invoer!$A$5),1,1)+INT((ROWS(B$2:B706)-1)/2),"jjjjmmdd")</f>
        <v>19411219</v>
      </c>
      <c r="C706" s="26" t="str">
        <f>INDEX(Data,2,2+MOD(ROWS(C$2:C706)-1,2))</f>
        <v>08.00</v>
      </c>
      <c r="D706" s="41" t="str">
        <f t="shared" ref="D706:D731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0.0254*VLOOKUP(DATEVALUE(LEFT($B706,4)&amp;"-"&amp;MID($B706,5,2)&amp;"-"&amp;RIGHT($B706,2)),Data,MATCH(LEFT(VLOOKUP(D$1,Parameters,2,FALSE()),4)&amp;"*",OFFSET(Data,0,0,1),0)+MATCH($C706,OFFSET(Data,1,0,1),0)-2,FALSE()))</f>
        <v>—</v>
      </c>
      <c r="E706" s="31">
        <f t="shared" ref="E706:E731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7</v>
      </c>
      <c r="F706" s="42" t="str">
        <f t="shared" ref="F706:F731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5*(VLOOKUP(DATEVALUE(LEFT($B706,4)&amp;"-"&amp;MID($B706,5,2)&amp;"-"&amp;RIGHT($B706,2)),Data,MATCH(LEFT(VLOOKUP(F$1,Parameters,2,FALSE()),4)&amp;"*",OFFSET(Data,0,0,1),0)+MATCH($C706,OFFSET(Data,1,0,1),0)-2,FALSE())-320)/90)</f>
        <v>—</v>
      </c>
      <c r="G706" s="31">
        <f t="shared" ref="G706:G731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7</v>
      </c>
    </row>
    <row r="707" spans="1:7" x14ac:dyDescent="0.25">
      <c r="A707" s="12">
        <f t="shared" si="55"/>
        <v>44</v>
      </c>
      <c r="B707" t="str">
        <f ca="1">TEXT(DATE(YEAR(Invoer!$A$5),1,1)+INT((ROWS(B$2:B707)-1)/2),"jjjjmmdd")</f>
        <v>19411219</v>
      </c>
      <c r="C707" s="26" t="str">
        <f>INDEX(Data,2,2+MOD(ROWS(C$2:C707)-1,2))</f>
        <v>15.00</v>
      </c>
      <c r="D707" s="41" t="str">
        <f t="shared" ca="1" si="56"/>
        <v>—</v>
      </c>
      <c r="E707" s="31">
        <f t="shared" ca="1" si="57"/>
        <v>7</v>
      </c>
      <c r="F707" s="42" t="str">
        <f t="shared" ca="1" si="58"/>
        <v>—</v>
      </c>
      <c r="G707" s="31">
        <f t="shared" ca="1" si="59"/>
        <v>7</v>
      </c>
    </row>
    <row r="708" spans="1:7" x14ac:dyDescent="0.25">
      <c r="A708" s="12">
        <f t="shared" si="55"/>
        <v>44</v>
      </c>
      <c r="B708" t="str">
        <f ca="1">TEXT(DATE(YEAR(Invoer!$A$5),1,1)+INT((ROWS(B$2:B708)-1)/2),"jjjjmmdd")</f>
        <v>19411220</v>
      </c>
      <c r="C708" s="26" t="str">
        <f>INDEX(Data,2,2+MOD(ROWS(C$2:C708)-1,2))</f>
        <v>08.00</v>
      </c>
      <c r="D708" s="41" t="str">
        <f t="shared" ca="1" si="56"/>
        <v>—</v>
      </c>
      <c r="E708" s="31">
        <f t="shared" ca="1" si="57"/>
        <v>7</v>
      </c>
      <c r="F708" s="42" t="str">
        <f t="shared" ca="1" si="58"/>
        <v>—</v>
      </c>
      <c r="G708" s="31">
        <f t="shared" ca="1" si="59"/>
        <v>7</v>
      </c>
    </row>
    <row r="709" spans="1:7" x14ac:dyDescent="0.25">
      <c r="A709" s="12">
        <f t="shared" si="55"/>
        <v>44</v>
      </c>
      <c r="B709" t="str">
        <f ca="1">TEXT(DATE(YEAR(Invoer!$A$5),1,1)+INT((ROWS(B$2:B709)-1)/2),"jjjjmmdd")</f>
        <v>19411220</v>
      </c>
      <c r="C709" s="26" t="str">
        <f>INDEX(Data,2,2+MOD(ROWS(C$2:C709)-1,2))</f>
        <v>15.00</v>
      </c>
      <c r="D709" s="41" t="str">
        <f t="shared" ca="1" si="56"/>
        <v>—</v>
      </c>
      <c r="E709" s="31">
        <f t="shared" ca="1" si="57"/>
        <v>7</v>
      </c>
      <c r="F709" s="42" t="str">
        <f t="shared" ca="1" si="58"/>
        <v>—</v>
      </c>
      <c r="G709" s="31">
        <f t="shared" ca="1" si="59"/>
        <v>7</v>
      </c>
    </row>
    <row r="710" spans="1:7" x14ac:dyDescent="0.25">
      <c r="A710" s="12">
        <f t="shared" si="55"/>
        <v>44</v>
      </c>
      <c r="B710" t="str">
        <f ca="1">TEXT(DATE(YEAR(Invoer!$A$5),1,1)+INT((ROWS(B$2:B710)-1)/2),"jjjjmmdd")</f>
        <v>19411221</v>
      </c>
      <c r="C710" s="26" t="str">
        <f>INDEX(Data,2,2+MOD(ROWS(C$2:C710)-1,2))</f>
        <v>08.00</v>
      </c>
      <c r="D710" s="41" t="str">
        <f t="shared" ca="1" si="56"/>
        <v>—</v>
      </c>
      <c r="E710" s="31">
        <f t="shared" ca="1" si="57"/>
        <v>7</v>
      </c>
      <c r="F710" s="42" t="str">
        <f t="shared" ca="1" si="58"/>
        <v>—</v>
      </c>
      <c r="G710" s="31">
        <f t="shared" ca="1" si="59"/>
        <v>7</v>
      </c>
    </row>
    <row r="711" spans="1:7" x14ac:dyDescent="0.25">
      <c r="A711" s="12">
        <f t="shared" si="55"/>
        <v>44</v>
      </c>
      <c r="B711" t="str">
        <f ca="1">TEXT(DATE(YEAR(Invoer!$A$5),1,1)+INT((ROWS(B$2:B711)-1)/2),"jjjjmmdd")</f>
        <v>19411221</v>
      </c>
      <c r="C711" s="26" t="str">
        <f>INDEX(Data,2,2+MOD(ROWS(C$2:C711)-1,2))</f>
        <v>15.00</v>
      </c>
      <c r="D711" s="41" t="str">
        <f t="shared" ca="1" si="56"/>
        <v>—</v>
      </c>
      <c r="E711" s="31">
        <f t="shared" ca="1" si="57"/>
        <v>7</v>
      </c>
      <c r="F711" s="42" t="str">
        <f t="shared" ca="1" si="58"/>
        <v>—</v>
      </c>
      <c r="G711" s="31">
        <f t="shared" ca="1" si="59"/>
        <v>7</v>
      </c>
    </row>
    <row r="712" spans="1:7" x14ac:dyDescent="0.25">
      <c r="A712" s="12">
        <f t="shared" si="55"/>
        <v>44</v>
      </c>
      <c r="B712" t="str">
        <f ca="1">TEXT(DATE(YEAR(Invoer!$A$5),1,1)+INT((ROWS(B$2:B712)-1)/2),"jjjjmmdd")</f>
        <v>19411222</v>
      </c>
      <c r="C712" s="26" t="str">
        <f>INDEX(Data,2,2+MOD(ROWS(C$2:C712)-1,2))</f>
        <v>08.00</v>
      </c>
      <c r="D712" s="41" t="str">
        <f t="shared" ca="1" si="56"/>
        <v>—</v>
      </c>
      <c r="E712" s="31">
        <f t="shared" ca="1" si="57"/>
        <v>7</v>
      </c>
      <c r="F712" s="42" t="str">
        <f t="shared" ca="1" si="58"/>
        <v>—</v>
      </c>
      <c r="G712" s="31">
        <f t="shared" ca="1" si="59"/>
        <v>7</v>
      </c>
    </row>
    <row r="713" spans="1:7" x14ac:dyDescent="0.25">
      <c r="A713" s="12">
        <f t="shared" si="55"/>
        <v>44</v>
      </c>
      <c r="B713" t="str">
        <f ca="1">TEXT(DATE(YEAR(Invoer!$A$5),1,1)+INT((ROWS(B$2:B713)-1)/2),"jjjjmmdd")</f>
        <v>19411222</v>
      </c>
      <c r="C713" s="26" t="str">
        <f>INDEX(Data,2,2+MOD(ROWS(C$2:C713)-1,2))</f>
        <v>15.00</v>
      </c>
      <c r="D713" s="41" t="str">
        <f t="shared" ca="1" si="56"/>
        <v>—</v>
      </c>
      <c r="E713" s="31">
        <f t="shared" ca="1" si="57"/>
        <v>7</v>
      </c>
      <c r="F713" s="42" t="str">
        <f t="shared" ca="1" si="58"/>
        <v>—</v>
      </c>
      <c r="G713" s="31">
        <f t="shared" ca="1" si="59"/>
        <v>7</v>
      </c>
    </row>
    <row r="714" spans="1:7" x14ac:dyDescent="0.25">
      <c r="A714" s="12">
        <f t="shared" si="55"/>
        <v>44</v>
      </c>
      <c r="B714" t="str">
        <f ca="1">TEXT(DATE(YEAR(Invoer!$A$5),1,1)+INT((ROWS(B$2:B714)-1)/2),"jjjjmmdd")</f>
        <v>19411223</v>
      </c>
      <c r="C714" s="26" t="str">
        <f>INDEX(Data,2,2+MOD(ROWS(C$2:C714)-1,2))</f>
        <v>08.00</v>
      </c>
      <c r="D714" s="41" t="str">
        <f t="shared" ca="1" si="56"/>
        <v>—</v>
      </c>
      <c r="E714" s="31">
        <f t="shared" ca="1" si="57"/>
        <v>7</v>
      </c>
      <c r="F714" s="42" t="str">
        <f t="shared" ca="1" si="58"/>
        <v>—</v>
      </c>
      <c r="G714" s="31">
        <f t="shared" ca="1" si="59"/>
        <v>7</v>
      </c>
    </row>
    <row r="715" spans="1:7" x14ac:dyDescent="0.25">
      <c r="A715" s="12">
        <f t="shared" si="55"/>
        <v>44</v>
      </c>
      <c r="B715" t="str">
        <f ca="1">TEXT(DATE(YEAR(Invoer!$A$5),1,1)+INT((ROWS(B$2:B715)-1)/2),"jjjjmmdd")</f>
        <v>19411223</v>
      </c>
      <c r="C715" s="26" t="str">
        <f>INDEX(Data,2,2+MOD(ROWS(C$2:C715)-1,2))</f>
        <v>15.00</v>
      </c>
      <c r="D715" s="41" t="str">
        <f t="shared" ca="1" si="56"/>
        <v>—</v>
      </c>
      <c r="E715" s="31">
        <f t="shared" ca="1" si="57"/>
        <v>7</v>
      </c>
      <c r="F715" s="42" t="str">
        <f t="shared" ca="1" si="58"/>
        <v>—</v>
      </c>
      <c r="G715" s="31">
        <f t="shared" ca="1" si="59"/>
        <v>7</v>
      </c>
    </row>
    <row r="716" spans="1:7" x14ac:dyDescent="0.25">
      <c r="A716" s="12">
        <f t="shared" si="55"/>
        <v>44</v>
      </c>
      <c r="B716" t="str">
        <f ca="1">TEXT(DATE(YEAR(Invoer!$A$5),1,1)+INT((ROWS(B$2:B716)-1)/2),"jjjjmmdd")</f>
        <v>19411224</v>
      </c>
      <c r="C716" s="26" t="str">
        <f>INDEX(Data,2,2+MOD(ROWS(C$2:C716)-1,2))</f>
        <v>08.00</v>
      </c>
      <c r="D716" s="41" t="str">
        <f t="shared" ca="1" si="56"/>
        <v>—</v>
      </c>
      <c r="E716" s="31">
        <f t="shared" ca="1" si="57"/>
        <v>7</v>
      </c>
      <c r="F716" s="42" t="str">
        <f t="shared" ca="1" si="58"/>
        <v>—</v>
      </c>
      <c r="G716" s="31">
        <f t="shared" ca="1" si="59"/>
        <v>7</v>
      </c>
    </row>
    <row r="717" spans="1:7" x14ac:dyDescent="0.25">
      <c r="A717" s="12">
        <f t="shared" si="55"/>
        <v>44</v>
      </c>
      <c r="B717" t="str">
        <f ca="1">TEXT(DATE(YEAR(Invoer!$A$5),1,1)+INT((ROWS(B$2:B717)-1)/2),"jjjjmmdd")</f>
        <v>19411224</v>
      </c>
      <c r="C717" s="26" t="str">
        <f>INDEX(Data,2,2+MOD(ROWS(C$2:C717)-1,2))</f>
        <v>15.00</v>
      </c>
      <c r="D717" s="41" t="str">
        <f t="shared" ca="1" si="56"/>
        <v>—</v>
      </c>
      <c r="E717" s="31">
        <f t="shared" ca="1" si="57"/>
        <v>7</v>
      </c>
      <c r="F717" s="42" t="str">
        <f t="shared" ca="1" si="58"/>
        <v>—</v>
      </c>
      <c r="G717" s="31">
        <f t="shared" ca="1" si="59"/>
        <v>7</v>
      </c>
    </row>
    <row r="718" spans="1:7" x14ac:dyDescent="0.25">
      <c r="A718" s="12">
        <f t="shared" si="55"/>
        <v>44</v>
      </c>
      <c r="B718" t="str">
        <f ca="1">TEXT(DATE(YEAR(Invoer!$A$5),1,1)+INT((ROWS(B$2:B718)-1)/2),"jjjjmmdd")</f>
        <v>19411225</v>
      </c>
      <c r="C718" s="26" t="str">
        <f>INDEX(Data,2,2+MOD(ROWS(C$2:C718)-1,2))</f>
        <v>08.00</v>
      </c>
      <c r="D718" s="41" t="str">
        <f t="shared" ca="1" si="56"/>
        <v>—</v>
      </c>
      <c r="E718" s="31">
        <f t="shared" ca="1" si="57"/>
        <v>7</v>
      </c>
      <c r="F718" s="42" t="str">
        <f t="shared" ca="1" si="58"/>
        <v>—</v>
      </c>
      <c r="G718" s="31">
        <f t="shared" ca="1" si="59"/>
        <v>7</v>
      </c>
    </row>
    <row r="719" spans="1:7" x14ac:dyDescent="0.25">
      <c r="A719" s="12">
        <f t="shared" si="55"/>
        <v>44</v>
      </c>
      <c r="B719" t="str">
        <f ca="1">TEXT(DATE(YEAR(Invoer!$A$5),1,1)+INT((ROWS(B$2:B719)-1)/2),"jjjjmmdd")</f>
        <v>19411225</v>
      </c>
      <c r="C719" s="26" t="str">
        <f>INDEX(Data,2,2+MOD(ROWS(C$2:C719)-1,2))</f>
        <v>15.00</v>
      </c>
      <c r="D719" s="41" t="str">
        <f t="shared" ca="1" si="56"/>
        <v>—</v>
      </c>
      <c r="E719" s="31">
        <f t="shared" ca="1" si="57"/>
        <v>7</v>
      </c>
      <c r="F719" s="42" t="str">
        <f t="shared" ca="1" si="58"/>
        <v>—</v>
      </c>
      <c r="G719" s="31">
        <f t="shared" ca="1" si="59"/>
        <v>7</v>
      </c>
    </row>
    <row r="720" spans="1:7" x14ac:dyDescent="0.25">
      <c r="A720" s="12">
        <f t="shared" si="55"/>
        <v>44</v>
      </c>
      <c r="B720" t="str">
        <f ca="1">TEXT(DATE(YEAR(Invoer!$A$5),1,1)+INT((ROWS(B$2:B720)-1)/2),"jjjjmmdd")</f>
        <v>19411226</v>
      </c>
      <c r="C720" s="26" t="str">
        <f>INDEX(Data,2,2+MOD(ROWS(C$2:C720)-1,2))</f>
        <v>08.00</v>
      </c>
      <c r="D720" s="41" t="str">
        <f t="shared" ca="1" si="56"/>
        <v>—</v>
      </c>
      <c r="E720" s="31">
        <f t="shared" ca="1" si="57"/>
        <v>7</v>
      </c>
      <c r="F720" s="42" t="str">
        <f t="shared" ca="1" si="58"/>
        <v>—</v>
      </c>
      <c r="G720" s="31">
        <f t="shared" ca="1" si="59"/>
        <v>7</v>
      </c>
    </row>
    <row r="721" spans="1:7" x14ac:dyDescent="0.25">
      <c r="A721" s="12">
        <f t="shared" si="55"/>
        <v>44</v>
      </c>
      <c r="B721" t="str">
        <f ca="1">TEXT(DATE(YEAR(Invoer!$A$5),1,1)+INT((ROWS(B$2:B721)-1)/2),"jjjjmmdd")</f>
        <v>19411226</v>
      </c>
      <c r="C721" s="26" t="str">
        <f>INDEX(Data,2,2+MOD(ROWS(C$2:C721)-1,2))</f>
        <v>15.00</v>
      </c>
      <c r="D721" s="41" t="str">
        <f t="shared" ca="1" si="56"/>
        <v>—</v>
      </c>
      <c r="E721" s="31">
        <f t="shared" ca="1" si="57"/>
        <v>7</v>
      </c>
      <c r="F721" s="42" t="str">
        <f t="shared" ca="1" si="58"/>
        <v>—</v>
      </c>
      <c r="G721" s="31">
        <f t="shared" ca="1" si="59"/>
        <v>7</v>
      </c>
    </row>
    <row r="722" spans="1:7" x14ac:dyDescent="0.25">
      <c r="A722" s="12">
        <f t="shared" si="55"/>
        <v>44</v>
      </c>
      <c r="B722" t="str">
        <f ca="1">TEXT(DATE(YEAR(Invoer!$A$5),1,1)+INT((ROWS(B$2:B722)-1)/2),"jjjjmmdd")</f>
        <v>19411227</v>
      </c>
      <c r="C722" s="26" t="str">
        <f>INDEX(Data,2,2+MOD(ROWS(C$2:C722)-1,2))</f>
        <v>08.00</v>
      </c>
      <c r="D722" s="41" t="str">
        <f t="shared" ca="1" si="56"/>
        <v>—</v>
      </c>
      <c r="E722" s="31">
        <f t="shared" ca="1" si="57"/>
        <v>7</v>
      </c>
      <c r="F722" s="42" t="str">
        <f t="shared" ca="1" si="58"/>
        <v>—</v>
      </c>
      <c r="G722" s="31">
        <f t="shared" ca="1" si="59"/>
        <v>7</v>
      </c>
    </row>
    <row r="723" spans="1:7" x14ac:dyDescent="0.25">
      <c r="A723" s="12">
        <f t="shared" si="55"/>
        <v>44</v>
      </c>
      <c r="B723" t="str">
        <f ca="1">TEXT(DATE(YEAR(Invoer!$A$5),1,1)+INT((ROWS(B$2:B723)-1)/2),"jjjjmmdd")</f>
        <v>19411227</v>
      </c>
      <c r="C723" s="26" t="str">
        <f>INDEX(Data,2,2+MOD(ROWS(C$2:C723)-1,2))</f>
        <v>15.00</v>
      </c>
      <c r="D723" s="41" t="str">
        <f t="shared" ca="1" si="56"/>
        <v>—</v>
      </c>
      <c r="E723" s="31">
        <f t="shared" ca="1" si="57"/>
        <v>7</v>
      </c>
      <c r="F723" s="42" t="str">
        <f t="shared" ca="1" si="58"/>
        <v>—</v>
      </c>
      <c r="G723" s="31">
        <f t="shared" ca="1" si="59"/>
        <v>7</v>
      </c>
    </row>
    <row r="724" spans="1:7" x14ac:dyDescent="0.25">
      <c r="A724" s="12">
        <f t="shared" si="55"/>
        <v>44</v>
      </c>
      <c r="B724" t="str">
        <f ca="1">TEXT(DATE(YEAR(Invoer!$A$5),1,1)+INT((ROWS(B$2:B724)-1)/2),"jjjjmmdd")</f>
        <v>19411228</v>
      </c>
      <c r="C724" s="26" t="str">
        <f>INDEX(Data,2,2+MOD(ROWS(C$2:C724)-1,2))</f>
        <v>08.00</v>
      </c>
      <c r="D724" s="41" t="str">
        <f t="shared" ca="1" si="56"/>
        <v>—</v>
      </c>
      <c r="E724" s="31">
        <f t="shared" ca="1" si="57"/>
        <v>7</v>
      </c>
      <c r="F724" s="42" t="str">
        <f t="shared" ca="1" si="58"/>
        <v>—</v>
      </c>
      <c r="G724" s="31">
        <f t="shared" ca="1" si="59"/>
        <v>7</v>
      </c>
    </row>
    <row r="725" spans="1:7" x14ac:dyDescent="0.25">
      <c r="A725" s="12">
        <f t="shared" si="55"/>
        <v>44</v>
      </c>
      <c r="B725" t="str">
        <f ca="1">TEXT(DATE(YEAR(Invoer!$A$5),1,1)+INT((ROWS(B$2:B725)-1)/2),"jjjjmmdd")</f>
        <v>19411228</v>
      </c>
      <c r="C725" s="26" t="str">
        <f>INDEX(Data,2,2+MOD(ROWS(C$2:C725)-1,2))</f>
        <v>15.00</v>
      </c>
      <c r="D725" s="41" t="str">
        <f t="shared" ca="1" si="56"/>
        <v>—</v>
      </c>
      <c r="E725" s="31">
        <f t="shared" ca="1" si="57"/>
        <v>7</v>
      </c>
      <c r="F725" s="42" t="str">
        <f t="shared" ca="1" si="58"/>
        <v>—</v>
      </c>
      <c r="G725" s="31">
        <f t="shared" ca="1" si="59"/>
        <v>7</v>
      </c>
    </row>
    <row r="726" spans="1:7" x14ac:dyDescent="0.25">
      <c r="A726" s="12">
        <f t="shared" si="55"/>
        <v>44</v>
      </c>
      <c r="B726" t="str">
        <f ca="1">TEXT(DATE(YEAR(Invoer!$A$5),1,1)+INT((ROWS(B$2:B726)-1)/2),"jjjjmmdd")</f>
        <v>19411229</v>
      </c>
      <c r="C726" s="26" t="str">
        <f>INDEX(Data,2,2+MOD(ROWS(C$2:C726)-1,2))</f>
        <v>08.00</v>
      </c>
      <c r="D726" s="41" t="str">
        <f t="shared" ca="1" si="56"/>
        <v>—</v>
      </c>
      <c r="E726" s="31">
        <f t="shared" ca="1" si="57"/>
        <v>7</v>
      </c>
      <c r="F726" s="42" t="str">
        <f t="shared" ca="1" si="58"/>
        <v>—</v>
      </c>
      <c r="G726" s="31">
        <f t="shared" ca="1" si="59"/>
        <v>7</v>
      </c>
    </row>
    <row r="727" spans="1:7" x14ac:dyDescent="0.25">
      <c r="A727" s="12">
        <f t="shared" si="55"/>
        <v>44</v>
      </c>
      <c r="B727" t="str">
        <f ca="1">TEXT(DATE(YEAR(Invoer!$A$5),1,1)+INT((ROWS(B$2:B727)-1)/2),"jjjjmmdd")</f>
        <v>19411229</v>
      </c>
      <c r="C727" s="26" t="str">
        <f>INDEX(Data,2,2+MOD(ROWS(C$2:C727)-1,2))</f>
        <v>15.00</v>
      </c>
      <c r="D727" s="41" t="str">
        <f t="shared" ca="1" si="56"/>
        <v>—</v>
      </c>
      <c r="E727" s="31">
        <f t="shared" ca="1" si="57"/>
        <v>7</v>
      </c>
      <c r="F727" s="42" t="str">
        <f t="shared" ca="1" si="58"/>
        <v>—</v>
      </c>
      <c r="G727" s="31">
        <f t="shared" ca="1" si="59"/>
        <v>7</v>
      </c>
    </row>
    <row r="728" spans="1:7" x14ac:dyDescent="0.25">
      <c r="A728" s="12">
        <f t="shared" si="55"/>
        <v>44</v>
      </c>
      <c r="B728" t="str">
        <f ca="1">TEXT(DATE(YEAR(Invoer!$A$5),1,1)+INT((ROWS(B$2:B728)-1)/2),"jjjjmmdd")</f>
        <v>19411230</v>
      </c>
      <c r="C728" s="26" t="str">
        <f>INDEX(Data,2,2+MOD(ROWS(C$2:C728)-1,2))</f>
        <v>08.00</v>
      </c>
      <c r="D728" s="41" t="str">
        <f t="shared" ca="1" si="56"/>
        <v>—</v>
      </c>
      <c r="E728" s="31">
        <f t="shared" ca="1" si="57"/>
        <v>7</v>
      </c>
      <c r="F728" s="42" t="str">
        <f t="shared" ca="1" si="58"/>
        <v>—</v>
      </c>
      <c r="G728" s="31">
        <f t="shared" ca="1" si="59"/>
        <v>7</v>
      </c>
    </row>
    <row r="729" spans="1:7" x14ac:dyDescent="0.25">
      <c r="A729" s="12">
        <f t="shared" si="55"/>
        <v>44</v>
      </c>
      <c r="B729" t="str">
        <f ca="1">TEXT(DATE(YEAR(Invoer!$A$5),1,1)+INT((ROWS(B$2:B729)-1)/2),"jjjjmmdd")</f>
        <v>19411230</v>
      </c>
      <c r="C729" s="26" t="str">
        <f>INDEX(Data,2,2+MOD(ROWS(C$2:C729)-1,2))</f>
        <v>15.00</v>
      </c>
      <c r="D729" s="41" t="str">
        <f t="shared" ca="1" si="56"/>
        <v>—</v>
      </c>
      <c r="E729" s="31">
        <f t="shared" ca="1" si="57"/>
        <v>7</v>
      </c>
      <c r="F729" s="42" t="str">
        <f t="shared" ca="1" si="58"/>
        <v>—</v>
      </c>
      <c r="G729" s="31">
        <f t="shared" ca="1" si="59"/>
        <v>7</v>
      </c>
    </row>
    <row r="730" spans="1:7" x14ac:dyDescent="0.25">
      <c r="A730" s="12">
        <f t="shared" si="55"/>
        <v>44</v>
      </c>
      <c r="B730" t="str">
        <f ca="1">TEXT(DATE(YEAR(Invoer!$A$5),1,1)+INT((ROWS(B$2:B730)-1)/2),"jjjjmmdd")</f>
        <v>19411231</v>
      </c>
      <c r="C730" s="26" t="str">
        <f>INDEX(Data,2,2+MOD(ROWS(C$2:C730)-1,2))</f>
        <v>08.00</v>
      </c>
      <c r="D730" s="41" t="str">
        <f t="shared" ca="1" si="56"/>
        <v>—</v>
      </c>
      <c r="E730" s="31">
        <f t="shared" ca="1" si="57"/>
        <v>7</v>
      </c>
      <c r="F730" s="42" t="str">
        <f t="shared" ca="1" si="58"/>
        <v>—</v>
      </c>
      <c r="G730" s="31">
        <f t="shared" ca="1" si="59"/>
        <v>7</v>
      </c>
    </row>
    <row r="731" spans="1:7" x14ac:dyDescent="0.25">
      <c r="A731" s="12">
        <f t="shared" si="55"/>
        <v>44</v>
      </c>
      <c r="B731" t="str">
        <f ca="1">TEXT(DATE(YEAR(Invoer!$A$5),1,1)+INT((ROWS(B$2:B731)-1)/2),"jjjjmmdd")</f>
        <v>19411231</v>
      </c>
      <c r="C731" s="26" t="str">
        <f>INDEX(Data,2,2+MOD(ROWS(C$2:C731)-1,2))</f>
        <v>15.00</v>
      </c>
      <c r="D731" s="41" t="str">
        <f t="shared" ca="1" si="56"/>
        <v>—</v>
      </c>
      <c r="E731" s="31">
        <f t="shared" ca="1" si="57"/>
        <v>7</v>
      </c>
      <c r="F731" s="42" t="str">
        <f t="shared" ca="1" si="58"/>
        <v>—</v>
      </c>
      <c r="G731" s="31">
        <f t="shared" ca="1" si="59"/>
        <v>7</v>
      </c>
    </row>
  </sheetData>
  <pageMargins left="0.7" right="0.7" top="0.75" bottom="0.75" header="0.3" footer="0.3"/>
  <pageSetup paperSize="9" orientation="portrait" r:id="rId1"/>
  <ignoredErrors>
    <ignoredError sqref="E2 E3:E731 F2 F3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0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0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044, 19410101, 1,    0, 00</v>
      </c>
    </row>
    <row r="3" spans="1:1" x14ac:dyDescent="0.25">
      <c r="A3" s="20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044, 19410102, 1,    0, 00</v>
      </c>
    </row>
    <row r="4" spans="1:1" x14ac:dyDescent="0.25">
      <c r="A4" s="20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044, 19410103, 1,    0, 00</v>
      </c>
    </row>
    <row r="5" spans="1:1" x14ac:dyDescent="0.25">
      <c r="A5" s="20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044, 19410104, 1,    0, 00</v>
      </c>
    </row>
    <row r="6" spans="1:1" x14ac:dyDescent="0.25">
      <c r="A6" s="20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044, 19410105, 1,    0, 00</v>
      </c>
    </row>
    <row r="7" spans="1:1" x14ac:dyDescent="0.25">
      <c r="A7" s="20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044, 19410106, 1,    0, 00</v>
      </c>
    </row>
    <row r="8" spans="1:1" x14ac:dyDescent="0.25">
      <c r="A8" s="20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044, 19410107, 1,   17, 00</v>
      </c>
    </row>
    <row r="9" spans="1:1" x14ac:dyDescent="0.25">
      <c r="A9" s="20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044, 19410108, 1,    0, 00</v>
      </c>
    </row>
    <row r="10" spans="1:1" x14ac:dyDescent="0.25">
      <c r="A10" s="20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044, 19410109, 1,    0, 00</v>
      </c>
    </row>
    <row r="11" spans="1:1" x14ac:dyDescent="0.25">
      <c r="A11" s="20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044, 19410110, 1,    0, 00</v>
      </c>
    </row>
    <row r="12" spans="1:1" x14ac:dyDescent="0.25">
      <c r="A12" s="20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044, 19410111, 1,    0, 00</v>
      </c>
    </row>
    <row r="13" spans="1:1" x14ac:dyDescent="0.25">
      <c r="A13" s="20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044, 19410112, 1,    0, 00</v>
      </c>
    </row>
    <row r="14" spans="1:1" x14ac:dyDescent="0.25">
      <c r="A14" s="20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044, 19410113, 1,   34, 00</v>
      </c>
    </row>
    <row r="15" spans="1:1" x14ac:dyDescent="0.25">
      <c r="A15" s="20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044, 19410114, 1,   34, 00</v>
      </c>
    </row>
    <row r="16" spans="1:1" x14ac:dyDescent="0.25">
      <c r="A16" s="20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044, 19410115, 1,    0, 00</v>
      </c>
    </row>
    <row r="17" spans="1:1" x14ac:dyDescent="0.25">
      <c r="A17" s="20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044, 19410116, 1,    0, 00</v>
      </c>
    </row>
    <row r="18" spans="1:1" x14ac:dyDescent="0.25">
      <c r="A18" s="20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044, 19410117, 1,    0, 00</v>
      </c>
    </row>
    <row r="19" spans="1:1" x14ac:dyDescent="0.25">
      <c r="A19" s="20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044, 19410118, 1,    0, 00</v>
      </c>
    </row>
    <row r="20" spans="1:1" x14ac:dyDescent="0.25">
      <c r="A20" s="20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044, 19410119, 1,    0, 00</v>
      </c>
    </row>
    <row r="21" spans="1:1" x14ac:dyDescent="0.25">
      <c r="A21" s="20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044, 19410120, 1,   20, 00</v>
      </c>
    </row>
    <row r="22" spans="1:1" x14ac:dyDescent="0.25">
      <c r="A22" s="20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044, 19410121, 1,    0, 00</v>
      </c>
    </row>
    <row r="23" spans="1:1" x14ac:dyDescent="0.25">
      <c r="A23" s="20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044, 19410122, 1,    0, 00</v>
      </c>
    </row>
    <row r="24" spans="1:1" x14ac:dyDescent="0.25">
      <c r="A24" s="20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044, 19410123, 1,    0, 00</v>
      </c>
    </row>
    <row r="25" spans="1:1" x14ac:dyDescent="0.25">
      <c r="A25" s="20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044, 19410124, 1,    0, 00</v>
      </c>
    </row>
    <row r="26" spans="1:1" x14ac:dyDescent="0.25">
      <c r="A26" s="20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044, 19410125, 1,    0, 00</v>
      </c>
    </row>
    <row r="27" spans="1:1" x14ac:dyDescent="0.25">
      <c r="A27" s="20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044, 19410126, 1,    0, 00</v>
      </c>
    </row>
    <row r="28" spans="1:1" x14ac:dyDescent="0.25">
      <c r="A28" s="20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044, 19410127, 1,    0, 00</v>
      </c>
    </row>
    <row r="29" spans="1:1" x14ac:dyDescent="0.25">
      <c r="A29" s="20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044, 19410128, 1,    0, 00</v>
      </c>
    </row>
    <row r="30" spans="1:1" x14ac:dyDescent="0.25">
      <c r="A30" s="20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044, 19410129, 1,    0, 00</v>
      </c>
    </row>
    <row r="31" spans="1:1" x14ac:dyDescent="0.25">
      <c r="A31" s="20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044, 19410130, 1,    0, 00</v>
      </c>
    </row>
    <row r="32" spans="1:1" x14ac:dyDescent="0.25">
      <c r="A32" s="20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044, 19410131, 1,    0, 00</v>
      </c>
    </row>
    <row r="33" spans="1:1" x14ac:dyDescent="0.25">
      <c r="A33" s="20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044, 19410201, 1,    0, 00</v>
      </c>
    </row>
    <row r="34" spans="1:1" x14ac:dyDescent="0.25">
      <c r="A34" s="20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044, 19410202, 1,    0, 00</v>
      </c>
    </row>
    <row r="35" spans="1:1" x14ac:dyDescent="0.25">
      <c r="A35" s="20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044, 19410203, 1,    0, 00</v>
      </c>
    </row>
    <row r="36" spans="1:1" x14ac:dyDescent="0.25">
      <c r="A36" s="20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044, 19410204, 1,    0, 00</v>
      </c>
    </row>
    <row r="37" spans="1:1" x14ac:dyDescent="0.25">
      <c r="A37" s="20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044, 19410205, 1,    0, 00</v>
      </c>
    </row>
    <row r="38" spans="1:1" x14ac:dyDescent="0.25">
      <c r="A38" s="20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044, 19410206, 1,    0, 00</v>
      </c>
    </row>
    <row r="39" spans="1:1" x14ac:dyDescent="0.25">
      <c r="A39" s="20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044, 19410207, 1,    0, 00</v>
      </c>
    </row>
    <row r="40" spans="1:1" x14ac:dyDescent="0.25">
      <c r="A40" s="20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044, 19410208, 1,    0, 00</v>
      </c>
    </row>
    <row r="41" spans="1:1" x14ac:dyDescent="0.25">
      <c r="A41" s="20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044, 19410209, 1,    0, 00</v>
      </c>
    </row>
    <row r="42" spans="1:1" x14ac:dyDescent="0.25">
      <c r="A42" s="20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044, 19410210, 1,    0, 00</v>
      </c>
    </row>
    <row r="43" spans="1:1" x14ac:dyDescent="0.25">
      <c r="A43" s="20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044, 19410211, 1,    0, 00</v>
      </c>
    </row>
    <row r="44" spans="1:1" x14ac:dyDescent="0.25">
      <c r="A44" s="20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044, 19410212, 1,    0, 00</v>
      </c>
    </row>
    <row r="45" spans="1:1" x14ac:dyDescent="0.25">
      <c r="A45" s="20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044, 19410213, 1,    0, 00</v>
      </c>
    </row>
    <row r="46" spans="1:1" x14ac:dyDescent="0.25">
      <c r="A46" s="20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044, 19410214, 1,    0, 00</v>
      </c>
    </row>
    <row r="47" spans="1:1" x14ac:dyDescent="0.25">
      <c r="A47" s="20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044, 19410215, 1,    0, 00</v>
      </c>
    </row>
    <row r="48" spans="1:1" x14ac:dyDescent="0.25">
      <c r="A48" s="20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044, 19410216, 1,    0, 00</v>
      </c>
    </row>
    <row r="49" spans="1:1" x14ac:dyDescent="0.25">
      <c r="A49" s="20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044, 19410217, 1,    0, 00</v>
      </c>
    </row>
    <row r="50" spans="1:1" x14ac:dyDescent="0.25">
      <c r="A50" s="20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044, 19410218, 1,    0, 00</v>
      </c>
    </row>
    <row r="51" spans="1:1" x14ac:dyDescent="0.25">
      <c r="A51" s="20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044, 19410219, 1,    0, 00</v>
      </c>
    </row>
    <row r="52" spans="1:1" x14ac:dyDescent="0.25">
      <c r="A52" s="20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044, 19410220, 1,    0, 00</v>
      </c>
    </row>
    <row r="53" spans="1:1" x14ac:dyDescent="0.25">
      <c r="A53" s="20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044, 19410221, 1,    0, 00</v>
      </c>
    </row>
    <row r="54" spans="1:1" x14ac:dyDescent="0.25">
      <c r="A54" s="20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044, 19410222, 1,    0, 00</v>
      </c>
    </row>
    <row r="55" spans="1:1" x14ac:dyDescent="0.25">
      <c r="A55" s="20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044, 19410223, 1,    0, 00</v>
      </c>
    </row>
    <row r="56" spans="1:1" x14ac:dyDescent="0.25">
      <c r="A56" s="20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044, 19410224, 1,    0, 00</v>
      </c>
    </row>
    <row r="57" spans="1:1" x14ac:dyDescent="0.25">
      <c r="A57" s="20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044, 19410225, 1,    0, 00</v>
      </c>
    </row>
    <row r="58" spans="1:1" x14ac:dyDescent="0.25">
      <c r="A58" s="20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044, 19410226, 1,    0, 00</v>
      </c>
    </row>
    <row r="59" spans="1:1" x14ac:dyDescent="0.25">
      <c r="A59" s="20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044, 19410227, 1,    0, 00</v>
      </c>
    </row>
    <row r="60" spans="1:1" x14ac:dyDescent="0.25">
      <c r="A60" s="20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044, 19410228, 1,    0, 00</v>
      </c>
    </row>
    <row r="61" spans="1:1" x14ac:dyDescent="0.25">
      <c r="A61" s="20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044, 19410301, 1,    0, 00</v>
      </c>
    </row>
    <row r="62" spans="1:1" x14ac:dyDescent="0.25">
      <c r="A62" s="20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044, 19410302, 1,    0, 00</v>
      </c>
    </row>
    <row r="63" spans="1:1" x14ac:dyDescent="0.25">
      <c r="A63" s="20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044, 19410303, 1,    0, 00</v>
      </c>
    </row>
    <row r="64" spans="1:1" x14ac:dyDescent="0.25">
      <c r="A64" s="20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044, 19410304, 1,    0, 00</v>
      </c>
    </row>
    <row r="65" spans="1:1" x14ac:dyDescent="0.25">
      <c r="A65" s="20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044, 19410305, 1,    0, 00</v>
      </c>
    </row>
    <row r="66" spans="1:1" x14ac:dyDescent="0.25">
      <c r="A66" s="20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044, 19410306, 1,    0, 00</v>
      </c>
    </row>
    <row r="67" spans="1:1" x14ac:dyDescent="0.25">
      <c r="A67" s="20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044, 19410307, 1,    0, 00</v>
      </c>
    </row>
    <row r="68" spans="1:1" x14ac:dyDescent="0.25">
      <c r="A68" s="20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044, 19410308, 1,    0, 00</v>
      </c>
    </row>
    <row r="69" spans="1:1" x14ac:dyDescent="0.25">
      <c r="A69" s="20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044, 19410309, 1,    0, 00</v>
      </c>
    </row>
    <row r="70" spans="1:1" x14ac:dyDescent="0.25">
      <c r="A70" s="20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044, 19410310, 1,    0, 00</v>
      </c>
    </row>
    <row r="71" spans="1:1" x14ac:dyDescent="0.25">
      <c r="A71" s="20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044, 19410311, 1,    0, 00</v>
      </c>
    </row>
    <row r="72" spans="1:1" x14ac:dyDescent="0.25">
      <c r="A72" s="20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044, 19410312, 1,    0, 00</v>
      </c>
    </row>
    <row r="73" spans="1:1" x14ac:dyDescent="0.25">
      <c r="A73" s="20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044, 19410313, 1,    0, 00</v>
      </c>
    </row>
    <row r="74" spans="1:1" x14ac:dyDescent="0.25">
      <c r="A74" s="20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044, 19410314, 1,    0, 00</v>
      </c>
    </row>
    <row r="75" spans="1:1" x14ac:dyDescent="0.25">
      <c r="A75" s="20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044, 19410315, 1,    0, 00</v>
      </c>
    </row>
    <row r="76" spans="1:1" x14ac:dyDescent="0.25">
      <c r="A76" s="20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044, 19410316, 1,    0, 00</v>
      </c>
    </row>
    <row r="77" spans="1:1" x14ac:dyDescent="0.25">
      <c r="A77" s="20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044, 19410317, 1,    0, 00</v>
      </c>
    </row>
    <row r="78" spans="1:1" x14ac:dyDescent="0.25">
      <c r="A78" s="20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044, 19410318, 1,    0, 00</v>
      </c>
    </row>
    <row r="79" spans="1:1" x14ac:dyDescent="0.25">
      <c r="A79" s="20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044, 19410319, 1,    0, 00</v>
      </c>
    </row>
    <row r="80" spans="1:1" x14ac:dyDescent="0.25">
      <c r="A80" s="20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044, 19410320, 1,    0, 00</v>
      </c>
    </row>
    <row r="81" spans="1:1" x14ac:dyDescent="0.25">
      <c r="A81" s="20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044, 19410321, 1,    0, 00</v>
      </c>
    </row>
    <row r="82" spans="1:1" x14ac:dyDescent="0.25">
      <c r="A82" s="20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044, 19410322, 1,    0, 00</v>
      </c>
    </row>
    <row r="83" spans="1:1" x14ac:dyDescent="0.25">
      <c r="A83" s="20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044, 19410323, 1,    0, 00</v>
      </c>
    </row>
    <row r="84" spans="1:1" x14ac:dyDescent="0.25">
      <c r="A84" s="20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044, 19410324, 1,    0, 00</v>
      </c>
    </row>
    <row r="85" spans="1:1" x14ac:dyDescent="0.25">
      <c r="A85" s="20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044, 19410325, 1,    0, 00</v>
      </c>
    </row>
    <row r="86" spans="1:1" x14ac:dyDescent="0.25">
      <c r="A86" s="20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044, 19410326, 1,    0, 00</v>
      </c>
    </row>
    <row r="87" spans="1:1" x14ac:dyDescent="0.25">
      <c r="A87" s="20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044, 19410327, 1,    0, 00</v>
      </c>
    </row>
    <row r="88" spans="1:1" x14ac:dyDescent="0.25">
      <c r="A88" s="20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044, 19410328, 1,    0, 00</v>
      </c>
    </row>
    <row r="89" spans="1:1" x14ac:dyDescent="0.25">
      <c r="A89" s="20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044, 19410329, 1,    0, 00</v>
      </c>
    </row>
    <row r="90" spans="1:1" x14ac:dyDescent="0.25">
      <c r="A90" s="20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044, 19410330, 1,    0, 00</v>
      </c>
    </row>
    <row r="91" spans="1:1" x14ac:dyDescent="0.25">
      <c r="A91" s="20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044, 19410331, 1,    0, 00</v>
      </c>
    </row>
    <row r="92" spans="1:1" x14ac:dyDescent="0.25">
      <c r="A92" s="20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044, 19410401, 1,    0, 00</v>
      </c>
    </row>
    <row r="93" spans="1:1" x14ac:dyDescent="0.25">
      <c r="A93" s="20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044, 19410402, 1,    0, 00</v>
      </c>
    </row>
    <row r="94" spans="1:1" x14ac:dyDescent="0.25">
      <c r="A94" s="20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044, 19410403, 1,    0, 00</v>
      </c>
    </row>
    <row r="95" spans="1:1" x14ac:dyDescent="0.25">
      <c r="A95" s="20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044, 19410404, 1,    0, 00</v>
      </c>
    </row>
    <row r="96" spans="1:1" x14ac:dyDescent="0.25">
      <c r="A96" s="20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044, 19410405, 1,    0, 00</v>
      </c>
    </row>
    <row r="97" spans="1:1" x14ac:dyDescent="0.25">
      <c r="A97" s="20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044, 19410406, 1,    0, 00</v>
      </c>
    </row>
    <row r="98" spans="1:1" x14ac:dyDescent="0.25">
      <c r="A98" s="20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044, 19410407, 1,    0, 00</v>
      </c>
    </row>
    <row r="99" spans="1:1" x14ac:dyDescent="0.25">
      <c r="A99" s="20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044, 19410408, 1,    0, 00</v>
      </c>
    </row>
    <row r="100" spans="1:1" x14ac:dyDescent="0.25">
      <c r="A100" s="20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044, 19410409, 1,    0, 00</v>
      </c>
    </row>
    <row r="101" spans="1:1" x14ac:dyDescent="0.25">
      <c r="A101" s="20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044, 19410410, 1,    0, 00</v>
      </c>
    </row>
    <row r="102" spans="1:1" x14ac:dyDescent="0.25">
      <c r="A102" s="20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044, 19410411, 1,    0, 00</v>
      </c>
    </row>
    <row r="103" spans="1:1" x14ac:dyDescent="0.25">
      <c r="A103" s="20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044, 19410412, 1,    0, 00</v>
      </c>
    </row>
    <row r="104" spans="1:1" x14ac:dyDescent="0.25">
      <c r="A104" s="20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044, 19410413, 1,    0, 00</v>
      </c>
    </row>
    <row r="105" spans="1:1" x14ac:dyDescent="0.25">
      <c r="A105" s="20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044, 19410414, 1,  236, 00</v>
      </c>
    </row>
    <row r="106" spans="1:1" x14ac:dyDescent="0.25">
      <c r="A106" s="20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044, 19410415, 1,  131, 00</v>
      </c>
    </row>
    <row r="107" spans="1:1" x14ac:dyDescent="0.25">
      <c r="A107" s="20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044, 19410416, 1,    0, 00</v>
      </c>
    </row>
    <row r="108" spans="1:1" x14ac:dyDescent="0.25">
      <c r="A108" s="20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044, 19410417, 1,   21, 00</v>
      </c>
    </row>
    <row r="109" spans="1:1" x14ac:dyDescent="0.25">
      <c r="A109" s="20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044, 19410418, 1,   40, 00</v>
      </c>
    </row>
    <row r="110" spans="1:1" x14ac:dyDescent="0.25">
      <c r="A110" s="20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044, 19410419, 1,    0, 00</v>
      </c>
    </row>
    <row r="111" spans="1:1" x14ac:dyDescent="0.25">
      <c r="A111" s="20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044, 19410420, 1,    0, 00</v>
      </c>
    </row>
    <row r="112" spans="1:1" x14ac:dyDescent="0.25">
      <c r="A112" s="20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044, 19410421, 1,    0, 00</v>
      </c>
    </row>
    <row r="113" spans="1:1" x14ac:dyDescent="0.25">
      <c r="A113" s="20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044, 19410422, 1,    0, 00</v>
      </c>
    </row>
    <row r="114" spans="1:1" x14ac:dyDescent="0.25">
      <c r="A114" s="20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044, 19410423, 1,    0, 00</v>
      </c>
    </row>
    <row r="115" spans="1:1" x14ac:dyDescent="0.25">
      <c r="A115" s="20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044, 19410424, 1,    0, 00</v>
      </c>
    </row>
    <row r="116" spans="1:1" x14ac:dyDescent="0.25">
      <c r="A116" s="20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044, 19410425, 1,    0, 00</v>
      </c>
    </row>
    <row r="117" spans="1:1" x14ac:dyDescent="0.25">
      <c r="A117" s="20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044, 19410426, 1,    0, 00</v>
      </c>
    </row>
    <row r="118" spans="1:1" x14ac:dyDescent="0.25">
      <c r="A118" s="20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044, 19410427, 1,    0, 00</v>
      </c>
    </row>
    <row r="119" spans="1:1" x14ac:dyDescent="0.25">
      <c r="A119" s="20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044, 19410428, 1,    0, 00</v>
      </c>
    </row>
    <row r="120" spans="1:1" x14ac:dyDescent="0.25">
      <c r="A120" s="20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044, 19410429, 1,    0, 00</v>
      </c>
    </row>
    <row r="121" spans="1:1" x14ac:dyDescent="0.25">
      <c r="A121" s="20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044, 19410430, 1,    0, 00</v>
      </c>
    </row>
    <row r="122" spans="1:1" x14ac:dyDescent="0.25">
      <c r="A122" s="20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044, 19410501, 1,    0, 00</v>
      </c>
    </row>
    <row r="123" spans="1:1" x14ac:dyDescent="0.25">
      <c r="A123" s="20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044, 19410502, 1,    0, 00</v>
      </c>
    </row>
    <row r="124" spans="1:1" x14ac:dyDescent="0.25">
      <c r="A124" s="20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044, 19410503, 1,    0, 00</v>
      </c>
    </row>
    <row r="125" spans="1:1" x14ac:dyDescent="0.25">
      <c r="A125" s="20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044, 19410504, 1,    0, 00</v>
      </c>
    </row>
    <row r="126" spans="1:1" x14ac:dyDescent="0.25">
      <c r="A126" s="20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044, 19410505, 1,    0, 00</v>
      </c>
    </row>
    <row r="127" spans="1:1" x14ac:dyDescent="0.25">
      <c r="A127" s="20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044, 19410506, 1,    0, 00</v>
      </c>
    </row>
    <row r="128" spans="1:1" x14ac:dyDescent="0.25">
      <c r="A128" s="20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044, 19410507, 1,    0, 00</v>
      </c>
    </row>
    <row r="129" spans="1:1" x14ac:dyDescent="0.25">
      <c r="A129" s="20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044, 19410508, 1,    0, 00</v>
      </c>
    </row>
    <row r="130" spans="1:1" x14ac:dyDescent="0.25">
      <c r="A130" s="20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044, 19410509, 1,    0, 00</v>
      </c>
    </row>
    <row r="131" spans="1:1" x14ac:dyDescent="0.25">
      <c r="A131" s="20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044, 19410510, 1,    0, 00</v>
      </c>
    </row>
    <row r="132" spans="1:1" x14ac:dyDescent="0.25">
      <c r="A132" s="20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044, 19410511, 1,    0, 00</v>
      </c>
    </row>
    <row r="133" spans="1:1" x14ac:dyDescent="0.25">
      <c r="A133" s="20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044, 19410512, 1,    0, 00</v>
      </c>
    </row>
    <row r="134" spans="1:1" x14ac:dyDescent="0.25">
      <c r="A134" s="20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044, 19410513, 1,    0, 00</v>
      </c>
    </row>
    <row r="135" spans="1:1" x14ac:dyDescent="0.25">
      <c r="A135" s="20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044, 19410514, 1,    0, 00</v>
      </c>
    </row>
    <row r="136" spans="1:1" x14ac:dyDescent="0.25">
      <c r="A136" s="20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044, 19410515, 1,    0, 00</v>
      </c>
    </row>
    <row r="137" spans="1:1" x14ac:dyDescent="0.25">
      <c r="A137" s="20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044, 19410516, 1,    0, 00</v>
      </c>
    </row>
    <row r="138" spans="1:1" x14ac:dyDescent="0.25">
      <c r="A138" s="20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044, 19410517, 1,    0, 00</v>
      </c>
    </row>
    <row r="139" spans="1:1" x14ac:dyDescent="0.25">
      <c r="A139" s="20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044, 19410518, 1,    0, 00</v>
      </c>
    </row>
    <row r="140" spans="1:1" x14ac:dyDescent="0.25">
      <c r="A140" s="20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044, 19410519, 1,    0, 00</v>
      </c>
    </row>
    <row r="141" spans="1:1" x14ac:dyDescent="0.25">
      <c r="A141" s="20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044, 19410520, 1,    0, 00</v>
      </c>
    </row>
    <row r="142" spans="1:1" x14ac:dyDescent="0.25">
      <c r="A142" s="20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044, 19410521, 1,    0, 00</v>
      </c>
    </row>
    <row r="143" spans="1:1" x14ac:dyDescent="0.25">
      <c r="A143" s="20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044, 19410522, 1,    0, 00</v>
      </c>
    </row>
    <row r="144" spans="1:1" x14ac:dyDescent="0.25">
      <c r="A144" s="20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044, 19410523, 1,    0, 00</v>
      </c>
    </row>
    <row r="145" spans="1:1" x14ac:dyDescent="0.25">
      <c r="A145" s="20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044, 19410524, 1,    0, 00</v>
      </c>
    </row>
    <row r="146" spans="1:1" x14ac:dyDescent="0.25">
      <c r="A146" s="20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044, 19410525, 1,    0, 00</v>
      </c>
    </row>
    <row r="147" spans="1:1" x14ac:dyDescent="0.25">
      <c r="A147" s="20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044, 19410526, 1,    0, 00</v>
      </c>
    </row>
    <row r="148" spans="1:1" x14ac:dyDescent="0.25">
      <c r="A148" s="20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044, 19410527, 1,    0, 00</v>
      </c>
    </row>
    <row r="149" spans="1:1" x14ac:dyDescent="0.25">
      <c r="A149" s="20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044, 19410528, 1,    0, 00</v>
      </c>
    </row>
    <row r="150" spans="1:1" x14ac:dyDescent="0.25">
      <c r="A150" s="20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044, 19410529, 1,    0, 00</v>
      </c>
    </row>
    <row r="151" spans="1:1" x14ac:dyDescent="0.25">
      <c r="A151" s="20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044, 19410530, 1,    0, 00</v>
      </c>
    </row>
    <row r="152" spans="1:1" x14ac:dyDescent="0.25">
      <c r="A152" s="20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044, 19410531, 1,    0, 00</v>
      </c>
    </row>
    <row r="153" spans="1:1" x14ac:dyDescent="0.25">
      <c r="A153" s="20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19410601, 1, ////, 07</v>
      </c>
    </row>
    <row r="154" spans="1:1" x14ac:dyDescent="0.25">
      <c r="A154" s="20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19410602, 1, ////, 07</v>
      </c>
    </row>
    <row r="155" spans="1:1" x14ac:dyDescent="0.25">
      <c r="A155" s="20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19410603, 1, ////, 07</v>
      </c>
    </row>
    <row r="156" spans="1:1" x14ac:dyDescent="0.25">
      <c r="A156" s="20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19410604, 1, ////, 07</v>
      </c>
    </row>
    <row r="157" spans="1:1" x14ac:dyDescent="0.25">
      <c r="A157" s="20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19410605, 1, ////, 07</v>
      </c>
    </row>
    <row r="158" spans="1:1" x14ac:dyDescent="0.25">
      <c r="A158" s="20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19410606, 1, ////, 07</v>
      </c>
    </row>
    <row r="159" spans="1:1" x14ac:dyDescent="0.25">
      <c r="A159" s="20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19410607, 1, ////, 07</v>
      </c>
    </row>
    <row r="160" spans="1:1" x14ac:dyDescent="0.25">
      <c r="A160" s="20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19410608, 1, ////, 07</v>
      </c>
    </row>
    <row r="161" spans="1:1" x14ac:dyDescent="0.25">
      <c r="A161" s="20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19410609, 1, ////, 07</v>
      </c>
    </row>
    <row r="162" spans="1:1" x14ac:dyDescent="0.25">
      <c r="A162" s="20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19410610, 1, ////, 07</v>
      </c>
    </row>
    <row r="163" spans="1:1" x14ac:dyDescent="0.25">
      <c r="A163" s="20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19410611, 1, ////, 07</v>
      </c>
    </row>
    <row r="164" spans="1:1" x14ac:dyDescent="0.25">
      <c r="A164" s="20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19410612, 1, ////, 07</v>
      </c>
    </row>
    <row r="165" spans="1:1" x14ac:dyDescent="0.25">
      <c r="A165" s="20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19410613, 1, ////, 07</v>
      </c>
    </row>
    <row r="166" spans="1:1" x14ac:dyDescent="0.25">
      <c r="A166" s="20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19410614, 1, ////, 07</v>
      </c>
    </row>
    <row r="167" spans="1:1" x14ac:dyDescent="0.25">
      <c r="A167" s="20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19410615, 1, ////, 07</v>
      </c>
    </row>
    <row r="168" spans="1:1" x14ac:dyDescent="0.25">
      <c r="A168" s="20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19410616, 1, ////, 07</v>
      </c>
    </row>
    <row r="169" spans="1:1" x14ac:dyDescent="0.25">
      <c r="A169" s="20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19410617, 1, ////, 07</v>
      </c>
    </row>
    <row r="170" spans="1:1" x14ac:dyDescent="0.25">
      <c r="A170" s="20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19410618, 1, ////, 07</v>
      </c>
    </row>
    <row r="171" spans="1:1" x14ac:dyDescent="0.25">
      <c r="A171" s="20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19410619, 1, ////, 07</v>
      </c>
    </row>
    <row r="172" spans="1:1" x14ac:dyDescent="0.25">
      <c r="A172" s="20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19410620, 1, ////, 07</v>
      </c>
    </row>
    <row r="173" spans="1:1" x14ac:dyDescent="0.25">
      <c r="A173" s="20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19410621, 1, ////, 07</v>
      </c>
    </row>
    <row r="174" spans="1:1" x14ac:dyDescent="0.25">
      <c r="A174" s="20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19410622, 1, ////, 07</v>
      </c>
    </row>
    <row r="175" spans="1:1" x14ac:dyDescent="0.25">
      <c r="A175" s="20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19410623, 1, ////, 07</v>
      </c>
    </row>
    <row r="176" spans="1:1" x14ac:dyDescent="0.25">
      <c r="A176" s="20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19410624, 1, ////, 07</v>
      </c>
    </row>
    <row r="177" spans="1:1" x14ac:dyDescent="0.25">
      <c r="A177" s="20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19410625, 1, ////, 07</v>
      </c>
    </row>
    <row r="178" spans="1:1" x14ac:dyDescent="0.25">
      <c r="A178" s="20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19410626, 1, ////, 07</v>
      </c>
    </row>
    <row r="179" spans="1:1" x14ac:dyDescent="0.25">
      <c r="A179" s="20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19410627, 1, ////, 07</v>
      </c>
    </row>
    <row r="180" spans="1:1" x14ac:dyDescent="0.25">
      <c r="A180" s="20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19410628, 1, ////, 07</v>
      </c>
    </row>
    <row r="181" spans="1:1" x14ac:dyDescent="0.25">
      <c r="A181" s="20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19410629, 1, ////, 07</v>
      </c>
    </row>
    <row r="182" spans="1:1" x14ac:dyDescent="0.25">
      <c r="A182" s="20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19410630, 1, ////, 07</v>
      </c>
    </row>
    <row r="183" spans="1:1" x14ac:dyDescent="0.25">
      <c r="A183" s="20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19410701, 1, ////, 07</v>
      </c>
    </row>
    <row r="184" spans="1:1" x14ac:dyDescent="0.25">
      <c r="A184" s="20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19410702, 1, ////, 07</v>
      </c>
    </row>
    <row r="185" spans="1:1" x14ac:dyDescent="0.25">
      <c r="A185" s="20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19410703, 1, ////, 07</v>
      </c>
    </row>
    <row r="186" spans="1:1" x14ac:dyDescent="0.25">
      <c r="A186" s="20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19410704, 1, ////, 07</v>
      </c>
    </row>
    <row r="187" spans="1:1" x14ac:dyDescent="0.25">
      <c r="A187" s="20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19410705, 1, ////, 07</v>
      </c>
    </row>
    <row r="188" spans="1:1" x14ac:dyDescent="0.25">
      <c r="A188" s="20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19410706, 1, ////, 07</v>
      </c>
    </row>
    <row r="189" spans="1:1" x14ac:dyDescent="0.25">
      <c r="A189" s="20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19410707, 1, ////, 07</v>
      </c>
    </row>
    <row r="190" spans="1:1" x14ac:dyDescent="0.25">
      <c r="A190" s="20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19410708, 1, ////, 07</v>
      </c>
    </row>
    <row r="191" spans="1:1" x14ac:dyDescent="0.25">
      <c r="A191" s="20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19410709, 1, ////, 07</v>
      </c>
    </row>
    <row r="192" spans="1:1" x14ac:dyDescent="0.25">
      <c r="A192" s="20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19410710, 1, ////, 07</v>
      </c>
    </row>
    <row r="193" spans="1:1" x14ac:dyDescent="0.25">
      <c r="A193" s="20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19410711, 1, ////, 07</v>
      </c>
    </row>
    <row r="194" spans="1:1" x14ac:dyDescent="0.25">
      <c r="A194" s="20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19410712, 1, ////, 07</v>
      </c>
    </row>
    <row r="195" spans="1:1" x14ac:dyDescent="0.25">
      <c r="A195" s="20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19410713, 1, ////, 07</v>
      </c>
    </row>
    <row r="196" spans="1:1" x14ac:dyDescent="0.25">
      <c r="A196" s="20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19410714, 1, ////, 07</v>
      </c>
    </row>
    <row r="197" spans="1:1" x14ac:dyDescent="0.25">
      <c r="A197" s="20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19410715, 1, ////, 07</v>
      </c>
    </row>
    <row r="198" spans="1:1" x14ac:dyDescent="0.25">
      <c r="A198" s="20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19410716, 1, ////, 07</v>
      </c>
    </row>
    <row r="199" spans="1:1" x14ac:dyDescent="0.25">
      <c r="A199" s="20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19410717, 1, ////, 07</v>
      </c>
    </row>
    <row r="200" spans="1:1" x14ac:dyDescent="0.25">
      <c r="A200" s="20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19410718, 1, ////, 07</v>
      </c>
    </row>
    <row r="201" spans="1:1" x14ac:dyDescent="0.25">
      <c r="A201" s="20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19410719, 1, ////, 07</v>
      </c>
    </row>
    <row r="202" spans="1:1" x14ac:dyDescent="0.25">
      <c r="A202" s="20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19410720, 1, ////, 07</v>
      </c>
    </row>
    <row r="203" spans="1:1" x14ac:dyDescent="0.25">
      <c r="A203" s="20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19410721, 1, ////, 07</v>
      </c>
    </row>
    <row r="204" spans="1:1" x14ac:dyDescent="0.25">
      <c r="A204" s="20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19410722, 1, ////, 07</v>
      </c>
    </row>
    <row r="205" spans="1:1" x14ac:dyDescent="0.25">
      <c r="A205" s="20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19410723, 1, ////, 07</v>
      </c>
    </row>
    <row r="206" spans="1:1" x14ac:dyDescent="0.25">
      <c r="A206" s="20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19410724, 1, ////, 07</v>
      </c>
    </row>
    <row r="207" spans="1:1" x14ac:dyDescent="0.25">
      <c r="A207" s="20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19410725, 1, ////, 07</v>
      </c>
    </row>
    <row r="208" spans="1:1" x14ac:dyDescent="0.25">
      <c r="A208" s="20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19410726, 1, ////, 07</v>
      </c>
    </row>
    <row r="209" spans="1:1" x14ac:dyDescent="0.25">
      <c r="A209" s="20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19410727, 1, ////, 07</v>
      </c>
    </row>
    <row r="210" spans="1:1" x14ac:dyDescent="0.25">
      <c r="A210" s="20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19410728, 1, ////, 07</v>
      </c>
    </row>
    <row r="211" spans="1:1" x14ac:dyDescent="0.25">
      <c r="A211" s="20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19410729, 1, ////, 07</v>
      </c>
    </row>
    <row r="212" spans="1:1" x14ac:dyDescent="0.25">
      <c r="A212" s="20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19410730, 1, ////, 07</v>
      </c>
    </row>
    <row r="213" spans="1:1" x14ac:dyDescent="0.25">
      <c r="A213" s="20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19410731, 1, ////, 07</v>
      </c>
    </row>
    <row r="214" spans="1:1" x14ac:dyDescent="0.25">
      <c r="A214" s="20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19410801, 1, ////, 07</v>
      </c>
    </row>
    <row r="215" spans="1:1" x14ac:dyDescent="0.25">
      <c r="A215" s="20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19410802, 1, ////, 07</v>
      </c>
    </row>
    <row r="216" spans="1:1" x14ac:dyDescent="0.25">
      <c r="A216" s="20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19410803, 1, ////, 07</v>
      </c>
    </row>
    <row r="217" spans="1:1" x14ac:dyDescent="0.25">
      <c r="A217" s="20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19410804, 1, ////, 07</v>
      </c>
    </row>
    <row r="218" spans="1:1" x14ac:dyDescent="0.25">
      <c r="A218" s="20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19410805, 1, ////, 07</v>
      </c>
    </row>
    <row r="219" spans="1:1" x14ac:dyDescent="0.25">
      <c r="A219" s="20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19410806, 1, ////, 07</v>
      </c>
    </row>
    <row r="220" spans="1:1" x14ac:dyDescent="0.25">
      <c r="A220" s="20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19410807, 1, ////, 07</v>
      </c>
    </row>
    <row r="221" spans="1:1" x14ac:dyDescent="0.25">
      <c r="A221" s="20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19410808, 1, ////, 07</v>
      </c>
    </row>
    <row r="222" spans="1:1" x14ac:dyDescent="0.25">
      <c r="A222" s="20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19410809, 1, ////, 07</v>
      </c>
    </row>
    <row r="223" spans="1:1" x14ac:dyDescent="0.25">
      <c r="A223" s="20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19410810, 1, ////, 07</v>
      </c>
    </row>
    <row r="224" spans="1:1" x14ac:dyDescent="0.25">
      <c r="A224" s="20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19410811, 1, ////, 07</v>
      </c>
    </row>
    <row r="225" spans="1:1" x14ac:dyDescent="0.25">
      <c r="A225" s="20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19410812, 1, ////, 07</v>
      </c>
    </row>
    <row r="226" spans="1:1" x14ac:dyDescent="0.25">
      <c r="A226" s="20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19410813, 1, ////, 07</v>
      </c>
    </row>
    <row r="227" spans="1:1" x14ac:dyDescent="0.25">
      <c r="A227" s="20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19410814, 1, ////, 07</v>
      </c>
    </row>
    <row r="228" spans="1:1" x14ac:dyDescent="0.25">
      <c r="A228" s="20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19410815, 1, ////, 07</v>
      </c>
    </row>
    <row r="229" spans="1:1" x14ac:dyDescent="0.25">
      <c r="A229" s="20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19410816, 1, ////, 07</v>
      </c>
    </row>
    <row r="230" spans="1:1" x14ac:dyDescent="0.25">
      <c r="A230" s="20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19410817, 1, ////, 07</v>
      </c>
    </row>
    <row r="231" spans="1:1" x14ac:dyDescent="0.25">
      <c r="A231" s="20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19410818, 1, ////, 07</v>
      </c>
    </row>
    <row r="232" spans="1:1" x14ac:dyDescent="0.25">
      <c r="A232" s="20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19410819, 1, ////, 07</v>
      </c>
    </row>
    <row r="233" spans="1:1" x14ac:dyDescent="0.25">
      <c r="A233" s="20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19410820, 1, ////, 07</v>
      </c>
    </row>
    <row r="234" spans="1:1" x14ac:dyDescent="0.25">
      <c r="A234" s="20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19410821, 1, ////, 07</v>
      </c>
    </row>
    <row r="235" spans="1:1" x14ac:dyDescent="0.25">
      <c r="A235" s="20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19410822, 1, ////, 07</v>
      </c>
    </row>
    <row r="236" spans="1:1" x14ac:dyDescent="0.25">
      <c r="A236" s="20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19410823, 1, ////, 07</v>
      </c>
    </row>
    <row r="237" spans="1:1" x14ac:dyDescent="0.25">
      <c r="A237" s="20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19410824, 1, ////, 07</v>
      </c>
    </row>
    <row r="238" spans="1:1" x14ac:dyDescent="0.25">
      <c r="A238" s="20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19410825, 1, ////, 07</v>
      </c>
    </row>
    <row r="239" spans="1:1" x14ac:dyDescent="0.25">
      <c r="A239" s="20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19410826, 1, ////, 07</v>
      </c>
    </row>
    <row r="240" spans="1:1" x14ac:dyDescent="0.25">
      <c r="A240" s="20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19410827, 1, ////, 07</v>
      </c>
    </row>
    <row r="241" spans="1:1" x14ac:dyDescent="0.25">
      <c r="A241" s="20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19410828, 1, ////, 07</v>
      </c>
    </row>
    <row r="242" spans="1:1" x14ac:dyDescent="0.25">
      <c r="A242" s="20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19410829, 1, ////, 07</v>
      </c>
    </row>
    <row r="243" spans="1:1" x14ac:dyDescent="0.25">
      <c r="A243" s="20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19410830, 1, ////, 07</v>
      </c>
    </row>
    <row r="244" spans="1:1" x14ac:dyDescent="0.25">
      <c r="A244" s="20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19410831, 1, ////, 07</v>
      </c>
    </row>
    <row r="245" spans="1:1" x14ac:dyDescent="0.25">
      <c r="A245" s="20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19410901, 1, ////, 07</v>
      </c>
    </row>
    <row r="246" spans="1:1" x14ac:dyDescent="0.25">
      <c r="A246" s="20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19410902, 1, ////, 07</v>
      </c>
    </row>
    <row r="247" spans="1:1" x14ac:dyDescent="0.25">
      <c r="A247" s="20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19410903, 1, ////, 07</v>
      </c>
    </row>
    <row r="248" spans="1:1" x14ac:dyDescent="0.25">
      <c r="A248" s="20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19410904, 1, ////, 07</v>
      </c>
    </row>
    <row r="249" spans="1:1" x14ac:dyDescent="0.25">
      <c r="A249" s="20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19410905, 1, ////, 07</v>
      </c>
    </row>
    <row r="250" spans="1:1" x14ac:dyDescent="0.25">
      <c r="A250" s="20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19410906, 1, ////, 07</v>
      </c>
    </row>
    <row r="251" spans="1:1" x14ac:dyDescent="0.25">
      <c r="A251" s="20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19410907, 1, ////, 07</v>
      </c>
    </row>
    <row r="252" spans="1:1" x14ac:dyDescent="0.25">
      <c r="A252" s="20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19410908, 1, ////, 07</v>
      </c>
    </row>
    <row r="253" spans="1:1" x14ac:dyDescent="0.25">
      <c r="A253" s="20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19410909, 1, ////, 07</v>
      </c>
    </row>
    <row r="254" spans="1:1" x14ac:dyDescent="0.25">
      <c r="A254" s="20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19410910, 1, ////, 07</v>
      </c>
    </row>
    <row r="255" spans="1:1" x14ac:dyDescent="0.25">
      <c r="A255" s="20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19410911, 1, ////, 07</v>
      </c>
    </row>
    <row r="256" spans="1:1" x14ac:dyDescent="0.25">
      <c r="A256" s="20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19410912, 1, ////, 07</v>
      </c>
    </row>
    <row r="257" spans="1:1" x14ac:dyDescent="0.25">
      <c r="A257" s="20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19410913, 1, ////, 07</v>
      </c>
    </row>
    <row r="258" spans="1:1" x14ac:dyDescent="0.25">
      <c r="A258" s="20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19410914, 1, ////, 07</v>
      </c>
    </row>
    <row r="259" spans="1:1" x14ac:dyDescent="0.25">
      <c r="A259" s="20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19410915, 1, ////, 07</v>
      </c>
    </row>
    <row r="260" spans="1:1" x14ac:dyDescent="0.25">
      <c r="A260" s="20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19410916, 1, ////, 07</v>
      </c>
    </row>
    <row r="261" spans="1:1" x14ac:dyDescent="0.25">
      <c r="A261" s="20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19410917, 1, ////, 07</v>
      </c>
    </row>
    <row r="262" spans="1:1" x14ac:dyDescent="0.25">
      <c r="A262" s="20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19410918, 1, ////, 07</v>
      </c>
    </row>
    <row r="263" spans="1:1" x14ac:dyDescent="0.25">
      <c r="A263" s="20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19410919, 1, ////, 07</v>
      </c>
    </row>
    <row r="264" spans="1:1" x14ac:dyDescent="0.25">
      <c r="A264" s="20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19410920, 1, ////, 07</v>
      </c>
    </row>
    <row r="265" spans="1:1" x14ac:dyDescent="0.25">
      <c r="A265" s="20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19410921, 1, ////, 07</v>
      </c>
    </row>
    <row r="266" spans="1:1" x14ac:dyDescent="0.25">
      <c r="A266" s="20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19410922, 1, ////, 07</v>
      </c>
    </row>
    <row r="267" spans="1:1" x14ac:dyDescent="0.25">
      <c r="A267" s="20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19410923, 1, ////, 07</v>
      </c>
    </row>
    <row r="268" spans="1:1" x14ac:dyDescent="0.25">
      <c r="A268" s="20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19410924, 1, ////, 07</v>
      </c>
    </row>
    <row r="269" spans="1:1" x14ac:dyDescent="0.25">
      <c r="A269" s="20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19410925, 1, ////, 07</v>
      </c>
    </row>
    <row r="270" spans="1:1" x14ac:dyDescent="0.25">
      <c r="A270" s="20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19410926, 1, ////, 07</v>
      </c>
    </row>
    <row r="271" spans="1:1" x14ac:dyDescent="0.25">
      <c r="A271" s="20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19410927, 1, ////, 07</v>
      </c>
    </row>
    <row r="272" spans="1:1" x14ac:dyDescent="0.25">
      <c r="A272" s="20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19410928, 1, ////, 07</v>
      </c>
    </row>
    <row r="273" spans="1:1" x14ac:dyDescent="0.25">
      <c r="A273" s="20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19410929, 1, ////, 07</v>
      </c>
    </row>
    <row r="274" spans="1:1" x14ac:dyDescent="0.25">
      <c r="A274" s="20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19410930, 1, ////, 07</v>
      </c>
    </row>
    <row r="275" spans="1:1" x14ac:dyDescent="0.25">
      <c r="A275" s="20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19411001, 1, ////, 07</v>
      </c>
    </row>
    <row r="276" spans="1:1" x14ac:dyDescent="0.25">
      <c r="A276" s="20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19411002, 1, ////, 07</v>
      </c>
    </row>
    <row r="277" spans="1:1" x14ac:dyDescent="0.25">
      <c r="A277" s="20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19411003, 1, ////, 07</v>
      </c>
    </row>
    <row r="278" spans="1:1" x14ac:dyDescent="0.25">
      <c r="A278" s="20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19411004, 1, ////, 07</v>
      </c>
    </row>
    <row r="279" spans="1:1" x14ac:dyDescent="0.25">
      <c r="A279" s="20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19411005, 1, ////, 07</v>
      </c>
    </row>
    <row r="280" spans="1:1" x14ac:dyDescent="0.25">
      <c r="A280" s="20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19411006, 1, ////, 07</v>
      </c>
    </row>
    <row r="281" spans="1:1" x14ac:dyDescent="0.25">
      <c r="A281" s="20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19411007, 1, ////, 07</v>
      </c>
    </row>
    <row r="282" spans="1:1" x14ac:dyDescent="0.25">
      <c r="A282" s="20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19411008, 1, ////, 07</v>
      </c>
    </row>
    <row r="283" spans="1:1" x14ac:dyDescent="0.25">
      <c r="A283" s="20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19411009, 1, ////, 07</v>
      </c>
    </row>
    <row r="284" spans="1:1" x14ac:dyDescent="0.25">
      <c r="A284" s="20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19411010, 1, ////, 07</v>
      </c>
    </row>
    <row r="285" spans="1:1" x14ac:dyDescent="0.25">
      <c r="A285" s="20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19411011, 1, ////, 07</v>
      </c>
    </row>
    <row r="286" spans="1:1" x14ac:dyDescent="0.25">
      <c r="A286" s="20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19411012, 1, ////, 07</v>
      </c>
    </row>
    <row r="287" spans="1:1" x14ac:dyDescent="0.25">
      <c r="A287" s="20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19411013, 1, ////, 07</v>
      </c>
    </row>
    <row r="288" spans="1:1" x14ac:dyDescent="0.25">
      <c r="A288" s="20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19411014, 1, ////, 07</v>
      </c>
    </row>
    <row r="289" spans="1:1" x14ac:dyDescent="0.25">
      <c r="A289" s="20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19411015, 1, ////, 07</v>
      </c>
    </row>
    <row r="290" spans="1:1" x14ac:dyDescent="0.25">
      <c r="A290" s="20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19411016, 1, ////, 07</v>
      </c>
    </row>
    <row r="291" spans="1:1" x14ac:dyDescent="0.25">
      <c r="A291" s="20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19411017, 1, ////, 07</v>
      </c>
    </row>
    <row r="292" spans="1:1" x14ac:dyDescent="0.25">
      <c r="A292" s="20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19411018, 1, ////, 07</v>
      </c>
    </row>
    <row r="293" spans="1:1" x14ac:dyDescent="0.25">
      <c r="A293" s="20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19411019, 1, ////, 07</v>
      </c>
    </row>
    <row r="294" spans="1:1" x14ac:dyDescent="0.25">
      <c r="A294" s="20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19411020, 1, ////, 07</v>
      </c>
    </row>
    <row r="295" spans="1:1" x14ac:dyDescent="0.25">
      <c r="A295" s="20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19411021, 1, ////, 07</v>
      </c>
    </row>
    <row r="296" spans="1:1" x14ac:dyDescent="0.25">
      <c r="A296" s="20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19411022, 1, ////, 07</v>
      </c>
    </row>
    <row r="297" spans="1:1" x14ac:dyDescent="0.25">
      <c r="A297" s="20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19411023, 1, ////, 07</v>
      </c>
    </row>
    <row r="298" spans="1:1" x14ac:dyDescent="0.25">
      <c r="A298" s="20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19411024, 1, ////, 07</v>
      </c>
    </row>
    <row r="299" spans="1:1" x14ac:dyDescent="0.25">
      <c r="A299" s="20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19411025, 1, ////, 07</v>
      </c>
    </row>
    <row r="300" spans="1:1" x14ac:dyDescent="0.25">
      <c r="A300" s="20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19411026, 1, ////, 07</v>
      </c>
    </row>
    <row r="301" spans="1:1" x14ac:dyDescent="0.25">
      <c r="A301" s="20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19411027, 1, ////, 07</v>
      </c>
    </row>
    <row r="302" spans="1:1" x14ac:dyDescent="0.25">
      <c r="A302" s="20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19411028, 1, ////, 07</v>
      </c>
    </row>
    <row r="303" spans="1:1" x14ac:dyDescent="0.25">
      <c r="A303" s="20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19411029, 1, ////, 07</v>
      </c>
    </row>
    <row r="304" spans="1:1" x14ac:dyDescent="0.25">
      <c r="A304" s="20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19411030, 1, ////, 07</v>
      </c>
    </row>
    <row r="305" spans="1:1" x14ac:dyDescent="0.25">
      <c r="A305" s="20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19411031, 1, ////, 07</v>
      </c>
    </row>
    <row r="306" spans="1:1" x14ac:dyDescent="0.25">
      <c r="A306" s="20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19411101, 1, ////, 07</v>
      </c>
    </row>
    <row r="307" spans="1:1" x14ac:dyDescent="0.25">
      <c r="A307" s="20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19411102, 1, ////, 07</v>
      </c>
    </row>
    <row r="308" spans="1:1" x14ac:dyDescent="0.25">
      <c r="A308" s="20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19411103, 1, ////, 07</v>
      </c>
    </row>
    <row r="309" spans="1:1" x14ac:dyDescent="0.25">
      <c r="A309" s="20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19411104, 1, ////, 07</v>
      </c>
    </row>
    <row r="310" spans="1:1" x14ac:dyDescent="0.25">
      <c r="A310" s="20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19411105, 1, ////, 07</v>
      </c>
    </row>
    <row r="311" spans="1:1" x14ac:dyDescent="0.25">
      <c r="A311" s="20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19411106, 1, ////, 07</v>
      </c>
    </row>
    <row r="312" spans="1:1" x14ac:dyDescent="0.25">
      <c r="A312" s="20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19411107, 1, ////, 07</v>
      </c>
    </row>
    <row r="313" spans="1:1" x14ac:dyDescent="0.25">
      <c r="A313" s="20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19411108, 1, ////, 07</v>
      </c>
    </row>
    <row r="314" spans="1:1" x14ac:dyDescent="0.25">
      <c r="A314" s="20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19411109, 1, ////, 07</v>
      </c>
    </row>
    <row r="315" spans="1:1" x14ac:dyDescent="0.25">
      <c r="A315" s="20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19411110, 1, ////, 07</v>
      </c>
    </row>
    <row r="316" spans="1:1" x14ac:dyDescent="0.25">
      <c r="A316" s="20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19411111, 1, ////, 07</v>
      </c>
    </row>
    <row r="317" spans="1:1" x14ac:dyDescent="0.25">
      <c r="A317" s="20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19411112, 1, ////, 07</v>
      </c>
    </row>
    <row r="318" spans="1:1" x14ac:dyDescent="0.25">
      <c r="A318" s="20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19411113, 1, ////, 07</v>
      </c>
    </row>
    <row r="319" spans="1:1" x14ac:dyDescent="0.25">
      <c r="A319" s="20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19411114, 1, ////, 07</v>
      </c>
    </row>
    <row r="320" spans="1:1" x14ac:dyDescent="0.25">
      <c r="A320" s="20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19411115, 1, ////, 07</v>
      </c>
    </row>
    <row r="321" spans="1:1" x14ac:dyDescent="0.25">
      <c r="A321" s="20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19411116, 1, ////, 07</v>
      </c>
    </row>
    <row r="322" spans="1:1" x14ac:dyDescent="0.25">
      <c r="A322" s="20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19411117, 1, ////, 07</v>
      </c>
    </row>
    <row r="323" spans="1:1" x14ac:dyDescent="0.25">
      <c r="A323" s="20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19411118, 1, ////, 07</v>
      </c>
    </row>
    <row r="324" spans="1:1" x14ac:dyDescent="0.25">
      <c r="A324" s="20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19411119, 1, ////, 07</v>
      </c>
    </row>
    <row r="325" spans="1:1" x14ac:dyDescent="0.25">
      <c r="A325" s="20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19411120, 1, ////, 07</v>
      </c>
    </row>
    <row r="326" spans="1:1" x14ac:dyDescent="0.25">
      <c r="A326" s="20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19411121, 1, ////, 07</v>
      </c>
    </row>
    <row r="327" spans="1:1" x14ac:dyDescent="0.25">
      <c r="A327" s="20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19411122, 1, ////, 07</v>
      </c>
    </row>
    <row r="328" spans="1:1" x14ac:dyDescent="0.25">
      <c r="A328" s="20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19411123, 1, ////, 07</v>
      </c>
    </row>
    <row r="329" spans="1:1" x14ac:dyDescent="0.25">
      <c r="A329" s="20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19411124, 1, ////, 07</v>
      </c>
    </row>
    <row r="330" spans="1:1" x14ac:dyDescent="0.25">
      <c r="A330" s="20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19411125, 1, ////, 07</v>
      </c>
    </row>
    <row r="331" spans="1:1" x14ac:dyDescent="0.25">
      <c r="A331" s="20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19411126, 1, ////, 07</v>
      </c>
    </row>
    <row r="332" spans="1:1" x14ac:dyDescent="0.25">
      <c r="A332" s="20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19411127, 1, ////, 07</v>
      </c>
    </row>
    <row r="333" spans="1:1" x14ac:dyDescent="0.25">
      <c r="A333" s="20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19411128, 1, ////, 07</v>
      </c>
    </row>
    <row r="334" spans="1:1" x14ac:dyDescent="0.25">
      <c r="A334" s="20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19411129, 1, ////, 07</v>
      </c>
    </row>
    <row r="335" spans="1:1" x14ac:dyDescent="0.25">
      <c r="A335" s="20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19411130, 1, ////, 07</v>
      </c>
    </row>
    <row r="336" spans="1:1" x14ac:dyDescent="0.25">
      <c r="A336" s="20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19411201, 1, ////, 07</v>
      </c>
    </row>
    <row r="337" spans="1:1" x14ac:dyDescent="0.25">
      <c r="A337" s="20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19411202, 1, ////, 07</v>
      </c>
    </row>
    <row r="338" spans="1:1" x14ac:dyDescent="0.25">
      <c r="A338" s="20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19411203, 1, ////, 07</v>
      </c>
    </row>
    <row r="339" spans="1:1" x14ac:dyDescent="0.25">
      <c r="A339" s="20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19411204, 1, ////, 07</v>
      </c>
    </row>
    <row r="340" spans="1:1" x14ac:dyDescent="0.25">
      <c r="A340" s="20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19411205, 1, ////, 07</v>
      </c>
    </row>
    <row r="341" spans="1:1" x14ac:dyDescent="0.25">
      <c r="A341" s="20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19411206, 1, ////, 07</v>
      </c>
    </row>
    <row r="342" spans="1:1" x14ac:dyDescent="0.25">
      <c r="A342" s="20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19411207, 1, ////, 07</v>
      </c>
    </row>
    <row r="343" spans="1:1" x14ac:dyDescent="0.25">
      <c r="A343" s="20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19411208, 1, ////, 07</v>
      </c>
    </row>
    <row r="344" spans="1:1" x14ac:dyDescent="0.25">
      <c r="A344" s="20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19411209, 1, ////, 07</v>
      </c>
    </row>
    <row r="345" spans="1:1" x14ac:dyDescent="0.25">
      <c r="A345" s="20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19411210, 1, ////, 07</v>
      </c>
    </row>
    <row r="346" spans="1:1" x14ac:dyDescent="0.25">
      <c r="A346" s="20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19411211, 1, ////, 07</v>
      </c>
    </row>
    <row r="347" spans="1:1" x14ac:dyDescent="0.25">
      <c r="A347" s="20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19411212, 1, ////, 07</v>
      </c>
    </row>
    <row r="348" spans="1:1" x14ac:dyDescent="0.25">
      <c r="A348" s="20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19411213, 1, ////, 07</v>
      </c>
    </row>
    <row r="349" spans="1:1" x14ac:dyDescent="0.25">
      <c r="A349" s="20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19411214, 1, ////, 07</v>
      </c>
    </row>
    <row r="350" spans="1:1" x14ac:dyDescent="0.25">
      <c r="A350" s="20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19411215, 1, ////, 07</v>
      </c>
    </row>
    <row r="351" spans="1:1" x14ac:dyDescent="0.25">
      <c r="A351" s="20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19411216, 1, ////, 07</v>
      </c>
    </row>
    <row r="352" spans="1:1" x14ac:dyDescent="0.25">
      <c r="A352" s="20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19411217, 1, ////, 07</v>
      </c>
    </row>
    <row r="353" spans="1:1" x14ac:dyDescent="0.25">
      <c r="A353" s="20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19411218, 1, ////, 07</v>
      </c>
    </row>
    <row r="354" spans="1:1" x14ac:dyDescent="0.25">
      <c r="A354" s="20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19411219, 1, ////, 07</v>
      </c>
    </row>
    <row r="355" spans="1:1" x14ac:dyDescent="0.25">
      <c r="A355" s="20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19411220, 1, ////, 07</v>
      </c>
    </row>
    <row r="356" spans="1:1" x14ac:dyDescent="0.25">
      <c r="A356" s="20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19411221, 1, ////, 07</v>
      </c>
    </row>
    <row r="357" spans="1:1" x14ac:dyDescent="0.25">
      <c r="A357" s="20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19411222, 1, ////, 07</v>
      </c>
    </row>
    <row r="358" spans="1:1" x14ac:dyDescent="0.25">
      <c r="A358" s="20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19411223, 1, ////, 07</v>
      </c>
    </row>
    <row r="359" spans="1:1" x14ac:dyDescent="0.25">
      <c r="A359" s="20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19411224, 1, ////, 07</v>
      </c>
    </row>
    <row r="360" spans="1:1" x14ac:dyDescent="0.25">
      <c r="A360" s="20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19411225, 1, ////, 07</v>
      </c>
    </row>
    <row r="361" spans="1:1" x14ac:dyDescent="0.25">
      <c r="A361" s="20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19411226, 1, ////, 07</v>
      </c>
    </row>
    <row r="362" spans="1:1" x14ac:dyDescent="0.25">
      <c r="A362" s="20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19411227, 1, ////, 07</v>
      </c>
    </row>
    <row r="363" spans="1:1" x14ac:dyDescent="0.25">
      <c r="A363" s="20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19411228, 1, ////, 07</v>
      </c>
    </row>
    <row r="364" spans="1:1" x14ac:dyDescent="0.25">
      <c r="A364" s="20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19411229, 1, ////, 07</v>
      </c>
    </row>
    <row r="365" spans="1:1" x14ac:dyDescent="0.25">
      <c r="A365" s="20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19411230, 1, ////, 07</v>
      </c>
    </row>
    <row r="366" spans="1:1" x14ac:dyDescent="0.25">
      <c r="A366" s="20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19411231, 1, ////, 07</v>
      </c>
    </row>
    <row r="367" spans="1:1" x14ac:dyDescent="0.25">
      <c r="A367" s="20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042, 19410101, 1,   21, 00</v>
      </c>
    </row>
    <row r="368" spans="1:1" x14ac:dyDescent="0.25">
      <c r="A368" s="20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042, 19410102, 1,    0, 00</v>
      </c>
    </row>
    <row r="369" spans="1:1" x14ac:dyDescent="0.25">
      <c r="A369" s="20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042, 19410103, 1,    0, 00</v>
      </c>
    </row>
    <row r="370" spans="1:1" x14ac:dyDescent="0.25">
      <c r="A370" s="20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042, 19410104, 1,    0, 00</v>
      </c>
    </row>
    <row r="371" spans="1:1" x14ac:dyDescent="0.25">
      <c r="A371" s="20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042, 19410105, 1,    7, 00</v>
      </c>
    </row>
    <row r="372" spans="1:1" x14ac:dyDescent="0.25">
      <c r="A372" s="20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042, 19410106, 1,   18, 00</v>
      </c>
    </row>
    <row r="373" spans="1:1" x14ac:dyDescent="0.25">
      <c r="A373" s="20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042, 19410107, 1,    0, 00</v>
      </c>
    </row>
    <row r="374" spans="1:1" x14ac:dyDescent="0.25">
      <c r="A374" s="20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042, 19410108, 1,    6, 00</v>
      </c>
    </row>
    <row r="375" spans="1:1" x14ac:dyDescent="0.25">
      <c r="A375" s="20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042, 19410109, 1,    0, 00</v>
      </c>
    </row>
    <row r="376" spans="1:1" x14ac:dyDescent="0.25">
      <c r="A376" s="20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042, 19410110, 1,    0, 00</v>
      </c>
    </row>
    <row r="377" spans="1:1" x14ac:dyDescent="0.25">
      <c r="A377" s="20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042, 19410111, 1,    0, 00</v>
      </c>
    </row>
    <row r="378" spans="1:1" x14ac:dyDescent="0.25">
      <c r="A378" s="20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042, 19410112, 1,    0, 00</v>
      </c>
    </row>
    <row r="379" spans="1:1" x14ac:dyDescent="0.25">
      <c r="A379" s="20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042, 19410113, 1,    6, 00</v>
      </c>
    </row>
    <row r="380" spans="1:1" x14ac:dyDescent="0.25">
      <c r="A380" s="20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042, 19410114, 1,    2, 00</v>
      </c>
    </row>
    <row r="381" spans="1:1" x14ac:dyDescent="0.25">
      <c r="A381" s="20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042, 19410115, 1,    0, 00</v>
      </c>
    </row>
    <row r="382" spans="1:1" x14ac:dyDescent="0.25">
      <c r="A382" s="20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042, 19410116, 1,    0, 00</v>
      </c>
    </row>
    <row r="383" spans="1:1" x14ac:dyDescent="0.25">
      <c r="A383" s="20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042, 19410117, 1,    0, 00</v>
      </c>
    </row>
    <row r="384" spans="1:1" x14ac:dyDescent="0.25">
      <c r="A384" s="20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042, 19410118, 1,    0, 00</v>
      </c>
    </row>
    <row r="385" spans="1:1" x14ac:dyDescent="0.25">
      <c r="A385" s="20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042, 19410119, 1,   15, 00</v>
      </c>
    </row>
    <row r="386" spans="1:1" x14ac:dyDescent="0.25">
      <c r="A386" s="20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042, 19410120, 1,    0, 00</v>
      </c>
    </row>
    <row r="387" spans="1:1" x14ac:dyDescent="0.25">
      <c r="A387" s="20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042, 19410121, 1,    0, 00</v>
      </c>
    </row>
    <row r="388" spans="1:1" x14ac:dyDescent="0.25">
      <c r="A388" s="20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042, 19410122, 1,    0, 00</v>
      </c>
    </row>
    <row r="389" spans="1:1" x14ac:dyDescent="0.25">
      <c r="A389" s="20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042, 19410123, 1,    0, 00</v>
      </c>
    </row>
    <row r="390" spans="1:1" x14ac:dyDescent="0.25">
      <c r="A390" s="20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042, 19410124, 1,    0, 00</v>
      </c>
    </row>
    <row r="391" spans="1:1" x14ac:dyDescent="0.25">
      <c r="A391" s="20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042, 19410125, 1,    0, 00</v>
      </c>
    </row>
    <row r="392" spans="1:1" x14ac:dyDescent="0.25">
      <c r="A392" s="20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042, 19410126, 1,    0, 00</v>
      </c>
    </row>
    <row r="393" spans="1:1" x14ac:dyDescent="0.25">
      <c r="A393" s="20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042, 19410127, 1,    8, 00</v>
      </c>
    </row>
    <row r="394" spans="1:1" x14ac:dyDescent="0.25">
      <c r="A394" s="20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042, 19410128, 1,  227, 00</v>
      </c>
    </row>
    <row r="395" spans="1:1" x14ac:dyDescent="0.25">
      <c r="A395" s="20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042, 19410129, 1,    0, 00</v>
      </c>
    </row>
    <row r="396" spans="1:1" x14ac:dyDescent="0.25">
      <c r="A396" s="20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042, 19410130, 1,    9, 00</v>
      </c>
    </row>
    <row r="397" spans="1:1" x14ac:dyDescent="0.25">
      <c r="A397" s="20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042, 19410131, 1,    0, 00</v>
      </c>
    </row>
    <row r="398" spans="1:1" x14ac:dyDescent="0.25">
      <c r="A398" s="20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042, 19410201, 1,    0, 00</v>
      </c>
    </row>
    <row r="399" spans="1:1" x14ac:dyDescent="0.25">
      <c r="A399" s="20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042, 19410202, 1,    0, 00</v>
      </c>
    </row>
    <row r="400" spans="1:1" x14ac:dyDescent="0.25">
      <c r="A400" s="20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042, 19410203, 1,    0, 00</v>
      </c>
    </row>
    <row r="401" spans="1:1" x14ac:dyDescent="0.25">
      <c r="A401" s="20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042, 19410204, 1,    0, 00</v>
      </c>
    </row>
    <row r="402" spans="1:1" x14ac:dyDescent="0.25">
      <c r="A402" s="20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042, 19410205, 1,    0, 00</v>
      </c>
    </row>
    <row r="403" spans="1:1" x14ac:dyDescent="0.25">
      <c r="A403" s="20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042, 19410206, 1,    0, 00</v>
      </c>
    </row>
    <row r="404" spans="1:1" x14ac:dyDescent="0.25">
      <c r="A404" s="20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042, 19410207, 1,    0, 00</v>
      </c>
    </row>
    <row r="405" spans="1:1" x14ac:dyDescent="0.25">
      <c r="A405" s="20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042, 19410208, 1,    0, 00</v>
      </c>
    </row>
    <row r="406" spans="1:1" x14ac:dyDescent="0.25">
      <c r="A406" s="20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042, 19410209, 1,    0, 00</v>
      </c>
    </row>
    <row r="407" spans="1:1" x14ac:dyDescent="0.25">
      <c r="A407" s="20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042, 19410210, 1,    0, 00</v>
      </c>
    </row>
    <row r="408" spans="1:1" x14ac:dyDescent="0.25">
      <c r="A408" s="20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042, 19410211, 1,    0, 00</v>
      </c>
    </row>
    <row r="409" spans="1:1" x14ac:dyDescent="0.25">
      <c r="A409" s="20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042, 19410212, 1,    0, 00</v>
      </c>
    </row>
    <row r="410" spans="1:1" x14ac:dyDescent="0.25">
      <c r="A410" s="20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042, 19410213, 1,    0, 00</v>
      </c>
    </row>
    <row r="411" spans="1:1" x14ac:dyDescent="0.25">
      <c r="A411" s="20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042, 19410214, 1,    0, 00</v>
      </c>
    </row>
    <row r="412" spans="1:1" x14ac:dyDescent="0.25">
      <c r="A412" s="20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042, 19410215, 1,    0, 00</v>
      </c>
    </row>
    <row r="413" spans="1:1" x14ac:dyDescent="0.25">
      <c r="A413" s="20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042, 19410216, 1,    0, 00</v>
      </c>
    </row>
    <row r="414" spans="1:1" x14ac:dyDescent="0.25">
      <c r="A414" s="20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042, 19410217, 1,    0, 00</v>
      </c>
    </row>
    <row r="415" spans="1:1" x14ac:dyDescent="0.25">
      <c r="A415" s="20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042, 19410218, 1,    0, 00</v>
      </c>
    </row>
    <row r="416" spans="1:1" x14ac:dyDescent="0.25">
      <c r="A416" s="20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042, 19410219, 1,    0, 00</v>
      </c>
    </row>
    <row r="417" spans="1:1" x14ac:dyDescent="0.25">
      <c r="A417" s="20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042, 19410220, 1,    0, 00</v>
      </c>
    </row>
    <row r="418" spans="1:1" x14ac:dyDescent="0.25">
      <c r="A418" s="20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042, 19410221, 1,    0, 00</v>
      </c>
    </row>
    <row r="419" spans="1:1" x14ac:dyDescent="0.25">
      <c r="A419" s="20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042, 19410222, 1,    0, 00</v>
      </c>
    </row>
    <row r="420" spans="1:1" x14ac:dyDescent="0.25">
      <c r="A420" s="20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042, 19410223, 1,    0, 00</v>
      </c>
    </row>
    <row r="421" spans="1:1" x14ac:dyDescent="0.25">
      <c r="A421" s="20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042, 19410224, 1,    0, 00</v>
      </c>
    </row>
    <row r="422" spans="1:1" x14ac:dyDescent="0.25">
      <c r="A422" s="20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042, 19410225, 1,    0, 00</v>
      </c>
    </row>
    <row r="423" spans="1:1" x14ac:dyDescent="0.25">
      <c r="A423" s="20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042, 19410226, 1,    0, 00</v>
      </c>
    </row>
    <row r="424" spans="1:1" x14ac:dyDescent="0.25">
      <c r="A424" s="20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042, 19410227, 1,    0, 00</v>
      </c>
    </row>
    <row r="425" spans="1:1" x14ac:dyDescent="0.25">
      <c r="A425" s="20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042, 19410228, 1,    0, 00</v>
      </c>
    </row>
    <row r="426" spans="1:1" x14ac:dyDescent="0.25">
      <c r="A426" s="20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042, 19410301, 1,    0, 00</v>
      </c>
    </row>
    <row r="427" spans="1:1" x14ac:dyDescent="0.25">
      <c r="A427" s="20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042, 19410302, 1,    0, 00</v>
      </c>
    </row>
    <row r="428" spans="1:1" x14ac:dyDescent="0.25">
      <c r="A428" s="20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042, 19410303, 1,    0, 00</v>
      </c>
    </row>
    <row r="429" spans="1:1" x14ac:dyDescent="0.25">
      <c r="A429" s="20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042, 19410304, 1,    0, 00</v>
      </c>
    </row>
    <row r="430" spans="1:1" x14ac:dyDescent="0.25">
      <c r="A430" s="20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042, 19410305, 1,    0, 00</v>
      </c>
    </row>
    <row r="431" spans="1:1" x14ac:dyDescent="0.25">
      <c r="A431" s="20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042, 19410306, 1,   14, 00</v>
      </c>
    </row>
    <row r="432" spans="1:1" x14ac:dyDescent="0.25">
      <c r="A432" s="20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042, 19410307, 1,    0, 00</v>
      </c>
    </row>
    <row r="433" spans="1:1" x14ac:dyDescent="0.25">
      <c r="A433" s="20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042, 19410308, 1,    0, 00</v>
      </c>
    </row>
    <row r="434" spans="1:1" x14ac:dyDescent="0.25">
      <c r="A434" s="20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042, 19410309, 1,    0, 00</v>
      </c>
    </row>
    <row r="435" spans="1:1" x14ac:dyDescent="0.25">
      <c r="A435" s="20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042, 19410310, 1,    0, 00</v>
      </c>
    </row>
    <row r="436" spans="1:1" x14ac:dyDescent="0.25">
      <c r="A436" s="20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042, 19410311, 1,    0, 00</v>
      </c>
    </row>
    <row r="437" spans="1:1" x14ac:dyDescent="0.25">
      <c r="A437" s="20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042, 19410312, 1,    0, 00</v>
      </c>
    </row>
    <row r="438" spans="1:1" x14ac:dyDescent="0.25">
      <c r="A438" s="20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042, 19410313, 1,    0, 00</v>
      </c>
    </row>
    <row r="439" spans="1:1" x14ac:dyDescent="0.25">
      <c r="A439" s="20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042, 19410314, 1,    0, 00</v>
      </c>
    </row>
    <row r="440" spans="1:1" x14ac:dyDescent="0.25">
      <c r="A440" s="20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042, 19410315, 1,    0, 00</v>
      </c>
    </row>
    <row r="441" spans="1:1" x14ac:dyDescent="0.25">
      <c r="A441" s="20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042, 19410316, 1,    0, 00</v>
      </c>
    </row>
    <row r="442" spans="1:1" x14ac:dyDescent="0.25">
      <c r="A442" s="20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042, 19410317, 1,    0, 00</v>
      </c>
    </row>
    <row r="443" spans="1:1" x14ac:dyDescent="0.25">
      <c r="A443" s="20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042, 19410318, 1,    0, 00</v>
      </c>
    </row>
    <row r="444" spans="1:1" x14ac:dyDescent="0.25">
      <c r="A444" s="20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042, 19410319, 1,    0, 00</v>
      </c>
    </row>
    <row r="445" spans="1:1" x14ac:dyDescent="0.25">
      <c r="A445" s="20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042, 19410320, 1,    0, 00</v>
      </c>
    </row>
    <row r="446" spans="1:1" x14ac:dyDescent="0.25">
      <c r="A446" s="20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042, 19410321, 1,    0, 00</v>
      </c>
    </row>
    <row r="447" spans="1:1" x14ac:dyDescent="0.25">
      <c r="A447" s="20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042, 19410322, 1,    0, 00</v>
      </c>
    </row>
    <row r="448" spans="1:1" x14ac:dyDescent="0.25">
      <c r="A448" s="20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042, 19410323, 1,    0, 00</v>
      </c>
    </row>
    <row r="449" spans="1:1" x14ac:dyDescent="0.25">
      <c r="A449" s="20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042, 19410324, 1,    0, 00</v>
      </c>
    </row>
    <row r="450" spans="1:1" x14ac:dyDescent="0.25">
      <c r="A450" s="20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042, 19410325, 1,    0, 00</v>
      </c>
    </row>
    <row r="451" spans="1:1" x14ac:dyDescent="0.25">
      <c r="A451" s="20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042, 19410326, 1,    0, 00</v>
      </c>
    </row>
    <row r="452" spans="1:1" x14ac:dyDescent="0.25">
      <c r="A452" s="20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042, 19410327, 1,    0, 00</v>
      </c>
    </row>
    <row r="453" spans="1:1" x14ac:dyDescent="0.25">
      <c r="A453" s="20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042, 19410328, 1,    0, 00</v>
      </c>
    </row>
    <row r="454" spans="1:1" x14ac:dyDescent="0.25">
      <c r="A454" s="20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042, 19410329, 1,    0, 00</v>
      </c>
    </row>
    <row r="455" spans="1:1" x14ac:dyDescent="0.25">
      <c r="A455" s="20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042, 19410330, 1,    0, 00</v>
      </c>
    </row>
    <row r="456" spans="1:1" x14ac:dyDescent="0.25">
      <c r="A456" s="20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042, 19410331, 1,    0, 00</v>
      </c>
    </row>
    <row r="457" spans="1:1" x14ac:dyDescent="0.25">
      <c r="A457" s="20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042, 19410401, 1,    0, 00</v>
      </c>
    </row>
    <row r="458" spans="1:1" x14ac:dyDescent="0.25">
      <c r="A458" s="20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042, 19410402, 1,    0, 00</v>
      </c>
    </row>
    <row r="459" spans="1:1" x14ac:dyDescent="0.25">
      <c r="A459" s="20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042, 19410403, 1,    0, 00</v>
      </c>
    </row>
    <row r="460" spans="1:1" x14ac:dyDescent="0.25">
      <c r="A460" s="20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042, 19410404, 1,    0, 00</v>
      </c>
    </row>
    <row r="461" spans="1:1" x14ac:dyDescent="0.25">
      <c r="A461" s="20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042, 19410405, 1,    0, 00</v>
      </c>
    </row>
    <row r="462" spans="1:1" x14ac:dyDescent="0.25">
      <c r="A462" s="20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042, 19410406, 1,    0, 00</v>
      </c>
    </row>
    <row r="463" spans="1:1" x14ac:dyDescent="0.25">
      <c r="A463" s="20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042, 19410407, 1,    0, 00</v>
      </c>
    </row>
    <row r="464" spans="1:1" x14ac:dyDescent="0.25">
      <c r="A464" s="20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042, 19410408, 1,    0, 00</v>
      </c>
    </row>
    <row r="465" spans="1:1" x14ac:dyDescent="0.25">
      <c r="A465" s="20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042, 19410409, 1,    0, 00</v>
      </c>
    </row>
    <row r="466" spans="1:1" x14ac:dyDescent="0.25">
      <c r="A466" s="20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042, 19410410, 1,    0, 00</v>
      </c>
    </row>
    <row r="467" spans="1:1" x14ac:dyDescent="0.25">
      <c r="A467" s="20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042, 19410411, 1,    0, 00</v>
      </c>
    </row>
    <row r="468" spans="1:1" x14ac:dyDescent="0.25">
      <c r="A468" s="20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042, 19410412, 1,    0, 00</v>
      </c>
    </row>
    <row r="469" spans="1:1" x14ac:dyDescent="0.25">
      <c r="A469" s="20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042, 19410413, 1,    0, 00</v>
      </c>
    </row>
    <row r="470" spans="1:1" x14ac:dyDescent="0.25">
      <c r="A470" s="20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042, 19410414, 1,  210, 00</v>
      </c>
    </row>
    <row r="471" spans="1:1" x14ac:dyDescent="0.25">
      <c r="A471" s="20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042, 19410415, 1,  177, 00</v>
      </c>
    </row>
    <row r="472" spans="1:1" x14ac:dyDescent="0.25">
      <c r="A472" s="20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042, 19410416, 1,    0, 00</v>
      </c>
    </row>
    <row r="473" spans="1:1" x14ac:dyDescent="0.25">
      <c r="A473" s="20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042, 19410417, 1,   16, 00</v>
      </c>
    </row>
    <row r="474" spans="1:1" x14ac:dyDescent="0.25">
      <c r="A474" s="20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042, 19410418, 1,   41, 00</v>
      </c>
    </row>
    <row r="475" spans="1:1" x14ac:dyDescent="0.25">
      <c r="A475" s="20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042, 19410419, 1,    0, 00</v>
      </c>
    </row>
    <row r="476" spans="1:1" x14ac:dyDescent="0.25">
      <c r="A476" s="20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042, 19410420, 1,    0, 00</v>
      </c>
    </row>
    <row r="477" spans="1:1" x14ac:dyDescent="0.25">
      <c r="A477" s="20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042, 19410421, 1,    0, 00</v>
      </c>
    </row>
    <row r="478" spans="1:1" x14ac:dyDescent="0.25">
      <c r="A478" s="20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042, 19410422, 1,    0, 00</v>
      </c>
    </row>
    <row r="479" spans="1:1" x14ac:dyDescent="0.25">
      <c r="A479" s="20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042, 19410423, 1,    0, 00</v>
      </c>
    </row>
    <row r="480" spans="1:1" x14ac:dyDescent="0.25">
      <c r="A480" s="20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042, 19410424, 1,    0, 00</v>
      </c>
    </row>
    <row r="481" spans="1:1" x14ac:dyDescent="0.25">
      <c r="A481" s="20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042, 19410425, 1,    0, 00</v>
      </c>
    </row>
    <row r="482" spans="1:1" x14ac:dyDescent="0.25">
      <c r="A482" s="20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042, 19410426, 1,    0, 00</v>
      </c>
    </row>
    <row r="483" spans="1:1" x14ac:dyDescent="0.25">
      <c r="A483" s="20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042, 19410427, 1,    0, 00</v>
      </c>
    </row>
    <row r="484" spans="1:1" x14ac:dyDescent="0.25">
      <c r="A484" s="20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042, 19410428, 1,    0, 00</v>
      </c>
    </row>
    <row r="485" spans="1:1" x14ac:dyDescent="0.25">
      <c r="A485" s="20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042, 19410429, 1,    0, 00</v>
      </c>
    </row>
    <row r="486" spans="1:1" x14ac:dyDescent="0.25">
      <c r="A486" s="20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042, 19410430, 1,    0, 00</v>
      </c>
    </row>
    <row r="487" spans="1:1" x14ac:dyDescent="0.25">
      <c r="A487" s="20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042, 19410501, 1,    0, 00</v>
      </c>
    </row>
    <row r="488" spans="1:1" x14ac:dyDescent="0.25">
      <c r="A488" s="20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042, 19410502, 1,    0, 00</v>
      </c>
    </row>
    <row r="489" spans="1:1" x14ac:dyDescent="0.25">
      <c r="A489" s="20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042, 19410503, 1,    0, 00</v>
      </c>
    </row>
    <row r="490" spans="1:1" x14ac:dyDescent="0.25">
      <c r="A490" s="20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042, 19410504, 1,    0, 00</v>
      </c>
    </row>
    <row r="491" spans="1:1" x14ac:dyDescent="0.25">
      <c r="A491" s="20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042, 19410505, 1,    0, 00</v>
      </c>
    </row>
    <row r="492" spans="1:1" x14ac:dyDescent="0.25">
      <c r="A492" s="20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042, 19410506, 1,    0, 00</v>
      </c>
    </row>
    <row r="493" spans="1:1" x14ac:dyDescent="0.25">
      <c r="A493" s="20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042, 19410507, 1,    0, 00</v>
      </c>
    </row>
    <row r="494" spans="1:1" x14ac:dyDescent="0.25">
      <c r="A494" s="20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042, 19410508, 1,    0, 00</v>
      </c>
    </row>
    <row r="495" spans="1:1" x14ac:dyDescent="0.25">
      <c r="A495" s="20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042, 19410509, 1,    0, 00</v>
      </c>
    </row>
    <row r="496" spans="1:1" x14ac:dyDescent="0.25">
      <c r="A496" s="20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042, 19410510, 1,    0, 00</v>
      </c>
    </row>
    <row r="497" spans="1:1" x14ac:dyDescent="0.25">
      <c r="A497" s="20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042, 19410511, 1,    0, 00</v>
      </c>
    </row>
    <row r="498" spans="1:1" x14ac:dyDescent="0.25">
      <c r="A498" s="20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042, 19410512, 1,    0, 00</v>
      </c>
    </row>
    <row r="499" spans="1:1" x14ac:dyDescent="0.25">
      <c r="A499" s="20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042, 19410513, 1,    0, 00</v>
      </c>
    </row>
    <row r="500" spans="1:1" x14ac:dyDescent="0.25">
      <c r="A500" s="20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042, 19410514, 1,    0, 00</v>
      </c>
    </row>
    <row r="501" spans="1:1" x14ac:dyDescent="0.25">
      <c r="A501" s="20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042, 19410515, 1,    0, 00</v>
      </c>
    </row>
    <row r="502" spans="1:1" x14ac:dyDescent="0.25">
      <c r="A502" s="20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042, 19410516, 1,    0, 00</v>
      </c>
    </row>
    <row r="503" spans="1:1" x14ac:dyDescent="0.25">
      <c r="A503" s="20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042, 19410517, 1,    0, 00</v>
      </c>
    </row>
    <row r="504" spans="1:1" x14ac:dyDescent="0.25">
      <c r="A504" s="20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042, 19410518, 1,    0, 00</v>
      </c>
    </row>
    <row r="505" spans="1:1" x14ac:dyDescent="0.25">
      <c r="A505" s="20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042, 19410519, 1,    0, 00</v>
      </c>
    </row>
    <row r="506" spans="1:1" x14ac:dyDescent="0.25">
      <c r="A506" s="20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042, 19410520, 1,    0, 00</v>
      </c>
    </row>
    <row r="507" spans="1:1" x14ac:dyDescent="0.25">
      <c r="A507" s="20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042, 19410521, 1,    0, 00</v>
      </c>
    </row>
    <row r="508" spans="1:1" x14ac:dyDescent="0.25">
      <c r="A508" s="20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042, 19410522, 1,    0, 00</v>
      </c>
    </row>
    <row r="509" spans="1:1" x14ac:dyDescent="0.25">
      <c r="A509" s="20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042, 19410523, 1,    0, 00</v>
      </c>
    </row>
    <row r="510" spans="1:1" x14ac:dyDescent="0.25">
      <c r="A510" s="20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042, 19410524, 1,    0, 00</v>
      </c>
    </row>
    <row r="511" spans="1:1" x14ac:dyDescent="0.25">
      <c r="A511" s="20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042, 19410525, 1,    0, 00</v>
      </c>
    </row>
    <row r="512" spans="1:1" x14ac:dyDescent="0.25">
      <c r="A512" s="20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042, 19410526, 1,    0, 00</v>
      </c>
    </row>
    <row r="513" spans="1:1" x14ac:dyDescent="0.25">
      <c r="A513" s="20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042, 19410527, 1,   15, 00</v>
      </c>
    </row>
    <row r="514" spans="1:1" x14ac:dyDescent="0.25">
      <c r="A514" s="20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042, 19410528, 1,    0, 00</v>
      </c>
    </row>
    <row r="515" spans="1:1" x14ac:dyDescent="0.25">
      <c r="A515" s="20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042, 19410529, 1,    0, 00</v>
      </c>
    </row>
    <row r="516" spans="1:1" x14ac:dyDescent="0.25">
      <c r="A516" s="20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042, 19410530, 1,    0, 00</v>
      </c>
    </row>
    <row r="517" spans="1:1" x14ac:dyDescent="0.25">
      <c r="A517" s="20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042, 19410531, 1,    0, 00</v>
      </c>
    </row>
    <row r="518" spans="1:1" x14ac:dyDescent="0.25">
      <c r="A518" s="20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19410601, 1, ////, 07</v>
      </c>
    </row>
    <row r="519" spans="1:1" x14ac:dyDescent="0.25">
      <c r="A519" s="20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19410602, 1, ////, 07</v>
      </c>
    </row>
    <row r="520" spans="1:1" x14ac:dyDescent="0.25">
      <c r="A520" s="20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19410603, 1, ////, 07</v>
      </c>
    </row>
    <row r="521" spans="1:1" x14ac:dyDescent="0.25">
      <c r="A521" s="20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19410604, 1, ////, 07</v>
      </c>
    </row>
    <row r="522" spans="1:1" x14ac:dyDescent="0.25">
      <c r="A522" s="20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19410605, 1, ////, 07</v>
      </c>
    </row>
    <row r="523" spans="1:1" x14ac:dyDescent="0.25">
      <c r="A523" s="20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19410606, 1, ////, 07</v>
      </c>
    </row>
    <row r="524" spans="1:1" x14ac:dyDescent="0.25">
      <c r="A524" s="20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19410607, 1, ////, 07</v>
      </c>
    </row>
    <row r="525" spans="1:1" x14ac:dyDescent="0.25">
      <c r="A525" s="20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19410608, 1, ////, 07</v>
      </c>
    </row>
    <row r="526" spans="1:1" x14ac:dyDescent="0.25">
      <c r="A526" s="20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19410609, 1, ////, 07</v>
      </c>
    </row>
    <row r="527" spans="1:1" x14ac:dyDescent="0.25">
      <c r="A527" s="20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19410610, 1, ////, 07</v>
      </c>
    </row>
    <row r="528" spans="1:1" x14ac:dyDescent="0.25">
      <c r="A528" s="20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19410611, 1, ////, 07</v>
      </c>
    </row>
    <row r="529" spans="1:1" x14ac:dyDescent="0.25">
      <c r="A529" s="20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19410612, 1, ////, 07</v>
      </c>
    </row>
    <row r="530" spans="1:1" x14ac:dyDescent="0.25">
      <c r="A530" s="20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19410613, 1, ////, 07</v>
      </c>
    </row>
    <row r="531" spans="1:1" x14ac:dyDescent="0.25">
      <c r="A531" s="20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19410614, 1, ////, 07</v>
      </c>
    </row>
    <row r="532" spans="1:1" x14ac:dyDescent="0.25">
      <c r="A532" s="20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19410615, 1, ////, 07</v>
      </c>
    </row>
    <row r="533" spans="1:1" x14ac:dyDescent="0.25">
      <c r="A533" s="20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19410616, 1, ////, 07</v>
      </c>
    </row>
    <row r="534" spans="1:1" x14ac:dyDescent="0.25">
      <c r="A534" s="20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19410617, 1, ////, 07</v>
      </c>
    </row>
    <row r="535" spans="1:1" x14ac:dyDescent="0.25">
      <c r="A535" s="20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19410618, 1, ////, 07</v>
      </c>
    </row>
    <row r="536" spans="1:1" x14ac:dyDescent="0.25">
      <c r="A536" s="20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19410619, 1, ////, 07</v>
      </c>
    </row>
    <row r="537" spans="1:1" x14ac:dyDescent="0.25">
      <c r="A537" s="20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19410620, 1, ////, 07</v>
      </c>
    </row>
    <row r="538" spans="1:1" x14ac:dyDescent="0.25">
      <c r="A538" s="20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19410621, 1, ////, 07</v>
      </c>
    </row>
    <row r="539" spans="1:1" x14ac:dyDescent="0.25">
      <c r="A539" s="20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19410622, 1, ////, 07</v>
      </c>
    </row>
    <row r="540" spans="1:1" x14ac:dyDescent="0.25">
      <c r="A540" s="20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19410623, 1, ////, 07</v>
      </c>
    </row>
    <row r="541" spans="1:1" x14ac:dyDescent="0.25">
      <c r="A541" s="20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19410624, 1, ////, 07</v>
      </c>
    </row>
    <row r="542" spans="1:1" x14ac:dyDescent="0.25">
      <c r="A542" s="20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19410625, 1, ////, 07</v>
      </c>
    </row>
    <row r="543" spans="1:1" x14ac:dyDescent="0.25">
      <c r="A543" s="20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19410626, 1, ////, 07</v>
      </c>
    </row>
    <row r="544" spans="1:1" x14ac:dyDescent="0.25">
      <c r="A544" s="20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19410627, 1, ////, 07</v>
      </c>
    </row>
    <row r="545" spans="1:1" x14ac:dyDescent="0.25">
      <c r="A545" s="20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19410628, 1, ////, 07</v>
      </c>
    </row>
    <row r="546" spans="1:1" x14ac:dyDescent="0.25">
      <c r="A546" s="20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19410629, 1, ////, 07</v>
      </c>
    </row>
    <row r="547" spans="1:1" x14ac:dyDescent="0.25">
      <c r="A547" s="20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19410630, 1, ////, 07</v>
      </c>
    </row>
    <row r="548" spans="1:1" x14ac:dyDescent="0.25">
      <c r="A548" s="20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19410701, 1, ////, 07</v>
      </c>
    </row>
    <row r="549" spans="1:1" x14ac:dyDescent="0.25">
      <c r="A549" s="20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19410702, 1, ////, 07</v>
      </c>
    </row>
    <row r="550" spans="1:1" x14ac:dyDescent="0.25">
      <c r="A550" s="20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19410703, 1, ////, 07</v>
      </c>
    </row>
    <row r="551" spans="1:1" x14ac:dyDescent="0.25">
      <c r="A551" s="20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19410704, 1, ////, 07</v>
      </c>
    </row>
    <row r="552" spans="1:1" x14ac:dyDescent="0.25">
      <c r="A552" s="20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19410705, 1, ////, 07</v>
      </c>
    </row>
    <row r="553" spans="1:1" x14ac:dyDescent="0.25">
      <c r="A553" s="20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19410706, 1, ////, 07</v>
      </c>
    </row>
    <row r="554" spans="1:1" x14ac:dyDescent="0.25">
      <c r="A554" s="20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19410707, 1, ////, 07</v>
      </c>
    </row>
    <row r="555" spans="1:1" x14ac:dyDescent="0.25">
      <c r="A555" s="20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19410708, 1, ////, 07</v>
      </c>
    </row>
    <row r="556" spans="1:1" x14ac:dyDescent="0.25">
      <c r="A556" s="20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19410709, 1, ////, 07</v>
      </c>
    </row>
    <row r="557" spans="1:1" x14ac:dyDescent="0.25">
      <c r="A557" s="20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19410710, 1, ////, 07</v>
      </c>
    </row>
    <row r="558" spans="1:1" x14ac:dyDescent="0.25">
      <c r="A558" s="20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19410711, 1, ////, 07</v>
      </c>
    </row>
    <row r="559" spans="1:1" x14ac:dyDescent="0.25">
      <c r="A559" s="20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19410712, 1, ////, 07</v>
      </c>
    </row>
    <row r="560" spans="1:1" x14ac:dyDescent="0.25">
      <c r="A560" s="20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19410713, 1, ////, 07</v>
      </c>
    </row>
    <row r="561" spans="1:1" x14ac:dyDescent="0.25">
      <c r="A561" s="20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19410714, 1, ////, 07</v>
      </c>
    </row>
    <row r="562" spans="1:1" x14ac:dyDescent="0.25">
      <c r="A562" s="20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19410715, 1, ////, 07</v>
      </c>
    </row>
    <row r="563" spans="1:1" x14ac:dyDescent="0.25">
      <c r="A563" s="20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19410716, 1, ////, 07</v>
      </c>
    </row>
    <row r="564" spans="1:1" x14ac:dyDescent="0.25">
      <c r="A564" s="20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19410717, 1, ////, 07</v>
      </c>
    </row>
    <row r="565" spans="1:1" x14ac:dyDescent="0.25">
      <c r="A565" s="20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19410718, 1, ////, 07</v>
      </c>
    </row>
    <row r="566" spans="1:1" x14ac:dyDescent="0.25">
      <c r="A566" s="20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19410719, 1, ////, 07</v>
      </c>
    </row>
    <row r="567" spans="1:1" x14ac:dyDescent="0.25">
      <c r="A567" s="20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19410720, 1, ////, 07</v>
      </c>
    </row>
    <row r="568" spans="1:1" x14ac:dyDescent="0.25">
      <c r="A568" s="20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19410721, 1, ////, 07</v>
      </c>
    </row>
    <row r="569" spans="1:1" x14ac:dyDescent="0.25">
      <c r="A569" s="20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19410722, 1, ////, 07</v>
      </c>
    </row>
    <row r="570" spans="1:1" x14ac:dyDescent="0.25">
      <c r="A570" s="20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19410723, 1, ////, 07</v>
      </c>
    </row>
    <row r="571" spans="1:1" x14ac:dyDescent="0.25">
      <c r="A571" s="20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19410724, 1, ////, 07</v>
      </c>
    </row>
    <row r="572" spans="1:1" x14ac:dyDescent="0.25">
      <c r="A572" s="20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19410725, 1, ////, 07</v>
      </c>
    </row>
    <row r="573" spans="1:1" x14ac:dyDescent="0.25">
      <c r="A573" s="20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19410726, 1, ////, 07</v>
      </c>
    </row>
    <row r="574" spans="1:1" x14ac:dyDescent="0.25">
      <c r="A574" s="20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19410727, 1, ////, 07</v>
      </c>
    </row>
    <row r="575" spans="1:1" x14ac:dyDescent="0.25">
      <c r="A575" s="20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19410728, 1, ////, 07</v>
      </c>
    </row>
    <row r="576" spans="1:1" x14ac:dyDescent="0.25">
      <c r="A576" s="20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19410729, 1, ////, 07</v>
      </c>
    </row>
    <row r="577" spans="1:1" x14ac:dyDescent="0.25">
      <c r="A577" s="20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19410730, 1, ////, 07</v>
      </c>
    </row>
    <row r="578" spans="1:1" x14ac:dyDescent="0.25">
      <c r="A578" s="20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19410731, 1, ////, 07</v>
      </c>
    </row>
    <row r="579" spans="1:1" x14ac:dyDescent="0.25">
      <c r="A579" s="20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19410801, 1, ////, 07</v>
      </c>
    </row>
    <row r="580" spans="1:1" x14ac:dyDescent="0.25">
      <c r="A580" s="20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19410802, 1, ////, 07</v>
      </c>
    </row>
    <row r="581" spans="1:1" x14ac:dyDescent="0.25">
      <c r="A581" s="20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19410803, 1, ////, 07</v>
      </c>
    </row>
    <row r="582" spans="1:1" x14ac:dyDescent="0.25">
      <c r="A582" s="20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19410804, 1, ////, 07</v>
      </c>
    </row>
    <row r="583" spans="1:1" x14ac:dyDescent="0.25">
      <c r="A583" s="20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19410805, 1, ////, 07</v>
      </c>
    </row>
    <row r="584" spans="1:1" x14ac:dyDescent="0.25">
      <c r="A584" s="20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19410806, 1, ////, 07</v>
      </c>
    </row>
    <row r="585" spans="1:1" x14ac:dyDescent="0.25">
      <c r="A585" s="20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19410807, 1, ////, 07</v>
      </c>
    </row>
    <row r="586" spans="1:1" x14ac:dyDescent="0.25">
      <c r="A586" s="20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19410808, 1, ////, 07</v>
      </c>
    </row>
    <row r="587" spans="1:1" x14ac:dyDescent="0.25">
      <c r="A587" s="20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19410809, 1, ////, 07</v>
      </c>
    </row>
    <row r="588" spans="1:1" x14ac:dyDescent="0.25">
      <c r="A588" s="20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19410810, 1, ////, 07</v>
      </c>
    </row>
    <row r="589" spans="1:1" x14ac:dyDescent="0.25">
      <c r="A589" s="20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19410811, 1, ////, 07</v>
      </c>
    </row>
    <row r="590" spans="1:1" x14ac:dyDescent="0.25">
      <c r="A590" s="20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19410812, 1, ////, 07</v>
      </c>
    </row>
    <row r="591" spans="1:1" x14ac:dyDescent="0.25">
      <c r="A591" s="20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19410813, 1, ////, 07</v>
      </c>
    </row>
    <row r="592" spans="1:1" x14ac:dyDescent="0.25">
      <c r="A592" s="20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19410814, 1, ////, 07</v>
      </c>
    </row>
    <row r="593" spans="1:1" x14ac:dyDescent="0.25">
      <c r="A593" s="20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19410815, 1, ////, 07</v>
      </c>
    </row>
    <row r="594" spans="1:1" x14ac:dyDescent="0.25">
      <c r="A594" s="20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19410816, 1, ////, 07</v>
      </c>
    </row>
    <row r="595" spans="1:1" x14ac:dyDescent="0.25">
      <c r="A595" s="20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19410817, 1, ////, 07</v>
      </c>
    </row>
    <row r="596" spans="1:1" x14ac:dyDescent="0.25">
      <c r="A596" s="20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19410818, 1, ////, 07</v>
      </c>
    </row>
    <row r="597" spans="1:1" x14ac:dyDescent="0.25">
      <c r="A597" s="20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19410819, 1, ////, 07</v>
      </c>
    </row>
    <row r="598" spans="1:1" x14ac:dyDescent="0.25">
      <c r="A598" s="20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19410820, 1, ////, 07</v>
      </c>
    </row>
    <row r="599" spans="1:1" x14ac:dyDescent="0.25">
      <c r="A599" s="20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19410821, 1, ////, 07</v>
      </c>
    </row>
    <row r="600" spans="1:1" x14ac:dyDescent="0.25">
      <c r="A600" s="20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19410822, 1, ////, 07</v>
      </c>
    </row>
    <row r="601" spans="1:1" x14ac:dyDescent="0.25">
      <c r="A601" s="20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19410823, 1, ////, 07</v>
      </c>
    </row>
    <row r="602" spans="1:1" x14ac:dyDescent="0.25">
      <c r="A602" s="20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19410824, 1, ////, 07</v>
      </c>
    </row>
    <row r="603" spans="1:1" x14ac:dyDescent="0.25">
      <c r="A603" s="20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19410825, 1, ////, 07</v>
      </c>
    </row>
    <row r="604" spans="1:1" x14ac:dyDescent="0.25">
      <c r="A604" s="20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19410826, 1, ////, 07</v>
      </c>
    </row>
    <row r="605" spans="1:1" x14ac:dyDescent="0.25">
      <c r="A605" s="20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19410827, 1, ////, 07</v>
      </c>
    </row>
    <row r="606" spans="1:1" x14ac:dyDescent="0.25">
      <c r="A606" s="20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19410828, 1, ////, 07</v>
      </c>
    </row>
    <row r="607" spans="1:1" x14ac:dyDescent="0.25">
      <c r="A607" s="20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19410829, 1, ////, 07</v>
      </c>
    </row>
    <row r="608" spans="1:1" x14ac:dyDescent="0.25">
      <c r="A608" s="20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19410830, 1, ////, 07</v>
      </c>
    </row>
    <row r="609" spans="1:1" x14ac:dyDescent="0.25">
      <c r="A609" s="20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19410831, 1, ////, 07</v>
      </c>
    </row>
    <row r="610" spans="1:1" x14ac:dyDescent="0.25">
      <c r="A610" s="20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19410901, 1, ////, 07</v>
      </c>
    </row>
    <row r="611" spans="1:1" x14ac:dyDescent="0.25">
      <c r="A611" s="20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19410902, 1, ////, 07</v>
      </c>
    </row>
    <row r="612" spans="1:1" x14ac:dyDescent="0.25">
      <c r="A612" s="20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19410903, 1, ////, 07</v>
      </c>
    </row>
    <row r="613" spans="1:1" x14ac:dyDescent="0.25">
      <c r="A613" s="20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19410904, 1, ////, 07</v>
      </c>
    </row>
    <row r="614" spans="1:1" x14ac:dyDescent="0.25">
      <c r="A614" s="20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19410905, 1, ////, 07</v>
      </c>
    </row>
    <row r="615" spans="1:1" x14ac:dyDescent="0.25">
      <c r="A615" s="20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19410906, 1, ////, 07</v>
      </c>
    </row>
    <row r="616" spans="1:1" x14ac:dyDescent="0.25">
      <c r="A616" s="20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19410907, 1, ////, 07</v>
      </c>
    </row>
    <row r="617" spans="1:1" x14ac:dyDescent="0.25">
      <c r="A617" s="20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19410908, 1, ////, 07</v>
      </c>
    </row>
    <row r="618" spans="1:1" x14ac:dyDescent="0.25">
      <c r="A618" s="20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19410909, 1, ////, 07</v>
      </c>
    </row>
    <row r="619" spans="1:1" x14ac:dyDescent="0.25">
      <c r="A619" s="20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19410910, 1, ////, 07</v>
      </c>
    </row>
    <row r="620" spans="1:1" x14ac:dyDescent="0.25">
      <c r="A620" s="20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19410911, 1, ////, 07</v>
      </c>
    </row>
    <row r="621" spans="1:1" x14ac:dyDescent="0.25">
      <c r="A621" s="20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19410912, 1, ////, 07</v>
      </c>
    </row>
    <row r="622" spans="1:1" x14ac:dyDescent="0.25">
      <c r="A622" s="20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19410913, 1, ////, 07</v>
      </c>
    </row>
    <row r="623" spans="1:1" x14ac:dyDescent="0.25">
      <c r="A623" s="20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19410914, 1, ////, 07</v>
      </c>
    </row>
    <row r="624" spans="1:1" x14ac:dyDescent="0.25">
      <c r="A624" s="20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19410915, 1, ////, 07</v>
      </c>
    </row>
    <row r="625" spans="1:1" x14ac:dyDescent="0.25">
      <c r="A625" s="20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19410916, 1, ////, 07</v>
      </c>
    </row>
    <row r="626" spans="1:1" x14ac:dyDescent="0.25">
      <c r="A626" s="20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19410917, 1, ////, 07</v>
      </c>
    </row>
    <row r="627" spans="1:1" x14ac:dyDescent="0.25">
      <c r="A627" s="20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19410918, 1, ////, 07</v>
      </c>
    </row>
    <row r="628" spans="1:1" x14ac:dyDescent="0.25">
      <c r="A628" s="20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19410919, 1, ////, 07</v>
      </c>
    </row>
    <row r="629" spans="1:1" x14ac:dyDescent="0.25">
      <c r="A629" s="20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19410920, 1, ////, 07</v>
      </c>
    </row>
    <row r="630" spans="1:1" x14ac:dyDescent="0.25">
      <c r="A630" s="20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19410921, 1, ////, 07</v>
      </c>
    </row>
    <row r="631" spans="1:1" x14ac:dyDescent="0.25">
      <c r="A631" s="20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19410922, 1, ////, 07</v>
      </c>
    </row>
    <row r="632" spans="1:1" x14ac:dyDescent="0.25">
      <c r="A632" s="20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19410923, 1, ////, 07</v>
      </c>
    </row>
    <row r="633" spans="1:1" x14ac:dyDescent="0.25">
      <c r="A633" s="20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19410924, 1, ////, 07</v>
      </c>
    </row>
    <row r="634" spans="1:1" x14ac:dyDescent="0.25">
      <c r="A634" s="20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19410925, 1, ////, 07</v>
      </c>
    </row>
    <row r="635" spans="1:1" x14ac:dyDescent="0.25">
      <c r="A635" s="20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19410926, 1, ////, 07</v>
      </c>
    </row>
    <row r="636" spans="1:1" x14ac:dyDescent="0.25">
      <c r="A636" s="20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19410927, 1, ////, 07</v>
      </c>
    </row>
    <row r="637" spans="1:1" x14ac:dyDescent="0.25">
      <c r="A637" s="20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19410928, 1, ////, 07</v>
      </c>
    </row>
    <row r="638" spans="1:1" x14ac:dyDescent="0.25">
      <c r="A638" s="20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19410929, 1, ////, 07</v>
      </c>
    </row>
    <row r="639" spans="1:1" x14ac:dyDescent="0.25">
      <c r="A639" s="20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19410930, 1, ////, 07</v>
      </c>
    </row>
    <row r="640" spans="1:1" x14ac:dyDescent="0.25">
      <c r="A640" s="20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19411001, 1, ////, 07</v>
      </c>
    </row>
    <row r="641" spans="1:1" x14ac:dyDescent="0.25">
      <c r="A641" s="20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19411002, 1, ////, 07</v>
      </c>
    </row>
    <row r="642" spans="1:1" x14ac:dyDescent="0.25">
      <c r="A642" s="20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19411003, 1, ////, 07</v>
      </c>
    </row>
    <row r="643" spans="1:1" x14ac:dyDescent="0.25">
      <c r="A643" s="20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19411004, 1, ////, 07</v>
      </c>
    </row>
    <row r="644" spans="1:1" x14ac:dyDescent="0.25">
      <c r="A644" s="20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19411005, 1, ////, 07</v>
      </c>
    </row>
    <row r="645" spans="1:1" x14ac:dyDescent="0.25">
      <c r="A645" s="20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19411006, 1, ////, 07</v>
      </c>
    </row>
    <row r="646" spans="1:1" x14ac:dyDescent="0.25">
      <c r="A646" s="20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19411007, 1, ////, 07</v>
      </c>
    </row>
    <row r="647" spans="1:1" x14ac:dyDescent="0.25">
      <c r="A647" s="20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19411008, 1, ////, 07</v>
      </c>
    </row>
    <row r="648" spans="1:1" x14ac:dyDescent="0.25">
      <c r="A648" s="20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19411009, 1, ////, 07</v>
      </c>
    </row>
    <row r="649" spans="1:1" x14ac:dyDescent="0.25">
      <c r="A649" s="20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19411010, 1, ////, 07</v>
      </c>
    </row>
    <row r="650" spans="1:1" x14ac:dyDescent="0.25">
      <c r="A650" s="20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19411011, 1, ////, 07</v>
      </c>
    </row>
    <row r="651" spans="1:1" x14ac:dyDescent="0.25">
      <c r="A651" s="20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19411012, 1, ////, 07</v>
      </c>
    </row>
    <row r="652" spans="1:1" x14ac:dyDescent="0.25">
      <c r="A652" s="20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19411013, 1, ////, 07</v>
      </c>
    </row>
    <row r="653" spans="1:1" x14ac:dyDescent="0.25">
      <c r="A653" s="20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19411014, 1, ////, 07</v>
      </c>
    </row>
    <row r="654" spans="1:1" x14ac:dyDescent="0.25">
      <c r="A654" s="20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19411015, 1, ////, 07</v>
      </c>
    </row>
    <row r="655" spans="1:1" x14ac:dyDescent="0.25">
      <c r="A655" s="20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19411016, 1, ////, 07</v>
      </c>
    </row>
    <row r="656" spans="1:1" x14ac:dyDescent="0.25">
      <c r="A656" s="20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19411017, 1, ////, 07</v>
      </c>
    </row>
    <row r="657" spans="1:1" x14ac:dyDescent="0.25">
      <c r="A657" s="20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19411018, 1, ////, 07</v>
      </c>
    </row>
    <row r="658" spans="1:1" x14ac:dyDescent="0.25">
      <c r="A658" s="20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19411019, 1, ////, 07</v>
      </c>
    </row>
    <row r="659" spans="1:1" x14ac:dyDescent="0.25">
      <c r="A659" s="20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19411020, 1, ////, 07</v>
      </c>
    </row>
    <row r="660" spans="1:1" x14ac:dyDescent="0.25">
      <c r="A660" s="20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19411021, 1, ////, 07</v>
      </c>
    </row>
    <row r="661" spans="1:1" x14ac:dyDescent="0.25">
      <c r="A661" s="20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19411022, 1, ////, 07</v>
      </c>
    </row>
    <row r="662" spans="1:1" x14ac:dyDescent="0.25">
      <c r="A662" s="20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19411023, 1, ////, 07</v>
      </c>
    </row>
    <row r="663" spans="1:1" x14ac:dyDescent="0.25">
      <c r="A663" s="20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19411024, 1, ////, 07</v>
      </c>
    </row>
    <row r="664" spans="1:1" x14ac:dyDescent="0.25">
      <c r="A664" s="20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19411025, 1, ////, 07</v>
      </c>
    </row>
    <row r="665" spans="1:1" x14ac:dyDescent="0.25">
      <c r="A665" s="20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19411026, 1, ////, 07</v>
      </c>
    </row>
    <row r="666" spans="1:1" x14ac:dyDescent="0.25">
      <c r="A666" s="20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19411027, 1, ////, 07</v>
      </c>
    </row>
    <row r="667" spans="1:1" x14ac:dyDescent="0.25">
      <c r="A667" s="20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19411028, 1, ////, 07</v>
      </c>
    </row>
    <row r="668" spans="1:1" x14ac:dyDescent="0.25">
      <c r="A668" s="20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19411029, 1, ////, 07</v>
      </c>
    </row>
    <row r="669" spans="1:1" x14ac:dyDescent="0.25">
      <c r="A669" s="20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19411030, 1, ////, 07</v>
      </c>
    </row>
    <row r="670" spans="1:1" x14ac:dyDescent="0.25">
      <c r="A670" s="20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19411031, 1, ////, 07</v>
      </c>
    </row>
    <row r="671" spans="1:1" x14ac:dyDescent="0.25">
      <c r="A671" s="20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19411101, 1, ////, 07</v>
      </c>
    </row>
    <row r="672" spans="1:1" x14ac:dyDescent="0.25">
      <c r="A672" s="20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19411102, 1, ////, 07</v>
      </c>
    </row>
    <row r="673" spans="1:1" x14ac:dyDescent="0.25">
      <c r="A673" s="20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19411103, 1, ////, 07</v>
      </c>
    </row>
    <row r="674" spans="1:1" x14ac:dyDescent="0.25">
      <c r="A674" s="20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19411104, 1, ////, 07</v>
      </c>
    </row>
    <row r="675" spans="1:1" x14ac:dyDescent="0.25">
      <c r="A675" s="20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19411105, 1, ////, 07</v>
      </c>
    </row>
    <row r="676" spans="1:1" x14ac:dyDescent="0.25">
      <c r="A676" s="20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19411106, 1, ////, 07</v>
      </c>
    </row>
    <row r="677" spans="1:1" x14ac:dyDescent="0.25">
      <c r="A677" s="20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19411107, 1, ////, 07</v>
      </c>
    </row>
    <row r="678" spans="1:1" x14ac:dyDescent="0.25">
      <c r="A678" s="20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19411108, 1, ////, 07</v>
      </c>
    </row>
    <row r="679" spans="1:1" x14ac:dyDescent="0.25">
      <c r="A679" s="20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19411109, 1, ////, 07</v>
      </c>
    </row>
    <row r="680" spans="1:1" x14ac:dyDescent="0.25">
      <c r="A680" s="20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19411110, 1, ////, 07</v>
      </c>
    </row>
    <row r="681" spans="1:1" x14ac:dyDescent="0.25">
      <c r="A681" s="20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19411111, 1, ////, 07</v>
      </c>
    </row>
    <row r="682" spans="1:1" x14ac:dyDescent="0.25">
      <c r="A682" s="20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19411112, 1, ////, 07</v>
      </c>
    </row>
    <row r="683" spans="1:1" x14ac:dyDescent="0.25">
      <c r="A683" s="20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19411113, 1, ////, 07</v>
      </c>
    </row>
    <row r="684" spans="1:1" x14ac:dyDescent="0.25">
      <c r="A684" s="20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19411114, 1, ////, 07</v>
      </c>
    </row>
    <row r="685" spans="1:1" x14ac:dyDescent="0.25">
      <c r="A685" s="20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19411115, 1, ////, 07</v>
      </c>
    </row>
    <row r="686" spans="1:1" x14ac:dyDescent="0.25">
      <c r="A686" s="20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19411116, 1, ////, 07</v>
      </c>
    </row>
    <row r="687" spans="1:1" x14ac:dyDescent="0.25">
      <c r="A687" s="20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19411117, 1, ////, 07</v>
      </c>
    </row>
    <row r="688" spans="1:1" x14ac:dyDescent="0.25">
      <c r="A688" s="20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19411118, 1, ////, 07</v>
      </c>
    </row>
    <row r="689" spans="1:1" x14ac:dyDescent="0.25">
      <c r="A689" s="20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19411119, 1, ////, 07</v>
      </c>
    </row>
    <row r="690" spans="1:1" x14ac:dyDescent="0.25">
      <c r="A690" s="20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19411120, 1, ////, 07</v>
      </c>
    </row>
    <row r="691" spans="1:1" x14ac:dyDescent="0.25">
      <c r="A691" s="20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19411121, 1, ////, 07</v>
      </c>
    </row>
    <row r="692" spans="1:1" x14ac:dyDescent="0.25">
      <c r="A692" s="20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19411122, 1, ////, 07</v>
      </c>
    </row>
    <row r="693" spans="1:1" x14ac:dyDescent="0.25">
      <c r="A693" s="20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19411123, 1, ////, 07</v>
      </c>
    </row>
    <row r="694" spans="1:1" x14ac:dyDescent="0.25">
      <c r="A694" s="20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19411124, 1, ////, 07</v>
      </c>
    </row>
    <row r="695" spans="1:1" x14ac:dyDescent="0.25">
      <c r="A695" s="20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19411125, 1, ////, 07</v>
      </c>
    </row>
    <row r="696" spans="1:1" x14ac:dyDescent="0.25">
      <c r="A696" s="20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19411126, 1, ////, 07</v>
      </c>
    </row>
    <row r="697" spans="1:1" x14ac:dyDescent="0.25">
      <c r="A697" s="20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19411127, 1, ////, 07</v>
      </c>
    </row>
    <row r="698" spans="1:1" x14ac:dyDescent="0.25">
      <c r="A698" s="20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19411128, 1, ////, 07</v>
      </c>
    </row>
    <row r="699" spans="1:1" x14ac:dyDescent="0.25">
      <c r="A699" s="20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19411129, 1, ////, 07</v>
      </c>
    </row>
    <row r="700" spans="1:1" x14ac:dyDescent="0.25">
      <c r="A700" s="20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19411130, 1, ////, 07</v>
      </c>
    </row>
    <row r="701" spans="1:1" x14ac:dyDescent="0.25">
      <c r="A701" s="20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19411201, 1, ////, 07</v>
      </c>
    </row>
    <row r="702" spans="1:1" x14ac:dyDescent="0.25">
      <c r="A702" s="20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19411202, 1, ////, 07</v>
      </c>
    </row>
    <row r="703" spans="1:1" x14ac:dyDescent="0.25">
      <c r="A703" s="20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19411203, 1, ////, 07</v>
      </c>
    </row>
    <row r="704" spans="1:1" x14ac:dyDescent="0.25">
      <c r="A704" s="20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19411204, 1, ////, 07</v>
      </c>
    </row>
    <row r="705" spans="1:1" x14ac:dyDescent="0.25">
      <c r="A705" s="20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19411205, 1, ////, 07</v>
      </c>
    </row>
    <row r="706" spans="1:1" x14ac:dyDescent="0.25">
      <c r="A706" s="20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19411206, 1, ////, 07</v>
      </c>
    </row>
    <row r="707" spans="1:1" x14ac:dyDescent="0.25">
      <c r="A707" s="20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19411207, 1, ////, 07</v>
      </c>
    </row>
    <row r="708" spans="1:1" x14ac:dyDescent="0.25">
      <c r="A708" s="20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19411208, 1, ////, 07</v>
      </c>
    </row>
    <row r="709" spans="1:1" x14ac:dyDescent="0.25">
      <c r="A709" s="20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19411209, 1, ////, 07</v>
      </c>
    </row>
    <row r="710" spans="1:1" x14ac:dyDescent="0.25">
      <c r="A710" s="20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19411210, 1, ////, 07</v>
      </c>
    </row>
    <row r="711" spans="1:1" x14ac:dyDescent="0.25">
      <c r="A711" s="20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19411211, 1, ////, 07</v>
      </c>
    </row>
    <row r="712" spans="1:1" x14ac:dyDescent="0.25">
      <c r="A712" s="20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19411212, 1, ////, 07</v>
      </c>
    </row>
    <row r="713" spans="1:1" x14ac:dyDescent="0.25">
      <c r="A713" s="20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19411213, 1, ////, 07</v>
      </c>
    </row>
    <row r="714" spans="1:1" x14ac:dyDescent="0.25">
      <c r="A714" s="20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19411214, 1, ////, 07</v>
      </c>
    </row>
    <row r="715" spans="1:1" x14ac:dyDescent="0.25">
      <c r="A715" s="20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19411215, 1, ////, 07</v>
      </c>
    </row>
    <row r="716" spans="1:1" x14ac:dyDescent="0.25">
      <c r="A716" s="20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19411216, 1, ////, 07</v>
      </c>
    </row>
    <row r="717" spans="1:1" x14ac:dyDescent="0.25">
      <c r="A717" s="20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19411217, 1, ////, 07</v>
      </c>
    </row>
    <row r="718" spans="1:1" x14ac:dyDescent="0.25">
      <c r="A718" s="20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19411218, 1, ////, 07</v>
      </c>
    </row>
    <row r="719" spans="1:1" x14ac:dyDescent="0.25">
      <c r="A719" s="20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19411219, 1, ////, 07</v>
      </c>
    </row>
    <row r="720" spans="1:1" x14ac:dyDescent="0.25">
      <c r="A720" s="20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19411220, 1, ////, 07</v>
      </c>
    </row>
    <row r="721" spans="1:1" x14ac:dyDescent="0.25">
      <c r="A721" s="20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19411221, 1, ////, 07</v>
      </c>
    </row>
    <row r="722" spans="1:1" x14ac:dyDescent="0.25">
      <c r="A722" s="20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19411222, 1, ////, 07</v>
      </c>
    </row>
    <row r="723" spans="1:1" x14ac:dyDescent="0.25">
      <c r="A723" s="20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19411223, 1, ////, 07</v>
      </c>
    </row>
    <row r="724" spans="1:1" x14ac:dyDescent="0.25">
      <c r="A724" s="20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19411224, 1, ////, 07</v>
      </c>
    </row>
    <row r="725" spans="1:1" x14ac:dyDescent="0.25">
      <c r="A725" s="20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19411225, 1, ////, 07</v>
      </c>
    </row>
    <row r="726" spans="1:1" x14ac:dyDescent="0.25">
      <c r="A726" s="20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19411226, 1, ////, 07</v>
      </c>
    </row>
    <row r="727" spans="1:1" x14ac:dyDescent="0.25">
      <c r="A727" s="20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19411227, 1, ////, 07</v>
      </c>
    </row>
    <row r="728" spans="1:1" x14ac:dyDescent="0.25">
      <c r="A728" s="20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19411228, 1, ////, 07</v>
      </c>
    </row>
    <row r="729" spans="1:1" x14ac:dyDescent="0.25">
      <c r="A729" s="20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19411229, 1, ////, 07</v>
      </c>
    </row>
    <row r="730" spans="1:1" x14ac:dyDescent="0.25">
      <c r="A730" s="20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19411230, 1, ////, 07</v>
      </c>
    </row>
    <row r="731" spans="1:1" x14ac:dyDescent="0.25">
      <c r="A731" s="20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19411231, 1, ////, 07</v>
      </c>
    </row>
    <row r="732" spans="1:1" x14ac:dyDescent="0.25">
      <c r="A732" s="20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049, 19410101, 1,    0, 00</v>
      </c>
    </row>
    <row r="733" spans="1:1" x14ac:dyDescent="0.25">
      <c r="A733" s="20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049, 19410102, 1,    0, 00</v>
      </c>
    </row>
    <row r="734" spans="1:1" x14ac:dyDescent="0.25">
      <c r="A734" s="20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049, 19410103, 1,    0, 00</v>
      </c>
    </row>
    <row r="735" spans="1:1" x14ac:dyDescent="0.25">
      <c r="A735" s="20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049, 19410104, 1,    0, 00</v>
      </c>
    </row>
    <row r="736" spans="1:1" x14ac:dyDescent="0.25">
      <c r="A736" s="20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049, 19410105, 1,   24, 00</v>
      </c>
    </row>
    <row r="737" spans="1:1" x14ac:dyDescent="0.25">
      <c r="A737" s="20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049, 19410106, 1,    0, 00</v>
      </c>
    </row>
    <row r="738" spans="1:1" x14ac:dyDescent="0.25">
      <c r="A738" s="20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049, 19410107, 1,   12, 00</v>
      </c>
    </row>
    <row r="739" spans="1:1" x14ac:dyDescent="0.25">
      <c r="A739" s="20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049, 19410108, 1,    0, 00</v>
      </c>
    </row>
    <row r="740" spans="1:1" x14ac:dyDescent="0.25">
      <c r="A740" s="20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049, 19410109, 1,    0, 00</v>
      </c>
    </row>
    <row r="741" spans="1:1" x14ac:dyDescent="0.25">
      <c r="A741" s="20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049, 19410110, 1,    0, 00</v>
      </c>
    </row>
    <row r="742" spans="1:1" x14ac:dyDescent="0.25">
      <c r="A742" s="20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049, 19410111, 1,    0, 00</v>
      </c>
    </row>
    <row r="743" spans="1:1" x14ac:dyDescent="0.25">
      <c r="A743" s="20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049, 19410112, 1,    0, 00</v>
      </c>
    </row>
    <row r="744" spans="1:1" x14ac:dyDescent="0.25">
      <c r="A744" s="20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049, 19410113, 1,   46, 00</v>
      </c>
    </row>
    <row r="745" spans="1:1" x14ac:dyDescent="0.25">
      <c r="A745" s="20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049, 19410114, 1,   15, 00</v>
      </c>
    </row>
    <row r="746" spans="1:1" x14ac:dyDescent="0.25">
      <c r="A746" s="20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049, 19410115, 1,    0, 00</v>
      </c>
    </row>
    <row r="747" spans="1:1" x14ac:dyDescent="0.25">
      <c r="A747" s="20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049, 19410116, 1,    0, 00</v>
      </c>
    </row>
    <row r="748" spans="1:1" x14ac:dyDescent="0.25">
      <c r="A748" s="20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049, 19410117, 1,    0, 00</v>
      </c>
    </row>
    <row r="749" spans="1:1" x14ac:dyDescent="0.25">
      <c r="A749" s="20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049, 19410118, 1,    0, 00</v>
      </c>
    </row>
    <row r="750" spans="1:1" x14ac:dyDescent="0.25">
      <c r="A750" s="20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049, 19410119, 1,   13, 00</v>
      </c>
    </row>
    <row r="751" spans="1:1" x14ac:dyDescent="0.25">
      <c r="A751" s="20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049, 19410120, 1,    0, 00</v>
      </c>
    </row>
    <row r="752" spans="1:1" x14ac:dyDescent="0.25">
      <c r="A752" s="20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049, 19410121, 1,    0, 00</v>
      </c>
    </row>
    <row r="753" spans="1:1" x14ac:dyDescent="0.25">
      <c r="A753" s="20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049, 19410122, 1,    0, 00</v>
      </c>
    </row>
    <row r="754" spans="1:1" x14ac:dyDescent="0.25">
      <c r="A754" s="20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049, 19410123, 1,    0, 00</v>
      </c>
    </row>
    <row r="755" spans="1:1" x14ac:dyDescent="0.25">
      <c r="A755" s="20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049, 19410124, 1,    0, 00</v>
      </c>
    </row>
    <row r="756" spans="1:1" x14ac:dyDescent="0.25">
      <c r="A756" s="20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049, 19410125, 1,    0, 00</v>
      </c>
    </row>
    <row r="757" spans="1:1" x14ac:dyDescent="0.25">
      <c r="A757" s="20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049, 19410126, 1,    0, 00</v>
      </c>
    </row>
    <row r="758" spans="1:1" x14ac:dyDescent="0.25">
      <c r="A758" s="20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049, 19410127, 1,    0, 00</v>
      </c>
    </row>
    <row r="759" spans="1:1" x14ac:dyDescent="0.25">
      <c r="A759" s="20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049, 19410128, 1,    0, 00</v>
      </c>
    </row>
    <row r="760" spans="1:1" x14ac:dyDescent="0.25">
      <c r="A760" s="20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049, 19410129, 1,    0, 00</v>
      </c>
    </row>
    <row r="761" spans="1:1" x14ac:dyDescent="0.25">
      <c r="A761" s="20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049, 19410130, 1,    0, 00</v>
      </c>
    </row>
    <row r="762" spans="1:1" x14ac:dyDescent="0.25">
      <c r="A762" s="20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049, 19410131, 1,    0, 00</v>
      </c>
    </row>
    <row r="763" spans="1:1" x14ac:dyDescent="0.25">
      <c r="A763" s="20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049, 19410201, 1,    0, 00</v>
      </c>
    </row>
    <row r="764" spans="1:1" x14ac:dyDescent="0.25">
      <c r="A764" s="20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049, 19410202, 1,    0, 00</v>
      </c>
    </row>
    <row r="765" spans="1:1" x14ac:dyDescent="0.25">
      <c r="A765" s="20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049, 19410203, 1,    0, 00</v>
      </c>
    </row>
    <row r="766" spans="1:1" x14ac:dyDescent="0.25">
      <c r="A766" s="20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049, 19410204, 1,    0, 00</v>
      </c>
    </row>
    <row r="767" spans="1:1" x14ac:dyDescent="0.25">
      <c r="A767" s="20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049, 19410205, 1,    0, 00</v>
      </c>
    </row>
    <row r="768" spans="1:1" x14ac:dyDescent="0.25">
      <c r="A768" s="20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049, 19410206, 1,    0, 00</v>
      </c>
    </row>
    <row r="769" spans="1:1" x14ac:dyDescent="0.25">
      <c r="A769" s="20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049, 19410207, 1,    0, 00</v>
      </c>
    </row>
    <row r="770" spans="1:1" x14ac:dyDescent="0.25">
      <c r="A770" s="20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049, 19410208, 1,    0, 00</v>
      </c>
    </row>
    <row r="771" spans="1:1" x14ac:dyDescent="0.25">
      <c r="A771" s="20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049, 19410209, 1,    0, 00</v>
      </c>
    </row>
    <row r="772" spans="1:1" x14ac:dyDescent="0.25">
      <c r="A772" s="20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049, 19410210, 1,    0, 00</v>
      </c>
    </row>
    <row r="773" spans="1:1" x14ac:dyDescent="0.25">
      <c r="A773" s="20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049, 19410211, 1,    0, 00</v>
      </c>
    </row>
    <row r="774" spans="1:1" x14ac:dyDescent="0.25">
      <c r="A774" s="20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049, 19410212, 1,    0, 00</v>
      </c>
    </row>
    <row r="775" spans="1:1" x14ac:dyDescent="0.25">
      <c r="A775" s="20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049, 19410213, 1,    0, 00</v>
      </c>
    </row>
    <row r="776" spans="1:1" x14ac:dyDescent="0.25">
      <c r="A776" s="20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049, 19410214, 1,    0, 00</v>
      </c>
    </row>
    <row r="777" spans="1:1" x14ac:dyDescent="0.25">
      <c r="A777" s="20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049, 19410215, 1,    0, 00</v>
      </c>
    </row>
    <row r="778" spans="1:1" x14ac:dyDescent="0.25">
      <c r="A778" s="20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049, 19410216, 1,    0, 00</v>
      </c>
    </row>
    <row r="779" spans="1:1" x14ac:dyDescent="0.25">
      <c r="A779" s="20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049, 19410217, 1,    0, 00</v>
      </c>
    </row>
    <row r="780" spans="1:1" x14ac:dyDescent="0.25">
      <c r="A780" s="20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049, 19410218, 1,    0, 00</v>
      </c>
    </row>
    <row r="781" spans="1:1" x14ac:dyDescent="0.25">
      <c r="A781" s="20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049, 19410219, 1,    0, 00</v>
      </c>
    </row>
    <row r="782" spans="1:1" x14ac:dyDescent="0.25">
      <c r="A782" s="20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049, 19410220, 1,    0, 00</v>
      </c>
    </row>
    <row r="783" spans="1:1" x14ac:dyDescent="0.25">
      <c r="A783" s="20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049, 19410221, 1,    0, 00</v>
      </c>
    </row>
    <row r="784" spans="1:1" x14ac:dyDescent="0.25">
      <c r="A784" s="20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049, 19410222, 1,    0, 00</v>
      </c>
    </row>
    <row r="785" spans="1:1" x14ac:dyDescent="0.25">
      <c r="A785" s="20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049, 19410223, 1,    0, 00</v>
      </c>
    </row>
    <row r="786" spans="1:1" x14ac:dyDescent="0.25">
      <c r="A786" s="20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049, 19410224, 1,    0, 00</v>
      </c>
    </row>
    <row r="787" spans="1:1" x14ac:dyDescent="0.25">
      <c r="A787" s="20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049, 19410225, 1,    0, 00</v>
      </c>
    </row>
    <row r="788" spans="1:1" x14ac:dyDescent="0.25">
      <c r="A788" s="20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049, 19410226, 1,    0, 00</v>
      </c>
    </row>
    <row r="789" spans="1:1" x14ac:dyDescent="0.25">
      <c r="A789" s="20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049, 19410227, 1,    0, 00</v>
      </c>
    </row>
    <row r="790" spans="1:1" x14ac:dyDescent="0.25">
      <c r="A790" s="20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049, 19410228, 1,    0, 00</v>
      </c>
    </row>
    <row r="791" spans="1:1" x14ac:dyDescent="0.25">
      <c r="A791" s="20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049, 19410301, 1,    0, 00</v>
      </c>
    </row>
    <row r="792" spans="1:1" x14ac:dyDescent="0.25">
      <c r="A792" s="20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049, 19410302, 1,    0, 00</v>
      </c>
    </row>
    <row r="793" spans="1:1" x14ac:dyDescent="0.25">
      <c r="A793" s="20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049, 19410303, 1,    0, 00</v>
      </c>
    </row>
    <row r="794" spans="1:1" x14ac:dyDescent="0.25">
      <c r="A794" s="20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049, 19410304, 1,    0, 00</v>
      </c>
    </row>
    <row r="795" spans="1:1" x14ac:dyDescent="0.25">
      <c r="A795" s="20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049, 19410305, 1,    0, 00</v>
      </c>
    </row>
    <row r="796" spans="1:1" x14ac:dyDescent="0.25">
      <c r="A796" s="20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049, 19410306, 1,    0, 00</v>
      </c>
    </row>
    <row r="797" spans="1:1" x14ac:dyDescent="0.25">
      <c r="A797" s="20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049, 19410307, 1,    0, 00</v>
      </c>
    </row>
    <row r="798" spans="1:1" x14ac:dyDescent="0.25">
      <c r="A798" s="20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049, 19410308, 1,    0, 00</v>
      </c>
    </row>
    <row r="799" spans="1:1" x14ac:dyDescent="0.25">
      <c r="A799" s="20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049, 19410309, 1,    0, 00</v>
      </c>
    </row>
    <row r="800" spans="1:1" x14ac:dyDescent="0.25">
      <c r="A800" s="20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049, 19410310, 1,    0, 00</v>
      </c>
    </row>
    <row r="801" spans="1:1" x14ac:dyDescent="0.25">
      <c r="A801" s="20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049, 19410311, 1,    0, 00</v>
      </c>
    </row>
    <row r="802" spans="1:1" x14ac:dyDescent="0.25">
      <c r="A802" s="20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049, 19410312, 1,    0, 00</v>
      </c>
    </row>
    <row r="803" spans="1:1" x14ac:dyDescent="0.25">
      <c r="A803" s="20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049, 19410313, 1,    0, 00</v>
      </c>
    </row>
    <row r="804" spans="1:1" x14ac:dyDescent="0.25">
      <c r="A804" s="20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049, 19410314, 1,    0, 00</v>
      </c>
    </row>
    <row r="805" spans="1:1" x14ac:dyDescent="0.25">
      <c r="A805" s="20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049, 19410315, 1,    0, 00</v>
      </c>
    </row>
    <row r="806" spans="1:1" x14ac:dyDescent="0.25">
      <c r="A806" s="20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049, 19410316, 1,    0, 00</v>
      </c>
    </row>
    <row r="807" spans="1:1" x14ac:dyDescent="0.25">
      <c r="A807" s="20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049, 19410317, 1,    0, 00</v>
      </c>
    </row>
    <row r="808" spans="1:1" x14ac:dyDescent="0.25">
      <c r="A808" s="20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049, 19410318, 1,    0, 00</v>
      </c>
    </row>
    <row r="809" spans="1:1" x14ac:dyDescent="0.25">
      <c r="A809" s="20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049, 19410319, 1,    0, 00</v>
      </c>
    </row>
    <row r="810" spans="1:1" x14ac:dyDescent="0.25">
      <c r="A810" s="20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049, 19410320, 1,    0, 00</v>
      </c>
    </row>
    <row r="811" spans="1:1" x14ac:dyDescent="0.25">
      <c r="A811" s="20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049, 19410321, 1,    0, 00</v>
      </c>
    </row>
    <row r="812" spans="1:1" x14ac:dyDescent="0.25">
      <c r="A812" s="20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049, 19410322, 1,    0, 00</v>
      </c>
    </row>
    <row r="813" spans="1:1" x14ac:dyDescent="0.25">
      <c r="A813" s="20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049, 19410323, 1,    0, 00</v>
      </c>
    </row>
    <row r="814" spans="1:1" x14ac:dyDescent="0.25">
      <c r="A814" s="20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049, 19410324, 1,    0, 00</v>
      </c>
    </row>
    <row r="815" spans="1:1" x14ac:dyDescent="0.25">
      <c r="A815" s="20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049, 19410325, 1,    0, 00</v>
      </c>
    </row>
    <row r="816" spans="1:1" x14ac:dyDescent="0.25">
      <c r="A816" s="20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049, 19410326, 1,    0, 00</v>
      </c>
    </row>
    <row r="817" spans="1:1" x14ac:dyDescent="0.25">
      <c r="A817" s="20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049, 19410327, 1,    0, 00</v>
      </c>
    </row>
    <row r="818" spans="1:1" x14ac:dyDescent="0.25">
      <c r="A818" s="20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049, 19410328, 1,    0, 00</v>
      </c>
    </row>
    <row r="819" spans="1:1" x14ac:dyDescent="0.25">
      <c r="A819" s="20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049, 19410329, 1,    0, 00</v>
      </c>
    </row>
    <row r="820" spans="1:1" x14ac:dyDescent="0.25">
      <c r="A820" s="20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049, 19410330, 1,    0, 00</v>
      </c>
    </row>
    <row r="821" spans="1:1" x14ac:dyDescent="0.25">
      <c r="A821" s="20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049, 19410331, 1,    0, 00</v>
      </c>
    </row>
    <row r="822" spans="1:1" x14ac:dyDescent="0.25">
      <c r="A822" s="20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049, 19410401, 1,    0, 00</v>
      </c>
    </row>
    <row r="823" spans="1:1" x14ac:dyDescent="0.25">
      <c r="A823" s="20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049, 19410402, 1,    0, 00</v>
      </c>
    </row>
    <row r="824" spans="1:1" x14ac:dyDescent="0.25">
      <c r="A824" s="20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049, 19410403, 1,    0, 00</v>
      </c>
    </row>
    <row r="825" spans="1:1" x14ac:dyDescent="0.25">
      <c r="A825" s="20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049, 19410404, 1,    0, 00</v>
      </c>
    </row>
    <row r="826" spans="1:1" x14ac:dyDescent="0.25">
      <c r="A826" s="20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049, 19410405, 1,    0, 00</v>
      </c>
    </row>
    <row r="827" spans="1:1" x14ac:dyDescent="0.25">
      <c r="A827" s="20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049, 19410406, 1,    0, 00</v>
      </c>
    </row>
    <row r="828" spans="1:1" x14ac:dyDescent="0.25">
      <c r="A828" s="20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049, 19410407, 1,    0, 00</v>
      </c>
    </row>
    <row r="829" spans="1:1" x14ac:dyDescent="0.25">
      <c r="A829" s="20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049, 19410408, 1,    0, 00</v>
      </c>
    </row>
    <row r="830" spans="1:1" x14ac:dyDescent="0.25">
      <c r="A830" s="20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049, 19410409, 1,    0, 00</v>
      </c>
    </row>
    <row r="831" spans="1:1" x14ac:dyDescent="0.25">
      <c r="A831" s="20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049, 19410410, 1,    0, 00</v>
      </c>
    </row>
    <row r="832" spans="1:1" x14ac:dyDescent="0.25">
      <c r="A832" s="20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049, 19410411, 1,    0, 00</v>
      </c>
    </row>
    <row r="833" spans="1:1" x14ac:dyDescent="0.25">
      <c r="A833" s="20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049, 19410412, 1,    0, 00</v>
      </c>
    </row>
    <row r="834" spans="1:1" x14ac:dyDescent="0.25">
      <c r="A834" s="20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049, 19410413, 1,    0, 00</v>
      </c>
    </row>
    <row r="835" spans="1:1" x14ac:dyDescent="0.25">
      <c r="A835" s="20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049, 19410414, 1,  240, 00</v>
      </c>
    </row>
    <row r="836" spans="1:1" x14ac:dyDescent="0.25">
      <c r="A836" s="20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049, 19410415, 1,  200, 00</v>
      </c>
    </row>
    <row r="837" spans="1:1" x14ac:dyDescent="0.25">
      <c r="A837" s="20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049, 19410416, 1,    0, 00</v>
      </c>
    </row>
    <row r="838" spans="1:1" x14ac:dyDescent="0.25">
      <c r="A838" s="20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049, 19410417, 1,   30, 00</v>
      </c>
    </row>
    <row r="839" spans="1:1" x14ac:dyDescent="0.25">
      <c r="A839" s="20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049, 19410418, 1,   50, 00</v>
      </c>
    </row>
    <row r="840" spans="1:1" x14ac:dyDescent="0.25">
      <c r="A840" s="20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049, 19410419, 1,    0, 00</v>
      </c>
    </row>
    <row r="841" spans="1:1" x14ac:dyDescent="0.25">
      <c r="A841" s="20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049, 19410420, 1,    0, 00</v>
      </c>
    </row>
    <row r="842" spans="1:1" x14ac:dyDescent="0.25">
      <c r="A842" s="20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049, 19410421, 1,    0, 00</v>
      </c>
    </row>
    <row r="843" spans="1:1" x14ac:dyDescent="0.25">
      <c r="A843" s="20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049, 19410422, 1,    0, 00</v>
      </c>
    </row>
    <row r="844" spans="1:1" x14ac:dyDescent="0.25">
      <c r="A844" s="20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049, 19410423, 1,    0, 00</v>
      </c>
    </row>
    <row r="845" spans="1:1" x14ac:dyDescent="0.25">
      <c r="A845" s="20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049, 19410424, 1,    0, 00</v>
      </c>
    </row>
    <row r="846" spans="1:1" x14ac:dyDescent="0.25">
      <c r="A846" s="20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049, 19410425, 1,    0, 00</v>
      </c>
    </row>
    <row r="847" spans="1:1" x14ac:dyDescent="0.25">
      <c r="A847" s="20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049, 19410426, 1,    0, 00</v>
      </c>
    </row>
    <row r="848" spans="1:1" x14ac:dyDescent="0.25">
      <c r="A848" s="20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049, 19410427, 1,    0, 00</v>
      </c>
    </row>
    <row r="849" spans="1:1" x14ac:dyDescent="0.25">
      <c r="A849" s="20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049, 19410428, 1,    0, 00</v>
      </c>
    </row>
    <row r="850" spans="1:1" x14ac:dyDescent="0.25">
      <c r="A850" s="20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049, 19410429, 1,    0, 00</v>
      </c>
    </row>
    <row r="851" spans="1:1" x14ac:dyDescent="0.25">
      <c r="A851" s="20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049, 19410430, 1,    0, 00</v>
      </c>
    </row>
    <row r="852" spans="1:1" x14ac:dyDescent="0.25">
      <c r="A852" s="20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049, 19410501, 1,    0, 00</v>
      </c>
    </row>
    <row r="853" spans="1:1" x14ac:dyDescent="0.25">
      <c r="A853" s="20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049, 19410502, 1,    0, 00</v>
      </c>
    </row>
    <row r="854" spans="1:1" x14ac:dyDescent="0.25">
      <c r="A854" s="20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049, 19410503, 1,    0, 00</v>
      </c>
    </row>
    <row r="855" spans="1:1" x14ac:dyDescent="0.25">
      <c r="A855" s="20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049, 19410504, 1,    0, 00</v>
      </c>
    </row>
    <row r="856" spans="1:1" x14ac:dyDescent="0.25">
      <c r="A856" s="20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049, 19410505, 1,    0, 00</v>
      </c>
    </row>
    <row r="857" spans="1:1" x14ac:dyDescent="0.25">
      <c r="A857" s="20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049, 19410506, 1,    0, 00</v>
      </c>
    </row>
    <row r="858" spans="1:1" x14ac:dyDescent="0.25">
      <c r="A858" s="20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049, 19410507, 1,    0, 00</v>
      </c>
    </row>
    <row r="859" spans="1:1" x14ac:dyDescent="0.25">
      <c r="A859" s="20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049, 19410508, 1,    0, 00</v>
      </c>
    </row>
    <row r="860" spans="1:1" x14ac:dyDescent="0.25">
      <c r="A860" s="20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049, 19410509, 1,    0, 00</v>
      </c>
    </row>
    <row r="861" spans="1:1" x14ac:dyDescent="0.25">
      <c r="A861" s="20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049, 19410510, 1,    0, 00</v>
      </c>
    </row>
    <row r="862" spans="1:1" x14ac:dyDescent="0.25">
      <c r="A862" s="20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049, 19410511, 1,    0, 00</v>
      </c>
    </row>
    <row r="863" spans="1:1" x14ac:dyDescent="0.25">
      <c r="A863" s="20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049, 19410512, 1,    0, 00</v>
      </c>
    </row>
    <row r="864" spans="1:1" x14ac:dyDescent="0.25">
      <c r="A864" s="20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049, 19410513, 1,    0, 00</v>
      </c>
    </row>
    <row r="865" spans="1:1" x14ac:dyDescent="0.25">
      <c r="A865" s="20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049, 19410514, 1,    0, 00</v>
      </c>
    </row>
    <row r="866" spans="1:1" x14ac:dyDescent="0.25">
      <c r="A866" s="20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049, 19410515, 1,    0, 00</v>
      </c>
    </row>
    <row r="867" spans="1:1" x14ac:dyDescent="0.25">
      <c r="A867" s="20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049, 19410516, 1,    0, 00</v>
      </c>
    </row>
    <row r="868" spans="1:1" x14ac:dyDescent="0.25">
      <c r="A868" s="20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049, 19410517, 1,    0, 00</v>
      </c>
    </row>
    <row r="869" spans="1:1" x14ac:dyDescent="0.25">
      <c r="A869" s="20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049, 19410518, 1,    0, 00</v>
      </c>
    </row>
    <row r="870" spans="1:1" x14ac:dyDescent="0.25">
      <c r="A870" s="20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049, 19410519, 1,    0, 00</v>
      </c>
    </row>
    <row r="871" spans="1:1" x14ac:dyDescent="0.25">
      <c r="A871" s="20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049, 19410520, 1,    0, 00</v>
      </c>
    </row>
    <row r="872" spans="1:1" x14ac:dyDescent="0.25">
      <c r="A872" s="20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049, 19410521, 1,    0, 00</v>
      </c>
    </row>
    <row r="873" spans="1:1" x14ac:dyDescent="0.25">
      <c r="A873" s="20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049, 19410522, 1,    0, 00</v>
      </c>
    </row>
    <row r="874" spans="1:1" x14ac:dyDescent="0.25">
      <c r="A874" s="20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049, 19410523, 1,    0, 00</v>
      </c>
    </row>
    <row r="875" spans="1:1" x14ac:dyDescent="0.25">
      <c r="A875" s="20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049, 19410524, 1,    0, 00</v>
      </c>
    </row>
    <row r="876" spans="1:1" x14ac:dyDescent="0.25">
      <c r="A876" s="20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049, 19410525, 1,    0, 00</v>
      </c>
    </row>
    <row r="877" spans="1:1" x14ac:dyDescent="0.25">
      <c r="A877" s="20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049, 19410526, 1,    0, 00</v>
      </c>
    </row>
    <row r="878" spans="1:1" x14ac:dyDescent="0.25">
      <c r="A878" s="20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049, 19410527, 1,    0, 00</v>
      </c>
    </row>
    <row r="879" spans="1:1" x14ac:dyDescent="0.25">
      <c r="A879" s="20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049, 19410528, 1,    0, 00</v>
      </c>
    </row>
    <row r="880" spans="1:1" x14ac:dyDescent="0.25">
      <c r="A880" s="20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049, 19410529, 1,    0, 00</v>
      </c>
    </row>
    <row r="881" spans="1:1" x14ac:dyDescent="0.25">
      <c r="A881" s="20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049, 19410530, 1,    0, 00</v>
      </c>
    </row>
    <row r="882" spans="1:1" x14ac:dyDescent="0.25">
      <c r="A882" s="20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049, 19410531, 1,    0, 00</v>
      </c>
    </row>
    <row r="883" spans="1:1" x14ac:dyDescent="0.25">
      <c r="A883" s="20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049, 19410601, 1, ////, 07</v>
      </c>
    </row>
    <row r="884" spans="1:1" x14ac:dyDescent="0.25">
      <c r="A884" s="20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049, 19410602, 1, ////, 07</v>
      </c>
    </row>
    <row r="885" spans="1:1" x14ac:dyDescent="0.25">
      <c r="A885" s="20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049, 19410603, 1, ////, 07</v>
      </c>
    </row>
    <row r="886" spans="1:1" x14ac:dyDescent="0.25">
      <c r="A886" s="20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049, 19410604, 1, ////, 07</v>
      </c>
    </row>
    <row r="887" spans="1:1" x14ac:dyDescent="0.25">
      <c r="A887" s="20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049, 19410605, 1, ////, 07</v>
      </c>
    </row>
    <row r="888" spans="1:1" x14ac:dyDescent="0.25">
      <c r="A888" s="20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049, 19410606, 1, ////, 07</v>
      </c>
    </row>
    <row r="889" spans="1:1" x14ac:dyDescent="0.25">
      <c r="A889" s="20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049, 19410607, 1, ////, 07</v>
      </c>
    </row>
    <row r="890" spans="1:1" x14ac:dyDescent="0.25">
      <c r="A890" s="20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049, 19410608, 1, ////, 07</v>
      </c>
    </row>
    <row r="891" spans="1:1" x14ac:dyDescent="0.25">
      <c r="A891" s="20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049, 19410609, 1, ////, 07</v>
      </c>
    </row>
    <row r="892" spans="1:1" x14ac:dyDescent="0.25">
      <c r="A892" s="20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049, 19410610, 1, ////, 07</v>
      </c>
    </row>
    <row r="893" spans="1:1" x14ac:dyDescent="0.25">
      <c r="A893" s="20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049, 19410611, 1, ////, 07</v>
      </c>
    </row>
    <row r="894" spans="1:1" x14ac:dyDescent="0.25">
      <c r="A894" s="20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049, 19410612, 1, ////, 07</v>
      </c>
    </row>
    <row r="895" spans="1:1" x14ac:dyDescent="0.25">
      <c r="A895" s="20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049, 19410613, 1, ////, 07</v>
      </c>
    </row>
    <row r="896" spans="1:1" x14ac:dyDescent="0.25">
      <c r="A896" s="20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049, 19410614, 1, ////, 07</v>
      </c>
    </row>
    <row r="897" spans="1:1" x14ac:dyDescent="0.25">
      <c r="A897" s="20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049, 19410615, 1, ////, 07</v>
      </c>
    </row>
    <row r="898" spans="1:1" x14ac:dyDescent="0.25">
      <c r="A898" s="20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049, 19410616, 1, ////, 07</v>
      </c>
    </row>
    <row r="899" spans="1:1" x14ac:dyDescent="0.25">
      <c r="A899" s="20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049, 19410617, 1, ////, 07</v>
      </c>
    </row>
    <row r="900" spans="1:1" x14ac:dyDescent="0.25">
      <c r="A900" s="20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049, 19410618, 1, ////, 07</v>
      </c>
    </row>
    <row r="901" spans="1:1" x14ac:dyDescent="0.25">
      <c r="A901" s="20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049, 19410619, 1, ////, 07</v>
      </c>
    </row>
    <row r="902" spans="1:1" x14ac:dyDescent="0.25">
      <c r="A902" s="20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049, 19410620, 1, ////, 07</v>
      </c>
    </row>
    <row r="903" spans="1:1" x14ac:dyDescent="0.25">
      <c r="A903" s="20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049, 19410621, 1, ////, 07</v>
      </c>
    </row>
    <row r="904" spans="1:1" x14ac:dyDescent="0.25">
      <c r="A904" s="20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049, 19410622, 1, ////, 07</v>
      </c>
    </row>
    <row r="905" spans="1:1" x14ac:dyDescent="0.25">
      <c r="A905" s="20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049, 19410623, 1, ////, 07</v>
      </c>
    </row>
    <row r="906" spans="1:1" x14ac:dyDescent="0.25">
      <c r="A906" s="20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049, 19410624, 1, ////, 07</v>
      </c>
    </row>
    <row r="907" spans="1:1" x14ac:dyDescent="0.25">
      <c r="A907" s="20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049, 19410625, 1, ////, 07</v>
      </c>
    </row>
    <row r="908" spans="1:1" x14ac:dyDescent="0.25">
      <c r="A908" s="20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049, 19410626, 1, ////, 07</v>
      </c>
    </row>
    <row r="909" spans="1:1" x14ac:dyDescent="0.25">
      <c r="A909" s="20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049, 19410627, 1, ////, 07</v>
      </c>
    </row>
    <row r="910" spans="1:1" x14ac:dyDescent="0.25">
      <c r="A910" s="20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049, 19410628, 1, ////, 07</v>
      </c>
    </row>
    <row r="911" spans="1:1" x14ac:dyDescent="0.25">
      <c r="A911" s="20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049, 19410629, 1, ////, 07</v>
      </c>
    </row>
    <row r="912" spans="1:1" x14ac:dyDescent="0.25">
      <c r="A912" s="20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049, 19410630, 1, ////, 07</v>
      </c>
    </row>
    <row r="913" spans="1:1" x14ac:dyDescent="0.25">
      <c r="A913" s="20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049, 19410701, 1, ////, 07</v>
      </c>
    </row>
    <row r="914" spans="1:1" x14ac:dyDescent="0.25">
      <c r="A914" s="20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049, 19410702, 1, ////, 07</v>
      </c>
    </row>
    <row r="915" spans="1:1" x14ac:dyDescent="0.25">
      <c r="A915" s="20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049, 19410703, 1, ////, 07</v>
      </c>
    </row>
    <row r="916" spans="1:1" x14ac:dyDescent="0.25">
      <c r="A916" s="20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049, 19410704, 1, ////, 07</v>
      </c>
    </row>
    <row r="917" spans="1:1" x14ac:dyDescent="0.25">
      <c r="A917" s="20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049, 19410705, 1, ////, 07</v>
      </c>
    </row>
    <row r="918" spans="1:1" x14ac:dyDescent="0.25">
      <c r="A918" s="20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049, 19410706, 1, ////, 07</v>
      </c>
    </row>
    <row r="919" spans="1:1" x14ac:dyDescent="0.25">
      <c r="A919" s="20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049, 19410707, 1, ////, 07</v>
      </c>
    </row>
    <row r="920" spans="1:1" x14ac:dyDescent="0.25">
      <c r="A920" s="20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049, 19410708, 1, ////, 07</v>
      </c>
    </row>
    <row r="921" spans="1:1" x14ac:dyDescent="0.25">
      <c r="A921" s="20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049, 19410709, 1, ////, 07</v>
      </c>
    </row>
    <row r="922" spans="1:1" x14ac:dyDescent="0.25">
      <c r="A922" s="20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049, 19410710, 1, ////, 07</v>
      </c>
    </row>
    <row r="923" spans="1:1" x14ac:dyDescent="0.25">
      <c r="A923" s="20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049, 19410711, 1, ////, 07</v>
      </c>
    </row>
    <row r="924" spans="1:1" x14ac:dyDescent="0.25">
      <c r="A924" s="20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049, 19410712, 1, ////, 07</v>
      </c>
    </row>
    <row r="925" spans="1:1" x14ac:dyDescent="0.25">
      <c r="A925" s="20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049, 19410713, 1, ////, 07</v>
      </c>
    </row>
    <row r="926" spans="1:1" x14ac:dyDescent="0.25">
      <c r="A926" s="20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049, 19410714, 1, ////, 07</v>
      </c>
    </row>
    <row r="927" spans="1:1" x14ac:dyDescent="0.25">
      <c r="A927" s="20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049, 19410715, 1, ////, 07</v>
      </c>
    </row>
    <row r="928" spans="1:1" x14ac:dyDescent="0.25">
      <c r="A928" s="20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049, 19410716, 1, ////, 07</v>
      </c>
    </row>
    <row r="929" spans="1:1" x14ac:dyDescent="0.25">
      <c r="A929" s="20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049, 19410717, 1, ////, 07</v>
      </c>
    </row>
    <row r="930" spans="1:1" x14ac:dyDescent="0.25">
      <c r="A930" s="20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049, 19410718, 1, ////, 07</v>
      </c>
    </row>
    <row r="931" spans="1:1" x14ac:dyDescent="0.25">
      <c r="A931" s="20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049, 19410719, 1, ////, 07</v>
      </c>
    </row>
    <row r="932" spans="1:1" x14ac:dyDescent="0.25">
      <c r="A932" s="20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049, 19410720, 1, ////, 07</v>
      </c>
    </row>
    <row r="933" spans="1:1" x14ac:dyDescent="0.25">
      <c r="A933" s="20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049, 19410721, 1, ////, 07</v>
      </c>
    </row>
    <row r="934" spans="1:1" x14ac:dyDescent="0.25">
      <c r="A934" s="20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049, 19410722, 1, ////, 07</v>
      </c>
    </row>
    <row r="935" spans="1:1" x14ac:dyDescent="0.25">
      <c r="A935" s="20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049, 19410723, 1, ////, 07</v>
      </c>
    </row>
    <row r="936" spans="1:1" x14ac:dyDescent="0.25">
      <c r="A936" s="20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049, 19410724, 1, ////, 07</v>
      </c>
    </row>
    <row r="937" spans="1:1" x14ac:dyDescent="0.25">
      <c r="A937" s="20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049, 19410725, 1, ////, 07</v>
      </c>
    </row>
    <row r="938" spans="1:1" x14ac:dyDescent="0.25">
      <c r="A938" s="20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049, 19410726, 1, ////, 07</v>
      </c>
    </row>
    <row r="939" spans="1:1" x14ac:dyDescent="0.25">
      <c r="A939" s="20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049, 19410727, 1, ////, 07</v>
      </c>
    </row>
    <row r="940" spans="1:1" x14ac:dyDescent="0.25">
      <c r="A940" s="20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049, 19410728, 1, ////, 07</v>
      </c>
    </row>
    <row r="941" spans="1:1" x14ac:dyDescent="0.25">
      <c r="A941" s="20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049, 19410729, 1, ////, 07</v>
      </c>
    </row>
    <row r="942" spans="1:1" x14ac:dyDescent="0.25">
      <c r="A942" s="20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049, 19410730, 1, ////, 07</v>
      </c>
    </row>
    <row r="943" spans="1:1" x14ac:dyDescent="0.25">
      <c r="A943" s="20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049, 19410731, 1, ////, 07</v>
      </c>
    </row>
    <row r="944" spans="1:1" x14ac:dyDescent="0.25">
      <c r="A944" s="20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049, 19410801, 1, ////, 07</v>
      </c>
    </row>
    <row r="945" spans="1:1" x14ac:dyDescent="0.25">
      <c r="A945" s="20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049, 19410802, 1, ////, 07</v>
      </c>
    </row>
    <row r="946" spans="1:1" x14ac:dyDescent="0.25">
      <c r="A946" s="20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049, 19410803, 1, ////, 07</v>
      </c>
    </row>
    <row r="947" spans="1:1" x14ac:dyDescent="0.25">
      <c r="A947" s="20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049, 19410804, 1, ////, 07</v>
      </c>
    </row>
    <row r="948" spans="1:1" x14ac:dyDescent="0.25">
      <c r="A948" s="20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049, 19410805, 1, ////, 07</v>
      </c>
    </row>
    <row r="949" spans="1:1" x14ac:dyDescent="0.25">
      <c r="A949" s="20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049, 19410806, 1, ////, 07</v>
      </c>
    </row>
    <row r="950" spans="1:1" x14ac:dyDescent="0.25">
      <c r="A950" s="20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049, 19410807, 1, ////, 07</v>
      </c>
    </row>
    <row r="951" spans="1:1" x14ac:dyDescent="0.25">
      <c r="A951" s="20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049, 19410808, 1, ////, 07</v>
      </c>
    </row>
    <row r="952" spans="1:1" x14ac:dyDescent="0.25">
      <c r="A952" s="20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049, 19410809, 1, ////, 07</v>
      </c>
    </row>
    <row r="953" spans="1:1" x14ac:dyDescent="0.25">
      <c r="A953" s="20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049, 19410810, 1, ////, 07</v>
      </c>
    </row>
    <row r="954" spans="1:1" x14ac:dyDescent="0.25">
      <c r="A954" s="20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049, 19410811, 1, ////, 07</v>
      </c>
    </row>
    <row r="955" spans="1:1" x14ac:dyDescent="0.25">
      <c r="A955" s="20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049, 19410812, 1, ////, 07</v>
      </c>
    </row>
    <row r="956" spans="1:1" x14ac:dyDescent="0.25">
      <c r="A956" s="20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049, 19410813, 1, ////, 07</v>
      </c>
    </row>
    <row r="957" spans="1:1" x14ac:dyDescent="0.25">
      <c r="A957" s="20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049, 19410814, 1, ////, 07</v>
      </c>
    </row>
    <row r="958" spans="1:1" x14ac:dyDescent="0.25">
      <c r="A958" s="20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049, 19410815, 1, ////, 07</v>
      </c>
    </row>
    <row r="959" spans="1:1" x14ac:dyDescent="0.25">
      <c r="A959" s="20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049, 19410816, 1, ////, 07</v>
      </c>
    </row>
    <row r="960" spans="1:1" x14ac:dyDescent="0.25">
      <c r="A960" s="20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049, 19410817, 1, ////, 07</v>
      </c>
    </row>
    <row r="961" spans="1:1" x14ac:dyDescent="0.25">
      <c r="A961" s="20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049, 19410818, 1, ////, 07</v>
      </c>
    </row>
    <row r="962" spans="1:1" x14ac:dyDescent="0.25">
      <c r="A962" s="20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049, 19410819, 1, ////, 07</v>
      </c>
    </row>
    <row r="963" spans="1:1" x14ac:dyDescent="0.25">
      <c r="A963" s="20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049, 19410820, 1, ////, 07</v>
      </c>
    </row>
    <row r="964" spans="1:1" x14ac:dyDescent="0.25">
      <c r="A964" s="20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049, 19410821, 1, ////, 07</v>
      </c>
    </row>
    <row r="965" spans="1:1" x14ac:dyDescent="0.25">
      <c r="A965" s="20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049, 19410822, 1, ////, 07</v>
      </c>
    </row>
    <row r="966" spans="1:1" x14ac:dyDescent="0.25">
      <c r="A966" s="20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049, 19410823, 1, ////, 07</v>
      </c>
    </row>
    <row r="967" spans="1:1" x14ac:dyDescent="0.25">
      <c r="A967" s="20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049, 19410824, 1, ////, 07</v>
      </c>
    </row>
    <row r="968" spans="1:1" x14ac:dyDescent="0.25">
      <c r="A968" s="20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049, 19410825, 1, ////, 07</v>
      </c>
    </row>
    <row r="969" spans="1:1" x14ac:dyDescent="0.25">
      <c r="A969" s="20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049, 19410826, 1, ////, 07</v>
      </c>
    </row>
    <row r="970" spans="1:1" x14ac:dyDescent="0.25">
      <c r="A970" s="20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049, 19410827, 1, ////, 07</v>
      </c>
    </row>
    <row r="971" spans="1:1" x14ac:dyDescent="0.25">
      <c r="A971" s="20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049, 19410828, 1, ////, 07</v>
      </c>
    </row>
    <row r="972" spans="1:1" x14ac:dyDescent="0.25">
      <c r="A972" s="20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049, 19410829, 1, ////, 07</v>
      </c>
    </row>
    <row r="973" spans="1:1" x14ac:dyDescent="0.25">
      <c r="A973" s="20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049, 19410830, 1, ////, 07</v>
      </c>
    </row>
    <row r="974" spans="1:1" x14ac:dyDescent="0.25">
      <c r="A974" s="20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049, 19410831, 1, ////, 07</v>
      </c>
    </row>
    <row r="975" spans="1:1" x14ac:dyDescent="0.25">
      <c r="A975" s="20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049, 19410901, 1, ////, 07</v>
      </c>
    </row>
    <row r="976" spans="1:1" x14ac:dyDescent="0.25">
      <c r="A976" s="20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049, 19410902, 1, ////, 07</v>
      </c>
    </row>
    <row r="977" spans="1:1" x14ac:dyDescent="0.25">
      <c r="A977" s="20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049, 19410903, 1, ////, 07</v>
      </c>
    </row>
    <row r="978" spans="1:1" x14ac:dyDescent="0.25">
      <c r="A978" s="20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049, 19410904, 1, ////, 07</v>
      </c>
    </row>
    <row r="979" spans="1:1" x14ac:dyDescent="0.25">
      <c r="A979" s="20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049, 19410905, 1, ////, 07</v>
      </c>
    </row>
    <row r="980" spans="1:1" x14ac:dyDescent="0.25">
      <c r="A980" s="20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049, 19410906, 1, ////, 07</v>
      </c>
    </row>
    <row r="981" spans="1:1" x14ac:dyDescent="0.25">
      <c r="A981" s="20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049, 19410907, 1, ////, 07</v>
      </c>
    </row>
    <row r="982" spans="1:1" x14ac:dyDescent="0.25">
      <c r="A982" s="20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049, 19410908, 1, ////, 07</v>
      </c>
    </row>
    <row r="983" spans="1:1" x14ac:dyDescent="0.25">
      <c r="A983" s="20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049, 19410909, 1, ////, 07</v>
      </c>
    </row>
    <row r="984" spans="1:1" x14ac:dyDescent="0.25">
      <c r="A984" s="20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049, 19410910, 1, ////, 07</v>
      </c>
    </row>
    <row r="985" spans="1:1" x14ac:dyDescent="0.25">
      <c r="A985" s="20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049, 19410911, 1, ////, 07</v>
      </c>
    </row>
    <row r="986" spans="1:1" x14ac:dyDescent="0.25">
      <c r="A986" s="20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049, 19410912, 1, ////, 07</v>
      </c>
    </row>
    <row r="987" spans="1:1" x14ac:dyDescent="0.25">
      <c r="A987" s="20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049, 19410913, 1, ////, 07</v>
      </c>
    </row>
    <row r="988" spans="1:1" x14ac:dyDescent="0.25">
      <c r="A988" s="20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049, 19410914, 1, ////, 07</v>
      </c>
    </row>
    <row r="989" spans="1:1" x14ac:dyDescent="0.25">
      <c r="A989" s="20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049, 19410915, 1, ////, 07</v>
      </c>
    </row>
    <row r="990" spans="1:1" x14ac:dyDescent="0.25">
      <c r="A990" s="20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049, 19410916, 1, ////, 07</v>
      </c>
    </row>
    <row r="991" spans="1:1" x14ac:dyDescent="0.25">
      <c r="A991" s="20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049, 19410917, 1, ////, 07</v>
      </c>
    </row>
    <row r="992" spans="1:1" x14ac:dyDescent="0.25">
      <c r="A992" s="20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049, 19410918, 1, ////, 07</v>
      </c>
    </row>
    <row r="993" spans="1:1" x14ac:dyDescent="0.25">
      <c r="A993" s="20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049, 19410919, 1, ////, 07</v>
      </c>
    </row>
    <row r="994" spans="1:1" x14ac:dyDescent="0.25">
      <c r="A994" s="20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049, 19410920, 1, ////, 07</v>
      </c>
    </row>
    <row r="995" spans="1:1" x14ac:dyDescent="0.25">
      <c r="A995" s="20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049, 19410921, 1, ////, 07</v>
      </c>
    </row>
    <row r="996" spans="1:1" x14ac:dyDescent="0.25">
      <c r="A996" s="20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049, 19410922, 1, ////, 07</v>
      </c>
    </row>
    <row r="997" spans="1:1" x14ac:dyDescent="0.25">
      <c r="A997" s="20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049, 19410923, 1, ////, 07</v>
      </c>
    </row>
    <row r="998" spans="1:1" x14ac:dyDescent="0.25">
      <c r="A998" s="20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049, 19410924, 1, ////, 07</v>
      </c>
    </row>
    <row r="999" spans="1:1" x14ac:dyDescent="0.25">
      <c r="A999" s="20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049, 19410925, 1, ////, 07</v>
      </c>
    </row>
    <row r="1000" spans="1:1" x14ac:dyDescent="0.25">
      <c r="A1000" s="20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049, 19410926, 1, ////, 07</v>
      </c>
    </row>
    <row r="1001" spans="1:1" x14ac:dyDescent="0.25">
      <c r="A1001" s="20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049, 19410927, 1, ////, 07</v>
      </c>
    </row>
    <row r="1002" spans="1:1" x14ac:dyDescent="0.25">
      <c r="A1002" s="20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049, 19410928, 1, ////, 07</v>
      </c>
    </row>
    <row r="1003" spans="1:1" x14ac:dyDescent="0.25">
      <c r="A1003" s="20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049, 19410929, 1, ////, 07</v>
      </c>
    </row>
    <row r="1004" spans="1:1" x14ac:dyDescent="0.25">
      <c r="A1004" s="20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049, 19410930, 1, ////, 07</v>
      </c>
    </row>
    <row r="1005" spans="1:1" x14ac:dyDescent="0.25">
      <c r="A1005" s="20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049, 19411001, 1, ////, 07</v>
      </c>
    </row>
    <row r="1006" spans="1:1" x14ac:dyDescent="0.25">
      <c r="A1006" s="20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049, 19411002, 1, ////, 07</v>
      </c>
    </row>
    <row r="1007" spans="1:1" x14ac:dyDescent="0.25">
      <c r="A1007" s="20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049, 19411003, 1, ////, 07</v>
      </c>
    </row>
    <row r="1008" spans="1:1" x14ac:dyDescent="0.25">
      <c r="A1008" s="20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049, 19411004, 1, ////, 07</v>
      </c>
    </row>
    <row r="1009" spans="1:1" x14ac:dyDescent="0.25">
      <c r="A1009" s="20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049, 19411005, 1, ////, 07</v>
      </c>
    </row>
    <row r="1010" spans="1:1" x14ac:dyDescent="0.25">
      <c r="A1010" s="20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049, 19411006, 1, ////, 07</v>
      </c>
    </row>
    <row r="1011" spans="1:1" x14ac:dyDescent="0.25">
      <c r="A1011" s="20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049, 19411007, 1, ////, 07</v>
      </c>
    </row>
    <row r="1012" spans="1:1" x14ac:dyDescent="0.25">
      <c r="A1012" s="20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049, 19411008, 1, ////, 07</v>
      </c>
    </row>
    <row r="1013" spans="1:1" x14ac:dyDescent="0.25">
      <c r="A1013" s="20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049, 19411009, 1, ////, 07</v>
      </c>
    </row>
    <row r="1014" spans="1:1" x14ac:dyDescent="0.25">
      <c r="A1014" s="20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049, 19411010, 1, ////, 07</v>
      </c>
    </row>
    <row r="1015" spans="1:1" x14ac:dyDescent="0.25">
      <c r="A1015" s="20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049, 19411011, 1, ////, 07</v>
      </c>
    </row>
    <row r="1016" spans="1:1" x14ac:dyDescent="0.25">
      <c r="A1016" s="20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049, 19411012, 1, ////, 07</v>
      </c>
    </row>
    <row r="1017" spans="1:1" x14ac:dyDescent="0.25">
      <c r="A1017" s="20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049, 19411013, 1, ////, 07</v>
      </c>
    </row>
    <row r="1018" spans="1:1" x14ac:dyDescent="0.25">
      <c r="A1018" s="20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049, 19411014, 1, ////, 07</v>
      </c>
    </row>
    <row r="1019" spans="1:1" x14ac:dyDescent="0.25">
      <c r="A1019" s="20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049, 19411015, 1, ////, 07</v>
      </c>
    </row>
    <row r="1020" spans="1:1" x14ac:dyDescent="0.25">
      <c r="A1020" s="20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049, 19411016, 1, ////, 07</v>
      </c>
    </row>
    <row r="1021" spans="1:1" x14ac:dyDescent="0.25">
      <c r="A1021" s="20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049, 19411017, 1, ////, 07</v>
      </c>
    </row>
    <row r="1022" spans="1:1" x14ac:dyDescent="0.25">
      <c r="A1022" s="20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049, 19411018, 1, ////, 07</v>
      </c>
    </row>
    <row r="1023" spans="1:1" x14ac:dyDescent="0.25">
      <c r="A1023" s="20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049, 19411019, 1, ////, 07</v>
      </c>
    </row>
    <row r="1024" spans="1:1" x14ac:dyDescent="0.25">
      <c r="A1024" s="20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049, 19411020, 1, ////, 07</v>
      </c>
    </row>
    <row r="1025" spans="1:1" x14ac:dyDescent="0.25">
      <c r="A1025" s="20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049, 19411021, 1, ////, 07</v>
      </c>
    </row>
    <row r="1026" spans="1:1" x14ac:dyDescent="0.25">
      <c r="A1026" s="20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049, 19411022, 1, ////, 07</v>
      </c>
    </row>
    <row r="1027" spans="1:1" x14ac:dyDescent="0.25">
      <c r="A1027" s="20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049, 19411023, 1, ////, 07</v>
      </c>
    </row>
    <row r="1028" spans="1:1" x14ac:dyDescent="0.25">
      <c r="A1028" s="20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049, 19411024, 1, ////, 07</v>
      </c>
    </row>
    <row r="1029" spans="1:1" x14ac:dyDescent="0.25">
      <c r="A1029" s="20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049, 19411025, 1, ////, 07</v>
      </c>
    </row>
    <row r="1030" spans="1:1" x14ac:dyDescent="0.25">
      <c r="A1030" s="20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049, 19411026, 1, ////, 07</v>
      </c>
    </row>
    <row r="1031" spans="1:1" x14ac:dyDescent="0.25">
      <c r="A1031" s="20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049, 19411027, 1, ////, 07</v>
      </c>
    </row>
    <row r="1032" spans="1:1" x14ac:dyDescent="0.25">
      <c r="A1032" s="20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049, 19411028, 1, ////, 07</v>
      </c>
    </row>
    <row r="1033" spans="1:1" x14ac:dyDescent="0.25">
      <c r="A1033" s="20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049, 19411029, 1, ////, 07</v>
      </c>
    </row>
    <row r="1034" spans="1:1" x14ac:dyDescent="0.25">
      <c r="A1034" s="20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049, 19411030, 1, ////, 07</v>
      </c>
    </row>
    <row r="1035" spans="1:1" x14ac:dyDescent="0.25">
      <c r="A1035" s="20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049, 19411031, 1, ////, 07</v>
      </c>
    </row>
    <row r="1036" spans="1:1" x14ac:dyDescent="0.25">
      <c r="A1036" s="20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049, 19411101, 1, ////, 07</v>
      </c>
    </row>
    <row r="1037" spans="1:1" x14ac:dyDescent="0.25">
      <c r="A1037" s="20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049, 19411102, 1, ////, 07</v>
      </c>
    </row>
    <row r="1038" spans="1:1" x14ac:dyDescent="0.25">
      <c r="A1038" s="20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049, 19411103, 1, ////, 07</v>
      </c>
    </row>
    <row r="1039" spans="1:1" x14ac:dyDescent="0.25">
      <c r="A1039" s="20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049, 19411104, 1, ////, 07</v>
      </c>
    </row>
    <row r="1040" spans="1:1" x14ac:dyDescent="0.25">
      <c r="A1040" s="20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049, 19411105, 1, ////, 07</v>
      </c>
    </row>
    <row r="1041" spans="1:1" x14ac:dyDescent="0.25">
      <c r="A1041" s="20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049, 19411106, 1, ////, 07</v>
      </c>
    </row>
    <row r="1042" spans="1:1" x14ac:dyDescent="0.25">
      <c r="A1042" s="20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049, 19411107, 1, ////, 07</v>
      </c>
    </row>
    <row r="1043" spans="1:1" x14ac:dyDescent="0.25">
      <c r="A1043" s="20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049, 19411108, 1, ////, 07</v>
      </c>
    </row>
    <row r="1044" spans="1:1" x14ac:dyDescent="0.25">
      <c r="A1044" s="20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049, 19411109, 1, ////, 07</v>
      </c>
    </row>
    <row r="1045" spans="1:1" x14ac:dyDescent="0.25">
      <c r="A1045" s="20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049, 19411110, 1, ////, 07</v>
      </c>
    </row>
    <row r="1046" spans="1:1" x14ac:dyDescent="0.25">
      <c r="A1046" s="20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049, 19411111, 1, ////, 07</v>
      </c>
    </row>
    <row r="1047" spans="1:1" x14ac:dyDescent="0.25">
      <c r="A1047" s="20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049, 19411112, 1, ////, 07</v>
      </c>
    </row>
    <row r="1048" spans="1:1" x14ac:dyDescent="0.25">
      <c r="A1048" s="20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049, 19411113, 1, ////, 07</v>
      </c>
    </row>
    <row r="1049" spans="1:1" x14ac:dyDescent="0.25">
      <c r="A1049" s="20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049, 19411114, 1, ////, 07</v>
      </c>
    </row>
    <row r="1050" spans="1:1" x14ac:dyDescent="0.25">
      <c r="A1050" s="20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049, 19411115, 1, ////, 07</v>
      </c>
    </row>
    <row r="1051" spans="1:1" x14ac:dyDescent="0.25">
      <c r="A1051" s="20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049, 19411116, 1, ////, 07</v>
      </c>
    </row>
    <row r="1052" spans="1:1" x14ac:dyDescent="0.25">
      <c r="A1052" s="20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049, 19411117, 1, ////, 07</v>
      </c>
    </row>
    <row r="1053" spans="1:1" x14ac:dyDescent="0.25">
      <c r="A1053" s="20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049, 19411118, 1, ////, 07</v>
      </c>
    </row>
    <row r="1054" spans="1:1" x14ac:dyDescent="0.25">
      <c r="A1054" s="20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049, 19411119, 1, ////, 07</v>
      </c>
    </row>
    <row r="1055" spans="1:1" x14ac:dyDescent="0.25">
      <c r="A1055" s="20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049, 19411120, 1, ////, 07</v>
      </c>
    </row>
    <row r="1056" spans="1:1" x14ac:dyDescent="0.25">
      <c r="A1056" s="20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049, 19411121, 1, ////, 07</v>
      </c>
    </row>
    <row r="1057" spans="1:1" x14ac:dyDescent="0.25">
      <c r="A1057" s="20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049, 19411122, 1, ////, 07</v>
      </c>
    </row>
    <row r="1058" spans="1:1" x14ac:dyDescent="0.25">
      <c r="A1058" s="20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049, 19411123, 1, ////, 07</v>
      </c>
    </row>
    <row r="1059" spans="1:1" x14ac:dyDescent="0.25">
      <c r="A1059" s="20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049, 19411124, 1, ////, 07</v>
      </c>
    </row>
    <row r="1060" spans="1:1" x14ac:dyDescent="0.25">
      <c r="A1060" s="20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049, 19411125, 1, ////, 07</v>
      </c>
    </row>
    <row r="1061" spans="1:1" x14ac:dyDescent="0.25">
      <c r="A1061" s="20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049, 19411126, 1, ////, 07</v>
      </c>
    </row>
    <row r="1062" spans="1:1" x14ac:dyDescent="0.25">
      <c r="A1062" s="20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049, 19411127, 1, ////, 07</v>
      </c>
    </row>
    <row r="1063" spans="1:1" x14ac:dyDescent="0.25">
      <c r="A1063" s="20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049, 19411128, 1, ////, 07</v>
      </c>
    </row>
    <row r="1064" spans="1:1" x14ac:dyDescent="0.25">
      <c r="A1064" s="20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049, 19411129, 1, ////, 07</v>
      </c>
    </row>
    <row r="1065" spans="1:1" x14ac:dyDescent="0.25">
      <c r="A1065" s="20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049, 19411130, 1, ////, 07</v>
      </c>
    </row>
    <row r="1066" spans="1:1" x14ac:dyDescent="0.25">
      <c r="A1066" s="20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049, 19411201, 1, ////, 07</v>
      </c>
    </row>
    <row r="1067" spans="1:1" x14ac:dyDescent="0.25">
      <c r="A1067" s="20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049, 19411202, 1, ////, 07</v>
      </c>
    </row>
    <row r="1068" spans="1:1" x14ac:dyDescent="0.25">
      <c r="A1068" s="20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049, 19411203, 1, ////, 07</v>
      </c>
    </row>
    <row r="1069" spans="1:1" x14ac:dyDescent="0.25">
      <c r="A1069" s="20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049, 19411204, 1, ////, 07</v>
      </c>
    </row>
    <row r="1070" spans="1:1" x14ac:dyDescent="0.25">
      <c r="A1070" s="20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049, 19411205, 1, ////, 07</v>
      </c>
    </row>
    <row r="1071" spans="1:1" x14ac:dyDescent="0.25">
      <c r="A1071" s="20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049, 19411206, 1, ////, 07</v>
      </c>
    </row>
    <row r="1072" spans="1:1" x14ac:dyDescent="0.25">
      <c r="A1072" s="20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049, 19411207, 1, ////, 07</v>
      </c>
    </row>
    <row r="1073" spans="1:1" x14ac:dyDescent="0.25">
      <c r="A1073" s="20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049, 19411208, 1, ////, 07</v>
      </c>
    </row>
    <row r="1074" spans="1:1" x14ac:dyDescent="0.25">
      <c r="A1074" s="20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049, 19411209, 1, ////, 07</v>
      </c>
    </row>
    <row r="1075" spans="1:1" x14ac:dyDescent="0.25">
      <c r="A1075" s="20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049, 19411210, 1, ////, 07</v>
      </c>
    </row>
    <row r="1076" spans="1:1" x14ac:dyDescent="0.25">
      <c r="A1076" s="20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049, 19411211, 1, ////, 07</v>
      </c>
    </row>
    <row r="1077" spans="1:1" x14ac:dyDescent="0.25">
      <c r="A1077" s="20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049, 19411212, 1, ////, 07</v>
      </c>
    </row>
    <row r="1078" spans="1:1" x14ac:dyDescent="0.25">
      <c r="A1078" s="20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049, 19411213, 1, ////, 07</v>
      </c>
    </row>
    <row r="1079" spans="1:1" x14ac:dyDescent="0.25">
      <c r="A1079" s="20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049, 19411214, 1, ////, 07</v>
      </c>
    </row>
    <row r="1080" spans="1:1" x14ac:dyDescent="0.25">
      <c r="A1080" s="20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049, 19411215, 1, ////, 07</v>
      </c>
    </row>
    <row r="1081" spans="1:1" x14ac:dyDescent="0.25">
      <c r="A1081" s="20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049, 19411216, 1, ////, 07</v>
      </c>
    </row>
    <row r="1082" spans="1:1" x14ac:dyDescent="0.25">
      <c r="A1082" s="20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049, 19411217, 1, ////, 07</v>
      </c>
    </row>
    <row r="1083" spans="1:1" x14ac:dyDescent="0.25">
      <c r="A1083" s="20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049, 19411218, 1, ////, 07</v>
      </c>
    </row>
    <row r="1084" spans="1:1" x14ac:dyDescent="0.25">
      <c r="A1084" s="20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049, 19411219, 1, ////, 07</v>
      </c>
    </row>
    <row r="1085" spans="1:1" x14ac:dyDescent="0.25">
      <c r="A1085" s="20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049, 19411220, 1, ////, 07</v>
      </c>
    </row>
    <row r="1086" spans="1:1" x14ac:dyDescent="0.25">
      <c r="A1086" s="20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049, 19411221, 1, ////, 07</v>
      </c>
    </row>
    <row r="1087" spans="1:1" x14ac:dyDescent="0.25">
      <c r="A1087" s="20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049, 19411222, 1, ////, 07</v>
      </c>
    </row>
    <row r="1088" spans="1:1" x14ac:dyDescent="0.25">
      <c r="A1088" s="20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049, 19411223, 1, ////, 07</v>
      </c>
    </row>
    <row r="1089" spans="1:1" x14ac:dyDescent="0.25">
      <c r="A1089" s="20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049, 19411224, 1, ////, 07</v>
      </c>
    </row>
    <row r="1090" spans="1:1" x14ac:dyDescent="0.25">
      <c r="A1090" s="20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049, 19411225, 1, ////, 07</v>
      </c>
    </row>
    <row r="1091" spans="1:1" x14ac:dyDescent="0.25">
      <c r="A1091" s="20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049, 19411226, 1, ////, 07</v>
      </c>
    </row>
    <row r="1092" spans="1:1" x14ac:dyDescent="0.25">
      <c r="A1092" s="20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049, 19411227, 1, ////, 07</v>
      </c>
    </row>
    <row r="1093" spans="1:1" x14ac:dyDescent="0.25">
      <c r="A1093" s="20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049, 19411228, 1, ////, 07</v>
      </c>
    </row>
    <row r="1094" spans="1:1" x14ac:dyDescent="0.25">
      <c r="A1094" s="20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049, 19411229, 1, ////, 07</v>
      </c>
    </row>
    <row r="1095" spans="1:1" x14ac:dyDescent="0.25">
      <c r="A1095" s="20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049, 19411230, 1, ////, 07</v>
      </c>
    </row>
    <row r="1096" spans="1:1" x14ac:dyDescent="0.25">
      <c r="A1096" s="20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049, 19411231,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0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0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044, 19410101, 08.00, 7625, 00,  264, 00</v>
      </c>
    </row>
    <row r="3" spans="1:1" x14ac:dyDescent="0.25">
      <c r="A3" s="20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044, 19410101, 15.00, 7603, 00,  281, 00</v>
      </c>
    </row>
    <row r="4" spans="1:1" x14ac:dyDescent="0.25">
      <c r="A4" s="20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044, 19410102, 08.00, 7625, 00,  267, 00</v>
      </c>
    </row>
    <row r="5" spans="1:1" x14ac:dyDescent="0.25">
      <c r="A5" s="20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044, 19410102, 15.00, 7601, 00,  281, 00</v>
      </c>
    </row>
    <row r="6" spans="1:1" x14ac:dyDescent="0.25">
      <c r="A6" s="20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044, 19410103, 08.00, 7628, 00,  267, 00</v>
      </c>
    </row>
    <row r="7" spans="1:1" x14ac:dyDescent="0.25">
      <c r="A7" s="20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044, 19410103, 15.00, 7603, 00,  283, 00</v>
      </c>
    </row>
    <row r="8" spans="1:1" x14ac:dyDescent="0.25">
      <c r="A8" s="20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044, 19410104, 08.00, 7627, 00,  269, 00</v>
      </c>
    </row>
    <row r="9" spans="1:1" x14ac:dyDescent="0.25">
      <c r="A9" s="20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044, 19410104, 15.00, 7611, 00,  281, 00</v>
      </c>
    </row>
    <row r="10" spans="1:1" x14ac:dyDescent="0.25">
      <c r="A10" s="20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044, 19410105, 08.00, 7623, 00,  267, 00</v>
      </c>
    </row>
    <row r="11" spans="1:1" x14ac:dyDescent="0.25">
      <c r="A11" s="20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044, 19410105, 15.00, 7606, 00,  283, 00</v>
      </c>
    </row>
    <row r="12" spans="1:1" x14ac:dyDescent="0.25">
      <c r="A12" s="20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044, 19410106, 08.00, 7625, 00,  269, 00</v>
      </c>
    </row>
    <row r="13" spans="1:1" x14ac:dyDescent="0.25">
      <c r="A13" s="20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044, 19410106, 15.00, 7608, 00,  286, 00</v>
      </c>
    </row>
    <row r="14" spans="1:1" x14ac:dyDescent="0.25">
      <c r="A14" s="20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044, 19410107, 08.00, 7630, 00,  267, 00</v>
      </c>
    </row>
    <row r="15" spans="1:1" x14ac:dyDescent="0.25">
      <c r="A15" s="20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044, 19410107, 15.00, 7610, 00,  283, 00</v>
      </c>
    </row>
    <row r="16" spans="1:1" x14ac:dyDescent="0.25">
      <c r="A16" s="20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044, 19410108, 08.00, 7625, 00,  267, 00</v>
      </c>
    </row>
    <row r="17" spans="1:1" x14ac:dyDescent="0.25">
      <c r="A17" s="20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044, 19410108, 15.00, 7608, 00,  286, 00</v>
      </c>
    </row>
    <row r="18" spans="1:1" x14ac:dyDescent="0.25">
      <c r="A18" s="20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044, 19410109, 08.00, 7633, 00,  267, 00</v>
      </c>
    </row>
    <row r="19" spans="1:1" x14ac:dyDescent="0.25">
      <c r="A19" s="20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044, 19410109, 15.00, 7615, 00,  283, 00</v>
      </c>
    </row>
    <row r="20" spans="1:1" x14ac:dyDescent="0.25">
      <c r="A20" s="20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044, 19410110, 08.00, 7635, 00,  267, 00</v>
      </c>
    </row>
    <row r="21" spans="1:1" x14ac:dyDescent="0.25">
      <c r="A21" s="20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044, 19410110, 15.00, 7613, 00,  281, 00</v>
      </c>
    </row>
    <row r="22" spans="1:1" x14ac:dyDescent="0.25">
      <c r="A22" s="20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044, 19410111, 08.00, 7615, 00,  267, 00</v>
      </c>
    </row>
    <row r="23" spans="1:1" x14ac:dyDescent="0.25">
      <c r="A23" s="20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044, 19410111, 15.00, 7593, 00,  281, 00</v>
      </c>
    </row>
    <row r="24" spans="1:1" x14ac:dyDescent="0.25">
      <c r="A24" s="20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044, 19410112, 08.00, 7625, 00,  267, 00</v>
      </c>
    </row>
    <row r="25" spans="1:1" x14ac:dyDescent="0.25">
      <c r="A25" s="20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044, 19410112, 15.00, 7598, 00,  278, 00</v>
      </c>
    </row>
    <row r="26" spans="1:1" x14ac:dyDescent="0.25">
      <c r="A26" s="20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044, 19410113, 08.00, 7612, 00,  269, 00</v>
      </c>
    </row>
    <row r="27" spans="1:1" x14ac:dyDescent="0.25">
      <c r="A27" s="20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044, 19410113, 15.00, 7588, 00,  278, 00</v>
      </c>
    </row>
    <row r="28" spans="1:1" x14ac:dyDescent="0.25">
      <c r="A28" s="20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044, 19410114, 08.00, 7608, 00,  261, 00</v>
      </c>
    </row>
    <row r="29" spans="1:1" x14ac:dyDescent="0.25">
      <c r="A29" s="20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044, 19410114, 15.00, 7588, 00,  283, 00</v>
      </c>
    </row>
    <row r="30" spans="1:1" x14ac:dyDescent="0.25">
      <c r="A30" s="20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044, 19410115, 08.00, 7605, 00,  267, 00</v>
      </c>
    </row>
    <row r="31" spans="1:1" x14ac:dyDescent="0.25">
      <c r="A31" s="20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044, 19410115, 15.00, 7583, 00,  283, 00</v>
      </c>
    </row>
    <row r="32" spans="1:1" x14ac:dyDescent="0.25">
      <c r="A32" s="20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044, 19410116, 08.00, 7612, 00,  267, 00</v>
      </c>
    </row>
    <row r="33" spans="1:1" x14ac:dyDescent="0.25">
      <c r="A33" s="20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044, 19410116, 15.00, 7591, 00,  278, 00</v>
      </c>
    </row>
    <row r="34" spans="1:1" x14ac:dyDescent="0.25">
      <c r="A34" s="20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044, 19410117, 08.00, 7610, 00,  267, 00</v>
      </c>
    </row>
    <row r="35" spans="1:1" x14ac:dyDescent="0.25">
      <c r="A35" s="20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044, 19410117, 15.00, 7590, 00,  283, 00</v>
      </c>
    </row>
    <row r="36" spans="1:1" x14ac:dyDescent="0.25">
      <c r="A36" s="20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044, 19410118, 08.00, 7605, 00,  267, 00</v>
      </c>
    </row>
    <row r="37" spans="1:1" x14ac:dyDescent="0.25">
      <c r="A37" s="20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044, 19410118, 15.00, 7583, 00,  281, 00</v>
      </c>
    </row>
    <row r="38" spans="1:1" x14ac:dyDescent="0.25">
      <c r="A38" s="20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044, 19410119, 08.00, 7614, 00,  272, 00</v>
      </c>
    </row>
    <row r="39" spans="1:1" x14ac:dyDescent="0.25">
      <c r="A39" s="20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044, 19410119, 15.00, 7593, 00,  283, 00</v>
      </c>
    </row>
    <row r="40" spans="1:1" x14ac:dyDescent="0.25">
      <c r="A40" s="20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044, 19410120, 08.00, 7617, 00,  269, 00</v>
      </c>
    </row>
    <row r="41" spans="1:1" x14ac:dyDescent="0.25">
      <c r="A41" s="20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044, 19410120, 15.00, 7590, 00,  283, 00</v>
      </c>
    </row>
    <row r="42" spans="1:1" x14ac:dyDescent="0.25">
      <c r="A42" s="20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044, 19410121, 08.00, 7614, 00,  269, 00</v>
      </c>
    </row>
    <row r="43" spans="1:1" x14ac:dyDescent="0.25">
      <c r="A43" s="20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044, 19410121, 15.00, 7598, 00,  283, 00</v>
      </c>
    </row>
    <row r="44" spans="1:1" x14ac:dyDescent="0.25">
      <c r="A44" s="20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044, 19410122, 08.00, 7612, 00,  269, 00</v>
      </c>
    </row>
    <row r="45" spans="1:1" x14ac:dyDescent="0.25">
      <c r="A45" s="20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044, 19410122, 15.00, 7590, 00,  286, 00</v>
      </c>
    </row>
    <row r="46" spans="1:1" x14ac:dyDescent="0.25">
      <c r="A46" s="20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044, 19410123, 08.00, 7625, 00,  269, 00</v>
      </c>
    </row>
    <row r="47" spans="1:1" x14ac:dyDescent="0.25">
      <c r="A47" s="20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044, 19410123, 15.00, 7605, 00,  286, 00</v>
      </c>
    </row>
    <row r="48" spans="1:1" x14ac:dyDescent="0.25">
      <c r="A48" s="20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044, 19410124, 08.00, 7619, 00,  269, 00</v>
      </c>
    </row>
    <row r="49" spans="1:1" x14ac:dyDescent="0.25">
      <c r="A49" s="20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044, 19410124, 15.00, 7606, 00,  283, 00</v>
      </c>
    </row>
    <row r="50" spans="1:1" x14ac:dyDescent="0.25">
      <c r="A50" s="20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044, 19410125, 08.00, 7623, 00,  267, 00</v>
      </c>
    </row>
    <row r="51" spans="1:1" x14ac:dyDescent="0.25">
      <c r="A51" s="20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044, 19410125, 15.00, 7603, 00,  278, 00</v>
      </c>
    </row>
    <row r="52" spans="1:1" x14ac:dyDescent="0.25">
      <c r="A52" s="20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044, 19410126, 08.00, 7628, 00,  267, 00</v>
      </c>
    </row>
    <row r="53" spans="1:1" x14ac:dyDescent="0.25">
      <c r="A53" s="20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044, 19410126, 15.00, 7609, 00,  278, 00</v>
      </c>
    </row>
    <row r="54" spans="1:1" x14ac:dyDescent="0.25">
      <c r="A54" s="20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044, 19410127, 08.00, 7625, 00,  269, 00</v>
      </c>
    </row>
    <row r="55" spans="1:1" x14ac:dyDescent="0.25">
      <c r="A55" s="20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044, 19410127, 15.00, 7603, 00,  283, 00</v>
      </c>
    </row>
    <row r="56" spans="1:1" x14ac:dyDescent="0.25">
      <c r="A56" s="20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044, 19410128, 08.00, 7620, 00,  264, 00</v>
      </c>
    </row>
    <row r="57" spans="1:1" x14ac:dyDescent="0.25">
      <c r="A57" s="20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044, 19410128, 15.00, 7596, 00,  278, 00</v>
      </c>
    </row>
    <row r="58" spans="1:1" x14ac:dyDescent="0.25">
      <c r="A58" s="20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044, 19410129, 08.00, 7620, 00,  267, 00</v>
      </c>
    </row>
    <row r="59" spans="1:1" x14ac:dyDescent="0.25">
      <c r="A59" s="20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044, 19410129, 15.00, 7597, 00,  286, 00</v>
      </c>
    </row>
    <row r="60" spans="1:1" x14ac:dyDescent="0.25">
      <c r="A60" s="20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044, 19410130, 08.00, 7628, 00,  267, 00</v>
      </c>
    </row>
    <row r="61" spans="1:1" x14ac:dyDescent="0.25">
      <c r="A61" s="20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044, 19410130, 15.00, 7606, 00,  278, 00</v>
      </c>
    </row>
    <row r="62" spans="1:1" x14ac:dyDescent="0.25">
      <c r="A62" s="20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044, 19410131, 08.00, 7617, 00,  267, 00</v>
      </c>
    </row>
    <row r="63" spans="1:1" x14ac:dyDescent="0.25">
      <c r="A63" s="20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044, 19410131, 15.00, 7603, 00,  283, 00</v>
      </c>
    </row>
    <row r="64" spans="1:1" x14ac:dyDescent="0.25">
      <c r="A64" s="20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044, 19410201, 08.00, 7615, 00,  267, 00</v>
      </c>
    </row>
    <row r="65" spans="1:1" x14ac:dyDescent="0.25">
      <c r="A65" s="20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044, 19410201, 15.00, 7596, 00,  278, 00</v>
      </c>
    </row>
    <row r="66" spans="1:1" x14ac:dyDescent="0.25">
      <c r="A66" s="20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044, 19410202, 08.00, 7615, 00,  267, 00</v>
      </c>
    </row>
    <row r="67" spans="1:1" x14ac:dyDescent="0.25">
      <c r="A67" s="20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044, 19410202, 15.00, 7598, 00,  283, 00</v>
      </c>
    </row>
    <row r="68" spans="1:1" x14ac:dyDescent="0.25">
      <c r="A68" s="20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044, 19410203, 08.00, 7619, 00,  269, 00</v>
      </c>
    </row>
    <row r="69" spans="1:1" x14ac:dyDescent="0.25">
      <c r="A69" s="20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044, 19410203, 15.00, 7600, 00,  283, 00</v>
      </c>
    </row>
    <row r="70" spans="1:1" x14ac:dyDescent="0.25">
      <c r="A70" s="20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044, 19410204, 08.00, 7617, 00,  267, 00</v>
      </c>
    </row>
    <row r="71" spans="1:1" x14ac:dyDescent="0.25">
      <c r="A71" s="20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044, 19410204, 15.00, 7598, 00,  281, 00</v>
      </c>
    </row>
    <row r="72" spans="1:1" x14ac:dyDescent="0.25">
      <c r="A72" s="20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044, 19410205, 08.00, 7614, 00,  272, 00</v>
      </c>
    </row>
    <row r="73" spans="1:1" x14ac:dyDescent="0.25">
      <c r="A73" s="20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044, 19410205, 15.00, 7597, 00,  286, 00</v>
      </c>
    </row>
    <row r="74" spans="1:1" x14ac:dyDescent="0.25">
      <c r="A74" s="20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044, 19410206, 08.00, 7620, 00,  267, 00</v>
      </c>
    </row>
    <row r="75" spans="1:1" x14ac:dyDescent="0.25">
      <c r="A75" s="20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044, 19410206, 15.00, 7598, 00,  286, 00</v>
      </c>
    </row>
    <row r="76" spans="1:1" x14ac:dyDescent="0.25">
      <c r="A76" s="20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044, 19410207, 08.00, 7627, 00,  272, 00</v>
      </c>
    </row>
    <row r="77" spans="1:1" x14ac:dyDescent="0.25">
      <c r="A77" s="20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044, 19410207, 15.00, 7610, 00,  286, 00</v>
      </c>
    </row>
    <row r="78" spans="1:1" x14ac:dyDescent="0.25">
      <c r="A78" s="20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044, 19410208, 08.00, 7617, 00,  272, 00</v>
      </c>
    </row>
    <row r="79" spans="1:1" x14ac:dyDescent="0.25">
      <c r="A79" s="20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044, 19410208, 15.00, 7600, 00,  289, 00</v>
      </c>
    </row>
    <row r="80" spans="1:1" x14ac:dyDescent="0.25">
      <c r="A80" s="20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044, 19410209, 08.00, 7612, 00,  269, 00</v>
      </c>
    </row>
    <row r="81" spans="1:1" x14ac:dyDescent="0.25">
      <c r="A81" s="20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044, 19410209, 15.00, 7598, 00,  283, 00</v>
      </c>
    </row>
    <row r="82" spans="1:1" x14ac:dyDescent="0.25">
      <c r="A82" s="20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044, 19410210, 08.00, 7612, 00,  272, 00</v>
      </c>
    </row>
    <row r="83" spans="1:1" x14ac:dyDescent="0.25">
      <c r="A83" s="20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044, 19410210, 15.00, 7597, 00,  289, 00</v>
      </c>
    </row>
    <row r="84" spans="1:1" x14ac:dyDescent="0.25">
      <c r="A84" s="20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044, 19410211, 08.00, 7617, 00,  269, 00</v>
      </c>
    </row>
    <row r="85" spans="1:1" x14ac:dyDescent="0.25">
      <c r="A85" s="20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044, 19410211, 15.00, 7590, 00,  286, 00</v>
      </c>
    </row>
    <row r="86" spans="1:1" x14ac:dyDescent="0.25">
      <c r="A86" s="20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044, 19410212, 08.00, 7612, 00,  267, 00</v>
      </c>
    </row>
    <row r="87" spans="1:1" x14ac:dyDescent="0.25">
      <c r="A87" s="20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044, 19410212, 15.00, 7595, 00,  289, 00</v>
      </c>
    </row>
    <row r="88" spans="1:1" x14ac:dyDescent="0.25">
      <c r="A88" s="20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044, 19410213, 08.00, 7600, 00,  267, 00</v>
      </c>
    </row>
    <row r="89" spans="1:1" x14ac:dyDescent="0.25">
      <c r="A89" s="20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044, 19410213, 15.00, 7575, 00,  286, 00</v>
      </c>
    </row>
    <row r="90" spans="1:1" x14ac:dyDescent="0.25">
      <c r="A90" s="20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044, 19410214, 08.00, 7612, 00,  269, 00</v>
      </c>
    </row>
    <row r="91" spans="1:1" x14ac:dyDescent="0.25">
      <c r="A91" s="20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044, 19410214, 15.00, 7587, 00,  289, 00</v>
      </c>
    </row>
    <row r="92" spans="1:1" x14ac:dyDescent="0.25">
      <c r="A92" s="20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044, 19410215, 08.00, 7614, 00,  269, 00</v>
      </c>
    </row>
    <row r="93" spans="1:1" x14ac:dyDescent="0.25">
      <c r="A93" s="20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044, 19410215, 15.00, 7593, 00,  283, 00</v>
      </c>
    </row>
    <row r="94" spans="1:1" x14ac:dyDescent="0.25">
      <c r="A94" s="20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044, 19410216, 08.00, 7602, 00,  269, 00</v>
      </c>
    </row>
    <row r="95" spans="1:1" x14ac:dyDescent="0.25">
      <c r="A95" s="20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044, 19410216, 15.00, 7585, 00,  283, 00</v>
      </c>
    </row>
    <row r="96" spans="1:1" x14ac:dyDescent="0.25">
      <c r="A96" s="20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044, 19410217, 08.00, 7612, 00,  267, 00</v>
      </c>
    </row>
    <row r="97" spans="1:1" x14ac:dyDescent="0.25">
      <c r="A97" s="20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044, 19410217, 15.00, 7591, 00,  278, 00</v>
      </c>
    </row>
    <row r="98" spans="1:1" x14ac:dyDescent="0.25">
      <c r="A98" s="20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044, 19410218, 08.00, 7615, 00,  264, 00</v>
      </c>
    </row>
    <row r="99" spans="1:1" x14ac:dyDescent="0.25">
      <c r="A99" s="20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044, 19410218, 15.00, 7588, 00,  278, 00</v>
      </c>
    </row>
    <row r="100" spans="1:1" x14ac:dyDescent="0.25">
      <c r="A100" s="20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044, 19410219, 08.00, 7590, 00,  264, 00</v>
      </c>
    </row>
    <row r="101" spans="1:1" x14ac:dyDescent="0.25">
      <c r="A101" s="20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044, 19410219, 15.00, 7570, 00,  281, 00</v>
      </c>
    </row>
    <row r="102" spans="1:1" x14ac:dyDescent="0.25">
      <c r="A102" s="20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044, 19410220, 08.00, 7615, 00,  264, 00</v>
      </c>
    </row>
    <row r="103" spans="1:1" x14ac:dyDescent="0.25">
      <c r="A103" s="20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044, 19410220, 15.00, 7588, 00,  278, 00</v>
      </c>
    </row>
    <row r="104" spans="1:1" x14ac:dyDescent="0.25">
      <c r="A104" s="20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044, 19410221, 08.00, 7630, 00,  269, 00</v>
      </c>
    </row>
    <row r="105" spans="1:1" x14ac:dyDescent="0.25">
      <c r="A105" s="20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044, 19410221, 15.00, 7610, 00,  286, 00</v>
      </c>
    </row>
    <row r="106" spans="1:1" x14ac:dyDescent="0.25">
      <c r="A106" s="20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044, 19410222, 08.00, 7615, 00,  267, 00</v>
      </c>
    </row>
    <row r="107" spans="1:1" x14ac:dyDescent="0.25">
      <c r="A107" s="20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044, 19410222, 15.00, 7597, 00,  289, 00</v>
      </c>
    </row>
    <row r="108" spans="1:1" x14ac:dyDescent="0.25">
      <c r="A108" s="20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044, 19410223, 08.00, 7628, 00,  267, 00</v>
      </c>
    </row>
    <row r="109" spans="1:1" x14ac:dyDescent="0.25">
      <c r="A109" s="20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044, 19410223, 15.00, 7598, 00,  283, 00</v>
      </c>
    </row>
    <row r="110" spans="1:1" x14ac:dyDescent="0.25">
      <c r="A110" s="20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044, 19410224, 08.00, 7625, 00,  269, 00</v>
      </c>
    </row>
    <row r="111" spans="1:1" x14ac:dyDescent="0.25">
      <c r="A111" s="20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044, 19410224, 15.00, 7605, 00,  286, 00</v>
      </c>
    </row>
    <row r="112" spans="1:1" x14ac:dyDescent="0.25">
      <c r="A112" s="20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044, 19410225, 08.00, 7593, 00,  264, 00</v>
      </c>
    </row>
    <row r="113" spans="1:1" x14ac:dyDescent="0.25">
      <c r="A113" s="20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044, 19410225, 15.00, 7575, 00,  283, 00</v>
      </c>
    </row>
    <row r="114" spans="1:1" x14ac:dyDescent="0.25">
      <c r="A114" s="20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044, 19410226, 08.00, 7612, 00,  269, 00</v>
      </c>
    </row>
    <row r="115" spans="1:1" x14ac:dyDescent="0.25">
      <c r="A115" s="20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044, 19410226, 15.00, 7590, 00,  283, 00</v>
      </c>
    </row>
    <row r="116" spans="1:1" x14ac:dyDescent="0.25">
      <c r="A116" s="20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044, 19410227, 08.00, 7620, 00,  267, 00</v>
      </c>
    </row>
    <row r="117" spans="1:1" x14ac:dyDescent="0.25">
      <c r="A117" s="20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044, 19410227, 15.00, 7601, 00,  281, 00</v>
      </c>
    </row>
    <row r="118" spans="1:1" x14ac:dyDescent="0.25">
      <c r="A118" s="20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044, 19410228, 08.00, 7615, 00,  264, 00</v>
      </c>
    </row>
    <row r="119" spans="1:1" x14ac:dyDescent="0.25">
      <c r="A119" s="20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044, 19410228, 15.00, 7593, 00,  281, 00</v>
      </c>
    </row>
    <row r="120" spans="1:1" x14ac:dyDescent="0.25">
      <c r="A120" s="20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044, 19410301, 08.00, 7618, 00,  261, 00</v>
      </c>
    </row>
    <row r="121" spans="1:1" x14ac:dyDescent="0.25">
      <c r="A121" s="20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044, 19410301, 15.00, 7603, 00,  283, 00</v>
      </c>
    </row>
    <row r="122" spans="1:1" x14ac:dyDescent="0.25">
      <c r="A122" s="20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044, 19410302, 08.00, 7617, 00,  267, 00</v>
      </c>
    </row>
    <row r="123" spans="1:1" x14ac:dyDescent="0.25">
      <c r="A123" s="20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044, 19410302, 15.00, 7600, 00,  286, 00</v>
      </c>
    </row>
    <row r="124" spans="1:1" x14ac:dyDescent="0.25">
      <c r="A124" s="20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044, 19410303, 08.00, 7598, 00,  261, 00</v>
      </c>
    </row>
    <row r="125" spans="1:1" x14ac:dyDescent="0.25">
      <c r="A125" s="20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044, 19410303, 15.00, 7581, 00,  275, 00</v>
      </c>
    </row>
    <row r="126" spans="1:1" x14ac:dyDescent="0.25">
      <c r="A126" s="20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044, 19410304, 08.00, 7608, 00,  267, 00</v>
      </c>
    </row>
    <row r="127" spans="1:1" x14ac:dyDescent="0.25">
      <c r="A127" s="20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044, 19410304, 15.00, 7585, 00,  283, 00</v>
      </c>
    </row>
    <row r="128" spans="1:1" x14ac:dyDescent="0.25">
      <c r="A128" s="20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044, 19410305, 08.00, 7597, 00,  269, 00</v>
      </c>
    </row>
    <row r="129" spans="1:1" x14ac:dyDescent="0.25">
      <c r="A129" s="20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044, 19410305, 15.00, 7565, 00,  283, 00</v>
      </c>
    </row>
    <row r="130" spans="1:1" x14ac:dyDescent="0.25">
      <c r="A130" s="20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044, 19410306, 08.00, 7610, 00,  264, 00</v>
      </c>
    </row>
    <row r="131" spans="1:1" x14ac:dyDescent="0.25">
      <c r="A131" s="20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044, 19410306, 15.00, 7588, 00,  281, 00</v>
      </c>
    </row>
    <row r="132" spans="1:1" x14ac:dyDescent="0.25">
      <c r="A132" s="20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044, 19410307, 08.00, 7578, 00,  278, 00</v>
      </c>
    </row>
    <row r="133" spans="1:1" x14ac:dyDescent="0.25">
      <c r="A133" s="20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044, 19410307, 15.00, 7551, 00,  297, 00</v>
      </c>
    </row>
    <row r="134" spans="1:1" x14ac:dyDescent="0.25">
      <c r="A134" s="20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044, 19410308, 08.00, 7586, 00,  272, 00</v>
      </c>
    </row>
    <row r="135" spans="1:1" x14ac:dyDescent="0.25">
      <c r="A135" s="20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044, 19410308, 15.00, 7557, 00,  292, 00</v>
      </c>
    </row>
    <row r="136" spans="1:1" x14ac:dyDescent="0.25">
      <c r="A136" s="20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044, 19410309, 08.00, 7597, 00,  272, 00</v>
      </c>
    </row>
    <row r="137" spans="1:1" x14ac:dyDescent="0.25">
      <c r="A137" s="20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044, 19410309, 15.00, 7581, 00,  294, 00</v>
      </c>
    </row>
    <row r="138" spans="1:1" x14ac:dyDescent="0.25">
      <c r="A138" s="20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044, 19410310, 08.00, 7591, 00,  278, 00</v>
      </c>
    </row>
    <row r="139" spans="1:1" x14ac:dyDescent="0.25">
      <c r="A139" s="20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044, 19410310, 15.00, 7572, 00,  289, 00</v>
      </c>
    </row>
    <row r="140" spans="1:1" x14ac:dyDescent="0.25">
      <c r="A140" s="20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044, 19410311, 08.00, 7597, 00,  272, 00</v>
      </c>
    </row>
    <row r="141" spans="1:1" x14ac:dyDescent="0.25">
      <c r="A141" s="20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044, 19410311, 15.00, 7581, 00,  294, 00</v>
      </c>
    </row>
    <row r="142" spans="1:1" x14ac:dyDescent="0.25">
      <c r="A142" s="20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044, 19410312, 08.00, 7612, 00,  272, 00</v>
      </c>
    </row>
    <row r="143" spans="1:1" x14ac:dyDescent="0.25">
      <c r="A143" s="20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044, 19410312, 15.00, 7592, 00,  292, 00</v>
      </c>
    </row>
    <row r="144" spans="1:1" x14ac:dyDescent="0.25">
      <c r="A144" s="20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044, 19410313, 08.00, 7611, 00,  275, 00</v>
      </c>
    </row>
    <row r="145" spans="1:1" x14ac:dyDescent="0.25">
      <c r="A145" s="20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044, 19410313, 15.00, 7590, 00,  286, 00</v>
      </c>
    </row>
    <row r="146" spans="1:1" x14ac:dyDescent="0.25">
      <c r="A146" s="20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044, 19410314, 08.00, 7608, 00,  267, 00</v>
      </c>
    </row>
    <row r="147" spans="1:1" x14ac:dyDescent="0.25">
      <c r="A147" s="20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044, 19410314, 15.00, 7600, 00,  286, 00</v>
      </c>
    </row>
    <row r="148" spans="1:1" x14ac:dyDescent="0.25">
      <c r="A148" s="20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044, 19410315, 08.00, 7616, 00,  278, 00</v>
      </c>
    </row>
    <row r="149" spans="1:1" x14ac:dyDescent="0.25">
      <c r="A149" s="20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044, 19410315, 15.00, 7592, 00,  289, 00</v>
      </c>
    </row>
    <row r="150" spans="1:1" x14ac:dyDescent="0.25">
      <c r="A150" s="20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044, 19410316, 08.00, 7619, 00,  275, 00</v>
      </c>
    </row>
    <row r="151" spans="1:1" x14ac:dyDescent="0.25">
      <c r="A151" s="20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044, 19410316, 15.00, 7604, 00,  294, 00</v>
      </c>
    </row>
    <row r="152" spans="1:1" x14ac:dyDescent="0.25">
      <c r="A152" s="20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044, 19410317, 08.00, 7615, 00,  267, 00</v>
      </c>
    </row>
    <row r="153" spans="1:1" x14ac:dyDescent="0.25">
      <c r="A153" s="20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044, 19410317, 15.00, 7602, 00,  289, 00</v>
      </c>
    </row>
    <row r="154" spans="1:1" x14ac:dyDescent="0.25">
      <c r="A154" s="20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044, 19410318, 08.00, 7611, 00,  275, 00</v>
      </c>
    </row>
    <row r="155" spans="1:1" x14ac:dyDescent="0.25">
      <c r="A155" s="20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044, 19410318, 15.00, 7582, 00,  289, 00</v>
      </c>
    </row>
    <row r="156" spans="1:1" x14ac:dyDescent="0.25">
      <c r="A156" s="20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044, 19410319, 08.00, 7622, 00,  275, 00</v>
      </c>
    </row>
    <row r="157" spans="1:1" x14ac:dyDescent="0.25">
      <c r="A157" s="20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044, 19410319, 15.00, 7599, 00,  294, 00</v>
      </c>
    </row>
    <row r="158" spans="1:1" x14ac:dyDescent="0.25">
      <c r="A158" s="20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044, 19410320, 08.00, 7601, 00,  275, 00</v>
      </c>
    </row>
    <row r="159" spans="1:1" x14ac:dyDescent="0.25">
      <c r="A159" s="20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044, 19410320, 15.00, 7586, 00,  294, 00</v>
      </c>
    </row>
    <row r="160" spans="1:1" x14ac:dyDescent="0.25">
      <c r="A160" s="20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044, 19410321, 08.00, 7604, 00,  275, 00</v>
      </c>
    </row>
    <row r="161" spans="1:1" x14ac:dyDescent="0.25">
      <c r="A161" s="20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044, 19410321, 15.00, 7586, 00,  294, 00</v>
      </c>
    </row>
    <row r="162" spans="1:1" x14ac:dyDescent="0.25">
      <c r="A162" s="20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044, 19410322, 08.00, 7594, 00,  275, 00</v>
      </c>
    </row>
    <row r="163" spans="1:1" x14ac:dyDescent="0.25">
      <c r="A163" s="20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044, 19410322, 15.00, 7574, 00,  292, 00</v>
      </c>
    </row>
    <row r="164" spans="1:1" x14ac:dyDescent="0.25">
      <c r="A164" s="20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044, 19410323, 08.00, 7598, 00,  278, 00</v>
      </c>
    </row>
    <row r="165" spans="1:1" x14ac:dyDescent="0.25">
      <c r="A165" s="20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044, 19410323, 15.00, 7581, 00,  294, 00</v>
      </c>
    </row>
    <row r="166" spans="1:1" x14ac:dyDescent="0.25">
      <c r="A166" s="20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044, 19410324, 08.00, 7617, 00,  272, 00</v>
      </c>
    </row>
    <row r="167" spans="1:1" x14ac:dyDescent="0.25">
      <c r="A167" s="20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044, 19410324, 15.00, 7596, 00,  294, 00</v>
      </c>
    </row>
    <row r="168" spans="1:1" x14ac:dyDescent="0.25">
      <c r="A168" s="20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044, 19410325, 08.00, 7609, 00,  275, 00</v>
      </c>
    </row>
    <row r="169" spans="1:1" x14ac:dyDescent="0.25">
      <c r="A169" s="20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044, 19410325, 15.00, 7589, 00,  292, 00</v>
      </c>
    </row>
    <row r="170" spans="1:1" x14ac:dyDescent="0.25">
      <c r="A170" s="20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044, 19410326, 08.00, 7624, 00,  275, 00</v>
      </c>
    </row>
    <row r="171" spans="1:1" x14ac:dyDescent="0.25">
      <c r="A171" s="20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044, 19410326, 15.00, 7607, 00,  289, 00</v>
      </c>
    </row>
    <row r="172" spans="1:1" x14ac:dyDescent="0.25">
      <c r="A172" s="20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044, 19410327, 08.00, 7622, 00,  275, 00</v>
      </c>
    </row>
    <row r="173" spans="1:1" x14ac:dyDescent="0.25">
      <c r="A173" s="20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044, 19410327, 15.00, 7600, 00,  289, 00</v>
      </c>
    </row>
    <row r="174" spans="1:1" x14ac:dyDescent="0.25">
      <c r="A174" s="20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044, 19410328, 08.00, 7627, 00,  272, 00</v>
      </c>
    </row>
    <row r="175" spans="1:1" x14ac:dyDescent="0.25">
      <c r="A175" s="20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044, 19410328, 15.00, 7604, 00,  294, 00</v>
      </c>
    </row>
    <row r="176" spans="1:1" x14ac:dyDescent="0.25">
      <c r="A176" s="20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044, 19410329, 08.00, 7622, 00,  275, 00</v>
      </c>
    </row>
    <row r="177" spans="1:1" x14ac:dyDescent="0.25">
      <c r="A177" s="20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044, 19410329, 15.00, 7602, 00,  289, 00</v>
      </c>
    </row>
    <row r="178" spans="1:1" x14ac:dyDescent="0.25">
      <c r="A178" s="20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044, 19410330, 08.00, 7622, 00,  272, 00</v>
      </c>
    </row>
    <row r="179" spans="1:1" x14ac:dyDescent="0.25">
      <c r="A179" s="20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044, 19410330, 15.00, 7607, 00,  294, 00</v>
      </c>
    </row>
    <row r="180" spans="1:1" x14ac:dyDescent="0.25">
      <c r="A180" s="20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044, 19410331, 08.00, 7619, 00,  275, 00</v>
      </c>
    </row>
    <row r="181" spans="1:1" x14ac:dyDescent="0.25">
      <c r="A181" s="20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044, 19410331, 15.00, 7601, 00,  294, 00</v>
      </c>
    </row>
    <row r="182" spans="1:1" x14ac:dyDescent="0.25">
      <c r="A182" s="20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044, 19410401, 08.00, 7616, 00,  275, 00</v>
      </c>
    </row>
    <row r="183" spans="1:1" x14ac:dyDescent="0.25">
      <c r="A183" s="20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044, 19410401, 15.00, 7594, 00,  292, 00</v>
      </c>
    </row>
    <row r="184" spans="1:1" x14ac:dyDescent="0.25">
      <c r="A184" s="20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044, 19410402, 08.00, 7624, 00,  275, 00</v>
      </c>
    </row>
    <row r="185" spans="1:1" x14ac:dyDescent="0.25">
      <c r="A185" s="20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044, 19410402, 15.00, 7595, 00,  286, 00</v>
      </c>
    </row>
    <row r="186" spans="1:1" x14ac:dyDescent="0.25">
      <c r="A186" s="20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044, 19410403, 08.00, 7613, 00,  278, 00</v>
      </c>
    </row>
    <row r="187" spans="1:1" x14ac:dyDescent="0.25">
      <c r="A187" s="20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044, 19410403, 15.00, 7594, 00,  294, 00</v>
      </c>
    </row>
    <row r="188" spans="1:1" x14ac:dyDescent="0.25">
      <c r="A188" s="20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044, 19410404, 08.00, 7613, 00,  278, 00</v>
      </c>
    </row>
    <row r="189" spans="1:1" x14ac:dyDescent="0.25">
      <c r="A189" s="20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044, 19410404, 15.00, 7592, 00,  292, 00</v>
      </c>
    </row>
    <row r="190" spans="1:1" x14ac:dyDescent="0.25">
      <c r="A190" s="20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044, 19410405, 08.00, 7616, 00,  275, 00</v>
      </c>
    </row>
    <row r="191" spans="1:1" x14ac:dyDescent="0.25">
      <c r="A191" s="20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044, 19410405, 15.00, 7599, 00,  294, 00</v>
      </c>
    </row>
    <row r="192" spans="1:1" x14ac:dyDescent="0.25">
      <c r="A192" s="20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044, 19410406, 08.00, 7624, 00,  278, 00</v>
      </c>
    </row>
    <row r="193" spans="1:1" x14ac:dyDescent="0.25">
      <c r="A193" s="20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044, 19410406, 15.00, 7601, 00,  294, 00</v>
      </c>
    </row>
    <row r="194" spans="1:1" x14ac:dyDescent="0.25">
      <c r="A194" s="20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044, 19410407, 08.00, 7617, 00,  272, 00</v>
      </c>
    </row>
    <row r="195" spans="1:1" x14ac:dyDescent="0.25">
      <c r="A195" s="20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044, 19410407, 15.00, 7596, 00,  294, 00</v>
      </c>
    </row>
    <row r="196" spans="1:1" x14ac:dyDescent="0.25">
      <c r="A196" s="20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044, 19410408, 08.00, 7614, 00,  275, 00</v>
      </c>
    </row>
    <row r="197" spans="1:1" x14ac:dyDescent="0.25">
      <c r="A197" s="20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044, 19410408, 15.00, 7597, 00,  292, 00</v>
      </c>
    </row>
    <row r="198" spans="1:1" x14ac:dyDescent="0.25">
      <c r="A198" s="20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044, 19410409, 08.00, 7619, 00,  272, 00</v>
      </c>
    </row>
    <row r="199" spans="1:1" x14ac:dyDescent="0.25">
      <c r="A199" s="20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044, 19410409, 15.00, 7597, 00,  292, 00</v>
      </c>
    </row>
    <row r="200" spans="1:1" x14ac:dyDescent="0.25">
      <c r="A200" s="20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044, 19410410, 08.00, 7611, 00,  275, 00</v>
      </c>
    </row>
    <row r="201" spans="1:1" x14ac:dyDescent="0.25">
      <c r="A201" s="20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044, 19410410, 15.00, 7596, 00,  294, 00</v>
      </c>
    </row>
    <row r="202" spans="1:1" x14ac:dyDescent="0.25">
      <c r="A202" s="20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044, 19410411, 08.00, 7614, 00,  275, 00</v>
      </c>
    </row>
    <row r="203" spans="1:1" x14ac:dyDescent="0.25">
      <c r="A203" s="20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044, 19410411, 15.00, 7595, 00,  286, 00</v>
      </c>
    </row>
    <row r="204" spans="1:1" x14ac:dyDescent="0.25">
      <c r="A204" s="20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044, 19410412, 08.00, 7611, 00,  275, 00</v>
      </c>
    </row>
    <row r="205" spans="1:1" x14ac:dyDescent="0.25">
      <c r="A205" s="20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044, 19410412, 15.00, 7592, 00,  286, 00</v>
      </c>
    </row>
    <row r="206" spans="1:1" x14ac:dyDescent="0.25">
      <c r="A206" s="20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044, 19410413, 08.00, 7614, 00,  275, 00</v>
      </c>
    </row>
    <row r="207" spans="1:1" x14ac:dyDescent="0.25">
      <c r="A207" s="20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044, 19410413, 15.00, 7595, 00,  286, 00</v>
      </c>
    </row>
    <row r="208" spans="1:1" x14ac:dyDescent="0.25">
      <c r="A208" s="20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044, 19410414, 08.00, 7609, 00,  272, 00</v>
      </c>
    </row>
    <row r="209" spans="1:1" x14ac:dyDescent="0.25">
      <c r="A209" s="20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044, 19410414, 15.00, 7594, 00,  294, 00</v>
      </c>
    </row>
    <row r="210" spans="1:1" x14ac:dyDescent="0.25">
      <c r="A210" s="20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044, 19410415, 08.00, 7611, 00,  278, 00</v>
      </c>
    </row>
    <row r="211" spans="1:1" x14ac:dyDescent="0.25">
      <c r="A211" s="20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044, 19410415, 15.00, 7592, 00,  292, 00</v>
      </c>
    </row>
    <row r="212" spans="1:1" x14ac:dyDescent="0.25">
      <c r="A212" s="20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044, 19410416, 08.00, 7603, 00,  278, 00</v>
      </c>
    </row>
    <row r="213" spans="1:1" x14ac:dyDescent="0.25">
      <c r="A213" s="20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044, 19410416, 15.00, 7586, 00,  294, 00</v>
      </c>
    </row>
    <row r="214" spans="1:1" x14ac:dyDescent="0.25">
      <c r="A214" s="20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044, 19410417, 08.00, 7613, 00,  278, 00</v>
      </c>
    </row>
    <row r="215" spans="1:1" x14ac:dyDescent="0.25">
      <c r="A215" s="20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044, 19410417, 15.00, 7592, 00,  292, 00</v>
      </c>
    </row>
    <row r="216" spans="1:1" x14ac:dyDescent="0.25">
      <c r="A216" s="20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044, 19410418, 08.00, 7603, 00,  278, 00</v>
      </c>
    </row>
    <row r="217" spans="1:1" x14ac:dyDescent="0.25">
      <c r="A217" s="20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044, 19410418, 15.00, 7584, 00,  292, 00</v>
      </c>
    </row>
    <row r="218" spans="1:1" x14ac:dyDescent="0.25">
      <c r="A218" s="20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044, 19410419, 08.00, 7598, 00,  281, 00</v>
      </c>
    </row>
    <row r="219" spans="1:1" x14ac:dyDescent="0.25">
      <c r="A219" s="20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044, 19410419, 15.00, 7574, 00,  292, 00</v>
      </c>
    </row>
    <row r="220" spans="1:1" x14ac:dyDescent="0.25">
      <c r="A220" s="20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044, 19410420, 08.00, 7606, 00,  283, 00</v>
      </c>
    </row>
    <row r="221" spans="1:1" x14ac:dyDescent="0.25">
      <c r="A221" s="20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044, 19410420, 15.00, 7581, 00,  300, 00</v>
      </c>
    </row>
    <row r="222" spans="1:1" x14ac:dyDescent="0.25">
      <c r="A222" s="20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044, 19410421, 08.00, 7613, 00,  283, 00</v>
      </c>
    </row>
    <row r="223" spans="1:1" x14ac:dyDescent="0.25">
      <c r="A223" s="20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044, 19410421, 15.00, 7594, 00,  297, 00</v>
      </c>
    </row>
    <row r="224" spans="1:1" x14ac:dyDescent="0.25">
      <c r="A224" s="20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044, 19410422, 08.00, 7602, 00,  286, 00</v>
      </c>
    </row>
    <row r="225" spans="1:1" x14ac:dyDescent="0.25">
      <c r="A225" s="20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044, 19410422, 15.00, 7585, 00,  306, 00</v>
      </c>
    </row>
    <row r="226" spans="1:1" x14ac:dyDescent="0.25">
      <c r="A226" s="20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044, 19410423, 08.00, 7597, 00,  286, 00</v>
      </c>
    </row>
    <row r="227" spans="1:1" x14ac:dyDescent="0.25">
      <c r="A227" s="20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044, 19410423, 15.00, 7573, 00,  303, 00</v>
      </c>
    </row>
    <row r="228" spans="1:1" x14ac:dyDescent="0.25">
      <c r="A228" s="20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044, 19410424, 08.00, 7615, 00,  283, 00</v>
      </c>
    </row>
    <row r="229" spans="1:1" x14ac:dyDescent="0.25">
      <c r="A229" s="20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044, 19410424, 15.00, 7591, 00,  294, 00</v>
      </c>
    </row>
    <row r="230" spans="1:1" x14ac:dyDescent="0.25">
      <c r="A230" s="20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044, 19410425, 08.00, 7600, 00,  286, 00</v>
      </c>
    </row>
    <row r="231" spans="1:1" x14ac:dyDescent="0.25">
      <c r="A231" s="20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044, 19410425, 15.00, 7588, 00,  300, 00</v>
      </c>
    </row>
    <row r="232" spans="1:1" x14ac:dyDescent="0.25">
      <c r="A232" s="20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044, 19410426, 08.00, 7615, 00,  283, 00</v>
      </c>
    </row>
    <row r="233" spans="1:1" x14ac:dyDescent="0.25">
      <c r="A233" s="20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044, 19410426, 15.00, 7591, 00,  294, 00</v>
      </c>
    </row>
    <row r="234" spans="1:1" x14ac:dyDescent="0.25">
      <c r="A234" s="20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044, 19410427, 08.00, 7613, 00,  281, 00</v>
      </c>
    </row>
    <row r="235" spans="1:1" x14ac:dyDescent="0.25">
      <c r="A235" s="20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044, 19410427, 15.00, 7588, 00,  303, 00</v>
      </c>
    </row>
    <row r="236" spans="1:1" x14ac:dyDescent="0.25">
      <c r="A236" s="20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044, 19410428, 08.00, 7606, 00,  283, 00</v>
      </c>
    </row>
    <row r="237" spans="1:1" x14ac:dyDescent="0.25">
      <c r="A237" s="20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044, 19410428, 15.00, 7583, 00,  300, 00</v>
      </c>
    </row>
    <row r="238" spans="1:1" x14ac:dyDescent="0.25">
      <c r="A238" s="20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044, 19410429, 08.00, 7608, 00,  283, 00</v>
      </c>
    </row>
    <row r="239" spans="1:1" x14ac:dyDescent="0.25">
      <c r="A239" s="20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044, 19410429, 15.00, 7583, 00,  297, 00</v>
      </c>
    </row>
    <row r="240" spans="1:1" x14ac:dyDescent="0.25">
      <c r="A240" s="20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044, 19410430, 08.00, 7608, 00,  281, 00</v>
      </c>
    </row>
    <row r="241" spans="1:1" x14ac:dyDescent="0.25">
      <c r="A241" s="20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044, 19410430, 15.00, 7586, 00,  300, 00</v>
      </c>
    </row>
    <row r="242" spans="1:1" x14ac:dyDescent="0.25">
      <c r="A242" s="20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044, 19410501, 08.00, 7598, 00,  283, 00</v>
      </c>
    </row>
    <row r="243" spans="1:1" x14ac:dyDescent="0.25">
      <c r="A243" s="20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044, 19410501, 15.00, 7593, 00,  303, 00</v>
      </c>
    </row>
    <row r="244" spans="1:1" x14ac:dyDescent="0.25">
      <c r="A244" s="20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044, 19410502, 08.00, 7597, 00,  292, 00</v>
      </c>
    </row>
    <row r="245" spans="1:1" x14ac:dyDescent="0.25">
      <c r="A245" s="20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044, 19410502, 15.00, 7587, 00,  308, 00</v>
      </c>
    </row>
    <row r="246" spans="1:1" x14ac:dyDescent="0.25">
      <c r="A246" s="20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044, 19410503, 08.00, 7607, 00,  294, 00</v>
      </c>
    </row>
    <row r="247" spans="1:1" x14ac:dyDescent="0.25">
      <c r="A247" s="20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044, 19410503, 15.00, 7595, 00,  306, 00</v>
      </c>
    </row>
    <row r="248" spans="1:1" x14ac:dyDescent="0.25">
      <c r="A248" s="20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044, 19410504, 08.00, 7615, 00,  289, 00</v>
      </c>
    </row>
    <row r="249" spans="1:1" x14ac:dyDescent="0.25">
      <c r="A249" s="20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044, 19410504, 15.00, 7598, 00,  303, 00</v>
      </c>
    </row>
    <row r="250" spans="1:1" x14ac:dyDescent="0.25">
      <c r="A250" s="20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044, 19410505, 08.00, 7612, 00,  286, 00</v>
      </c>
    </row>
    <row r="251" spans="1:1" x14ac:dyDescent="0.25">
      <c r="A251" s="20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044, 19410505, 15.00, 7591, 00,  300, 00</v>
      </c>
    </row>
    <row r="252" spans="1:1" x14ac:dyDescent="0.25">
      <c r="A252" s="20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044, 19410506, 08.00, 7607, 00,  289, 00</v>
      </c>
    </row>
    <row r="253" spans="1:1" x14ac:dyDescent="0.25">
      <c r="A253" s="20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044, 19410506, 15.00, 7588, 00,  303, 00</v>
      </c>
    </row>
    <row r="254" spans="1:1" x14ac:dyDescent="0.25">
      <c r="A254" s="20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044, 19410507, 08.00, 7610, 00,  289, 00</v>
      </c>
    </row>
    <row r="255" spans="1:1" x14ac:dyDescent="0.25">
      <c r="A255" s="20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044, 19410507, 15.00, 7585, 00,  303, 00</v>
      </c>
    </row>
    <row r="256" spans="1:1" x14ac:dyDescent="0.25">
      <c r="A256" s="20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044, 19410508, 08.00, 7612, 00,  289, 00</v>
      </c>
    </row>
    <row r="257" spans="1:1" x14ac:dyDescent="0.25">
      <c r="A257" s="20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044, 19410508, 15.00, 7588, 00,  300, 00</v>
      </c>
    </row>
    <row r="258" spans="1:1" x14ac:dyDescent="0.25">
      <c r="A258" s="20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044, 19410509, 08.00, 7617, 00,  289, 00</v>
      </c>
    </row>
    <row r="259" spans="1:1" x14ac:dyDescent="0.25">
      <c r="A259" s="20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044, 19410509, 15.00, 7596, 00,  300, 00</v>
      </c>
    </row>
    <row r="260" spans="1:1" x14ac:dyDescent="0.25">
      <c r="A260" s="20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044, 19410510, 08.00, 7615, 00,  289, 00</v>
      </c>
    </row>
    <row r="261" spans="1:1" x14ac:dyDescent="0.25">
      <c r="A261" s="20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044, 19410510, 15.00, 7590, 00,  303, 00</v>
      </c>
    </row>
    <row r="262" spans="1:1" x14ac:dyDescent="0.25">
      <c r="A262" s="20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044, 19410511, 08.00, 7612, 00,  292, 00</v>
      </c>
    </row>
    <row r="263" spans="1:1" x14ac:dyDescent="0.25">
      <c r="A263" s="20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044, 19410511, 15.00, 7590, 00,  306, 00</v>
      </c>
    </row>
    <row r="264" spans="1:1" x14ac:dyDescent="0.25">
      <c r="A264" s="20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044, 19410512, 08.00, 7611, 00,  294, 00</v>
      </c>
    </row>
    <row r="265" spans="1:1" x14ac:dyDescent="0.25">
      <c r="A265" s="20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044, 19410512, 15.00, 7587, 00,  306, 00</v>
      </c>
    </row>
    <row r="266" spans="1:1" x14ac:dyDescent="0.25">
      <c r="A266" s="20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044, 19410513, 08.00, 7612, 00,  289, 00</v>
      </c>
    </row>
    <row r="267" spans="1:1" x14ac:dyDescent="0.25">
      <c r="A267" s="20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044, 19410513, 15.00, 7593, 00,  306, 00</v>
      </c>
    </row>
    <row r="268" spans="1:1" x14ac:dyDescent="0.25">
      <c r="A268" s="20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044, 19410514, 08.00, 7604, 00,  294, 00</v>
      </c>
    </row>
    <row r="269" spans="1:1" x14ac:dyDescent="0.25">
      <c r="A269" s="20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044, 19410514, 15.00, 7582, 00,  308, 00</v>
      </c>
    </row>
    <row r="270" spans="1:1" x14ac:dyDescent="0.25">
      <c r="A270" s="20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044, 19410515, 08.00, 7601, 00,  294, 00</v>
      </c>
    </row>
    <row r="271" spans="1:1" x14ac:dyDescent="0.25">
      <c r="A271" s="20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044, 19410515, 15.00, 7577, 00,  306, 00</v>
      </c>
    </row>
    <row r="272" spans="1:1" x14ac:dyDescent="0.25">
      <c r="A272" s="20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044, 19410516, 08.00, 7596, 00,  294, 00</v>
      </c>
    </row>
    <row r="273" spans="1:1" x14ac:dyDescent="0.25">
      <c r="A273" s="20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044, 19410516, 15.00, 7582, 00,  311, 00</v>
      </c>
    </row>
    <row r="274" spans="1:1" x14ac:dyDescent="0.25">
      <c r="A274" s="20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044, 19410517, 08.00, 7524, 00,  306, 00</v>
      </c>
    </row>
    <row r="275" spans="1:1" x14ac:dyDescent="0.25">
      <c r="A275" s="20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044, 19410517, 15.00, 7503, 00,  311, 00</v>
      </c>
    </row>
    <row r="276" spans="1:1" x14ac:dyDescent="0.25">
      <c r="A276" s="20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044, 19410518, 08.00, 7528, 00,  300, 00</v>
      </c>
    </row>
    <row r="277" spans="1:1" x14ac:dyDescent="0.25">
      <c r="A277" s="20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044, 19410518, 15.00, 7511, 00,  311, 00</v>
      </c>
    </row>
    <row r="278" spans="1:1" x14ac:dyDescent="0.25">
      <c r="A278" s="20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044, 19410519, 08.00, 7538, 00,  297, 00</v>
      </c>
    </row>
    <row r="279" spans="1:1" x14ac:dyDescent="0.25">
      <c r="A279" s="20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044, 19410519, 15.00, 7519, 00,  303, 00</v>
      </c>
    </row>
    <row r="280" spans="1:1" x14ac:dyDescent="0.25">
      <c r="A280" s="20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044, 19410520, 08.00, 7525, 00,  300, 00</v>
      </c>
    </row>
    <row r="281" spans="1:1" x14ac:dyDescent="0.25">
      <c r="A281" s="20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044, 19410520, 15.00, 7513, 00,  311, 00</v>
      </c>
    </row>
    <row r="282" spans="1:1" x14ac:dyDescent="0.25">
      <c r="A282" s="20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044, 19410521, 08.00, 7522, 00,  300, 00</v>
      </c>
    </row>
    <row r="283" spans="1:1" x14ac:dyDescent="0.25">
      <c r="A283" s="20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044, 19410521, 15.00, 7511, 00,  311, 00</v>
      </c>
    </row>
    <row r="284" spans="1:1" x14ac:dyDescent="0.25">
      <c r="A284" s="20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044, 19410522, 08.00, 7523, 00,  297, 00</v>
      </c>
    </row>
    <row r="285" spans="1:1" x14ac:dyDescent="0.25">
      <c r="A285" s="20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044, 19410522, 15.00, 7519, 00,  303, 00</v>
      </c>
    </row>
    <row r="286" spans="1:1" x14ac:dyDescent="0.25">
      <c r="A286" s="20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044, 19410523, 08.00, 7518, 00,  294, 00</v>
      </c>
    </row>
    <row r="287" spans="1:1" x14ac:dyDescent="0.25">
      <c r="A287" s="20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044, 19410523, 15.00, 7505, 00,  300, 00</v>
      </c>
    </row>
    <row r="288" spans="1:1" x14ac:dyDescent="0.25">
      <c r="A288" s="20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044, 19410524, 08.00, 7518, 00,  294, 00</v>
      </c>
    </row>
    <row r="289" spans="1:1" x14ac:dyDescent="0.25">
      <c r="A289" s="20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044, 19410524, 15.00, 7501, 00,  311, 00</v>
      </c>
    </row>
    <row r="290" spans="1:1" x14ac:dyDescent="0.25">
      <c r="A290" s="20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044, 19410525, 08.00, 7525, 00,  300, 00</v>
      </c>
    </row>
    <row r="291" spans="1:1" x14ac:dyDescent="0.25">
      <c r="A291" s="20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044, 19410525, 15.00, 7513, 00,  311, 00</v>
      </c>
    </row>
    <row r="292" spans="1:1" x14ac:dyDescent="0.25">
      <c r="A292" s="20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044, 19410526, 08.00, 7515, 00,  300, 00</v>
      </c>
    </row>
    <row r="293" spans="1:1" x14ac:dyDescent="0.25">
      <c r="A293" s="20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044, 19410526, 15.00, 7518, 00,  311, 00</v>
      </c>
    </row>
    <row r="294" spans="1:1" x14ac:dyDescent="0.25">
      <c r="A294" s="20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044, 19410527, 08.00, 7535, 00,  297, 00</v>
      </c>
    </row>
    <row r="295" spans="1:1" x14ac:dyDescent="0.25">
      <c r="A295" s="20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044, 19410527, 15.00, 7519, 00,  306, 00</v>
      </c>
    </row>
    <row r="296" spans="1:1" x14ac:dyDescent="0.25">
      <c r="A296" s="20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044, 19410528, 08.00, 7541, 00,  294, 00</v>
      </c>
    </row>
    <row r="297" spans="1:1" x14ac:dyDescent="0.25">
      <c r="A297" s="20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044, 19410528, 15.00, 7527, 00,  306, 00</v>
      </c>
    </row>
    <row r="298" spans="1:1" x14ac:dyDescent="0.25">
      <c r="A298" s="20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044, 19410529, 08.00, 7530, 00,  300, 00</v>
      </c>
    </row>
    <row r="299" spans="1:1" x14ac:dyDescent="0.25">
      <c r="A299" s="20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044, 19410529, 15.00, 7520, 00,  300, 00</v>
      </c>
    </row>
    <row r="300" spans="1:1" x14ac:dyDescent="0.25">
      <c r="A300" s="20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044, 19410530, 08.00, 7528, 00,  294, 00</v>
      </c>
    </row>
    <row r="301" spans="1:1" x14ac:dyDescent="0.25">
      <c r="A301" s="20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044, 19410530, 15.00, 7517, 00,  306, 00</v>
      </c>
    </row>
    <row r="302" spans="1:1" x14ac:dyDescent="0.25">
      <c r="A302" s="20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044, 19410531, 08.00, 7528, 00,  294, 00</v>
      </c>
    </row>
    <row r="303" spans="1:1" x14ac:dyDescent="0.25">
      <c r="A303" s="20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044, 19410531, 15.00, 7516, 00,  311, 00</v>
      </c>
    </row>
    <row r="304" spans="1:1" x14ac:dyDescent="0.25">
      <c r="A304" s="20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19410601, 08.00, ////, 07, ////, 07</v>
      </c>
    </row>
    <row r="305" spans="1:1" x14ac:dyDescent="0.25">
      <c r="A305" s="20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19410601, 15.00, ////, 07, ////, 07</v>
      </c>
    </row>
    <row r="306" spans="1:1" x14ac:dyDescent="0.25">
      <c r="A306" s="20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19410602, 08.00, ////, 07, ////, 07</v>
      </c>
    </row>
    <row r="307" spans="1:1" x14ac:dyDescent="0.25">
      <c r="A307" s="20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19410602, 15.00, ////, 07, ////, 07</v>
      </c>
    </row>
    <row r="308" spans="1:1" x14ac:dyDescent="0.25">
      <c r="A308" s="20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19410603, 08.00, ////, 07, ////, 07</v>
      </c>
    </row>
    <row r="309" spans="1:1" x14ac:dyDescent="0.25">
      <c r="A309" s="20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19410603, 15.00, ////, 07, ////, 07</v>
      </c>
    </row>
    <row r="310" spans="1:1" x14ac:dyDescent="0.25">
      <c r="A310" s="20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19410604, 08.00, ////, 07, ////, 07</v>
      </c>
    </row>
    <row r="311" spans="1:1" x14ac:dyDescent="0.25">
      <c r="A311" s="20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19410604, 15.00, ////, 07, ////, 07</v>
      </c>
    </row>
    <row r="312" spans="1:1" x14ac:dyDescent="0.25">
      <c r="A312" s="20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19410605, 08.00, ////, 07, ////, 07</v>
      </c>
    </row>
    <row r="313" spans="1:1" x14ac:dyDescent="0.25">
      <c r="A313" s="20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19410605, 15.00, ////, 07, ////, 07</v>
      </c>
    </row>
    <row r="314" spans="1:1" x14ac:dyDescent="0.25">
      <c r="A314" s="20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19410606, 08.00, ////, 07, ////, 07</v>
      </c>
    </row>
    <row r="315" spans="1:1" x14ac:dyDescent="0.25">
      <c r="A315" s="20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19410606, 15.00, ////, 07, ////, 07</v>
      </c>
    </row>
    <row r="316" spans="1:1" x14ac:dyDescent="0.25">
      <c r="A316" s="20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19410607, 08.00, ////, 07, ////, 07</v>
      </c>
    </row>
    <row r="317" spans="1:1" x14ac:dyDescent="0.25">
      <c r="A317" s="20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19410607, 15.00, ////, 07, ////, 07</v>
      </c>
    </row>
    <row r="318" spans="1:1" x14ac:dyDescent="0.25">
      <c r="A318" s="20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19410608, 08.00, ////, 07, ////, 07</v>
      </c>
    </row>
    <row r="319" spans="1:1" x14ac:dyDescent="0.25">
      <c r="A319" s="20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19410608, 15.00, ////, 07, ////, 07</v>
      </c>
    </row>
    <row r="320" spans="1:1" x14ac:dyDescent="0.25">
      <c r="A320" s="20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19410609, 08.00, ////, 07, ////, 07</v>
      </c>
    </row>
    <row r="321" spans="1:1" x14ac:dyDescent="0.25">
      <c r="A321" s="20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19410609, 15.00, ////, 07, ////, 07</v>
      </c>
    </row>
    <row r="322" spans="1:1" x14ac:dyDescent="0.25">
      <c r="A322" s="20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19410610, 08.00, ////, 07, ////, 07</v>
      </c>
    </row>
    <row r="323" spans="1:1" x14ac:dyDescent="0.25">
      <c r="A323" s="20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19410610, 15.00, ////, 07, ////, 07</v>
      </c>
    </row>
    <row r="324" spans="1:1" x14ac:dyDescent="0.25">
      <c r="A324" s="20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19410611, 08.00, ////, 07, ////, 07</v>
      </c>
    </row>
    <row r="325" spans="1:1" x14ac:dyDescent="0.25">
      <c r="A325" s="20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19410611, 15.00, ////, 07, ////, 07</v>
      </c>
    </row>
    <row r="326" spans="1:1" x14ac:dyDescent="0.25">
      <c r="A326" s="20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19410612, 08.00, ////, 07, ////, 07</v>
      </c>
    </row>
    <row r="327" spans="1:1" x14ac:dyDescent="0.25">
      <c r="A327" s="20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19410612, 15.00, ////, 07, ////, 07</v>
      </c>
    </row>
    <row r="328" spans="1:1" x14ac:dyDescent="0.25">
      <c r="A328" s="20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19410613, 08.00, ////, 07, ////, 07</v>
      </c>
    </row>
    <row r="329" spans="1:1" x14ac:dyDescent="0.25">
      <c r="A329" s="20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19410613, 15.00, ////, 07, ////, 07</v>
      </c>
    </row>
    <row r="330" spans="1:1" x14ac:dyDescent="0.25">
      <c r="A330" s="20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19410614, 08.00, ////, 07, ////, 07</v>
      </c>
    </row>
    <row r="331" spans="1:1" x14ac:dyDescent="0.25">
      <c r="A331" s="20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19410614, 15.00, ////, 07, ////, 07</v>
      </c>
    </row>
    <row r="332" spans="1:1" x14ac:dyDescent="0.25">
      <c r="A332" s="20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19410615, 08.00, ////, 07, ////, 07</v>
      </c>
    </row>
    <row r="333" spans="1:1" x14ac:dyDescent="0.25">
      <c r="A333" s="20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19410615, 15.00, ////, 07, ////, 07</v>
      </c>
    </row>
    <row r="334" spans="1:1" x14ac:dyDescent="0.25">
      <c r="A334" s="20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19410616, 08.00, ////, 07, ////, 07</v>
      </c>
    </row>
    <row r="335" spans="1:1" x14ac:dyDescent="0.25">
      <c r="A335" s="20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19410616, 15.00, ////, 07, ////, 07</v>
      </c>
    </row>
    <row r="336" spans="1:1" x14ac:dyDescent="0.25">
      <c r="A336" s="20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19410617, 08.00, ////, 07, ////, 07</v>
      </c>
    </row>
    <row r="337" spans="1:1" x14ac:dyDescent="0.25">
      <c r="A337" s="20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19410617, 15.00, ////, 07, ////, 07</v>
      </c>
    </row>
    <row r="338" spans="1:1" x14ac:dyDescent="0.25">
      <c r="A338" s="20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19410618, 08.00, ////, 07, ////, 07</v>
      </c>
    </row>
    <row r="339" spans="1:1" x14ac:dyDescent="0.25">
      <c r="A339" s="20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19410618, 15.00, ////, 07, ////, 07</v>
      </c>
    </row>
    <row r="340" spans="1:1" x14ac:dyDescent="0.25">
      <c r="A340" s="20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19410619, 08.00, ////, 07, ////, 07</v>
      </c>
    </row>
    <row r="341" spans="1:1" x14ac:dyDescent="0.25">
      <c r="A341" s="20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19410619, 15.00, ////, 07, ////, 07</v>
      </c>
    </row>
    <row r="342" spans="1:1" x14ac:dyDescent="0.25">
      <c r="A342" s="20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19410620, 08.00, ////, 07, ////, 07</v>
      </c>
    </row>
    <row r="343" spans="1:1" x14ac:dyDescent="0.25">
      <c r="A343" s="20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19410620, 15.00, ////, 07, ////, 07</v>
      </c>
    </row>
    <row r="344" spans="1:1" x14ac:dyDescent="0.25">
      <c r="A344" s="20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19410621, 08.00, ////, 07, ////, 07</v>
      </c>
    </row>
    <row r="345" spans="1:1" x14ac:dyDescent="0.25">
      <c r="A345" s="20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19410621, 15.00, ////, 07, ////, 07</v>
      </c>
    </row>
    <row r="346" spans="1:1" x14ac:dyDescent="0.25">
      <c r="A346" s="20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19410622, 08.00, ////, 07, ////, 07</v>
      </c>
    </row>
    <row r="347" spans="1:1" x14ac:dyDescent="0.25">
      <c r="A347" s="20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19410622, 15.00, ////, 07, ////, 07</v>
      </c>
    </row>
    <row r="348" spans="1:1" x14ac:dyDescent="0.25">
      <c r="A348" s="20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19410623, 08.00, ////, 07, ////, 07</v>
      </c>
    </row>
    <row r="349" spans="1:1" x14ac:dyDescent="0.25">
      <c r="A349" s="20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19410623, 15.00, ////, 07, ////, 07</v>
      </c>
    </row>
    <row r="350" spans="1:1" x14ac:dyDescent="0.25">
      <c r="A350" s="20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19410624, 08.00, ////, 07, ////, 07</v>
      </c>
    </row>
    <row r="351" spans="1:1" x14ac:dyDescent="0.25">
      <c r="A351" s="20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19410624, 15.00, ////, 07, ////, 07</v>
      </c>
    </row>
    <row r="352" spans="1:1" x14ac:dyDescent="0.25">
      <c r="A352" s="20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19410625, 08.00, ////, 07, ////, 07</v>
      </c>
    </row>
    <row r="353" spans="1:1" x14ac:dyDescent="0.25">
      <c r="A353" s="20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19410625, 15.00, ////, 07, ////, 07</v>
      </c>
    </row>
    <row r="354" spans="1:1" x14ac:dyDescent="0.25">
      <c r="A354" s="20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19410626, 08.00, ////, 07, ////, 07</v>
      </c>
    </row>
    <row r="355" spans="1:1" x14ac:dyDescent="0.25">
      <c r="A355" s="20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19410626, 15.00, ////, 07, ////, 07</v>
      </c>
    </row>
    <row r="356" spans="1:1" x14ac:dyDescent="0.25">
      <c r="A356" s="20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19410627, 08.00, ////, 07, ////, 07</v>
      </c>
    </row>
    <row r="357" spans="1:1" x14ac:dyDescent="0.25">
      <c r="A357" s="20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19410627, 15.00, ////, 07, ////, 07</v>
      </c>
    </row>
    <row r="358" spans="1:1" x14ac:dyDescent="0.25">
      <c r="A358" s="20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19410628, 08.00, ////, 07, ////, 07</v>
      </c>
    </row>
    <row r="359" spans="1:1" x14ac:dyDescent="0.25">
      <c r="A359" s="20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19410628, 15.00, ////, 07, ////, 07</v>
      </c>
    </row>
    <row r="360" spans="1:1" x14ac:dyDescent="0.25">
      <c r="A360" s="20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19410629, 08.00, ////, 07, ////, 07</v>
      </c>
    </row>
    <row r="361" spans="1:1" x14ac:dyDescent="0.25">
      <c r="A361" s="20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19410629, 15.00, ////, 07, ////, 07</v>
      </c>
    </row>
    <row r="362" spans="1:1" x14ac:dyDescent="0.25">
      <c r="A362" s="20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19410630, 08.00, ////, 07, ////, 07</v>
      </c>
    </row>
    <row r="363" spans="1:1" x14ac:dyDescent="0.25">
      <c r="A363" s="20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19410630, 15.00, ////, 07, ////, 07</v>
      </c>
    </row>
    <row r="364" spans="1:1" x14ac:dyDescent="0.25">
      <c r="A364" s="20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19410701, 08.00, ////, 07, ////, 07</v>
      </c>
    </row>
    <row r="365" spans="1:1" x14ac:dyDescent="0.25">
      <c r="A365" s="20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19410701, 15.00, ////, 07, ////, 07</v>
      </c>
    </row>
    <row r="366" spans="1:1" x14ac:dyDescent="0.25">
      <c r="A366" s="20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19410702, 08.00, ////, 07, ////, 07</v>
      </c>
    </row>
    <row r="367" spans="1:1" x14ac:dyDescent="0.25">
      <c r="A367" s="20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19410702, 15.00, ////, 07, ////, 07</v>
      </c>
    </row>
    <row r="368" spans="1:1" x14ac:dyDescent="0.25">
      <c r="A368" s="20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19410703, 08.00, ////, 07, ////, 07</v>
      </c>
    </row>
    <row r="369" spans="1:1" x14ac:dyDescent="0.25">
      <c r="A369" s="20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19410703, 15.00, ////, 07, ////, 07</v>
      </c>
    </row>
    <row r="370" spans="1:1" x14ac:dyDescent="0.25">
      <c r="A370" s="20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19410704, 08.00, ////, 07, ////, 07</v>
      </c>
    </row>
    <row r="371" spans="1:1" x14ac:dyDescent="0.25">
      <c r="A371" s="20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19410704, 15.00, ////, 07, ////, 07</v>
      </c>
    </row>
    <row r="372" spans="1:1" x14ac:dyDescent="0.25">
      <c r="A372" s="20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19410705, 08.00, ////, 07, ////, 07</v>
      </c>
    </row>
    <row r="373" spans="1:1" x14ac:dyDescent="0.25">
      <c r="A373" s="20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19410705, 15.00, ////, 07, ////, 07</v>
      </c>
    </row>
    <row r="374" spans="1:1" x14ac:dyDescent="0.25">
      <c r="A374" s="20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19410706, 08.00, ////, 07, ////, 07</v>
      </c>
    </row>
    <row r="375" spans="1:1" x14ac:dyDescent="0.25">
      <c r="A375" s="20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19410706, 15.00, ////, 07, ////, 07</v>
      </c>
    </row>
    <row r="376" spans="1:1" x14ac:dyDescent="0.25">
      <c r="A376" s="20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19410707, 08.00, ////, 07, ////, 07</v>
      </c>
    </row>
    <row r="377" spans="1:1" x14ac:dyDescent="0.25">
      <c r="A377" s="20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19410707, 15.00, ////, 07, ////, 07</v>
      </c>
    </row>
    <row r="378" spans="1:1" x14ac:dyDescent="0.25">
      <c r="A378" s="20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19410708, 08.00, ////, 07, ////, 07</v>
      </c>
    </row>
    <row r="379" spans="1:1" x14ac:dyDescent="0.25">
      <c r="A379" s="20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19410708, 15.00, ////, 07, ////, 07</v>
      </c>
    </row>
    <row r="380" spans="1:1" x14ac:dyDescent="0.25">
      <c r="A380" s="20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19410709, 08.00, ////, 07, ////, 07</v>
      </c>
    </row>
    <row r="381" spans="1:1" x14ac:dyDescent="0.25">
      <c r="A381" s="20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19410709, 15.00, ////, 07, ////, 07</v>
      </c>
    </row>
    <row r="382" spans="1:1" x14ac:dyDescent="0.25">
      <c r="A382" s="20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19410710, 08.00, ////, 07, ////, 07</v>
      </c>
    </row>
    <row r="383" spans="1:1" x14ac:dyDescent="0.25">
      <c r="A383" s="20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19410710, 15.00, ////, 07, ////, 07</v>
      </c>
    </row>
    <row r="384" spans="1:1" x14ac:dyDescent="0.25">
      <c r="A384" s="20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19410711, 08.00, ////, 07, ////, 07</v>
      </c>
    </row>
    <row r="385" spans="1:1" x14ac:dyDescent="0.25">
      <c r="A385" s="20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19410711, 15.00, ////, 07, ////, 07</v>
      </c>
    </row>
    <row r="386" spans="1:1" x14ac:dyDescent="0.25">
      <c r="A386" s="20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19410712, 08.00, ////, 07, ////, 07</v>
      </c>
    </row>
    <row r="387" spans="1:1" x14ac:dyDescent="0.25">
      <c r="A387" s="20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19410712, 15.00, ////, 07, ////, 07</v>
      </c>
    </row>
    <row r="388" spans="1:1" x14ac:dyDescent="0.25">
      <c r="A388" s="20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19410713, 08.00, ////, 07, ////, 07</v>
      </c>
    </row>
    <row r="389" spans="1:1" x14ac:dyDescent="0.25">
      <c r="A389" s="20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19410713, 15.00, ////, 07, ////, 07</v>
      </c>
    </row>
    <row r="390" spans="1:1" x14ac:dyDescent="0.25">
      <c r="A390" s="20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19410714, 08.00, ////, 07, ////, 07</v>
      </c>
    </row>
    <row r="391" spans="1:1" x14ac:dyDescent="0.25">
      <c r="A391" s="20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19410714, 15.00, ////, 07, ////, 07</v>
      </c>
    </row>
    <row r="392" spans="1:1" x14ac:dyDescent="0.25">
      <c r="A392" s="20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19410715, 08.00, ////, 07, ////, 07</v>
      </c>
    </row>
    <row r="393" spans="1:1" x14ac:dyDescent="0.25">
      <c r="A393" s="20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19410715, 15.00, ////, 07, ////, 07</v>
      </c>
    </row>
    <row r="394" spans="1:1" x14ac:dyDescent="0.25">
      <c r="A394" s="20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19410716, 08.00, ////, 07, ////, 07</v>
      </c>
    </row>
    <row r="395" spans="1:1" x14ac:dyDescent="0.25">
      <c r="A395" s="20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19410716, 15.00, ////, 07, ////, 07</v>
      </c>
    </row>
    <row r="396" spans="1:1" x14ac:dyDescent="0.25">
      <c r="A396" s="20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19410717, 08.00, ////, 07, ////, 07</v>
      </c>
    </row>
    <row r="397" spans="1:1" x14ac:dyDescent="0.25">
      <c r="A397" s="20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19410717, 15.00, ////, 07, ////, 07</v>
      </c>
    </row>
    <row r="398" spans="1:1" x14ac:dyDescent="0.25">
      <c r="A398" s="20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19410718, 08.00, ////, 07, ////, 07</v>
      </c>
    </row>
    <row r="399" spans="1:1" x14ac:dyDescent="0.25">
      <c r="A399" s="20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19410718, 15.00, ////, 07, ////, 07</v>
      </c>
    </row>
    <row r="400" spans="1:1" x14ac:dyDescent="0.25">
      <c r="A400" s="20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19410719, 08.00, ////, 07, ////, 07</v>
      </c>
    </row>
    <row r="401" spans="1:1" x14ac:dyDescent="0.25">
      <c r="A401" s="20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19410719, 15.00, ////, 07, ////, 07</v>
      </c>
    </row>
    <row r="402" spans="1:1" x14ac:dyDescent="0.25">
      <c r="A402" s="20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19410720, 08.00, ////, 07, ////, 07</v>
      </c>
    </row>
    <row r="403" spans="1:1" x14ac:dyDescent="0.25">
      <c r="A403" s="20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19410720, 15.00, ////, 07, ////, 07</v>
      </c>
    </row>
    <row r="404" spans="1:1" x14ac:dyDescent="0.25">
      <c r="A404" s="20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19410721, 08.00, ////, 07, ////, 07</v>
      </c>
    </row>
    <row r="405" spans="1:1" x14ac:dyDescent="0.25">
      <c r="A405" s="20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19410721, 15.00, ////, 07, ////, 07</v>
      </c>
    </row>
    <row r="406" spans="1:1" x14ac:dyDescent="0.25">
      <c r="A406" s="20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19410722, 08.00, ////, 07, ////, 07</v>
      </c>
    </row>
    <row r="407" spans="1:1" x14ac:dyDescent="0.25">
      <c r="A407" s="20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19410722, 15.00, ////, 07, ////, 07</v>
      </c>
    </row>
    <row r="408" spans="1:1" x14ac:dyDescent="0.25">
      <c r="A408" s="20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19410723, 08.00, ////, 07, ////, 07</v>
      </c>
    </row>
    <row r="409" spans="1:1" x14ac:dyDescent="0.25">
      <c r="A409" s="20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19410723, 15.00, ////, 07, ////, 07</v>
      </c>
    </row>
    <row r="410" spans="1:1" x14ac:dyDescent="0.25">
      <c r="A410" s="20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19410724, 08.00, ////, 07, ////, 07</v>
      </c>
    </row>
    <row r="411" spans="1:1" x14ac:dyDescent="0.25">
      <c r="A411" s="20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19410724, 15.00, ////, 07, ////, 07</v>
      </c>
    </row>
    <row r="412" spans="1:1" x14ac:dyDescent="0.25">
      <c r="A412" s="20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19410725, 08.00, ////, 07, ////, 07</v>
      </c>
    </row>
    <row r="413" spans="1:1" x14ac:dyDescent="0.25">
      <c r="A413" s="20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19410725, 15.00, ////, 07, ////, 07</v>
      </c>
    </row>
    <row r="414" spans="1:1" x14ac:dyDescent="0.25">
      <c r="A414" s="20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19410726, 08.00, ////, 07, ////, 07</v>
      </c>
    </row>
    <row r="415" spans="1:1" x14ac:dyDescent="0.25">
      <c r="A415" s="20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19410726, 15.00, ////, 07, ////, 07</v>
      </c>
    </row>
    <row r="416" spans="1:1" x14ac:dyDescent="0.25">
      <c r="A416" s="20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19410727, 08.00, ////, 07, ////, 07</v>
      </c>
    </row>
    <row r="417" spans="1:1" x14ac:dyDescent="0.25">
      <c r="A417" s="20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19410727, 15.00, ////, 07, ////, 07</v>
      </c>
    </row>
    <row r="418" spans="1:1" x14ac:dyDescent="0.25">
      <c r="A418" s="20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19410728, 08.00, ////, 07, ////, 07</v>
      </c>
    </row>
    <row r="419" spans="1:1" x14ac:dyDescent="0.25">
      <c r="A419" s="20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19410728, 15.00, ////, 07, ////, 07</v>
      </c>
    </row>
    <row r="420" spans="1:1" x14ac:dyDescent="0.25">
      <c r="A420" s="20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19410729, 08.00, ////, 07, ////, 07</v>
      </c>
    </row>
    <row r="421" spans="1:1" x14ac:dyDescent="0.25">
      <c r="A421" s="20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19410729, 15.00, ////, 07, ////, 07</v>
      </c>
    </row>
    <row r="422" spans="1:1" x14ac:dyDescent="0.25">
      <c r="A422" s="20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19410730, 08.00, ////, 07, ////, 07</v>
      </c>
    </row>
    <row r="423" spans="1:1" x14ac:dyDescent="0.25">
      <c r="A423" s="20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19410730, 15.00, ////, 07, ////, 07</v>
      </c>
    </row>
    <row r="424" spans="1:1" x14ac:dyDescent="0.25">
      <c r="A424" s="20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19410731, 08.00, ////, 07, ////, 07</v>
      </c>
    </row>
    <row r="425" spans="1:1" x14ac:dyDescent="0.25">
      <c r="A425" s="20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19410731, 15.00, ////, 07, ////, 07</v>
      </c>
    </row>
    <row r="426" spans="1:1" x14ac:dyDescent="0.25">
      <c r="A426" s="20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19410801, 08.00, ////, 07, ////, 07</v>
      </c>
    </row>
    <row r="427" spans="1:1" x14ac:dyDescent="0.25">
      <c r="A427" s="20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19410801, 15.00, ////, 07, ////, 07</v>
      </c>
    </row>
    <row r="428" spans="1:1" x14ac:dyDescent="0.25">
      <c r="A428" s="20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19410802, 08.00, ////, 07, ////, 07</v>
      </c>
    </row>
    <row r="429" spans="1:1" x14ac:dyDescent="0.25">
      <c r="A429" s="20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19410802, 15.00, ////, 07, ////, 07</v>
      </c>
    </row>
    <row r="430" spans="1:1" x14ac:dyDescent="0.25">
      <c r="A430" s="20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19410803, 08.00, ////, 07, ////, 07</v>
      </c>
    </row>
    <row r="431" spans="1:1" x14ac:dyDescent="0.25">
      <c r="A431" s="20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19410803, 15.00, ////, 07, ////, 07</v>
      </c>
    </row>
    <row r="432" spans="1:1" x14ac:dyDescent="0.25">
      <c r="A432" s="20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19410804, 08.00, ////, 07, ////, 07</v>
      </c>
    </row>
    <row r="433" spans="1:1" x14ac:dyDescent="0.25">
      <c r="A433" s="20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19410804, 15.00, ////, 07, ////, 07</v>
      </c>
    </row>
    <row r="434" spans="1:1" x14ac:dyDescent="0.25">
      <c r="A434" s="20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19410805, 08.00, ////, 07, ////, 07</v>
      </c>
    </row>
    <row r="435" spans="1:1" x14ac:dyDescent="0.25">
      <c r="A435" s="20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19410805, 15.00, ////, 07, ////, 07</v>
      </c>
    </row>
    <row r="436" spans="1:1" x14ac:dyDescent="0.25">
      <c r="A436" s="20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19410806, 08.00, ////, 07, ////, 07</v>
      </c>
    </row>
    <row r="437" spans="1:1" x14ac:dyDescent="0.25">
      <c r="A437" s="20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19410806, 15.00, ////, 07, ////, 07</v>
      </c>
    </row>
    <row r="438" spans="1:1" x14ac:dyDescent="0.25">
      <c r="A438" s="20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19410807, 08.00, ////, 07, ////, 07</v>
      </c>
    </row>
    <row r="439" spans="1:1" x14ac:dyDescent="0.25">
      <c r="A439" s="20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19410807, 15.00, ////, 07, ////, 07</v>
      </c>
    </row>
    <row r="440" spans="1:1" x14ac:dyDescent="0.25">
      <c r="A440" s="20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19410808, 08.00, ////, 07, ////, 07</v>
      </c>
    </row>
    <row r="441" spans="1:1" x14ac:dyDescent="0.25">
      <c r="A441" s="20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19410808, 15.00, ////, 07, ////, 07</v>
      </c>
    </row>
    <row r="442" spans="1:1" x14ac:dyDescent="0.25">
      <c r="A442" s="20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19410809, 08.00, ////, 07, ////, 07</v>
      </c>
    </row>
    <row r="443" spans="1:1" x14ac:dyDescent="0.25">
      <c r="A443" s="20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19410809, 15.00, ////, 07, ////, 07</v>
      </c>
    </row>
    <row r="444" spans="1:1" x14ac:dyDescent="0.25">
      <c r="A444" s="20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19410810, 08.00, ////, 07, ////, 07</v>
      </c>
    </row>
    <row r="445" spans="1:1" x14ac:dyDescent="0.25">
      <c r="A445" s="20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19410810, 15.00, ////, 07, ////, 07</v>
      </c>
    </row>
    <row r="446" spans="1:1" x14ac:dyDescent="0.25">
      <c r="A446" s="20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19410811, 08.00, ////, 07, ////, 07</v>
      </c>
    </row>
    <row r="447" spans="1:1" x14ac:dyDescent="0.25">
      <c r="A447" s="20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19410811, 15.00, ////, 07, ////, 07</v>
      </c>
    </row>
    <row r="448" spans="1:1" x14ac:dyDescent="0.25">
      <c r="A448" s="20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19410812, 08.00, ////, 07, ////, 07</v>
      </c>
    </row>
    <row r="449" spans="1:1" x14ac:dyDescent="0.25">
      <c r="A449" s="20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19410812, 15.00, ////, 07, ////, 07</v>
      </c>
    </row>
    <row r="450" spans="1:1" x14ac:dyDescent="0.25">
      <c r="A450" s="20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19410813, 08.00, ////, 07, ////, 07</v>
      </c>
    </row>
    <row r="451" spans="1:1" x14ac:dyDescent="0.25">
      <c r="A451" s="20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19410813, 15.00, ////, 07, ////, 07</v>
      </c>
    </row>
    <row r="452" spans="1:1" x14ac:dyDescent="0.25">
      <c r="A452" s="20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19410814, 08.00, ////, 07, ////, 07</v>
      </c>
    </row>
    <row r="453" spans="1:1" x14ac:dyDescent="0.25">
      <c r="A453" s="20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19410814, 15.00, ////, 07, ////, 07</v>
      </c>
    </row>
    <row r="454" spans="1:1" x14ac:dyDescent="0.25">
      <c r="A454" s="20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19410815, 08.00, ////, 07, ////, 07</v>
      </c>
    </row>
    <row r="455" spans="1:1" x14ac:dyDescent="0.25">
      <c r="A455" s="20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19410815, 15.00, ////, 07, ////, 07</v>
      </c>
    </row>
    <row r="456" spans="1:1" x14ac:dyDescent="0.25">
      <c r="A456" s="20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19410816, 08.00, ////, 07, ////, 07</v>
      </c>
    </row>
    <row r="457" spans="1:1" x14ac:dyDescent="0.25">
      <c r="A457" s="20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19410816, 15.00, ////, 07, ////, 07</v>
      </c>
    </row>
    <row r="458" spans="1:1" x14ac:dyDescent="0.25">
      <c r="A458" s="20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19410817, 08.00, ////, 07, ////, 07</v>
      </c>
    </row>
    <row r="459" spans="1:1" x14ac:dyDescent="0.25">
      <c r="A459" s="20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19410817, 15.00, ////, 07, ////, 07</v>
      </c>
    </row>
    <row r="460" spans="1:1" x14ac:dyDescent="0.25">
      <c r="A460" s="20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19410818, 08.00, ////, 07, ////, 07</v>
      </c>
    </row>
    <row r="461" spans="1:1" x14ac:dyDescent="0.25">
      <c r="A461" s="20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19410818, 15.00, ////, 07, ////, 07</v>
      </c>
    </row>
    <row r="462" spans="1:1" x14ac:dyDescent="0.25">
      <c r="A462" s="20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19410819, 08.00, ////, 07, ////, 07</v>
      </c>
    </row>
    <row r="463" spans="1:1" x14ac:dyDescent="0.25">
      <c r="A463" s="20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19410819, 15.00, ////, 07, ////, 07</v>
      </c>
    </row>
    <row r="464" spans="1:1" x14ac:dyDescent="0.25">
      <c r="A464" s="20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19410820, 08.00, ////, 07, ////, 07</v>
      </c>
    </row>
    <row r="465" spans="1:1" x14ac:dyDescent="0.25">
      <c r="A465" s="20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19410820, 15.00, ////, 07, ////, 07</v>
      </c>
    </row>
    <row r="466" spans="1:1" x14ac:dyDescent="0.25">
      <c r="A466" s="20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19410821, 08.00, ////, 07, ////, 07</v>
      </c>
    </row>
    <row r="467" spans="1:1" x14ac:dyDescent="0.25">
      <c r="A467" s="20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19410821, 15.00, ////, 07, ////, 07</v>
      </c>
    </row>
    <row r="468" spans="1:1" x14ac:dyDescent="0.25">
      <c r="A468" s="20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19410822, 08.00, ////, 07, ////, 07</v>
      </c>
    </row>
    <row r="469" spans="1:1" x14ac:dyDescent="0.25">
      <c r="A469" s="20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19410822, 15.00, ////, 07, ////, 07</v>
      </c>
    </row>
    <row r="470" spans="1:1" x14ac:dyDescent="0.25">
      <c r="A470" s="20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19410823, 08.00, ////, 07, ////, 07</v>
      </c>
    </row>
    <row r="471" spans="1:1" x14ac:dyDescent="0.25">
      <c r="A471" s="20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19410823, 15.00, ////, 07, ////, 07</v>
      </c>
    </row>
    <row r="472" spans="1:1" x14ac:dyDescent="0.25">
      <c r="A472" s="20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19410824, 08.00, ////, 07, ////, 07</v>
      </c>
    </row>
    <row r="473" spans="1:1" x14ac:dyDescent="0.25">
      <c r="A473" s="20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19410824, 15.00, ////, 07, ////, 07</v>
      </c>
    </row>
    <row r="474" spans="1:1" x14ac:dyDescent="0.25">
      <c r="A474" s="20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19410825, 08.00, ////, 07, ////, 07</v>
      </c>
    </row>
    <row r="475" spans="1:1" x14ac:dyDescent="0.25">
      <c r="A475" s="20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19410825, 15.00, ////, 07, ////, 07</v>
      </c>
    </row>
    <row r="476" spans="1:1" x14ac:dyDescent="0.25">
      <c r="A476" s="20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19410826, 08.00, ////, 07, ////, 07</v>
      </c>
    </row>
    <row r="477" spans="1:1" x14ac:dyDescent="0.25">
      <c r="A477" s="20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19410826, 15.00, ////, 07, ////, 07</v>
      </c>
    </row>
    <row r="478" spans="1:1" x14ac:dyDescent="0.25">
      <c r="A478" s="20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19410827, 08.00, ////, 07, ////, 07</v>
      </c>
    </row>
    <row r="479" spans="1:1" x14ac:dyDescent="0.25">
      <c r="A479" s="20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19410827, 15.00, ////, 07, ////, 07</v>
      </c>
    </row>
    <row r="480" spans="1:1" x14ac:dyDescent="0.25">
      <c r="A480" s="20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19410828, 08.00, ////, 07, ////, 07</v>
      </c>
    </row>
    <row r="481" spans="1:1" x14ac:dyDescent="0.25">
      <c r="A481" s="20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19410828, 15.00, ////, 07, ////, 07</v>
      </c>
    </row>
    <row r="482" spans="1:1" x14ac:dyDescent="0.25">
      <c r="A482" s="20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19410829, 08.00, ////, 07, ////, 07</v>
      </c>
    </row>
    <row r="483" spans="1:1" x14ac:dyDescent="0.25">
      <c r="A483" s="20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19410829, 15.00, ////, 07, ////, 07</v>
      </c>
    </row>
    <row r="484" spans="1:1" x14ac:dyDescent="0.25">
      <c r="A484" s="20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19410830, 08.00, ////, 07, ////, 07</v>
      </c>
    </row>
    <row r="485" spans="1:1" x14ac:dyDescent="0.25">
      <c r="A485" s="20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19410830, 15.00, ////, 07, ////, 07</v>
      </c>
    </row>
    <row r="486" spans="1:1" x14ac:dyDescent="0.25">
      <c r="A486" s="20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19410831, 08.00, ////, 07, ////, 07</v>
      </c>
    </row>
    <row r="487" spans="1:1" x14ac:dyDescent="0.25">
      <c r="A487" s="20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19410831, 15.00, ////, 07, ////, 07</v>
      </c>
    </row>
    <row r="488" spans="1:1" x14ac:dyDescent="0.25">
      <c r="A488" s="20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19410901, 08.00, ////, 07, ////, 07</v>
      </c>
    </row>
    <row r="489" spans="1:1" x14ac:dyDescent="0.25">
      <c r="A489" s="20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19410901, 15.00, ////, 07, ////, 07</v>
      </c>
    </row>
    <row r="490" spans="1:1" x14ac:dyDescent="0.25">
      <c r="A490" s="20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19410902, 08.00, ////, 07, ////, 07</v>
      </c>
    </row>
    <row r="491" spans="1:1" x14ac:dyDescent="0.25">
      <c r="A491" s="20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19410902, 15.00, ////, 07, ////, 07</v>
      </c>
    </row>
    <row r="492" spans="1:1" x14ac:dyDescent="0.25">
      <c r="A492" s="20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19410903, 08.00, ////, 07, ////, 07</v>
      </c>
    </row>
    <row r="493" spans="1:1" x14ac:dyDescent="0.25">
      <c r="A493" s="20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19410903, 15.00, ////, 07, ////, 07</v>
      </c>
    </row>
    <row r="494" spans="1:1" x14ac:dyDescent="0.25">
      <c r="A494" s="20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19410904, 08.00, ////, 07, ////, 07</v>
      </c>
    </row>
    <row r="495" spans="1:1" x14ac:dyDescent="0.25">
      <c r="A495" s="20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19410904, 15.00, ////, 07, ////, 07</v>
      </c>
    </row>
    <row r="496" spans="1:1" x14ac:dyDescent="0.25">
      <c r="A496" s="20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19410905, 08.00, ////, 07, ////, 07</v>
      </c>
    </row>
    <row r="497" spans="1:1" x14ac:dyDescent="0.25">
      <c r="A497" s="20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19410905, 15.00, ////, 07, ////, 07</v>
      </c>
    </row>
    <row r="498" spans="1:1" x14ac:dyDescent="0.25">
      <c r="A498" s="20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19410906, 08.00, ////, 07, ////, 07</v>
      </c>
    </row>
    <row r="499" spans="1:1" x14ac:dyDescent="0.25">
      <c r="A499" s="20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19410906, 15.00, ////, 07, ////, 07</v>
      </c>
    </row>
    <row r="500" spans="1:1" x14ac:dyDescent="0.25">
      <c r="A500" s="20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19410907, 08.00, ////, 07, ////, 07</v>
      </c>
    </row>
    <row r="501" spans="1:1" x14ac:dyDescent="0.25">
      <c r="A501" s="20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19410907, 15.00, ////, 07, ////, 07</v>
      </c>
    </row>
    <row r="502" spans="1:1" x14ac:dyDescent="0.25">
      <c r="A502" s="20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19410908, 08.00, ////, 07, ////, 07</v>
      </c>
    </row>
    <row r="503" spans="1:1" x14ac:dyDescent="0.25">
      <c r="A503" s="20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19410908, 15.00, ////, 07, ////, 07</v>
      </c>
    </row>
    <row r="504" spans="1:1" x14ac:dyDescent="0.25">
      <c r="A504" s="20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19410909, 08.00, ////, 07, ////, 07</v>
      </c>
    </row>
    <row r="505" spans="1:1" x14ac:dyDescent="0.25">
      <c r="A505" s="20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19410909, 15.00, ////, 07, ////, 07</v>
      </c>
    </row>
    <row r="506" spans="1:1" x14ac:dyDescent="0.25">
      <c r="A506" s="20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19410910, 08.00, ////, 07, ////, 07</v>
      </c>
    </row>
    <row r="507" spans="1:1" x14ac:dyDescent="0.25">
      <c r="A507" s="20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19410910, 15.00, ////, 07, ////, 07</v>
      </c>
    </row>
    <row r="508" spans="1:1" x14ac:dyDescent="0.25">
      <c r="A508" s="20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19410911, 08.00, ////, 07, ////, 07</v>
      </c>
    </row>
    <row r="509" spans="1:1" x14ac:dyDescent="0.25">
      <c r="A509" s="20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19410911, 15.00, ////, 07, ////, 07</v>
      </c>
    </row>
    <row r="510" spans="1:1" x14ac:dyDescent="0.25">
      <c r="A510" s="20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19410912, 08.00, ////, 07, ////, 07</v>
      </c>
    </row>
    <row r="511" spans="1:1" x14ac:dyDescent="0.25">
      <c r="A511" s="20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19410912, 15.00, ////, 07, ////, 07</v>
      </c>
    </row>
    <row r="512" spans="1:1" x14ac:dyDescent="0.25">
      <c r="A512" s="20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19410913, 08.00, ////, 07, ////, 07</v>
      </c>
    </row>
    <row r="513" spans="1:1" x14ac:dyDescent="0.25">
      <c r="A513" s="20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19410913, 15.00, ////, 07, ////, 07</v>
      </c>
    </row>
    <row r="514" spans="1:1" x14ac:dyDescent="0.25">
      <c r="A514" s="20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19410914, 08.00, ////, 07, ////, 07</v>
      </c>
    </row>
    <row r="515" spans="1:1" x14ac:dyDescent="0.25">
      <c r="A515" s="20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19410914, 15.00, ////, 07, ////, 07</v>
      </c>
    </row>
    <row r="516" spans="1:1" x14ac:dyDescent="0.25">
      <c r="A516" s="20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19410915, 08.00, ////, 07, ////, 07</v>
      </c>
    </row>
    <row r="517" spans="1:1" x14ac:dyDescent="0.25">
      <c r="A517" s="20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19410915, 15.00, ////, 07, ////, 07</v>
      </c>
    </row>
    <row r="518" spans="1:1" x14ac:dyDescent="0.25">
      <c r="A518" s="20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19410916, 08.00, ////, 07, ////, 07</v>
      </c>
    </row>
    <row r="519" spans="1:1" x14ac:dyDescent="0.25">
      <c r="A519" s="20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19410916, 15.00, ////, 07, ////, 07</v>
      </c>
    </row>
    <row r="520" spans="1:1" x14ac:dyDescent="0.25">
      <c r="A520" s="20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19410917, 08.00, ////, 07, ////, 07</v>
      </c>
    </row>
    <row r="521" spans="1:1" x14ac:dyDescent="0.25">
      <c r="A521" s="20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19410917, 15.00, ////, 07, ////, 07</v>
      </c>
    </row>
    <row r="522" spans="1:1" x14ac:dyDescent="0.25">
      <c r="A522" s="20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19410918, 08.00, ////, 07, ////, 07</v>
      </c>
    </row>
    <row r="523" spans="1:1" x14ac:dyDescent="0.25">
      <c r="A523" s="20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19410918, 15.00, ////, 07, ////, 07</v>
      </c>
    </row>
    <row r="524" spans="1:1" x14ac:dyDescent="0.25">
      <c r="A524" s="20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19410919, 08.00, ////, 07, ////, 07</v>
      </c>
    </row>
    <row r="525" spans="1:1" x14ac:dyDescent="0.25">
      <c r="A525" s="20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19410919, 15.00, ////, 07, ////, 07</v>
      </c>
    </row>
    <row r="526" spans="1:1" x14ac:dyDescent="0.25">
      <c r="A526" s="20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19410920, 08.00, ////, 07, ////, 07</v>
      </c>
    </row>
    <row r="527" spans="1:1" x14ac:dyDescent="0.25">
      <c r="A527" s="20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19410920, 15.00, ////, 07, ////, 07</v>
      </c>
    </row>
    <row r="528" spans="1:1" x14ac:dyDescent="0.25">
      <c r="A528" s="20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19410921, 08.00, ////, 07, ////, 07</v>
      </c>
    </row>
    <row r="529" spans="1:1" x14ac:dyDescent="0.25">
      <c r="A529" s="20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19410921, 15.00, ////, 07, ////, 07</v>
      </c>
    </row>
    <row r="530" spans="1:1" x14ac:dyDescent="0.25">
      <c r="A530" s="20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19410922, 08.00, ////, 07, ////, 07</v>
      </c>
    </row>
    <row r="531" spans="1:1" x14ac:dyDescent="0.25">
      <c r="A531" s="20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19410922, 15.00, ////, 07, ////, 07</v>
      </c>
    </row>
    <row r="532" spans="1:1" x14ac:dyDescent="0.25">
      <c r="A532" s="20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19410923, 08.00, ////, 07, ////, 07</v>
      </c>
    </row>
    <row r="533" spans="1:1" x14ac:dyDescent="0.25">
      <c r="A533" s="20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19410923, 15.00, ////, 07, ////, 07</v>
      </c>
    </row>
    <row r="534" spans="1:1" x14ac:dyDescent="0.25">
      <c r="A534" s="20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19410924, 08.00, ////, 07, ////, 07</v>
      </c>
    </row>
    <row r="535" spans="1:1" x14ac:dyDescent="0.25">
      <c r="A535" s="20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19410924, 15.00, ////, 07, ////, 07</v>
      </c>
    </row>
    <row r="536" spans="1:1" x14ac:dyDescent="0.25">
      <c r="A536" s="20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19410925, 08.00, ////, 07, ////, 07</v>
      </c>
    </row>
    <row r="537" spans="1:1" x14ac:dyDescent="0.25">
      <c r="A537" s="20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19410925, 15.00, ////, 07, ////, 07</v>
      </c>
    </row>
    <row r="538" spans="1:1" x14ac:dyDescent="0.25">
      <c r="A538" s="20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19410926, 08.00, ////, 07, ////, 07</v>
      </c>
    </row>
    <row r="539" spans="1:1" x14ac:dyDescent="0.25">
      <c r="A539" s="20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19410926, 15.00, ////, 07, ////, 07</v>
      </c>
    </row>
    <row r="540" spans="1:1" x14ac:dyDescent="0.25">
      <c r="A540" s="20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19410927, 08.00, ////, 07, ////, 07</v>
      </c>
    </row>
    <row r="541" spans="1:1" x14ac:dyDescent="0.25">
      <c r="A541" s="20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19410927, 15.00, ////, 07, ////, 07</v>
      </c>
    </row>
    <row r="542" spans="1:1" x14ac:dyDescent="0.25">
      <c r="A542" s="20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19410928, 08.00, ////, 07, ////, 07</v>
      </c>
    </row>
    <row r="543" spans="1:1" x14ac:dyDescent="0.25">
      <c r="A543" s="20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19410928, 15.00, ////, 07, ////, 07</v>
      </c>
    </row>
    <row r="544" spans="1:1" x14ac:dyDescent="0.25">
      <c r="A544" s="20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19410929, 08.00, ////, 07, ////, 07</v>
      </c>
    </row>
    <row r="545" spans="1:1" x14ac:dyDescent="0.25">
      <c r="A545" s="20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19410929, 15.00, ////, 07, ////, 07</v>
      </c>
    </row>
    <row r="546" spans="1:1" x14ac:dyDescent="0.25">
      <c r="A546" s="20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19410930, 08.00, ////, 07, ////, 07</v>
      </c>
    </row>
    <row r="547" spans="1:1" x14ac:dyDescent="0.25">
      <c r="A547" s="20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19410930, 15.00, ////, 07, ////, 07</v>
      </c>
    </row>
    <row r="548" spans="1:1" x14ac:dyDescent="0.25">
      <c r="A548" s="20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19411001, 08.00, ////, 07, ////, 07</v>
      </c>
    </row>
    <row r="549" spans="1:1" x14ac:dyDescent="0.25">
      <c r="A549" s="20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19411001, 15.00, ////, 07, ////, 07</v>
      </c>
    </row>
    <row r="550" spans="1:1" x14ac:dyDescent="0.25">
      <c r="A550" s="20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19411002, 08.00, ////, 07, ////, 07</v>
      </c>
    </row>
    <row r="551" spans="1:1" x14ac:dyDescent="0.25">
      <c r="A551" s="20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19411002, 15.00, ////, 07, ////, 07</v>
      </c>
    </row>
    <row r="552" spans="1:1" x14ac:dyDescent="0.25">
      <c r="A552" s="20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19411003, 08.00, ////, 07, ////, 07</v>
      </c>
    </row>
    <row r="553" spans="1:1" x14ac:dyDescent="0.25">
      <c r="A553" s="20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19411003, 15.00, ////, 07, ////, 07</v>
      </c>
    </row>
    <row r="554" spans="1:1" x14ac:dyDescent="0.25">
      <c r="A554" s="20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19411004, 08.00, ////, 07, ////, 07</v>
      </c>
    </row>
    <row r="555" spans="1:1" x14ac:dyDescent="0.25">
      <c r="A555" s="20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19411004, 15.00, ////, 07, ////, 07</v>
      </c>
    </row>
    <row r="556" spans="1:1" x14ac:dyDescent="0.25">
      <c r="A556" s="20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19411005, 08.00, ////, 07, ////, 07</v>
      </c>
    </row>
    <row r="557" spans="1:1" x14ac:dyDescent="0.25">
      <c r="A557" s="20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19411005, 15.00, ////, 07, ////, 07</v>
      </c>
    </row>
    <row r="558" spans="1:1" x14ac:dyDescent="0.25">
      <c r="A558" s="20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19411006, 08.00, ////, 07, ////, 07</v>
      </c>
    </row>
    <row r="559" spans="1:1" x14ac:dyDescent="0.25">
      <c r="A559" s="20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19411006, 15.00, ////, 07, ////, 07</v>
      </c>
    </row>
    <row r="560" spans="1:1" x14ac:dyDescent="0.25">
      <c r="A560" s="20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19411007, 08.00, ////, 07, ////, 07</v>
      </c>
    </row>
    <row r="561" spans="1:1" x14ac:dyDescent="0.25">
      <c r="A561" s="20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19411007, 15.00, ////, 07, ////, 07</v>
      </c>
    </row>
    <row r="562" spans="1:1" x14ac:dyDescent="0.25">
      <c r="A562" s="20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19411008, 08.00, ////, 07, ////, 07</v>
      </c>
    </row>
    <row r="563" spans="1:1" x14ac:dyDescent="0.25">
      <c r="A563" s="20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19411008, 15.00, ////, 07, ////, 07</v>
      </c>
    </row>
    <row r="564" spans="1:1" x14ac:dyDescent="0.25">
      <c r="A564" s="20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19411009, 08.00, ////, 07, ////, 07</v>
      </c>
    </row>
    <row r="565" spans="1:1" x14ac:dyDescent="0.25">
      <c r="A565" s="20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19411009, 15.00, ////, 07, ////, 07</v>
      </c>
    </row>
    <row r="566" spans="1:1" x14ac:dyDescent="0.25">
      <c r="A566" s="20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19411010, 08.00, ////, 07, ////, 07</v>
      </c>
    </row>
    <row r="567" spans="1:1" x14ac:dyDescent="0.25">
      <c r="A567" s="20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19411010, 15.00, ////, 07, ////, 07</v>
      </c>
    </row>
    <row r="568" spans="1:1" x14ac:dyDescent="0.25">
      <c r="A568" s="20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19411011, 08.00, ////, 07, ////, 07</v>
      </c>
    </row>
    <row r="569" spans="1:1" x14ac:dyDescent="0.25">
      <c r="A569" s="20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19411011, 15.00, ////, 07, ////, 07</v>
      </c>
    </row>
    <row r="570" spans="1:1" x14ac:dyDescent="0.25">
      <c r="A570" s="20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19411012, 08.00, ////, 07, ////, 07</v>
      </c>
    </row>
    <row r="571" spans="1:1" x14ac:dyDescent="0.25">
      <c r="A571" s="20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19411012, 15.00, ////, 07, ////, 07</v>
      </c>
    </row>
    <row r="572" spans="1:1" x14ac:dyDescent="0.25">
      <c r="A572" s="20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19411013, 08.00, ////, 07, ////, 07</v>
      </c>
    </row>
    <row r="573" spans="1:1" x14ac:dyDescent="0.25">
      <c r="A573" s="20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19411013, 15.00, ////, 07, ////, 07</v>
      </c>
    </row>
    <row r="574" spans="1:1" x14ac:dyDescent="0.25">
      <c r="A574" s="20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19411014, 08.00, ////, 07, ////, 07</v>
      </c>
    </row>
    <row r="575" spans="1:1" x14ac:dyDescent="0.25">
      <c r="A575" s="20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19411014, 15.00, ////, 07, ////, 07</v>
      </c>
    </row>
    <row r="576" spans="1:1" x14ac:dyDescent="0.25">
      <c r="A576" s="20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19411015, 08.00, ////, 07, ////, 07</v>
      </c>
    </row>
    <row r="577" spans="1:1" x14ac:dyDescent="0.25">
      <c r="A577" s="20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19411015, 15.00, ////, 07, ////, 07</v>
      </c>
    </row>
    <row r="578" spans="1:1" x14ac:dyDescent="0.25">
      <c r="A578" s="20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19411016, 08.00, ////, 07, ////, 07</v>
      </c>
    </row>
    <row r="579" spans="1:1" x14ac:dyDescent="0.25">
      <c r="A579" s="20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19411016, 15.00, ////, 07, ////, 07</v>
      </c>
    </row>
    <row r="580" spans="1:1" x14ac:dyDescent="0.25">
      <c r="A580" s="20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19411017, 08.00, ////, 07, ////, 07</v>
      </c>
    </row>
    <row r="581" spans="1:1" x14ac:dyDescent="0.25">
      <c r="A581" s="20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19411017, 15.00, ////, 07, ////, 07</v>
      </c>
    </row>
    <row r="582" spans="1:1" x14ac:dyDescent="0.25">
      <c r="A582" s="20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19411018, 08.00, ////, 07, ////, 07</v>
      </c>
    </row>
    <row r="583" spans="1:1" x14ac:dyDescent="0.25">
      <c r="A583" s="20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19411018, 15.00, ////, 07, ////, 07</v>
      </c>
    </row>
    <row r="584" spans="1:1" x14ac:dyDescent="0.25">
      <c r="A584" s="20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19411019, 08.00, ////, 07, ////, 07</v>
      </c>
    </row>
    <row r="585" spans="1:1" x14ac:dyDescent="0.25">
      <c r="A585" s="20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19411019, 15.00, ////, 07, ////, 07</v>
      </c>
    </row>
    <row r="586" spans="1:1" x14ac:dyDescent="0.25">
      <c r="A586" s="20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19411020, 08.00, ////, 07, ////, 07</v>
      </c>
    </row>
    <row r="587" spans="1:1" x14ac:dyDescent="0.25">
      <c r="A587" s="20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19411020, 15.00, ////, 07, ////, 07</v>
      </c>
    </row>
    <row r="588" spans="1:1" x14ac:dyDescent="0.25">
      <c r="A588" s="20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19411021, 08.00, ////, 07, ////, 07</v>
      </c>
    </row>
    <row r="589" spans="1:1" x14ac:dyDescent="0.25">
      <c r="A589" s="20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19411021, 15.00, ////, 07, ////, 07</v>
      </c>
    </row>
    <row r="590" spans="1:1" x14ac:dyDescent="0.25">
      <c r="A590" s="20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19411022, 08.00, ////, 07, ////, 07</v>
      </c>
    </row>
    <row r="591" spans="1:1" x14ac:dyDescent="0.25">
      <c r="A591" s="20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19411022, 15.00, ////, 07, ////, 07</v>
      </c>
    </row>
    <row r="592" spans="1:1" x14ac:dyDescent="0.25">
      <c r="A592" s="20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19411023, 08.00, ////, 07, ////, 07</v>
      </c>
    </row>
    <row r="593" spans="1:1" x14ac:dyDescent="0.25">
      <c r="A593" s="20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19411023, 15.00, ////, 07, ////, 07</v>
      </c>
    </row>
    <row r="594" spans="1:1" x14ac:dyDescent="0.25">
      <c r="A594" s="20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19411024, 08.00, ////, 07, ////, 07</v>
      </c>
    </row>
    <row r="595" spans="1:1" x14ac:dyDescent="0.25">
      <c r="A595" s="20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19411024, 15.00, ////, 07, ////, 07</v>
      </c>
    </row>
    <row r="596" spans="1:1" x14ac:dyDescent="0.25">
      <c r="A596" s="20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19411025, 08.00, ////, 07, ////, 07</v>
      </c>
    </row>
    <row r="597" spans="1:1" x14ac:dyDescent="0.25">
      <c r="A597" s="20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19411025, 15.00, ////, 07, ////, 07</v>
      </c>
    </row>
    <row r="598" spans="1:1" x14ac:dyDescent="0.25">
      <c r="A598" s="20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19411026, 08.00, ////, 07, ////, 07</v>
      </c>
    </row>
    <row r="599" spans="1:1" x14ac:dyDescent="0.25">
      <c r="A599" s="20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19411026, 15.00, ////, 07, ////, 07</v>
      </c>
    </row>
    <row r="600" spans="1:1" x14ac:dyDescent="0.25">
      <c r="A600" s="20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19411027, 08.00, ////, 07, ////, 07</v>
      </c>
    </row>
    <row r="601" spans="1:1" x14ac:dyDescent="0.25">
      <c r="A601" s="20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19411027, 15.00, ////, 07, ////, 07</v>
      </c>
    </row>
    <row r="602" spans="1:1" x14ac:dyDescent="0.25">
      <c r="A602" s="20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19411028, 08.00, ////, 07, ////, 07</v>
      </c>
    </row>
    <row r="603" spans="1:1" x14ac:dyDescent="0.25">
      <c r="A603" s="20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19411028, 15.00, ////, 07, ////, 07</v>
      </c>
    </row>
    <row r="604" spans="1:1" x14ac:dyDescent="0.25">
      <c r="A604" s="20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19411029, 08.00, ////, 07, ////, 07</v>
      </c>
    </row>
    <row r="605" spans="1:1" x14ac:dyDescent="0.25">
      <c r="A605" s="20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19411029, 15.00, ////, 07, ////, 07</v>
      </c>
    </row>
    <row r="606" spans="1:1" x14ac:dyDescent="0.25">
      <c r="A606" s="20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19411030, 08.00, ////, 07, ////, 07</v>
      </c>
    </row>
    <row r="607" spans="1:1" x14ac:dyDescent="0.25">
      <c r="A607" s="20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19411030, 15.00, ////, 07, ////, 07</v>
      </c>
    </row>
    <row r="608" spans="1:1" x14ac:dyDescent="0.25">
      <c r="A608" s="20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19411031, 08.00, ////, 07, ////, 07</v>
      </c>
    </row>
    <row r="609" spans="1:1" x14ac:dyDescent="0.25">
      <c r="A609" s="20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19411031, 15.00, ////, 07, ////, 07</v>
      </c>
    </row>
    <row r="610" spans="1:1" x14ac:dyDescent="0.25">
      <c r="A610" s="20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19411101, 08.00, ////, 07, ////, 07</v>
      </c>
    </row>
    <row r="611" spans="1:1" x14ac:dyDescent="0.25">
      <c r="A611" s="20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19411101, 15.00, ////, 07, ////, 07</v>
      </c>
    </row>
    <row r="612" spans="1:1" x14ac:dyDescent="0.25">
      <c r="A612" s="20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19411102, 08.00, ////, 07, ////, 07</v>
      </c>
    </row>
    <row r="613" spans="1:1" x14ac:dyDescent="0.25">
      <c r="A613" s="20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19411102, 15.00, ////, 07, ////, 07</v>
      </c>
    </row>
    <row r="614" spans="1:1" x14ac:dyDescent="0.25">
      <c r="A614" s="20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19411103, 08.00, ////, 07, ////, 07</v>
      </c>
    </row>
    <row r="615" spans="1:1" x14ac:dyDescent="0.25">
      <c r="A615" s="20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19411103, 15.00, ////, 07, ////, 07</v>
      </c>
    </row>
    <row r="616" spans="1:1" x14ac:dyDescent="0.25">
      <c r="A616" s="20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19411104, 08.00, ////, 07, ////, 07</v>
      </c>
    </row>
    <row r="617" spans="1:1" x14ac:dyDescent="0.25">
      <c r="A617" s="20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19411104, 15.00, ////, 07, ////, 07</v>
      </c>
    </row>
    <row r="618" spans="1:1" x14ac:dyDescent="0.25">
      <c r="A618" s="20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19411105, 08.00, ////, 07, ////, 07</v>
      </c>
    </row>
    <row r="619" spans="1:1" x14ac:dyDescent="0.25">
      <c r="A619" s="20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19411105, 15.00, ////, 07, ////, 07</v>
      </c>
    </row>
    <row r="620" spans="1:1" x14ac:dyDescent="0.25">
      <c r="A620" s="20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19411106, 08.00, ////, 07, ////, 07</v>
      </c>
    </row>
    <row r="621" spans="1:1" x14ac:dyDescent="0.25">
      <c r="A621" s="20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19411106, 15.00, ////, 07, ////, 07</v>
      </c>
    </row>
    <row r="622" spans="1:1" x14ac:dyDescent="0.25">
      <c r="A622" s="20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19411107, 08.00, ////, 07, ////, 07</v>
      </c>
    </row>
    <row r="623" spans="1:1" x14ac:dyDescent="0.25">
      <c r="A623" s="20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19411107, 15.00, ////, 07, ////, 07</v>
      </c>
    </row>
    <row r="624" spans="1:1" x14ac:dyDescent="0.25">
      <c r="A624" s="20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19411108, 08.00, ////, 07, ////, 07</v>
      </c>
    </row>
    <row r="625" spans="1:1" x14ac:dyDescent="0.25">
      <c r="A625" s="20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19411108, 15.00, ////, 07, ////, 07</v>
      </c>
    </row>
    <row r="626" spans="1:1" x14ac:dyDescent="0.25">
      <c r="A626" s="20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19411109, 08.00, ////, 07, ////, 07</v>
      </c>
    </row>
    <row r="627" spans="1:1" x14ac:dyDescent="0.25">
      <c r="A627" s="20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19411109, 15.00, ////, 07, ////, 07</v>
      </c>
    </row>
    <row r="628" spans="1:1" x14ac:dyDescent="0.25">
      <c r="A628" s="20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19411110, 08.00, ////, 07, ////, 07</v>
      </c>
    </row>
    <row r="629" spans="1:1" x14ac:dyDescent="0.25">
      <c r="A629" s="20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19411110, 15.00, ////, 07, ////, 07</v>
      </c>
    </row>
    <row r="630" spans="1:1" x14ac:dyDescent="0.25">
      <c r="A630" s="20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19411111, 08.00, ////, 07, ////, 07</v>
      </c>
    </row>
    <row r="631" spans="1:1" x14ac:dyDescent="0.25">
      <c r="A631" s="20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19411111, 15.00, ////, 07, ////, 07</v>
      </c>
    </row>
    <row r="632" spans="1:1" x14ac:dyDescent="0.25">
      <c r="A632" s="20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19411112, 08.00, ////, 07, ////, 07</v>
      </c>
    </row>
    <row r="633" spans="1:1" x14ac:dyDescent="0.25">
      <c r="A633" s="20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19411112, 15.00, ////, 07, ////, 07</v>
      </c>
    </row>
    <row r="634" spans="1:1" x14ac:dyDescent="0.25">
      <c r="A634" s="20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19411113, 08.00, ////, 07, ////, 07</v>
      </c>
    </row>
    <row r="635" spans="1:1" x14ac:dyDescent="0.25">
      <c r="A635" s="20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19411113, 15.00, ////, 07, ////, 07</v>
      </c>
    </row>
    <row r="636" spans="1:1" x14ac:dyDescent="0.25">
      <c r="A636" s="20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19411114, 08.00, ////, 07, ////, 07</v>
      </c>
    </row>
    <row r="637" spans="1:1" x14ac:dyDescent="0.25">
      <c r="A637" s="20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19411114, 15.00, ////, 07, ////, 07</v>
      </c>
    </row>
    <row r="638" spans="1:1" x14ac:dyDescent="0.25">
      <c r="A638" s="20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19411115, 08.00, ////, 07, ////, 07</v>
      </c>
    </row>
    <row r="639" spans="1:1" x14ac:dyDescent="0.25">
      <c r="A639" s="20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19411115, 15.00, ////, 07, ////, 07</v>
      </c>
    </row>
    <row r="640" spans="1:1" x14ac:dyDescent="0.25">
      <c r="A640" s="20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19411116, 08.00, ////, 07, ////, 07</v>
      </c>
    </row>
    <row r="641" spans="1:1" x14ac:dyDescent="0.25">
      <c r="A641" s="20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19411116, 15.00, ////, 07, ////, 07</v>
      </c>
    </row>
    <row r="642" spans="1:1" x14ac:dyDescent="0.25">
      <c r="A642" s="20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19411117, 08.00, ////, 07, ////, 07</v>
      </c>
    </row>
    <row r="643" spans="1:1" x14ac:dyDescent="0.25">
      <c r="A643" s="20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19411117, 15.00, ////, 07, ////, 07</v>
      </c>
    </row>
    <row r="644" spans="1:1" x14ac:dyDescent="0.25">
      <c r="A644" s="20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19411118, 08.00, ////, 07, ////, 07</v>
      </c>
    </row>
    <row r="645" spans="1:1" x14ac:dyDescent="0.25">
      <c r="A645" s="20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19411118, 15.00, ////, 07, ////, 07</v>
      </c>
    </row>
    <row r="646" spans="1:1" x14ac:dyDescent="0.25">
      <c r="A646" s="20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19411119, 08.00, ////, 07, ////, 07</v>
      </c>
    </row>
    <row r="647" spans="1:1" x14ac:dyDescent="0.25">
      <c r="A647" s="20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19411119, 15.00, ////, 07, ////, 07</v>
      </c>
    </row>
    <row r="648" spans="1:1" x14ac:dyDescent="0.25">
      <c r="A648" s="20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19411120, 08.00, ////, 07, ////, 07</v>
      </c>
    </row>
    <row r="649" spans="1:1" x14ac:dyDescent="0.25">
      <c r="A649" s="20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19411120, 15.00, ////, 07, ////, 07</v>
      </c>
    </row>
    <row r="650" spans="1:1" x14ac:dyDescent="0.25">
      <c r="A650" s="20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19411121, 08.00, ////, 07, ////, 07</v>
      </c>
    </row>
    <row r="651" spans="1:1" x14ac:dyDescent="0.25">
      <c r="A651" s="20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19411121, 15.00, ////, 07, ////, 07</v>
      </c>
    </row>
    <row r="652" spans="1:1" x14ac:dyDescent="0.25">
      <c r="A652" s="20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19411122, 08.00, ////, 07, ////, 07</v>
      </c>
    </row>
    <row r="653" spans="1:1" x14ac:dyDescent="0.25">
      <c r="A653" s="20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19411122, 15.00, ////, 07, ////, 07</v>
      </c>
    </row>
    <row r="654" spans="1:1" x14ac:dyDescent="0.25">
      <c r="A654" s="20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19411123, 08.00, ////, 07, ////, 07</v>
      </c>
    </row>
    <row r="655" spans="1:1" x14ac:dyDescent="0.25">
      <c r="A655" s="20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19411123, 15.00, ////, 07, ////, 07</v>
      </c>
    </row>
    <row r="656" spans="1:1" x14ac:dyDescent="0.25">
      <c r="A656" s="20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19411124, 08.00, ////, 07, ////, 07</v>
      </c>
    </row>
    <row r="657" spans="1:1" x14ac:dyDescent="0.25">
      <c r="A657" s="20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19411124, 15.00, ////, 07, ////, 07</v>
      </c>
    </row>
    <row r="658" spans="1:1" x14ac:dyDescent="0.25">
      <c r="A658" s="20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19411125, 08.00, ////, 07, ////, 07</v>
      </c>
    </row>
    <row r="659" spans="1:1" x14ac:dyDescent="0.25">
      <c r="A659" s="20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19411125, 15.00, ////, 07, ////, 07</v>
      </c>
    </row>
    <row r="660" spans="1:1" x14ac:dyDescent="0.25">
      <c r="A660" s="20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19411126, 08.00, ////, 07, ////, 07</v>
      </c>
    </row>
    <row r="661" spans="1:1" x14ac:dyDescent="0.25">
      <c r="A661" s="20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19411126, 15.00, ////, 07, ////, 07</v>
      </c>
    </row>
    <row r="662" spans="1:1" x14ac:dyDescent="0.25">
      <c r="A662" s="20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19411127, 08.00, ////, 07, ////, 07</v>
      </c>
    </row>
    <row r="663" spans="1:1" x14ac:dyDescent="0.25">
      <c r="A663" s="20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19411127, 15.00, ////, 07, ////, 07</v>
      </c>
    </row>
    <row r="664" spans="1:1" x14ac:dyDescent="0.25">
      <c r="A664" s="20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19411128, 08.00, ////, 07, ////, 07</v>
      </c>
    </row>
    <row r="665" spans="1:1" x14ac:dyDescent="0.25">
      <c r="A665" s="20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19411128, 15.00, ////, 07, ////, 07</v>
      </c>
    </row>
    <row r="666" spans="1:1" x14ac:dyDescent="0.25">
      <c r="A666" s="20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19411129, 08.00, ////, 07, ////, 07</v>
      </c>
    </row>
    <row r="667" spans="1:1" x14ac:dyDescent="0.25">
      <c r="A667" s="20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19411129, 15.00, ////, 07, ////, 07</v>
      </c>
    </row>
    <row r="668" spans="1:1" x14ac:dyDescent="0.25">
      <c r="A668" s="20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19411130, 08.00, ////, 07, ////, 07</v>
      </c>
    </row>
    <row r="669" spans="1:1" x14ac:dyDescent="0.25">
      <c r="A669" s="20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19411130, 15.00, ////, 07, ////, 07</v>
      </c>
    </row>
    <row r="670" spans="1:1" x14ac:dyDescent="0.25">
      <c r="A670" s="20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19411201, 08.00, ////, 07, ////, 07</v>
      </c>
    </row>
    <row r="671" spans="1:1" x14ac:dyDescent="0.25">
      <c r="A671" s="20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19411201, 15.00, ////, 07, ////, 07</v>
      </c>
    </row>
    <row r="672" spans="1:1" x14ac:dyDescent="0.25">
      <c r="A672" s="20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19411202, 08.00, ////, 07, ////, 07</v>
      </c>
    </row>
    <row r="673" spans="1:1" x14ac:dyDescent="0.25">
      <c r="A673" s="20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19411202, 15.00, ////, 07, ////, 07</v>
      </c>
    </row>
    <row r="674" spans="1:1" x14ac:dyDescent="0.25">
      <c r="A674" s="20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19411203, 08.00, ////, 07, ////, 07</v>
      </c>
    </row>
    <row r="675" spans="1:1" x14ac:dyDescent="0.25">
      <c r="A675" s="20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19411203, 15.00, ////, 07, ////, 07</v>
      </c>
    </row>
    <row r="676" spans="1:1" x14ac:dyDescent="0.25">
      <c r="A676" s="20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19411204, 08.00, ////, 07, ////, 07</v>
      </c>
    </row>
    <row r="677" spans="1:1" x14ac:dyDescent="0.25">
      <c r="A677" s="20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19411204, 15.00, ////, 07, ////, 07</v>
      </c>
    </row>
    <row r="678" spans="1:1" x14ac:dyDescent="0.25">
      <c r="A678" s="20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19411205, 08.00, ////, 07, ////, 07</v>
      </c>
    </row>
    <row r="679" spans="1:1" x14ac:dyDescent="0.25">
      <c r="A679" s="20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19411205, 15.00, ////, 07, ////, 07</v>
      </c>
    </row>
    <row r="680" spans="1:1" x14ac:dyDescent="0.25">
      <c r="A680" s="20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19411206, 08.00, ////, 07, ////, 07</v>
      </c>
    </row>
    <row r="681" spans="1:1" x14ac:dyDescent="0.25">
      <c r="A681" s="20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19411206, 15.00, ////, 07, ////, 07</v>
      </c>
    </row>
    <row r="682" spans="1:1" x14ac:dyDescent="0.25">
      <c r="A682" s="20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19411207, 08.00, ////, 07, ////, 07</v>
      </c>
    </row>
    <row r="683" spans="1:1" x14ac:dyDescent="0.25">
      <c r="A683" s="20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19411207, 15.00, ////, 07, ////, 07</v>
      </c>
    </row>
    <row r="684" spans="1:1" x14ac:dyDescent="0.25">
      <c r="A684" s="20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19411208, 08.00, ////, 07, ////, 07</v>
      </c>
    </row>
    <row r="685" spans="1:1" x14ac:dyDescent="0.25">
      <c r="A685" s="20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19411208, 15.00, ////, 07, ////, 07</v>
      </c>
    </row>
    <row r="686" spans="1:1" x14ac:dyDescent="0.25">
      <c r="A686" s="20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19411209, 08.00, ////, 07, ////, 07</v>
      </c>
    </row>
    <row r="687" spans="1:1" x14ac:dyDescent="0.25">
      <c r="A687" s="20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19411209, 15.00, ////, 07, ////, 07</v>
      </c>
    </row>
    <row r="688" spans="1:1" x14ac:dyDescent="0.25">
      <c r="A688" s="20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19411210, 08.00, ////, 07, ////, 07</v>
      </c>
    </row>
    <row r="689" spans="1:1" x14ac:dyDescent="0.25">
      <c r="A689" s="20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19411210, 15.00, ////, 07, ////, 07</v>
      </c>
    </row>
    <row r="690" spans="1:1" x14ac:dyDescent="0.25">
      <c r="A690" s="20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19411211, 08.00, ////, 07, ////, 07</v>
      </c>
    </row>
    <row r="691" spans="1:1" x14ac:dyDescent="0.25">
      <c r="A691" s="20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19411211, 15.00, ////, 07, ////, 07</v>
      </c>
    </row>
    <row r="692" spans="1:1" x14ac:dyDescent="0.25">
      <c r="A692" s="20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19411212, 08.00, ////, 07, ////, 07</v>
      </c>
    </row>
    <row r="693" spans="1:1" x14ac:dyDescent="0.25">
      <c r="A693" s="20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19411212, 15.00, ////, 07, ////, 07</v>
      </c>
    </row>
    <row r="694" spans="1:1" x14ac:dyDescent="0.25">
      <c r="A694" s="20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19411213, 08.00, ////, 07, ////, 07</v>
      </c>
    </row>
    <row r="695" spans="1:1" x14ac:dyDescent="0.25">
      <c r="A695" s="20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19411213, 15.00, ////, 07, ////, 07</v>
      </c>
    </row>
    <row r="696" spans="1:1" x14ac:dyDescent="0.25">
      <c r="A696" s="20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19411214, 08.00, ////, 07, ////, 07</v>
      </c>
    </row>
    <row r="697" spans="1:1" x14ac:dyDescent="0.25">
      <c r="A697" s="20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19411214, 15.00, ////, 07, ////, 07</v>
      </c>
    </row>
    <row r="698" spans="1:1" x14ac:dyDescent="0.25">
      <c r="A698" s="20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19411215, 08.00, ////, 07, ////, 07</v>
      </c>
    </row>
    <row r="699" spans="1:1" x14ac:dyDescent="0.25">
      <c r="A699" s="20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19411215, 15.00, ////, 07, ////, 07</v>
      </c>
    </row>
    <row r="700" spans="1:1" x14ac:dyDescent="0.25">
      <c r="A700" s="20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19411216, 08.00, ////, 07, ////, 07</v>
      </c>
    </row>
    <row r="701" spans="1:1" x14ac:dyDescent="0.25">
      <c r="A701" s="20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19411216, 15.00, ////, 07, ////, 07</v>
      </c>
    </row>
    <row r="702" spans="1:1" x14ac:dyDescent="0.25">
      <c r="A702" s="20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19411217, 08.00, ////, 07, ////, 07</v>
      </c>
    </row>
    <row r="703" spans="1:1" x14ac:dyDescent="0.25">
      <c r="A703" s="20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19411217, 15.00, ////, 07, ////, 07</v>
      </c>
    </row>
    <row r="704" spans="1:1" x14ac:dyDescent="0.25">
      <c r="A704" s="20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19411218, 08.00, ////, 07, ////, 07</v>
      </c>
    </row>
    <row r="705" spans="1:1" x14ac:dyDescent="0.25">
      <c r="A705" s="20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19411218, 15.00, ////, 07, ////, 07</v>
      </c>
    </row>
    <row r="706" spans="1:1" x14ac:dyDescent="0.25">
      <c r="A706" s="20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19411219, 08.00, ////, 07, ////, 07</v>
      </c>
    </row>
    <row r="707" spans="1:1" x14ac:dyDescent="0.25">
      <c r="A707" s="20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19411219, 15.00, ////, 07, ////, 07</v>
      </c>
    </row>
    <row r="708" spans="1:1" x14ac:dyDescent="0.25">
      <c r="A708" s="20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19411220, 08.00, ////, 07, ////, 07</v>
      </c>
    </row>
    <row r="709" spans="1:1" x14ac:dyDescent="0.25">
      <c r="A709" s="20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19411220, 15.00, ////, 07, ////, 07</v>
      </c>
    </row>
    <row r="710" spans="1:1" x14ac:dyDescent="0.25">
      <c r="A710" s="20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19411221, 08.00, ////, 07, ////, 07</v>
      </c>
    </row>
    <row r="711" spans="1:1" x14ac:dyDescent="0.25">
      <c r="A711" s="20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19411221, 15.00, ////, 07, ////, 07</v>
      </c>
    </row>
    <row r="712" spans="1:1" x14ac:dyDescent="0.25">
      <c r="A712" s="20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19411222, 08.00, ////, 07, ////, 07</v>
      </c>
    </row>
    <row r="713" spans="1:1" x14ac:dyDescent="0.25">
      <c r="A713" s="20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19411222, 15.00, ////, 07, ////, 07</v>
      </c>
    </row>
    <row r="714" spans="1:1" x14ac:dyDescent="0.25">
      <c r="A714" s="20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19411223, 08.00, ////, 07, ////, 07</v>
      </c>
    </row>
    <row r="715" spans="1:1" x14ac:dyDescent="0.25">
      <c r="A715" s="20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19411223, 15.00, ////, 07, ////, 07</v>
      </c>
    </row>
    <row r="716" spans="1:1" x14ac:dyDescent="0.25">
      <c r="A716" s="20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19411224, 08.00, ////, 07, ////, 07</v>
      </c>
    </row>
    <row r="717" spans="1:1" x14ac:dyDescent="0.25">
      <c r="A717" s="20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19411224, 15.00, ////, 07, ////, 07</v>
      </c>
    </row>
    <row r="718" spans="1:1" x14ac:dyDescent="0.25">
      <c r="A718" s="20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19411225, 08.00, ////, 07, ////, 07</v>
      </c>
    </row>
    <row r="719" spans="1:1" x14ac:dyDescent="0.25">
      <c r="A719" s="20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19411225, 15.00, ////, 07, ////, 07</v>
      </c>
    </row>
    <row r="720" spans="1:1" x14ac:dyDescent="0.25">
      <c r="A720" s="20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19411226, 08.00, ////, 07, ////, 07</v>
      </c>
    </row>
    <row r="721" spans="1:1" x14ac:dyDescent="0.25">
      <c r="A721" s="20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19411226, 15.00, ////, 07, ////, 07</v>
      </c>
    </row>
    <row r="722" spans="1:1" x14ac:dyDescent="0.25">
      <c r="A722" s="20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19411227, 08.00, ////, 07, ////, 07</v>
      </c>
    </row>
    <row r="723" spans="1:1" x14ac:dyDescent="0.25">
      <c r="A723" s="20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19411227, 15.00, ////, 07, ////, 07</v>
      </c>
    </row>
    <row r="724" spans="1:1" x14ac:dyDescent="0.25">
      <c r="A724" s="20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19411228, 08.00, ////, 07, ////, 07</v>
      </c>
    </row>
    <row r="725" spans="1:1" x14ac:dyDescent="0.25">
      <c r="A725" s="20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19411228, 15.00, ////, 07, ////, 07</v>
      </c>
    </row>
    <row r="726" spans="1:1" x14ac:dyDescent="0.25">
      <c r="A726" s="20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19411229, 08.00, ////, 07, ////, 07</v>
      </c>
    </row>
    <row r="727" spans="1:1" x14ac:dyDescent="0.25">
      <c r="A727" s="20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19411229, 15.00, ////, 07, ////, 07</v>
      </c>
    </row>
    <row r="728" spans="1:1" x14ac:dyDescent="0.25">
      <c r="A728" s="20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19411230, 08.00, ////, 07, ////, 07</v>
      </c>
    </row>
    <row r="729" spans="1:1" x14ac:dyDescent="0.25">
      <c r="A729" s="20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19411230, 15.00, ////, 07, ////, 07</v>
      </c>
    </row>
    <row r="730" spans="1:1" x14ac:dyDescent="0.25">
      <c r="A730" s="20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19411231, 08.00, ////, 07, ////, 07</v>
      </c>
    </row>
    <row r="731" spans="1:1" x14ac:dyDescent="0.25">
      <c r="A731" s="20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19411231, 15.00, ////, 07, ////,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2015-10-20T13:33:00Z</dcterms:modified>
</cp:coreProperties>
</file>