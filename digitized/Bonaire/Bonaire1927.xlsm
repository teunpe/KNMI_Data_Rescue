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Invoer!$A$2:$G$381</definedName>
    <definedName name="Catalogus">Info!$J$3:$P$4</definedName>
    <definedName name="Data">Invoer!$A$3:$G$381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Info!$D$4:$E$9</definedName>
    <definedName name="Stations">Info!$A$4:$B$13</definedName>
  </definedNames>
  <calcPr calcId="145621"/>
</workbook>
</file>

<file path=xl/calcChain.xml><?xml version="1.0" encoding="utf-8"?>
<calcChain xmlns="http://schemas.openxmlformats.org/spreadsheetml/2006/main"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C2" i="3"/>
  <c r="E381" i="1" l="1"/>
  <c r="D381" i="1"/>
  <c r="C381" i="1"/>
  <c r="B381" i="1"/>
  <c r="E349" i="1"/>
  <c r="D349" i="1"/>
  <c r="C349" i="1"/>
  <c r="B349" i="1"/>
  <c r="E318" i="1"/>
  <c r="D318" i="1"/>
  <c r="C318" i="1"/>
  <c r="B318" i="1"/>
  <c r="E286" i="1"/>
  <c r="D286" i="1"/>
  <c r="C286" i="1"/>
  <c r="B286" i="1"/>
  <c r="E255" i="1"/>
  <c r="D255" i="1"/>
  <c r="C255" i="1"/>
  <c r="B255" i="1"/>
  <c r="E223" i="1"/>
  <c r="D223" i="1"/>
  <c r="C223" i="1"/>
  <c r="B223" i="1"/>
  <c r="E191" i="1"/>
  <c r="D191" i="1"/>
  <c r="C191" i="1"/>
  <c r="B191" i="1"/>
  <c r="E160" i="1"/>
  <c r="D160" i="1"/>
  <c r="C160" i="1"/>
  <c r="B160" i="1"/>
  <c r="E128" i="1"/>
  <c r="D128" i="1"/>
  <c r="C128" i="1"/>
  <c r="B128" i="1"/>
  <c r="E97" i="1"/>
  <c r="D97" i="1"/>
  <c r="C97" i="1"/>
  <c r="B97" i="1"/>
  <c r="E65" i="1"/>
  <c r="D65" i="1"/>
  <c r="C65" i="1"/>
  <c r="B65" i="1"/>
  <c r="E36" i="1"/>
  <c r="D36" i="1"/>
  <c r="C36" i="1"/>
  <c r="B36" i="1"/>
  <c r="A1" i="6" l="1"/>
  <c r="A2" i="3" l="1"/>
  <c r="G381" i="1" l="1"/>
  <c r="F381" i="1"/>
  <c r="G349" i="1"/>
  <c r="F349" i="1"/>
  <c r="G318" i="1"/>
  <c r="F318" i="1"/>
  <c r="G286" i="1"/>
  <c r="F286" i="1"/>
  <c r="G255" i="1"/>
  <c r="F255" i="1"/>
  <c r="G223" i="1"/>
  <c r="F223" i="1"/>
  <c r="G191" i="1"/>
  <c r="F191" i="1"/>
  <c r="G160" i="1"/>
  <c r="F160" i="1"/>
  <c r="G128" i="1"/>
  <c r="F128" i="1"/>
  <c r="G97" i="1"/>
  <c r="F97" i="1"/>
  <c r="G65" i="1"/>
  <c r="F65" i="1"/>
  <c r="G36" i="1"/>
  <c r="F36" i="1"/>
  <c r="A1" i="5" l="1"/>
  <c r="A5" i="1" l="1"/>
  <c r="B2" i="3" l="1"/>
  <c r="B4" i="3"/>
  <c r="B6" i="3"/>
  <c r="B8" i="3"/>
  <c r="B10" i="3"/>
  <c r="B12" i="3"/>
  <c r="B14" i="3"/>
  <c r="B16" i="3"/>
  <c r="B18" i="3"/>
  <c r="B20" i="3"/>
  <c r="B3" i="3"/>
  <c r="B5" i="3"/>
  <c r="B7" i="3"/>
  <c r="B9" i="3"/>
  <c r="B11" i="3"/>
  <c r="B13" i="3"/>
  <c r="B15" i="3"/>
  <c r="B17" i="3"/>
  <c r="B19" i="3"/>
  <c r="B21" i="3"/>
  <c r="B23" i="3"/>
  <c r="B25" i="3"/>
  <c r="B27" i="3"/>
  <c r="B29" i="3"/>
  <c r="B31" i="3"/>
  <c r="B33" i="3"/>
  <c r="B35" i="3"/>
  <c r="B24" i="3"/>
  <c r="B28" i="3"/>
  <c r="B32" i="3"/>
  <c r="B36" i="3"/>
  <c r="B38" i="3"/>
  <c r="B40" i="3"/>
  <c r="B42" i="3"/>
  <c r="B44" i="3"/>
  <c r="B46" i="3"/>
  <c r="B48" i="3"/>
  <c r="B50" i="3"/>
  <c r="B52" i="3"/>
  <c r="B54" i="3"/>
  <c r="B56" i="3"/>
  <c r="B58" i="3"/>
  <c r="B60" i="3"/>
  <c r="B62" i="3"/>
  <c r="B22" i="3"/>
  <c r="B26" i="3"/>
  <c r="B30" i="3"/>
  <c r="B34" i="3"/>
  <c r="B37" i="3"/>
  <c r="B39" i="3"/>
  <c r="B41" i="3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B75" i="3"/>
  <c r="B77" i="3"/>
  <c r="B66" i="3"/>
  <c r="B70" i="3"/>
  <c r="B74" i="3"/>
  <c r="B78" i="3"/>
  <c r="B80" i="3"/>
  <c r="B82" i="3"/>
  <c r="B84" i="3"/>
  <c r="B86" i="3"/>
  <c r="B88" i="3"/>
  <c r="B90" i="3"/>
  <c r="B92" i="3"/>
  <c r="B94" i="3"/>
  <c r="B96" i="3"/>
  <c r="B98" i="3"/>
  <c r="B100" i="3"/>
  <c r="B102" i="3"/>
  <c r="B104" i="3"/>
  <c r="B106" i="3"/>
  <c r="B108" i="3"/>
  <c r="B110" i="3"/>
  <c r="B112" i="3"/>
  <c r="B114" i="3"/>
  <c r="B116" i="3"/>
  <c r="B118" i="3"/>
  <c r="B120" i="3"/>
  <c r="B122" i="3"/>
  <c r="B124" i="3"/>
  <c r="B64" i="3"/>
  <c r="B68" i="3"/>
  <c r="B72" i="3"/>
  <c r="B76" i="3"/>
  <c r="B79" i="3"/>
  <c r="B81" i="3"/>
  <c r="B83" i="3"/>
  <c r="B85" i="3"/>
  <c r="B87" i="3"/>
  <c r="B89" i="3"/>
  <c r="B91" i="3"/>
  <c r="B93" i="3"/>
  <c r="B95" i="3"/>
  <c r="B97" i="3"/>
  <c r="B99" i="3"/>
  <c r="B101" i="3"/>
  <c r="B103" i="3"/>
  <c r="B105" i="3"/>
  <c r="B107" i="3"/>
  <c r="B109" i="3"/>
  <c r="B111" i="3"/>
  <c r="B113" i="3"/>
  <c r="B115" i="3"/>
  <c r="B117" i="3"/>
  <c r="B119" i="3"/>
  <c r="B121" i="3"/>
  <c r="B123" i="3"/>
  <c r="B125" i="3"/>
  <c r="B127" i="3"/>
  <c r="B129" i="3"/>
  <c r="B131" i="3"/>
  <c r="B133" i="3"/>
  <c r="B135" i="3"/>
  <c r="B137" i="3"/>
  <c r="B128" i="3"/>
  <c r="B132" i="3"/>
  <c r="B136" i="3"/>
  <c r="B140" i="3"/>
  <c r="B142" i="3"/>
  <c r="B144" i="3"/>
  <c r="B146" i="3"/>
  <c r="B148" i="3"/>
  <c r="B150" i="3"/>
  <c r="B152" i="3"/>
  <c r="B154" i="3"/>
  <c r="B156" i="3"/>
  <c r="B158" i="3"/>
  <c r="B160" i="3"/>
  <c r="B162" i="3"/>
  <c r="B164" i="3"/>
  <c r="B166" i="3"/>
  <c r="B168" i="3"/>
  <c r="B170" i="3"/>
  <c r="B172" i="3"/>
  <c r="B174" i="3"/>
  <c r="B176" i="3"/>
  <c r="B178" i="3"/>
  <c r="B180" i="3"/>
  <c r="B182" i="3"/>
  <c r="B184" i="3"/>
  <c r="B186" i="3"/>
  <c r="B188" i="3"/>
  <c r="B190" i="3"/>
  <c r="B192" i="3"/>
  <c r="B194" i="3"/>
  <c r="B196" i="3"/>
  <c r="B198" i="3"/>
  <c r="B200" i="3"/>
  <c r="B126" i="3"/>
  <c r="B130" i="3"/>
  <c r="B134" i="3"/>
  <c r="B138" i="3"/>
  <c r="B139" i="3"/>
  <c r="B141" i="3"/>
  <c r="B143" i="3"/>
  <c r="B145" i="3"/>
  <c r="B147" i="3"/>
  <c r="B149" i="3"/>
  <c r="B151" i="3"/>
  <c r="B155" i="3"/>
  <c r="B159" i="3"/>
  <c r="B163" i="3"/>
  <c r="B167" i="3"/>
  <c r="B171" i="3"/>
  <c r="B175" i="3"/>
  <c r="B179" i="3"/>
  <c r="B183" i="3"/>
  <c r="B187" i="3"/>
  <c r="B191" i="3"/>
  <c r="B195" i="3"/>
  <c r="B199" i="3"/>
  <c r="B202" i="3"/>
  <c r="B204" i="3"/>
  <c r="B206" i="3"/>
  <c r="B208" i="3"/>
  <c r="B210" i="3"/>
  <c r="B212" i="3"/>
  <c r="B214" i="3"/>
  <c r="B216" i="3"/>
  <c r="B218" i="3"/>
  <c r="B220" i="3"/>
  <c r="B222" i="3"/>
  <c r="B224" i="3"/>
  <c r="B226" i="3"/>
  <c r="B228" i="3"/>
  <c r="B230" i="3"/>
  <c r="B232" i="3"/>
  <c r="B234" i="3"/>
  <c r="B236" i="3"/>
  <c r="B238" i="3"/>
  <c r="B240" i="3"/>
  <c r="B242" i="3"/>
  <c r="B244" i="3"/>
  <c r="B246" i="3"/>
  <c r="B248" i="3"/>
  <c r="B250" i="3"/>
  <c r="B252" i="3"/>
  <c r="B254" i="3"/>
  <c r="B256" i="3"/>
  <c r="B258" i="3"/>
  <c r="B260" i="3"/>
  <c r="B262" i="3"/>
  <c r="B264" i="3"/>
  <c r="B266" i="3"/>
  <c r="B268" i="3"/>
  <c r="B270" i="3"/>
  <c r="B272" i="3"/>
  <c r="B274" i="3"/>
  <c r="B276" i="3"/>
  <c r="B278" i="3"/>
  <c r="B280" i="3"/>
  <c r="B282" i="3"/>
  <c r="B284" i="3"/>
  <c r="B286" i="3"/>
  <c r="B288" i="3"/>
  <c r="B290" i="3"/>
  <c r="B292" i="3"/>
  <c r="B294" i="3"/>
  <c r="B296" i="3"/>
  <c r="B298" i="3"/>
  <c r="B300" i="3"/>
  <c r="B302" i="3"/>
  <c r="B304" i="3"/>
  <c r="B306" i="3"/>
  <c r="B308" i="3"/>
  <c r="B310" i="3"/>
  <c r="B312" i="3"/>
  <c r="B153" i="3"/>
  <c r="B157" i="3"/>
  <c r="B161" i="3"/>
  <c r="B165" i="3"/>
  <c r="B169" i="3"/>
  <c r="B173" i="3"/>
  <c r="B177" i="3"/>
  <c r="B181" i="3"/>
  <c r="B185" i="3"/>
  <c r="B189" i="3"/>
  <c r="B193" i="3"/>
  <c r="B197" i="3"/>
  <c r="B201" i="3"/>
  <c r="B203" i="3"/>
  <c r="B205" i="3"/>
  <c r="B207" i="3"/>
  <c r="B209" i="3"/>
  <c r="B211" i="3"/>
  <c r="B213" i="3"/>
  <c r="B215" i="3"/>
  <c r="B217" i="3"/>
  <c r="B219" i="3"/>
  <c r="B221" i="3"/>
  <c r="B223" i="3"/>
  <c r="B225" i="3"/>
  <c r="B227" i="3"/>
  <c r="B231" i="3"/>
  <c r="B235" i="3"/>
  <c r="B239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295" i="3"/>
  <c r="B299" i="3"/>
  <c r="B303" i="3"/>
  <c r="B307" i="3"/>
  <c r="B311" i="3"/>
  <c r="B313" i="3"/>
  <c r="B315" i="3"/>
  <c r="B317" i="3"/>
  <c r="B319" i="3"/>
  <c r="B321" i="3"/>
  <c r="B323" i="3"/>
  <c r="B325" i="3"/>
  <c r="B327" i="3"/>
  <c r="B329" i="3"/>
  <c r="B331" i="3"/>
  <c r="B333" i="3"/>
  <c r="B335" i="3"/>
  <c r="B337" i="3"/>
  <c r="B339" i="3"/>
  <c r="B341" i="3"/>
  <c r="B343" i="3"/>
  <c r="B345" i="3"/>
  <c r="B347" i="3"/>
  <c r="B349" i="3"/>
  <c r="B351" i="3"/>
  <c r="B353" i="3"/>
  <c r="B355" i="3"/>
  <c r="B357" i="3"/>
  <c r="B359" i="3"/>
  <c r="B361" i="3"/>
  <c r="B363" i="3"/>
  <c r="B365" i="3"/>
  <c r="B367" i="3"/>
  <c r="B369" i="3"/>
  <c r="B371" i="3"/>
  <c r="B373" i="3"/>
  <c r="B375" i="3"/>
  <c r="B377" i="3"/>
  <c r="B379" i="3"/>
  <c r="B381" i="3"/>
  <c r="B383" i="3"/>
  <c r="B385" i="3"/>
  <c r="B387" i="3"/>
  <c r="B389" i="3"/>
  <c r="B391" i="3"/>
  <c r="B393" i="3"/>
  <c r="B395" i="3"/>
  <c r="B397" i="3"/>
  <c r="B399" i="3"/>
  <c r="B229" i="3"/>
  <c r="B233" i="3"/>
  <c r="B237" i="3"/>
  <c r="B241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93" i="3"/>
  <c r="B297" i="3"/>
  <c r="B301" i="3"/>
  <c r="B305" i="3"/>
  <c r="B309" i="3"/>
  <c r="B314" i="3"/>
  <c r="B316" i="3"/>
  <c r="B318" i="3"/>
  <c r="B320" i="3"/>
  <c r="B322" i="3"/>
  <c r="B324" i="3"/>
  <c r="B326" i="3"/>
  <c r="B328" i="3"/>
  <c r="B330" i="3"/>
  <c r="B332" i="3"/>
  <c r="B334" i="3"/>
  <c r="B336" i="3"/>
  <c r="B338" i="3"/>
  <c r="B340" i="3"/>
  <c r="B342" i="3"/>
  <c r="B344" i="3"/>
  <c r="B346" i="3"/>
  <c r="B348" i="3"/>
  <c r="B350" i="3"/>
  <c r="B352" i="3"/>
  <c r="B354" i="3"/>
  <c r="B356" i="3"/>
  <c r="B358" i="3"/>
  <c r="B360" i="3"/>
  <c r="B362" i="3"/>
  <c r="B364" i="3"/>
  <c r="B366" i="3"/>
  <c r="B368" i="3"/>
  <c r="B370" i="3"/>
  <c r="B372" i="3"/>
  <c r="B374" i="3"/>
  <c r="B376" i="3"/>
  <c r="B378" i="3"/>
  <c r="B380" i="3"/>
  <c r="B382" i="3"/>
  <c r="B384" i="3"/>
  <c r="B386" i="3"/>
  <c r="B388" i="3"/>
  <c r="B390" i="3"/>
  <c r="B392" i="3"/>
  <c r="B394" i="3"/>
  <c r="B396" i="3"/>
  <c r="B398" i="3"/>
  <c r="B400" i="3"/>
  <c r="B402" i="3"/>
  <c r="B404" i="3"/>
  <c r="B406" i="3"/>
  <c r="B403" i="3"/>
  <c r="B407" i="3"/>
  <c r="B408" i="3"/>
  <c r="B410" i="3"/>
  <c r="B412" i="3"/>
  <c r="B414" i="3"/>
  <c r="B416" i="3"/>
  <c r="B418" i="3"/>
  <c r="B420" i="3"/>
  <c r="B422" i="3"/>
  <c r="B424" i="3"/>
  <c r="B426" i="3"/>
  <c r="B428" i="3"/>
  <c r="B430" i="3"/>
  <c r="B432" i="3"/>
  <c r="B434" i="3"/>
  <c r="B436" i="3"/>
  <c r="B438" i="3"/>
  <c r="B440" i="3"/>
  <c r="B442" i="3"/>
  <c r="B444" i="3"/>
  <c r="B446" i="3"/>
  <c r="B448" i="3"/>
  <c r="B450" i="3"/>
  <c r="B452" i="3"/>
  <c r="B454" i="3"/>
  <c r="B456" i="3"/>
  <c r="B458" i="3"/>
  <c r="B460" i="3"/>
  <c r="B462" i="3"/>
  <c r="B464" i="3"/>
  <c r="B466" i="3"/>
  <c r="B468" i="3"/>
  <c r="B470" i="3"/>
  <c r="B472" i="3"/>
  <c r="B474" i="3"/>
  <c r="B476" i="3"/>
  <c r="B478" i="3"/>
  <c r="B480" i="3"/>
  <c r="B482" i="3"/>
  <c r="B484" i="3"/>
  <c r="B486" i="3"/>
  <c r="B488" i="3"/>
  <c r="B490" i="3"/>
  <c r="B492" i="3"/>
  <c r="B494" i="3"/>
  <c r="B496" i="3"/>
  <c r="B498" i="3"/>
  <c r="B500" i="3"/>
  <c r="B502" i="3"/>
  <c r="B504" i="3"/>
  <c r="B506" i="3"/>
  <c r="B508" i="3"/>
  <c r="B510" i="3"/>
  <c r="B512" i="3"/>
  <c r="B514" i="3"/>
  <c r="B516" i="3"/>
  <c r="B518" i="3"/>
  <c r="B520" i="3"/>
  <c r="B522" i="3"/>
  <c r="B524" i="3"/>
  <c r="B526" i="3"/>
  <c r="B528" i="3"/>
  <c r="B530" i="3"/>
  <c r="B532" i="3"/>
  <c r="B534" i="3"/>
  <c r="B536" i="3"/>
  <c r="B538" i="3"/>
  <c r="B540" i="3"/>
  <c r="B542" i="3"/>
  <c r="B544" i="3"/>
  <c r="B546" i="3"/>
  <c r="B548" i="3"/>
  <c r="B550" i="3"/>
  <c r="B552" i="3"/>
  <c r="B554" i="3"/>
  <c r="B556" i="3"/>
  <c r="B558" i="3"/>
  <c r="B560" i="3"/>
  <c r="B562" i="3"/>
  <c r="B564" i="3"/>
  <c r="B566" i="3"/>
  <c r="B568" i="3"/>
  <c r="B570" i="3"/>
  <c r="B572" i="3"/>
  <c r="B574" i="3"/>
  <c r="B576" i="3"/>
  <c r="B578" i="3"/>
  <c r="B580" i="3"/>
  <c r="B582" i="3"/>
  <c r="B584" i="3"/>
  <c r="B586" i="3"/>
  <c r="B588" i="3"/>
  <c r="B590" i="3"/>
  <c r="B592" i="3"/>
  <c r="B594" i="3"/>
  <c r="B596" i="3"/>
  <c r="B598" i="3"/>
  <c r="B600" i="3"/>
  <c r="B602" i="3"/>
  <c r="B604" i="3"/>
  <c r="B606" i="3"/>
  <c r="B608" i="3"/>
  <c r="B610" i="3"/>
  <c r="B612" i="3"/>
  <c r="B614" i="3"/>
  <c r="B616" i="3"/>
  <c r="B618" i="3"/>
  <c r="B620" i="3"/>
  <c r="B622" i="3"/>
  <c r="B624" i="3"/>
  <c r="B626" i="3"/>
  <c r="B628" i="3"/>
  <c r="B630" i="3"/>
  <c r="B632" i="3"/>
  <c r="B634" i="3"/>
  <c r="B636" i="3"/>
  <c r="B638" i="3"/>
  <c r="B640" i="3"/>
  <c r="B642" i="3"/>
  <c r="B644" i="3"/>
  <c r="B646" i="3"/>
  <c r="B648" i="3"/>
  <c r="B650" i="3"/>
  <c r="B652" i="3"/>
  <c r="B654" i="3"/>
  <c r="B656" i="3"/>
  <c r="B658" i="3"/>
  <c r="B660" i="3"/>
  <c r="B662" i="3"/>
  <c r="B664" i="3"/>
  <c r="B666" i="3"/>
  <c r="B668" i="3"/>
  <c r="B401" i="3"/>
  <c r="B405" i="3"/>
  <c r="B409" i="3"/>
  <c r="B411" i="3"/>
  <c r="B413" i="3"/>
  <c r="B415" i="3"/>
  <c r="B417" i="3"/>
  <c r="B419" i="3"/>
  <c r="B421" i="3"/>
  <c r="B423" i="3"/>
  <c r="B425" i="3"/>
  <c r="B427" i="3"/>
  <c r="B429" i="3"/>
  <c r="B431" i="3"/>
  <c r="B433" i="3"/>
  <c r="B435" i="3"/>
  <c r="B437" i="3"/>
  <c r="B439" i="3"/>
  <c r="B441" i="3"/>
  <c r="B443" i="3"/>
  <c r="B445" i="3"/>
  <c r="B447" i="3"/>
  <c r="B449" i="3"/>
  <c r="B451" i="3"/>
  <c r="B453" i="3"/>
  <c r="B455" i="3"/>
  <c r="B457" i="3"/>
  <c r="B459" i="3"/>
  <c r="B461" i="3"/>
  <c r="B463" i="3"/>
  <c r="B465" i="3"/>
  <c r="B467" i="3"/>
  <c r="B469" i="3"/>
  <c r="B471" i="3"/>
  <c r="B473" i="3"/>
  <c r="B475" i="3"/>
  <c r="B477" i="3"/>
  <c r="B479" i="3"/>
  <c r="B481" i="3"/>
  <c r="B483" i="3"/>
  <c r="B485" i="3"/>
  <c r="B487" i="3"/>
  <c r="B489" i="3"/>
  <c r="B491" i="3"/>
  <c r="B493" i="3"/>
  <c r="B495" i="3"/>
  <c r="B497" i="3"/>
  <c r="B499" i="3"/>
  <c r="B501" i="3"/>
  <c r="B503" i="3"/>
  <c r="B505" i="3"/>
  <c r="B507" i="3"/>
  <c r="B509" i="3"/>
  <c r="B511" i="3"/>
  <c r="B513" i="3"/>
  <c r="B515" i="3"/>
  <c r="B517" i="3"/>
  <c r="B519" i="3"/>
  <c r="B521" i="3"/>
  <c r="B523" i="3"/>
  <c r="B525" i="3"/>
  <c r="B527" i="3"/>
  <c r="B529" i="3"/>
  <c r="B531" i="3"/>
  <c r="B533" i="3"/>
  <c r="B535" i="3"/>
  <c r="B537" i="3"/>
  <c r="B539" i="3"/>
  <c r="B541" i="3"/>
  <c r="B543" i="3"/>
  <c r="B545" i="3"/>
  <c r="B547" i="3"/>
  <c r="B549" i="3"/>
  <c r="B551" i="3"/>
  <c r="B553" i="3"/>
  <c r="B555" i="3"/>
  <c r="B557" i="3"/>
  <c r="B559" i="3"/>
  <c r="B561" i="3"/>
  <c r="B563" i="3"/>
  <c r="B565" i="3"/>
  <c r="B567" i="3"/>
  <c r="B569" i="3"/>
  <c r="B571" i="3"/>
  <c r="B573" i="3"/>
  <c r="B575" i="3"/>
  <c r="B577" i="3"/>
  <c r="B579" i="3"/>
  <c r="B581" i="3"/>
  <c r="B583" i="3"/>
  <c r="B585" i="3"/>
  <c r="B587" i="3"/>
  <c r="B589" i="3"/>
  <c r="B591" i="3"/>
  <c r="B593" i="3"/>
  <c r="B595" i="3"/>
  <c r="B597" i="3"/>
  <c r="B599" i="3"/>
  <c r="B601" i="3"/>
  <c r="B603" i="3"/>
  <c r="B605" i="3"/>
  <c r="B607" i="3"/>
  <c r="B609" i="3"/>
  <c r="B611" i="3"/>
  <c r="B613" i="3"/>
  <c r="B615" i="3"/>
  <c r="B617" i="3"/>
  <c r="B619" i="3"/>
  <c r="B621" i="3"/>
  <c r="B623" i="3"/>
  <c r="B625" i="3"/>
  <c r="B627" i="3"/>
  <c r="B629" i="3"/>
  <c r="B631" i="3"/>
  <c r="B633" i="3"/>
  <c r="B635" i="3"/>
  <c r="B637" i="3"/>
  <c r="B639" i="3"/>
  <c r="B641" i="3"/>
  <c r="B643" i="3"/>
  <c r="B645" i="3"/>
  <c r="B647" i="3"/>
  <c r="B649" i="3"/>
  <c r="B651" i="3"/>
  <c r="B653" i="3"/>
  <c r="B655" i="3"/>
  <c r="B657" i="3"/>
  <c r="B659" i="3"/>
  <c r="B661" i="3"/>
  <c r="B663" i="3"/>
  <c r="B665" i="3"/>
  <c r="B667" i="3"/>
  <c r="B669" i="3"/>
  <c r="B671" i="3"/>
  <c r="B673" i="3"/>
  <c r="B675" i="3"/>
  <c r="B672" i="3"/>
  <c r="B676" i="3"/>
  <c r="B678" i="3"/>
  <c r="B680" i="3"/>
  <c r="B682" i="3"/>
  <c r="B684" i="3"/>
  <c r="B686" i="3"/>
  <c r="B688" i="3"/>
  <c r="B690" i="3"/>
  <c r="B692" i="3"/>
  <c r="B694" i="3"/>
  <c r="B696" i="3"/>
  <c r="B698" i="3"/>
  <c r="B700" i="3"/>
  <c r="B702" i="3"/>
  <c r="B704" i="3"/>
  <c r="B706" i="3"/>
  <c r="B708" i="3"/>
  <c r="B710" i="3"/>
  <c r="B712" i="3"/>
  <c r="B714" i="3"/>
  <c r="B716" i="3"/>
  <c r="B718" i="3"/>
  <c r="B720" i="3"/>
  <c r="B722" i="3"/>
  <c r="B724" i="3"/>
  <c r="B726" i="3"/>
  <c r="B728" i="3"/>
  <c r="B730" i="3"/>
  <c r="B670" i="3"/>
  <c r="B674" i="3"/>
  <c r="B677" i="3"/>
  <c r="B679" i="3"/>
  <c r="B681" i="3"/>
  <c r="B683" i="3"/>
  <c r="B685" i="3"/>
  <c r="B687" i="3"/>
  <c r="B689" i="3"/>
  <c r="B691" i="3"/>
  <c r="B693" i="3"/>
  <c r="B695" i="3"/>
  <c r="B697" i="3"/>
  <c r="B699" i="3"/>
  <c r="B701" i="3"/>
  <c r="B703" i="3"/>
  <c r="B705" i="3"/>
  <c r="B707" i="3"/>
  <c r="B709" i="3"/>
  <c r="B711" i="3"/>
  <c r="B713" i="3"/>
  <c r="B715" i="3"/>
  <c r="B717" i="3"/>
  <c r="B719" i="3"/>
  <c r="B721" i="3"/>
  <c r="B723" i="3"/>
  <c r="B725" i="3"/>
  <c r="B727" i="3"/>
  <c r="B729" i="3"/>
  <c r="B731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2" i="2"/>
  <c r="A2" i="2"/>
  <c r="A6" i="1"/>
  <c r="E5" i="3" l="1"/>
  <c r="G5" i="3"/>
  <c r="D5" i="3"/>
  <c r="F5" i="3"/>
  <c r="D4" i="3"/>
  <c r="F4" i="3"/>
  <c r="E4" i="3"/>
  <c r="G4" i="3"/>
  <c r="E3" i="3"/>
  <c r="G3" i="3"/>
  <c r="D3" i="3"/>
  <c r="F3" i="3"/>
  <c r="D2" i="3"/>
  <c r="F2" i="3"/>
  <c r="E2" i="3"/>
  <c r="G2" i="3"/>
  <c r="E367" i="2"/>
  <c r="D367" i="2"/>
  <c r="D3" i="2"/>
  <c r="E3" i="2"/>
  <c r="E2" i="2"/>
  <c r="E368" i="2"/>
  <c r="D368" i="2"/>
  <c r="D2" i="2"/>
  <c r="A7" i="1"/>
  <c r="E6" i="3" l="1"/>
  <c r="D7" i="3"/>
  <c r="G6" i="3"/>
  <c r="F6" i="3"/>
  <c r="F7" i="3"/>
  <c r="G7" i="3"/>
  <c r="D6" i="3"/>
  <c r="E7" i="3"/>
  <c r="A5" i="6"/>
  <c r="A3" i="6"/>
  <c r="A4" i="6"/>
  <c r="A2" i="6"/>
  <c r="A368" i="5"/>
  <c r="A3" i="5"/>
  <c r="A367" i="5"/>
  <c r="E369" i="2"/>
  <c r="D369" i="2"/>
  <c r="E4" i="2"/>
  <c r="D4" i="2"/>
  <c r="A2" i="5"/>
  <c r="A8" i="1"/>
  <c r="A6" i="6" l="1"/>
  <c r="A7" i="6"/>
  <c r="D9" i="3"/>
  <c r="E8" i="3"/>
  <c r="E9" i="3"/>
  <c r="D8" i="3"/>
  <c r="G8" i="3"/>
  <c r="F9" i="3"/>
  <c r="F8" i="3"/>
  <c r="G9" i="3"/>
  <c r="A369" i="5"/>
  <c r="A4" i="5"/>
  <c r="E5" i="2"/>
  <c r="D370" i="2"/>
  <c r="E370" i="2"/>
  <c r="D5" i="2"/>
  <c r="A9" i="1"/>
  <c r="A9" i="6" l="1"/>
  <c r="A8" i="6"/>
  <c r="D10" i="3"/>
  <c r="E11" i="3"/>
  <c r="G10" i="3"/>
  <c r="F10" i="3"/>
  <c r="D11" i="3"/>
  <c r="E10" i="3"/>
  <c r="F11" i="3"/>
  <c r="G11" i="3"/>
  <c r="A5" i="5"/>
  <c r="A370" i="5"/>
  <c r="E6" i="2"/>
  <c r="D371" i="2"/>
  <c r="D6" i="2"/>
  <c r="E371" i="2"/>
  <c r="A10" i="1"/>
  <c r="A11" i="6" l="1"/>
  <c r="E13" i="3"/>
  <c r="D12" i="3"/>
  <c r="A10" i="6"/>
  <c r="F12" i="3"/>
  <c r="G13" i="3"/>
  <c r="D13" i="3"/>
  <c r="E12" i="3"/>
  <c r="G12" i="3"/>
  <c r="F13" i="3"/>
  <c r="A6" i="5"/>
  <c r="A371" i="5"/>
  <c r="E372" i="2"/>
  <c r="D7" i="2"/>
  <c r="E7" i="2"/>
  <c r="D372" i="2"/>
  <c r="A11" i="1"/>
  <c r="A13" i="6" l="1"/>
  <c r="A12" i="6"/>
  <c r="A372" i="5"/>
  <c r="A7" i="5"/>
  <c r="A12" i="1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F577" i="3" l="1"/>
  <c r="G35" i="3"/>
  <c r="D57" i="3"/>
  <c r="D110" i="3"/>
  <c r="E119" i="3"/>
  <c r="F27" i="3"/>
  <c r="F52" i="3"/>
  <c r="G49" i="3"/>
  <c r="G70" i="3"/>
  <c r="F106" i="3"/>
  <c r="G83" i="3"/>
  <c r="G115" i="3"/>
  <c r="F142" i="3"/>
  <c r="F174" i="3"/>
  <c r="G134" i="3"/>
  <c r="G183" i="3"/>
  <c r="F224" i="3"/>
  <c r="F256" i="3"/>
  <c r="F288" i="3"/>
  <c r="G165" i="3"/>
  <c r="G215" i="3"/>
  <c r="G267" i="3"/>
  <c r="F321" i="3"/>
  <c r="F353" i="3"/>
  <c r="F385" i="3"/>
  <c r="G261" i="3"/>
  <c r="G320" i="3"/>
  <c r="G352" i="3"/>
  <c r="G384" i="3"/>
  <c r="F412" i="3"/>
  <c r="F444" i="3"/>
  <c r="F476" i="3"/>
  <c r="F508" i="3"/>
  <c r="F540" i="3"/>
  <c r="F572" i="3"/>
  <c r="F604" i="3"/>
  <c r="F636" i="3"/>
  <c r="F668" i="3"/>
  <c r="G435" i="3"/>
  <c r="G467" i="3"/>
  <c r="G499" i="3"/>
  <c r="G531" i="3"/>
  <c r="G563" i="3"/>
  <c r="G595" i="3"/>
  <c r="G627" i="3"/>
  <c r="G659" i="3"/>
  <c r="F688" i="3"/>
  <c r="F720" i="3"/>
  <c r="G707" i="3"/>
  <c r="D713" i="3"/>
  <c r="D681" i="3"/>
  <c r="E730" i="3"/>
  <c r="E698" i="3"/>
  <c r="E669" i="3"/>
  <c r="D637" i="3"/>
  <c r="D605" i="3"/>
  <c r="D573" i="3"/>
  <c r="D541" i="3"/>
  <c r="D509" i="3"/>
  <c r="D477" i="3"/>
  <c r="D445" i="3"/>
  <c r="D413" i="3"/>
  <c r="E646" i="3"/>
  <c r="E614" i="3"/>
  <c r="E582" i="3"/>
  <c r="E550" i="3"/>
  <c r="E518" i="3"/>
  <c r="E486" i="3"/>
  <c r="E454" i="3"/>
  <c r="E422" i="3"/>
  <c r="D394" i="3"/>
  <c r="D362" i="3"/>
  <c r="D330" i="3"/>
  <c r="F281" i="3"/>
  <c r="E395" i="3"/>
  <c r="E363" i="3"/>
  <c r="E331" i="3"/>
  <c r="D287" i="3"/>
  <c r="D225" i="3"/>
  <c r="F185" i="3"/>
  <c r="G298" i="3"/>
  <c r="G266" i="3"/>
  <c r="G234" i="3"/>
  <c r="E202" i="3"/>
  <c r="D145" i="3"/>
  <c r="E184" i="3"/>
  <c r="E152" i="3"/>
  <c r="E125" i="3"/>
  <c r="D93" i="3"/>
  <c r="E116" i="3"/>
  <c r="E84" i="3"/>
  <c r="D59" i="3"/>
  <c r="E62" i="3"/>
  <c r="D24" i="3"/>
  <c r="E20" i="3"/>
  <c r="D719" i="3"/>
  <c r="G721" i="3"/>
  <c r="G689" i="3"/>
  <c r="F706" i="3"/>
  <c r="G672" i="3"/>
  <c r="G645" i="3"/>
  <c r="G613" i="3"/>
  <c r="G581" i="3"/>
  <c r="E40" i="3"/>
  <c r="G69" i="3"/>
  <c r="D122" i="3"/>
  <c r="D131" i="3"/>
  <c r="F19" i="3"/>
  <c r="G44" i="3"/>
  <c r="F41" i="3"/>
  <c r="E73" i="3"/>
  <c r="G98" i="3"/>
  <c r="D72" i="3"/>
  <c r="F107" i="3"/>
  <c r="F128" i="3"/>
  <c r="E166" i="3"/>
  <c r="E198" i="3"/>
  <c r="F167" i="3"/>
  <c r="G216" i="3"/>
  <c r="G248" i="3"/>
  <c r="G280" i="3"/>
  <c r="F312" i="3"/>
  <c r="F207" i="3"/>
  <c r="F251" i="3"/>
  <c r="G313" i="3"/>
  <c r="G345" i="3"/>
  <c r="G377" i="3"/>
  <c r="D245" i="3"/>
  <c r="D309" i="3"/>
  <c r="F344" i="3"/>
  <c r="F376" i="3"/>
  <c r="F403" i="3"/>
  <c r="G436" i="3"/>
  <c r="G468" i="3"/>
  <c r="G500" i="3"/>
  <c r="G532" i="3"/>
  <c r="G564" i="3"/>
  <c r="G596" i="3"/>
  <c r="G628" i="3"/>
  <c r="G660" i="3"/>
  <c r="F427" i="3"/>
  <c r="F459" i="3"/>
  <c r="F491" i="3"/>
  <c r="F523" i="3"/>
  <c r="F555" i="3"/>
  <c r="F587" i="3"/>
  <c r="F619" i="3"/>
  <c r="F651" i="3"/>
  <c r="G680" i="3"/>
  <c r="G712" i="3"/>
  <c r="F695" i="3"/>
  <c r="E721" i="3"/>
  <c r="E689" i="3"/>
  <c r="D706" i="3"/>
  <c r="E672" i="3"/>
  <c r="E645" i="3"/>
  <c r="E613" i="3"/>
  <c r="E581" i="3"/>
  <c r="E549" i="3"/>
  <c r="E517" i="3"/>
  <c r="E485" i="3"/>
  <c r="E453" i="3"/>
  <c r="E421" i="3"/>
  <c r="D654" i="3"/>
  <c r="D622" i="3"/>
  <c r="D590" i="3"/>
  <c r="D558" i="3"/>
  <c r="D526" i="3"/>
  <c r="D494" i="3"/>
  <c r="D462" i="3"/>
  <c r="D430" i="3"/>
  <c r="D402" i="3"/>
  <c r="E370" i="3"/>
  <c r="E338" i="3"/>
  <c r="E297" i="3"/>
  <c r="E233" i="3"/>
  <c r="D371" i="3"/>
  <c r="D339" i="3"/>
  <c r="E303" i="3"/>
  <c r="E239" i="3"/>
  <c r="E201" i="3"/>
  <c r="D306" i="3"/>
  <c r="D274" i="3"/>
  <c r="D242" i="3"/>
  <c r="D210" i="3"/>
  <c r="E155" i="3"/>
  <c r="D192" i="3"/>
  <c r="D160" i="3"/>
  <c r="D133" i="3"/>
  <c r="E101" i="3"/>
  <c r="D124" i="3"/>
  <c r="D92" i="3"/>
  <c r="D67" i="3"/>
  <c r="E34" i="3"/>
  <c r="D38" i="3"/>
  <c r="E727" i="3"/>
  <c r="F701" i="3"/>
  <c r="G718" i="3"/>
  <c r="G686" i="3"/>
  <c r="F657" i="3"/>
  <c r="F625" i="3"/>
  <c r="E674" i="3"/>
  <c r="F731" i="3"/>
  <c r="D683" i="3"/>
  <c r="E700" i="3"/>
  <c r="G671" i="3"/>
  <c r="D639" i="3"/>
  <c r="D607" i="3"/>
  <c r="D575" i="3"/>
  <c r="D543" i="3"/>
  <c r="D511" i="3"/>
  <c r="D479" i="3"/>
  <c r="D447" i="3"/>
  <c r="D415" i="3"/>
  <c r="E648" i="3"/>
  <c r="E616" i="3"/>
  <c r="E584" i="3"/>
  <c r="E552" i="3"/>
  <c r="E520" i="3"/>
  <c r="E488" i="3"/>
  <c r="E456" i="3"/>
  <c r="E424" i="3"/>
  <c r="D396" i="3"/>
  <c r="D364" i="3"/>
  <c r="D332" i="3"/>
  <c r="F285" i="3"/>
  <c r="E397" i="3"/>
  <c r="E365" i="3"/>
  <c r="E333" i="3"/>
  <c r="D291" i="3"/>
  <c r="D227" i="3"/>
  <c r="F189" i="3"/>
  <c r="E300" i="3"/>
  <c r="E268" i="3"/>
  <c r="E236" i="3"/>
  <c r="E204" i="3"/>
  <c r="D147" i="3"/>
  <c r="G186" i="3"/>
  <c r="G154" i="3"/>
  <c r="D99" i="3"/>
  <c r="E90" i="3"/>
  <c r="E22" i="3"/>
  <c r="D14" i="3"/>
  <c r="G33" i="3"/>
  <c r="G58" i="3"/>
  <c r="F55" i="3"/>
  <c r="G80" i="3"/>
  <c r="G112" i="3"/>
  <c r="F89" i="3"/>
  <c r="F121" i="3"/>
  <c r="G148" i="3"/>
  <c r="G180" i="3"/>
  <c r="F141" i="3"/>
  <c r="F195" i="3"/>
  <c r="E230" i="3"/>
  <c r="E262" i="3"/>
  <c r="E294" i="3"/>
  <c r="D177" i="3"/>
  <c r="F221" i="3"/>
  <c r="F279" i="3"/>
  <c r="G327" i="3"/>
  <c r="G359" i="3"/>
  <c r="G391" i="3"/>
  <c r="D273" i="3"/>
  <c r="F326" i="3"/>
  <c r="F358" i="3"/>
  <c r="F390" i="3"/>
  <c r="G418" i="3"/>
  <c r="G450" i="3"/>
  <c r="G482" i="3"/>
  <c r="G514" i="3"/>
  <c r="G546" i="3"/>
  <c r="G578" i="3"/>
  <c r="G610" i="3"/>
  <c r="G642" i="3"/>
  <c r="F409" i="3"/>
  <c r="F441" i="3"/>
  <c r="F473" i="3"/>
  <c r="F505" i="3"/>
  <c r="F537" i="3"/>
  <c r="F569" i="3"/>
  <c r="F727" i="3"/>
  <c r="D712" i="3"/>
  <c r="D680" i="3"/>
  <c r="E651" i="3"/>
  <c r="E619" i="3"/>
  <c r="E587" i="3"/>
  <c r="E555" i="3"/>
  <c r="E523" i="3"/>
  <c r="E491" i="3"/>
  <c r="E459" i="3"/>
  <c r="E427" i="3"/>
  <c r="D660" i="3"/>
  <c r="D628" i="3"/>
  <c r="D596" i="3"/>
  <c r="D564" i="3"/>
  <c r="D532" i="3"/>
  <c r="D500" i="3"/>
  <c r="D468" i="3"/>
  <c r="D436" i="3"/>
  <c r="E403" i="3"/>
  <c r="E376" i="3"/>
  <c r="E344" i="3"/>
  <c r="E309" i="3"/>
  <c r="E245" i="3"/>
  <c r="D377" i="3"/>
  <c r="D345" i="3"/>
  <c r="D313" i="3"/>
  <c r="E251" i="3"/>
  <c r="E207" i="3"/>
  <c r="D312" i="3"/>
  <c r="D280" i="3"/>
  <c r="D248" i="3"/>
  <c r="D216" i="3"/>
  <c r="E167" i="3"/>
  <c r="D198" i="3"/>
  <c r="D166" i="3"/>
  <c r="G127" i="3"/>
  <c r="E118" i="3"/>
  <c r="E57" i="3"/>
  <c r="D35" i="3"/>
  <c r="F16" i="3"/>
  <c r="G32" i="3"/>
  <c r="G26" i="3"/>
  <c r="F63" i="3"/>
  <c r="F88" i="3"/>
  <c r="F120" i="3"/>
  <c r="G97" i="3"/>
  <c r="F129" i="3"/>
  <c r="F156" i="3"/>
  <c r="F188" i="3"/>
  <c r="G149" i="3"/>
  <c r="F206" i="3"/>
  <c r="F238" i="3"/>
  <c r="F270" i="3"/>
  <c r="F302" i="3"/>
  <c r="G193" i="3"/>
  <c r="G231" i="3"/>
  <c r="G295" i="3"/>
  <c r="F335" i="3"/>
  <c r="F367" i="3"/>
  <c r="F399" i="3"/>
  <c r="G289" i="3"/>
  <c r="G334" i="3"/>
  <c r="G366" i="3"/>
  <c r="G398" i="3"/>
  <c r="F426" i="3"/>
  <c r="F458" i="3"/>
  <c r="F490" i="3"/>
  <c r="F522" i="3"/>
  <c r="F554" i="3"/>
  <c r="F586" i="3"/>
  <c r="F618" i="3"/>
  <c r="F650" i="3"/>
  <c r="G417" i="3"/>
  <c r="G449" i="3"/>
  <c r="G481" i="3"/>
  <c r="G513" i="3"/>
  <c r="G545" i="3"/>
  <c r="F585" i="3"/>
  <c r="F30" i="3"/>
  <c r="D86" i="3"/>
  <c r="E95" i="3"/>
  <c r="G15" i="3"/>
  <c r="F40" i="3"/>
  <c r="G37" i="3"/>
  <c r="F69" i="3"/>
  <c r="F94" i="3"/>
  <c r="G64" i="3"/>
  <c r="G103" i="3"/>
  <c r="F135" i="3"/>
  <c r="F162" i="3"/>
  <c r="F194" i="3"/>
  <c r="G159" i="3"/>
  <c r="F212" i="3"/>
  <c r="F244" i="3"/>
  <c r="F276" i="3"/>
  <c r="F308" i="3"/>
  <c r="G203" i="3"/>
  <c r="G243" i="3"/>
  <c r="G307" i="3"/>
  <c r="F341" i="3"/>
  <c r="F373" i="3"/>
  <c r="G237" i="3"/>
  <c r="G301" i="3"/>
  <c r="G340" i="3"/>
  <c r="G372" i="3"/>
  <c r="F404" i="3"/>
  <c r="F432" i="3"/>
  <c r="F464" i="3"/>
  <c r="F496" i="3"/>
  <c r="F528" i="3"/>
  <c r="F560" i="3"/>
  <c r="F592" i="3"/>
  <c r="F624" i="3"/>
  <c r="F656" i="3"/>
  <c r="G423" i="3"/>
  <c r="G455" i="3"/>
  <c r="G487" i="3"/>
  <c r="G519" i="3"/>
  <c r="G551" i="3"/>
  <c r="G583" i="3"/>
  <c r="G615" i="3"/>
  <c r="G647" i="3"/>
  <c r="G676" i="3"/>
  <c r="F708" i="3"/>
  <c r="G691" i="3"/>
  <c r="D725" i="3"/>
  <c r="D693" i="3"/>
  <c r="E710" i="3"/>
  <c r="E678" i="3"/>
  <c r="D649" i="3"/>
  <c r="D617" i="3"/>
  <c r="D585" i="3"/>
  <c r="D553" i="3"/>
  <c r="D521" i="3"/>
  <c r="D489" i="3"/>
  <c r="D457" i="3"/>
  <c r="D425" i="3"/>
  <c r="E658" i="3"/>
  <c r="E626" i="3"/>
  <c r="E594" i="3"/>
  <c r="E562" i="3"/>
  <c r="E530" i="3"/>
  <c r="E498" i="3"/>
  <c r="E466" i="3"/>
  <c r="E434" i="3"/>
  <c r="G406" i="3"/>
  <c r="D374" i="3"/>
  <c r="D342" i="3"/>
  <c r="F305" i="3"/>
  <c r="F241" i="3"/>
  <c r="E375" i="3"/>
  <c r="E343" i="3"/>
  <c r="D311" i="3"/>
  <c r="D247" i="3"/>
  <c r="D205" i="3"/>
  <c r="G310" i="3"/>
  <c r="G278" i="3"/>
  <c r="G246" i="3"/>
  <c r="E214" i="3"/>
  <c r="D163" i="3"/>
  <c r="E196" i="3"/>
  <c r="E164" i="3"/>
  <c r="E137" i="3"/>
  <c r="D105" i="3"/>
  <c r="F68" i="3"/>
  <c r="E96" i="3"/>
  <c r="E71" i="3"/>
  <c r="D39" i="3"/>
  <c r="E42" i="3"/>
  <c r="D17" i="3"/>
  <c r="D715" i="3"/>
  <c r="G717" i="3"/>
  <c r="G685" i="3"/>
  <c r="F702" i="3"/>
  <c r="F673" i="3"/>
  <c r="G641" i="3"/>
  <c r="G609" i="3"/>
  <c r="G577" i="3"/>
  <c r="E48" i="3"/>
  <c r="G77" i="3"/>
  <c r="E72" i="3"/>
  <c r="E128" i="3"/>
  <c r="E23" i="3"/>
  <c r="G48" i="3"/>
  <c r="F45" i="3"/>
  <c r="E77" i="3"/>
  <c r="G102" i="3"/>
  <c r="F79" i="3"/>
  <c r="F111" i="3"/>
  <c r="F136" i="3"/>
  <c r="E170" i="3"/>
  <c r="D126" i="3"/>
  <c r="F175" i="3"/>
  <c r="G220" i="3"/>
  <c r="G252" i="3"/>
  <c r="G284" i="3"/>
  <c r="D157" i="3"/>
  <c r="F211" i="3"/>
  <c r="F259" i="3"/>
  <c r="G317" i="3"/>
  <c r="G349" i="3"/>
  <c r="G381" i="3"/>
  <c r="D253" i="3"/>
  <c r="F316" i="3"/>
  <c r="F348" i="3"/>
  <c r="F380" i="3"/>
  <c r="G408" i="3"/>
  <c r="G440" i="3"/>
  <c r="G472" i="3"/>
  <c r="G504" i="3"/>
  <c r="G536" i="3"/>
  <c r="G568" i="3"/>
  <c r="G600" i="3"/>
  <c r="G632" i="3"/>
  <c r="G664" i="3"/>
  <c r="F431" i="3"/>
  <c r="F463" i="3"/>
  <c r="F495" i="3"/>
  <c r="F527" i="3"/>
  <c r="F559" i="3"/>
  <c r="F591" i="3"/>
  <c r="F623" i="3"/>
  <c r="F655" i="3"/>
  <c r="G684" i="3"/>
  <c r="G716" i="3"/>
  <c r="F699" i="3"/>
  <c r="E717" i="3"/>
  <c r="E685" i="3"/>
  <c r="D702" i="3"/>
  <c r="D673" i="3"/>
  <c r="E641" i="3"/>
  <c r="E609" i="3"/>
  <c r="E577" i="3"/>
  <c r="E545" i="3"/>
  <c r="E513" i="3"/>
  <c r="E481" i="3"/>
  <c r="E449" i="3"/>
  <c r="E417" i="3"/>
  <c r="D650" i="3"/>
  <c r="D618" i="3"/>
  <c r="D586" i="3"/>
  <c r="D554" i="3"/>
  <c r="D522" i="3"/>
  <c r="D490" i="3"/>
  <c r="D458" i="3"/>
  <c r="D426" i="3"/>
  <c r="E398" i="3"/>
  <c r="E366" i="3"/>
  <c r="E334" i="3"/>
  <c r="E289" i="3"/>
  <c r="D399" i="3"/>
  <c r="D367" i="3"/>
  <c r="D335" i="3"/>
  <c r="E295" i="3"/>
  <c r="E231" i="3"/>
  <c r="E193" i="3"/>
  <c r="D302" i="3"/>
  <c r="D270" i="3"/>
  <c r="D238" i="3"/>
  <c r="D206" i="3"/>
  <c r="E149" i="3"/>
  <c r="D188" i="3"/>
  <c r="D156" i="3"/>
  <c r="D129" i="3"/>
  <c r="E97" i="3"/>
  <c r="D120" i="3"/>
  <c r="D88" i="3"/>
  <c r="D63" i="3"/>
  <c r="E26" i="3"/>
  <c r="E32" i="3"/>
  <c r="D16" i="3"/>
  <c r="E707" i="3"/>
  <c r="F713" i="3"/>
  <c r="F681" i="3"/>
  <c r="G730" i="3"/>
  <c r="G698" i="3"/>
  <c r="G669" i="3"/>
  <c r="F637" i="3"/>
  <c r="F605" i="3"/>
  <c r="F703" i="3"/>
  <c r="D695" i="3"/>
  <c r="E712" i="3"/>
  <c r="E680" i="3"/>
  <c r="D651" i="3"/>
  <c r="D619" i="3"/>
  <c r="D587" i="3"/>
  <c r="D555" i="3"/>
  <c r="D523" i="3"/>
  <c r="D491" i="3"/>
  <c r="D459" i="3"/>
  <c r="D427" i="3"/>
  <c r="E660" i="3"/>
  <c r="E628" i="3"/>
  <c r="E596" i="3"/>
  <c r="E564" i="3"/>
  <c r="E532" i="3"/>
  <c r="E500" i="3"/>
  <c r="E468" i="3"/>
  <c r="E436" i="3"/>
  <c r="D403" i="3"/>
  <c r="D376" i="3"/>
  <c r="D344" i="3"/>
  <c r="F309" i="3"/>
  <c r="F245" i="3"/>
  <c r="E377" i="3"/>
  <c r="E345" i="3"/>
  <c r="E313" i="3"/>
  <c r="D251" i="3"/>
  <c r="D207" i="3"/>
  <c r="G312" i="3"/>
  <c r="E280" i="3"/>
  <c r="E248" i="3"/>
  <c r="E216" i="3"/>
  <c r="D167" i="3"/>
  <c r="G198" i="3"/>
  <c r="G166" i="3"/>
  <c r="D123" i="3"/>
  <c r="E114" i="3"/>
  <c r="E53" i="3"/>
  <c r="D31" i="3"/>
  <c r="G20" i="3"/>
  <c r="F24" i="3"/>
  <c r="G62" i="3"/>
  <c r="F59" i="3"/>
  <c r="G84" i="3"/>
  <c r="G116" i="3"/>
  <c r="F93" i="3"/>
  <c r="G125" i="3"/>
  <c r="G152" i="3"/>
  <c r="G184" i="3"/>
  <c r="F145" i="3"/>
  <c r="G202" i="3"/>
  <c r="E234" i="3"/>
  <c r="E266" i="3"/>
  <c r="E298" i="3"/>
  <c r="D185" i="3"/>
  <c r="F225" i="3"/>
  <c r="F287" i="3"/>
  <c r="G331" i="3"/>
  <c r="G363" i="3"/>
  <c r="G395" i="3"/>
  <c r="D281" i="3"/>
  <c r="F330" i="3"/>
  <c r="F362" i="3"/>
  <c r="F394" i="3"/>
  <c r="G422" i="3"/>
  <c r="G454" i="3"/>
  <c r="G486" i="3"/>
  <c r="G518" i="3"/>
  <c r="G550" i="3"/>
  <c r="G582" i="3"/>
  <c r="G614" i="3"/>
  <c r="G646" i="3"/>
  <c r="F413" i="3"/>
  <c r="F445" i="3"/>
  <c r="F477" i="3"/>
  <c r="F509" i="3"/>
  <c r="F541" i="3"/>
  <c r="F573" i="3"/>
  <c r="F711" i="3"/>
  <c r="D708" i="3"/>
  <c r="E676" i="3"/>
  <c r="E647" i="3"/>
  <c r="E615" i="3"/>
  <c r="E583" i="3"/>
  <c r="E551" i="3"/>
  <c r="E519" i="3"/>
  <c r="E487" i="3"/>
  <c r="E455" i="3"/>
  <c r="E423" i="3"/>
  <c r="D656" i="3"/>
  <c r="D624" i="3"/>
  <c r="D592" i="3"/>
  <c r="D560" i="3"/>
  <c r="D528" i="3"/>
  <c r="D496" i="3"/>
  <c r="D464" i="3"/>
  <c r="D432" i="3"/>
  <c r="D404" i="3"/>
  <c r="E372" i="3"/>
  <c r="E340" i="3"/>
  <c r="E301" i="3"/>
  <c r="E237" i="3"/>
  <c r="D373" i="3"/>
  <c r="D341" i="3"/>
  <c r="E307" i="3"/>
  <c r="E243" i="3"/>
  <c r="E203" i="3"/>
  <c r="D308" i="3"/>
  <c r="D276" i="3"/>
  <c r="D244" i="3"/>
  <c r="D212" i="3"/>
  <c r="E159" i="3"/>
  <c r="D194" i="3"/>
  <c r="D162" i="3"/>
  <c r="D119" i="3"/>
  <c r="E110" i="3"/>
  <c r="E49" i="3"/>
  <c r="D27" i="3"/>
  <c r="F29" i="3"/>
  <c r="F54" i="3"/>
  <c r="G51" i="3"/>
  <c r="G74" i="3"/>
  <c r="F108" i="3"/>
  <c r="G85" i="3"/>
  <c r="G117" i="3"/>
  <c r="F144" i="3"/>
  <c r="F176" i="3"/>
  <c r="F138" i="3"/>
  <c r="G187" i="3"/>
  <c r="F226" i="3"/>
  <c r="F258" i="3"/>
  <c r="F290" i="3"/>
  <c r="G169" i="3"/>
  <c r="G217" i="3"/>
  <c r="G271" i="3"/>
  <c r="F323" i="3"/>
  <c r="F355" i="3"/>
  <c r="F387" i="3"/>
  <c r="G265" i="3"/>
  <c r="G322" i="3"/>
  <c r="G354" i="3"/>
  <c r="G386" i="3"/>
  <c r="F414" i="3"/>
  <c r="F446" i="3"/>
  <c r="F478" i="3"/>
  <c r="F510" i="3"/>
  <c r="F542" i="3"/>
  <c r="F574" i="3"/>
  <c r="F606" i="3"/>
  <c r="F638" i="3"/>
  <c r="G401" i="3"/>
  <c r="G437" i="3"/>
  <c r="G469" i="3"/>
  <c r="G501" i="3"/>
  <c r="G533" i="3"/>
  <c r="G565" i="3"/>
  <c r="D19" i="3"/>
  <c r="D41" i="3"/>
  <c r="D94" i="3"/>
  <c r="E103" i="3"/>
  <c r="F14" i="3"/>
  <c r="F35" i="3"/>
  <c r="F60" i="3"/>
  <c r="G57" i="3"/>
  <c r="F82" i="3"/>
  <c r="F114" i="3"/>
  <c r="G91" i="3"/>
  <c r="G123" i="3"/>
  <c r="F150" i="3"/>
  <c r="F182" i="3"/>
  <c r="G143" i="3"/>
  <c r="G199" i="3"/>
  <c r="F232" i="3"/>
  <c r="F264" i="3"/>
  <c r="F296" i="3"/>
  <c r="G181" i="3"/>
  <c r="G223" i="3"/>
  <c r="G283" i="3"/>
  <c r="F329" i="3"/>
  <c r="F361" i="3"/>
  <c r="F393" i="3"/>
  <c r="G277" i="3"/>
  <c r="G328" i="3"/>
  <c r="G360" i="3"/>
  <c r="G392" i="3"/>
  <c r="F420" i="3"/>
  <c r="F452" i="3"/>
  <c r="F484" i="3"/>
  <c r="F516" i="3"/>
  <c r="F548" i="3"/>
  <c r="F580" i="3"/>
  <c r="F612" i="3"/>
  <c r="F644" i="3"/>
  <c r="G411" i="3"/>
  <c r="G443" i="3"/>
  <c r="G475" i="3"/>
  <c r="G507" i="3"/>
  <c r="G539" i="3"/>
  <c r="G571" i="3"/>
  <c r="G603" i="3"/>
  <c r="G635" i="3"/>
  <c r="G667" i="3"/>
  <c r="F696" i="3"/>
  <c r="F728" i="3"/>
  <c r="G679" i="3"/>
  <c r="G723" i="3"/>
  <c r="D705" i="3"/>
  <c r="F670" i="3"/>
  <c r="E722" i="3"/>
  <c r="E690" i="3"/>
  <c r="D661" i="3"/>
  <c r="D629" i="3"/>
  <c r="D597" i="3"/>
  <c r="D565" i="3"/>
  <c r="D533" i="3"/>
  <c r="D501" i="3"/>
  <c r="D469" i="3"/>
  <c r="D437" i="3"/>
  <c r="F401" i="3"/>
  <c r="E638" i="3"/>
  <c r="E606" i="3"/>
  <c r="E574" i="3"/>
  <c r="E542" i="3"/>
  <c r="E510" i="3"/>
  <c r="E478" i="3"/>
  <c r="E446" i="3"/>
  <c r="E414" i="3"/>
  <c r="D386" i="3"/>
  <c r="D354" i="3"/>
  <c r="D322" i="3"/>
  <c r="F265" i="3"/>
  <c r="E387" i="3"/>
  <c r="E355" i="3"/>
  <c r="E323" i="3"/>
  <c r="D271" i="3"/>
  <c r="D217" i="3"/>
  <c r="F169" i="3"/>
  <c r="G290" i="3"/>
  <c r="G258" i="3"/>
  <c r="E226" i="3"/>
  <c r="D187" i="3"/>
  <c r="D138" i="3"/>
  <c r="E176" i="3"/>
  <c r="E144" i="3"/>
  <c r="D117" i="3"/>
  <c r="D85" i="3"/>
  <c r="E108" i="3"/>
  <c r="D74" i="3"/>
  <c r="D51" i="3"/>
  <c r="E54" i="3"/>
  <c r="E29" i="3"/>
  <c r="D711" i="3"/>
  <c r="G713" i="3"/>
  <c r="G681" i="3"/>
  <c r="F730" i="3"/>
  <c r="F698" i="3"/>
  <c r="F669" i="3"/>
  <c r="G637" i="3"/>
  <c r="G605" i="3"/>
  <c r="G573" i="3"/>
  <c r="E56" i="3"/>
  <c r="E78" i="3"/>
  <c r="E83" i="3"/>
  <c r="D142" i="3"/>
  <c r="F36" i="3"/>
  <c r="D30" i="3"/>
  <c r="E65" i="3"/>
  <c r="G90" i="3"/>
  <c r="G122" i="3"/>
  <c r="F99" i="3"/>
  <c r="E131" i="3"/>
  <c r="E158" i="3"/>
  <c r="E190" i="3"/>
  <c r="F151" i="3"/>
  <c r="G208" i="3"/>
  <c r="G240" i="3"/>
  <c r="G272" i="3"/>
  <c r="G304" i="3"/>
  <c r="D197" i="3"/>
  <c r="F235" i="3"/>
  <c r="F299" i="3"/>
  <c r="G337" i="3"/>
  <c r="G369" i="3"/>
  <c r="D229" i="3"/>
  <c r="D293" i="3"/>
  <c r="F336" i="3"/>
  <c r="F368" i="3"/>
  <c r="G400" i="3"/>
  <c r="G428" i="3"/>
  <c r="G460" i="3"/>
  <c r="G492" i="3"/>
  <c r="G524" i="3"/>
  <c r="G556" i="3"/>
  <c r="G588" i="3"/>
  <c r="G620" i="3"/>
  <c r="G652" i="3"/>
  <c r="F419" i="3"/>
  <c r="F451" i="3"/>
  <c r="F483" i="3"/>
  <c r="F515" i="3"/>
  <c r="F547" i="3"/>
  <c r="F579" i="3"/>
  <c r="F611" i="3"/>
  <c r="F643" i="3"/>
  <c r="E675" i="3"/>
  <c r="G704" i="3"/>
  <c r="F687" i="3"/>
  <c r="E729" i="3"/>
  <c r="E697" i="3"/>
  <c r="D714" i="3"/>
  <c r="D682" i="3"/>
  <c r="E653" i="3"/>
  <c r="E621" i="3"/>
  <c r="E589" i="3"/>
  <c r="E557" i="3"/>
  <c r="E525" i="3"/>
  <c r="E493" i="3"/>
  <c r="E461" i="3"/>
  <c r="E429" i="3"/>
  <c r="D662" i="3"/>
  <c r="D630" i="3"/>
  <c r="D598" i="3"/>
  <c r="D566" i="3"/>
  <c r="D534" i="3"/>
  <c r="D502" i="3"/>
  <c r="D470" i="3"/>
  <c r="D438" i="3"/>
  <c r="E407" i="3"/>
  <c r="E378" i="3"/>
  <c r="E346" i="3"/>
  <c r="E314" i="3"/>
  <c r="E249" i="3"/>
  <c r="D379" i="3"/>
  <c r="D347" i="3"/>
  <c r="D315" i="3"/>
  <c r="E255" i="3"/>
  <c r="E209" i="3"/>
  <c r="E153" i="3"/>
  <c r="D282" i="3"/>
  <c r="D250" i="3"/>
  <c r="D218" i="3"/>
  <c r="E171" i="3"/>
  <c r="D200" i="3"/>
  <c r="D168" i="3"/>
  <c r="E132" i="3"/>
  <c r="E109" i="3"/>
  <c r="E76" i="3"/>
  <c r="D100" i="3"/>
  <c r="D75" i="3"/>
  <c r="E43" i="3"/>
  <c r="D46" i="3"/>
  <c r="D21" i="3"/>
  <c r="E703" i="3"/>
  <c r="F709" i="3"/>
  <c r="F677" i="3"/>
  <c r="G726" i="3"/>
  <c r="G694" i="3"/>
  <c r="F665" i="3"/>
  <c r="F633" i="3"/>
  <c r="F601" i="3"/>
  <c r="E691" i="3"/>
  <c r="D691" i="3"/>
  <c r="E708" i="3"/>
  <c r="D676" i="3"/>
  <c r="D647" i="3"/>
  <c r="D615" i="3"/>
  <c r="D583" i="3"/>
  <c r="D551" i="3"/>
  <c r="D519" i="3"/>
  <c r="D487" i="3"/>
  <c r="D455" i="3"/>
  <c r="D423" i="3"/>
  <c r="E656" i="3"/>
  <c r="E624" i="3"/>
  <c r="E592" i="3"/>
  <c r="E560" i="3"/>
  <c r="E528" i="3"/>
  <c r="E496" i="3"/>
  <c r="E464" i="3"/>
  <c r="E432" i="3"/>
  <c r="E404" i="3"/>
  <c r="D372" i="3"/>
  <c r="D340" i="3"/>
  <c r="F301" i="3"/>
  <c r="F237" i="3"/>
  <c r="E373" i="3"/>
  <c r="E341" i="3"/>
  <c r="D307" i="3"/>
  <c r="D243" i="3"/>
  <c r="D203" i="3"/>
  <c r="E308" i="3"/>
  <c r="E276" i="3"/>
  <c r="E244" i="3"/>
  <c r="E212" i="3"/>
  <c r="D159" i="3"/>
  <c r="G194" i="3"/>
  <c r="G162" i="3"/>
  <c r="D115" i="3"/>
  <c r="E106" i="3"/>
  <c r="E45" i="3"/>
  <c r="D23" i="3"/>
  <c r="G25" i="3"/>
  <c r="G50" i="3"/>
  <c r="F47" i="3"/>
  <c r="F66" i="3"/>
  <c r="G104" i="3"/>
  <c r="F81" i="3"/>
  <c r="F113" i="3"/>
  <c r="G140" i="3"/>
  <c r="G172" i="3"/>
  <c r="D130" i="3"/>
  <c r="F179" i="3"/>
  <c r="G222" i="3"/>
  <c r="E254" i="3"/>
  <c r="E286" i="3"/>
  <c r="D161" i="3"/>
  <c r="F213" i="3"/>
  <c r="F263" i="3"/>
  <c r="G319" i="3"/>
  <c r="G351" i="3"/>
  <c r="G383" i="3"/>
  <c r="D257" i="3"/>
  <c r="F318" i="3"/>
  <c r="F350" i="3"/>
  <c r="F382" i="3"/>
  <c r="G410" i="3"/>
  <c r="G442" i="3"/>
  <c r="G474" i="3"/>
  <c r="G506" i="3"/>
  <c r="G538" i="3"/>
  <c r="G570" i="3"/>
  <c r="G602" i="3"/>
  <c r="G634" i="3"/>
  <c r="G666" i="3"/>
  <c r="F433" i="3"/>
  <c r="F465" i="3"/>
  <c r="F497" i="3"/>
  <c r="F529" i="3"/>
  <c r="F561" i="3"/>
  <c r="D720" i="3"/>
  <c r="D688" i="3"/>
  <c r="E659" i="3"/>
  <c r="E627" i="3"/>
  <c r="E595" i="3"/>
  <c r="E563" i="3"/>
  <c r="E531" i="3"/>
  <c r="E499" i="3"/>
  <c r="E467" i="3"/>
  <c r="E435" i="3"/>
  <c r="D668" i="3"/>
  <c r="D636" i="3"/>
  <c r="D604" i="3"/>
  <c r="D572" i="3"/>
  <c r="D540" i="3"/>
  <c r="D508" i="3"/>
  <c r="D476" i="3"/>
  <c r="D444" i="3"/>
  <c r="D412" i="3"/>
  <c r="E384" i="3"/>
  <c r="E352" i="3"/>
  <c r="E320" i="3"/>
  <c r="E261" i="3"/>
  <c r="D385" i="3"/>
  <c r="D353" i="3"/>
  <c r="D321" i="3"/>
  <c r="E267" i="3"/>
  <c r="E215" i="3"/>
  <c r="E165" i="3"/>
  <c r="D288" i="3"/>
  <c r="D256" i="3"/>
  <c r="D224" i="3"/>
  <c r="E183" i="3"/>
  <c r="E134" i="3"/>
  <c r="D174" i="3"/>
  <c r="D136" i="3"/>
  <c r="D79" i="3"/>
  <c r="D73" i="3"/>
  <c r="D44" i="3"/>
  <c r="F33" i="3"/>
  <c r="F58" i="3"/>
  <c r="G55" i="3"/>
  <c r="F80" i="3"/>
  <c r="F112" i="3"/>
  <c r="G89" i="3"/>
  <c r="G121" i="3"/>
  <c r="F148" i="3"/>
  <c r="F180" i="3"/>
  <c r="G141" i="3"/>
  <c r="G195" i="3"/>
  <c r="F230" i="3"/>
  <c r="F262" i="3"/>
  <c r="F294" i="3"/>
  <c r="G177" i="3"/>
  <c r="G221" i="3"/>
  <c r="G279" i="3"/>
  <c r="F327" i="3"/>
  <c r="F359" i="3"/>
  <c r="F391" i="3"/>
  <c r="G273" i="3"/>
  <c r="G326" i="3"/>
  <c r="G358" i="3"/>
  <c r="G390" i="3"/>
  <c r="F418" i="3"/>
  <c r="F450" i="3"/>
  <c r="F482" i="3"/>
  <c r="F514" i="3"/>
  <c r="F546" i="3"/>
  <c r="F578" i="3"/>
  <c r="F610" i="3"/>
  <c r="F642" i="3"/>
  <c r="G409" i="3"/>
  <c r="G441" i="3"/>
  <c r="G473" i="3"/>
  <c r="G505" i="3"/>
  <c r="G537" i="3"/>
  <c r="G569" i="3"/>
  <c r="E52" i="3"/>
  <c r="D70" i="3"/>
  <c r="E79" i="3"/>
  <c r="E136" i="3"/>
  <c r="F23" i="3"/>
  <c r="F48" i="3"/>
  <c r="G45" i="3"/>
  <c r="F77" i="3"/>
  <c r="F102" i="3"/>
  <c r="G79" i="3"/>
  <c r="G111" i="3"/>
  <c r="G136" i="3"/>
  <c r="F170" i="3"/>
  <c r="G126" i="3"/>
  <c r="G175" i="3"/>
  <c r="F220" i="3"/>
  <c r="F252" i="3"/>
  <c r="F284" i="3"/>
  <c r="G157" i="3"/>
  <c r="G211" i="3"/>
  <c r="G259" i="3"/>
  <c r="F317" i="3"/>
  <c r="F349" i="3"/>
  <c r="F381" i="3"/>
  <c r="G253" i="3"/>
  <c r="G316" i="3"/>
  <c r="G348" i="3"/>
  <c r="G380" i="3"/>
  <c r="F408" i="3"/>
  <c r="F440" i="3"/>
  <c r="F472" i="3"/>
  <c r="F504" i="3"/>
  <c r="F536" i="3"/>
  <c r="F568" i="3"/>
  <c r="F600" i="3"/>
  <c r="F632" i="3"/>
  <c r="F664" i="3"/>
  <c r="G431" i="3"/>
  <c r="G463" i="3"/>
  <c r="G495" i="3"/>
  <c r="G527" i="3"/>
  <c r="G559" i="3"/>
  <c r="G591" i="3"/>
  <c r="G623" i="3"/>
  <c r="G655" i="3"/>
  <c r="F684" i="3"/>
  <c r="F716" i="3"/>
  <c r="G699" i="3"/>
  <c r="D717" i="3"/>
  <c r="D685" i="3"/>
  <c r="E702" i="3"/>
  <c r="E673" i="3"/>
  <c r="D641" i="3"/>
  <c r="D609" i="3"/>
  <c r="D577" i="3"/>
  <c r="D545" i="3"/>
  <c r="D513" i="3"/>
  <c r="D481" i="3"/>
  <c r="D449" i="3"/>
  <c r="D417" i="3"/>
  <c r="E650" i="3"/>
  <c r="E618" i="3"/>
  <c r="E586" i="3"/>
  <c r="E554" i="3"/>
  <c r="E522" i="3"/>
  <c r="E490" i="3"/>
  <c r="E458" i="3"/>
  <c r="E426" i="3"/>
  <c r="D398" i="3"/>
  <c r="D366" i="3"/>
  <c r="D334" i="3"/>
  <c r="F289" i="3"/>
  <c r="E399" i="3"/>
  <c r="E367" i="3"/>
  <c r="E335" i="3"/>
  <c r="D295" i="3"/>
  <c r="D231" i="3"/>
  <c r="F193" i="3"/>
  <c r="G302" i="3"/>
  <c r="G270" i="3"/>
  <c r="G238" i="3"/>
  <c r="E206" i="3"/>
  <c r="D149" i="3"/>
  <c r="E188" i="3"/>
  <c r="E156" i="3"/>
  <c r="E129" i="3"/>
  <c r="D97" i="3"/>
  <c r="E120" i="3"/>
  <c r="E88" i="3"/>
  <c r="E63" i="3"/>
  <c r="F26" i="3"/>
  <c r="D32" i="3"/>
  <c r="E16" i="3"/>
  <c r="D707" i="3"/>
  <c r="G709" i="3"/>
  <c r="G677" i="3"/>
  <c r="F726" i="3"/>
  <c r="F694" i="3"/>
  <c r="G665" i="3"/>
  <c r="G633" i="3"/>
  <c r="G601" i="3"/>
  <c r="E14" i="3"/>
  <c r="F22" i="3"/>
  <c r="D82" i="3"/>
  <c r="E91" i="3"/>
  <c r="F15" i="3"/>
  <c r="G40" i="3"/>
  <c r="F37" i="3"/>
  <c r="E69" i="3"/>
  <c r="G94" i="3"/>
  <c r="D64" i="3"/>
  <c r="F103" i="3"/>
  <c r="E135" i="3"/>
  <c r="E162" i="3"/>
  <c r="E194" i="3"/>
  <c r="F159" i="3"/>
  <c r="G212" i="3"/>
  <c r="G244" i="3"/>
  <c r="G276" i="3"/>
  <c r="G308" i="3"/>
  <c r="F203" i="3"/>
  <c r="F243" i="3"/>
  <c r="F307" i="3"/>
  <c r="G341" i="3"/>
  <c r="G373" i="3"/>
  <c r="D237" i="3"/>
  <c r="D301" i="3"/>
  <c r="F340" i="3"/>
  <c r="F372" i="3"/>
  <c r="G404" i="3"/>
  <c r="G432" i="3"/>
  <c r="G464" i="3"/>
  <c r="G496" i="3"/>
  <c r="G528" i="3"/>
  <c r="G560" i="3"/>
  <c r="G592" i="3"/>
  <c r="G624" i="3"/>
  <c r="G656" i="3"/>
  <c r="F423" i="3"/>
  <c r="F455" i="3"/>
  <c r="F487" i="3"/>
  <c r="F519" i="3"/>
  <c r="F551" i="3"/>
  <c r="F583" i="3"/>
  <c r="F615" i="3"/>
  <c r="F647" i="3"/>
  <c r="F676" i="3"/>
  <c r="G708" i="3"/>
  <c r="F691" i="3"/>
  <c r="E725" i="3"/>
  <c r="E693" i="3"/>
  <c r="D710" i="3"/>
  <c r="D678" i="3"/>
  <c r="E649" i="3"/>
  <c r="E617" i="3"/>
  <c r="E585" i="3"/>
  <c r="E553" i="3"/>
  <c r="E521" i="3"/>
  <c r="E489" i="3"/>
  <c r="E457" i="3"/>
  <c r="E425" i="3"/>
  <c r="D658" i="3"/>
  <c r="D626" i="3"/>
  <c r="D594" i="3"/>
  <c r="D562" i="3"/>
  <c r="D530" i="3"/>
  <c r="D498" i="3"/>
  <c r="D466" i="3"/>
  <c r="D434" i="3"/>
  <c r="D406" i="3"/>
  <c r="E374" i="3"/>
  <c r="E342" i="3"/>
  <c r="E305" i="3"/>
  <c r="E241" i="3"/>
  <c r="D375" i="3"/>
  <c r="D343" i="3"/>
  <c r="E311" i="3"/>
  <c r="E247" i="3"/>
  <c r="E205" i="3"/>
  <c r="D310" i="3"/>
  <c r="D278" i="3"/>
  <c r="D246" i="3"/>
  <c r="D214" i="3"/>
  <c r="E163" i="3"/>
  <c r="D196" i="3"/>
  <c r="D164" i="3"/>
  <c r="D137" i="3"/>
  <c r="E105" i="3"/>
  <c r="E68" i="3"/>
  <c r="D96" i="3"/>
  <c r="D71" i="3"/>
  <c r="E39" i="3"/>
  <c r="D42" i="3"/>
  <c r="E17" i="3"/>
  <c r="E715" i="3"/>
  <c r="F721" i="3"/>
  <c r="F689" i="3"/>
  <c r="G706" i="3"/>
  <c r="F672" i="3"/>
  <c r="F645" i="3"/>
  <c r="F613" i="3"/>
  <c r="F707" i="3"/>
  <c r="E720" i="3"/>
  <c r="E688" i="3"/>
  <c r="D659" i="3"/>
  <c r="D627" i="3"/>
  <c r="D595" i="3"/>
  <c r="D563" i="3"/>
  <c r="D531" i="3"/>
  <c r="D499" i="3"/>
  <c r="D467" i="3"/>
  <c r="D435" i="3"/>
  <c r="E668" i="3"/>
  <c r="E636" i="3"/>
  <c r="E604" i="3"/>
  <c r="E572" i="3"/>
  <c r="E540" i="3"/>
  <c r="E508" i="3"/>
  <c r="E476" i="3"/>
  <c r="E444" i="3"/>
  <c r="E412" i="3"/>
  <c r="D384" i="3"/>
  <c r="D352" i="3"/>
  <c r="D320" i="3"/>
  <c r="F261" i="3"/>
  <c r="E385" i="3"/>
  <c r="E353" i="3"/>
  <c r="E321" i="3"/>
  <c r="D267" i="3"/>
  <c r="D215" i="3"/>
  <c r="F165" i="3"/>
  <c r="E288" i="3"/>
  <c r="E256" i="3"/>
  <c r="E224" i="3"/>
  <c r="D183" i="3"/>
  <c r="F134" i="3"/>
  <c r="G174" i="3"/>
  <c r="D128" i="3"/>
  <c r="F72" i="3"/>
  <c r="G73" i="3"/>
  <c r="D40" i="3"/>
  <c r="G29" i="3"/>
  <c r="G54" i="3"/>
  <c r="F51" i="3"/>
  <c r="F74" i="3"/>
  <c r="G108" i="3"/>
  <c r="F85" i="3"/>
  <c r="F117" i="3"/>
  <c r="G144" i="3"/>
  <c r="G176" i="3"/>
  <c r="G138" i="3"/>
  <c r="F187" i="3"/>
  <c r="G226" i="3"/>
  <c r="E258" i="3"/>
  <c r="E290" i="3"/>
  <c r="D169" i="3"/>
  <c r="F217" i="3"/>
  <c r="F271" i="3"/>
  <c r="G323" i="3"/>
  <c r="G355" i="3"/>
  <c r="G387" i="3"/>
  <c r="D265" i="3"/>
  <c r="F322" i="3"/>
  <c r="F354" i="3"/>
  <c r="F386" i="3"/>
  <c r="G414" i="3"/>
  <c r="G446" i="3"/>
  <c r="G478" i="3"/>
  <c r="G510" i="3"/>
  <c r="G542" i="3"/>
  <c r="G574" i="3"/>
  <c r="G606" i="3"/>
  <c r="G638" i="3"/>
  <c r="D401" i="3"/>
  <c r="F437" i="3"/>
  <c r="F469" i="3"/>
  <c r="F501" i="3"/>
  <c r="F533" i="3"/>
  <c r="F565" i="3"/>
  <c r="D716" i="3"/>
  <c r="D684" i="3"/>
  <c r="E655" i="3"/>
  <c r="E623" i="3"/>
  <c r="E591" i="3"/>
  <c r="E559" i="3"/>
  <c r="E527" i="3"/>
  <c r="E495" i="3"/>
  <c r="E463" i="3"/>
  <c r="E431" i="3"/>
  <c r="D664" i="3"/>
  <c r="D632" i="3"/>
  <c r="D600" i="3"/>
  <c r="D568" i="3"/>
  <c r="D536" i="3"/>
  <c r="D504" i="3"/>
  <c r="D472" i="3"/>
  <c r="D440" i="3"/>
  <c r="D408" i="3"/>
  <c r="E380" i="3"/>
  <c r="E348" i="3"/>
  <c r="E316" i="3"/>
  <c r="E253" i="3"/>
  <c r="D381" i="3"/>
  <c r="D349" i="3"/>
  <c r="D317" i="3"/>
  <c r="E259" i="3"/>
  <c r="E211" i="3"/>
  <c r="E157" i="3"/>
  <c r="D284" i="3"/>
  <c r="D252" i="3"/>
  <c r="D220" i="3"/>
  <c r="E175" i="3"/>
  <c r="E126" i="3"/>
  <c r="D170" i="3"/>
  <c r="G135" i="3"/>
  <c r="F64" i="3"/>
  <c r="D65" i="3"/>
  <c r="E36" i="3"/>
  <c r="F20" i="3"/>
  <c r="G24" i="3"/>
  <c r="F62" i="3"/>
  <c r="G59" i="3"/>
  <c r="F84" i="3"/>
  <c r="F116" i="3"/>
  <c r="G93" i="3"/>
  <c r="F125" i="3"/>
  <c r="F152" i="3"/>
  <c r="F184" i="3"/>
  <c r="G145" i="3"/>
  <c r="F202" i="3"/>
  <c r="F234" i="3"/>
  <c r="F266" i="3"/>
  <c r="F298" i="3"/>
  <c r="G185" i="3"/>
  <c r="G225" i="3"/>
  <c r="G287" i="3"/>
  <c r="F331" i="3"/>
  <c r="F363" i="3"/>
  <c r="F395" i="3"/>
  <c r="G281" i="3"/>
  <c r="G330" i="3"/>
  <c r="G362" i="3"/>
  <c r="G394" i="3"/>
  <c r="F422" i="3"/>
  <c r="F454" i="3"/>
  <c r="F486" i="3"/>
  <c r="F518" i="3"/>
  <c r="F550" i="3"/>
  <c r="F582" i="3"/>
  <c r="F614" i="3"/>
  <c r="F646" i="3"/>
  <c r="G413" i="3"/>
  <c r="G445" i="3"/>
  <c r="G477" i="3"/>
  <c r="G509" i="3"/>
  <c r="G541" i="3"/>
  <c r="E402" i="3"/>
  <c r="G462" i="3"/>
  <c r="G526" i="3"/>
  <c r="G590" i="3"/>
  <c r="G654" i="3"/>
  <c r="F453" i="3"/>
  <c r="F517" i="3"/>
  <c r="F589" i="3"/>
  <c r="D700" i="3"/>
  <c r="E639" i="3"/>
  <c r="E575" i="3"/>
  <c r="E511" i="3"/>
  <c r="E447" i="3"/>
  <c r="D648" i="3"/>
  <c r="D584" i="3"/>
  <c r="D520" i="3"/>
  <c r="D456" i="3"/>
  <c r="E396" i="3"/>
  <c r="E332" i="3"/>
  <c r="D397" i="3"/>
  <c r="D333" i="3"/>
  <c r="E227" i="3"/>
  <c r="D300" i="3"/>
  <c r="D236" i="3"/>
  <c r="E147" i="3"/>
  <c r="D154" i="3"/>
  <c r="E94" i="3"/>
  <c r="F46" i="3"/>
  <c r="F75" i="3"/>
  <c r="G76" i="3"/>
  <c r="G132" i="3"/>
  <c r="F200" i="3"/>
  <c r="F218" i="3"/>
  <c r="F282" i="3"/>
  <c r="G209" i="3"/>
  <c r="F315" i="3"/>
  <c r="F379" i="3"/>
  <c r="G314" i="3"/>
  <c r="G378" i="3"/>
  <c r="F438" i="3"/>
  <c r="F502" i="3"/>
  <c r="F566" i="3"/>
  <c r="F630" i="3"/>
  <c r="G429" i="3"/>
  <c r="G493" i="3"/>
  <c r="G557" i="3"/>
  <c r="E18" i="3"/>
  <c r="E60" i="3"/>
  <c r="D78" i="3"/>
  <c r="E87" i="3"/>
  <c r="E150" i="3"/>
  <c r="G36" i="3"/>
  <c r="G30" i="3"/>
  <c r="F65" i="3"/>
  <c r="F90" i="3"/>
  <c r="F122" i="3"/>
  <c r="G99" i="3"/>
  <c r="F131" i="3"/>
  <c r="F158" i="3"/>
  <c r="F190" i="3"/>
  <c r="G151" i="3"/>
  <c r="F208" i="3"/>
  <c r="F240" i="3"/>
  <c r="F272" i="3"/>
  <c r="F304" i="3"/>
  <c r="G197" i="3"/>
  <c r="G235" i="3"/>
  <c r="G299" i="3"/>
  <c r="F337" i="3"/>
  <c r="F369" i="3"/>
  <c r="G229" i="3"/>
  <c r="G293" i="3"/>
  <c r="G336" i="3"/>
  <c r="G368" i="3"/>
  <c r="F400" i="3"/>
  <c r="F428" i="3"/>
  <c r="F460" i="3"/>
  <c r="F492" i="3"/>
  <c r="F524" i="3"/>
  <c r="F556" i="3"/>
  <c r="F588" i="3"/>
  <c r="F620" i="3"/>
  <c r="F652" i="3"/>
  <c r="G419" i="3"/>
  <c r="G451" i="3"/>
  <c r="G483" i="3"/>
  <c r="G515" i="3"/>
  <c r="G547" i="3"/>
  <c r="G579" i="3"/>
  <c r="G611" i="3"/>
  <c r="G643" i="3"/>
  <c r="F675" i="3"/>
  <c r="F704" i="3"/>
  <c r="G687" i="3"/>
  <c r="D729" i="3"/>
  <c r="D697" i="3"/>
  <c r="E714" i="3"/>
  <c r="E682" i="3"/>
  <c r="D653" i="3"/>
  <c r="D621" i="3"/>
  <c r="D589" i="3"/>
  <c r="D557" i="3"/>
  <c r="D525" i="3"/>
  <c r="D493" i="3"/>
  <c r="D461" i="3"/>
  <c r="D429" i="3"/>
  <c r="E662" i="3"/>
  <c r="E630" i="3"/>
  <c r="E598" i="3"/>
  <c r="E566" i="3"/>
  <c r="E534" i="3"/>
  <c r="E502" i="3"/>
  <c r="E470" i="3"/>
  <c r="E438" i="3"/>
  <c r="G407" i="3"/>
  <c r="D378" i="3"/>
  <c r="D346" i="3"/>
  <c r="D314" i="3"/>
  <c r="F249" i="3"/>
  <c r="E379" i="3"/>
  <c r="E347" i="3"/>
  <c r="E315" i="3"/>
  <c r="D255" i="3"/>
  <c r="D209" i="3"/>
  <c r="F153" i="3"/>
  <c r="G282" i="3"/>
  <c r="G250" i="3"/>
  <c r="E218" i="3"/>
  <c r="D171" i="3"/>
  <c r="E200" i="3"/>
  <c r="E168" i="3"/>
  <c r="D132" i="3"/>
  <c r="D109" i="3"/>
  <c r="F76" i="3"/>
  <c r="E100" i="3"/>
  <c r="E75" i="3"/>
  <c r="D43" i="3"/>
  <c r="E46" i="3"/>
  <c r="E21" i="3"/>
  <c r="D703" i="3"/>
  <c r="G705" i="3"/>
  <c r="G670" i="3"/>
  <c r="F722" i="3"/>
  <c r="F690" i="3"/>
  <c r="G661" i="3"/>
  <c r="G629" i="3"/>
  <c r="G597" i="3"/>
  <c r="D15" i="3"/>
  <c r="D37" i="3"/>
  <c r="D90" i="3"/>
  <c r="E99" i="3"/>
  <c r="G14" i="3"/>
  <c r="E35" i="3"/>
  <c r="G60" i="3"/>
  <c r="F57" i="3"/>
  <c r="A57" i="6" s="1"/>
  <c r="G82" i="3"/>
  <c r="G114" i="3"/>
  <c r="F91" i="3"/>
  <c r="F123" i="3"/>
  <c r="G150" i="3"/>
  <c r="E182" i="3"/>
  <c r="F143" i="3"/>
  <c r="F199" i="3"/>
  <c r="G232" i="3"/>
  <c r="G264" i="3"/>
  <c r="G296" i="3"/>
  <c r="D181" i="3"/>
  <c r="F223" i="3"/>
  <c r="F283" i="3"/>
  <c r="G329" i="3"/>
  <c r="G361" i="3"/>
  <c r="G393" i="3"/>
  <c r="D277" i="3"/>
  <c r="F328" i="3"/>
  <c r="F360" i="3"/>
  <c r="F392" i="3"/>
  <c r="G420" i="3"/>
  <c r="G452" i="3"/>
  <c r="G484" i="3"/>
  <c r="G516" i="3"/>
  <c r="G548" i="3"/>
  <c r="G580" i="3"/>
  <c r="G612" i="3"/>
  <c r="G644" i="3"/>
  <c r="F411" i="3"/>
  <c r="F443" i="3"/>
  <c r="F475" i="3"/>
  <c r="F507" i="3"/>
  <c r="F539" i="3"/>
  <c r="F571" i="3"/>
  <c r="F603" i="3"/>
  <c r="F635" i="3"/>
  <c r="F667" i="3"/>
  <c r="G696" i="3"/>
  <c r="G728" i="3"/>
  <c r="F679" i="3"/>
  <c r="G719" i="3"/>
  <c r="E705" i="3"/>
  <c r="E670" i="3"/>
  <c r="D722" i="3"/>
  <c r="D690" i="3"/>
  <c r="E661" i="3"/>
  <c r="E629" i="3"/>
  <c r="E597" i="3"/>
  <c r="E565" i="3"/>
  <c r="E533" i="3"/>
  <c r="E501" i="3"/>
  <c r="E469" i="3"/>
  <c r="E437" i="3"/>
  <c r="E401" i="3"/>
  <c r="D638" i="3"/>
  <c r="D606" i="3"/>
  <c r="D574" i="3"/>
  <c r="D542" i="3"/>
  <c r="D510" i="3"/>
  <c r="D478" i="3"/>
  <c r="D446" i="3"/>
  <c r="D414" i="3"/>
  <c r="E386" i="3"/>
  <c r="E354" i="3"/>
  <c r="E322" i="3"/>
  <c r="E265" i="3"/>
  <c r="D387" i="3"/>
  <c r="D355" i="3"/>
  <c r="D323" i="3"/>
  <c r="E271" i="3"/>
  <c r="E217" i="3"/>
  <c r="A217" i="6" s="1"/>
  <c r="E169" i="3"/>
  <c r="D290" i="3"/>
  <c r="D258" i="3"/>
  <c r="D226" i="3"/>
  <c r="E187" i="3"/>
  <c r="E138" i="3"/>
  <c r="D176" i="3"/>
  <c r="D144" i="3"/>
  <c r="E117" i="3"/>
  <c r="E85" i="3"/>
  <c r="A85" i="6" s="1"/>
  <c r="D108" i="3"/>
  <c r="E74" i="3"/>
  <c r="A74" i="6" s="1"/>
  <c r="E51" i="3"/>
  <c r="D54" i="3"/>
  <c r="D29" i="3"/>
  <c r="E711" i="3"/>
  <c r="F717" i="3"/>
  <c r="F685" i="3"/>
  <c r="G702" i="3"/>
  <c r="G673" i="3"/>
  <c r="F641" i="3"/>
  <c r="F609" i="3"/>
  <c r="F719" i="3"/>
  <c r="D699" i="3"/>
  <c r="E716" i="3"/>
  <c r="E684" i="3"/>
  <c r="D655" i="3"/>
  <c r="D623" i="3"/>
  <c r="D591" i="3"/>
  <c r="D559" i="3"/>
  <c r="D527" i="3"/>
  <c r="D495" i="3"/>
  <c r="D463" i="3"/>
  <c r="D431" i="3"/>
  <c r="E664" i="3"/>
  <c r="E632" i="3"/>
  <c r="E600" i="3"/>
  <c r="E568" i="3"/>
  <c r="E536" i="3"/>
  <c r="E504" i="3"/>
  <c r="E472" i="3"/>
  <c r="E440" i="3"/>
  <c r="E408" i="3"/>
  <c r="D380" i="3"/>
  <c r="D348" i="3"/>
  <c r="D316" i="3"/>
  <c r="F253" i="3"/>
  <c r="E381" i="3"/>
  <c r="E349" i="3"/>
  <c r="E317" i="3"/>
  <c r="D259" i="3"/>
  <c r="D211" i="3"/>
  <c r="F157" i="3"/>
  <c r="E284" i="3"/>
  <c r="E252" i="3"/>
  <c r="E220" i="3"/>
  <c r="D175" i="3"/>
  <c r="F126" i="3"/>
  <c r="G170" i="3"/>
  <c r="D127" i="3"/>
  <c r="E122" i="3"/>
  <c r="G65" i="3"/>
  <c r="E28" i="3"/>
  <c r="F17" i="3"/>
  <c r="G42" i="3"/>
  <c r="F39" i="3"/>
  <c r="G71" i="3"/>
  <c r="G96" i="3"/>
  <c r="D68" i="3"/>
  <c r="F105" i="3"/>
  <c r="G137" i="3"/>
  <c r="G164" i="3"/>
  <c r="G196" i="3"/>
  <c r="F163" i="3"/>
  <c r="G214" i="3"/>
  <c r="E246" i="3"/>
  <c r="E278" i="3"/>
  <c r="E310" i="3"/>
  <c r="F205" i="3"/>
  <c r="F247" i="3"/>
  <c r="F311" i="3"/>
  <c r="G343" i="3"/>
  <c r="G375" i="3"/>
  <c r="D241" i="3"/>
  <c r="D305" i="3"/>
  <c r="F342" i="3"/>
  <c r="F374" i="3"/>
  <c r="E406" i="3"/>
  <c r="G434" i="3"/>
  <c r="G466" i="3"/>
  <c r="G498" i="3"/>
  <c r="G530" i="3"/>
  <c r="G562" i="3"/>
  <c r="G594" i="3"/>
  <c r="G626" i="3"/>
  <c r="G658" i="3"/>
  <c r="F425" i="3"/>
  <c r="F457" i="3"/>
  <c r="F489" i="3"/>
  <c r="F521" i="3"/>
  <c r="F553" i="3"/>
  <c r="E679" i="3"/>
  <c r="D728" i="3"/>
  <c r="D696" i="3"/>
  <c r="E667" i="3"/>
  <c r="E635" i="3"/>
  <c r="E603" i="3"/>
  <c r="E571" i="3"/>
  <c r="E539" i="3"/>
  <c r="E507" i="3"/>
  <c r="E475" i="3"/>
  <c r="E443" i="3"/>
  <c r="E411" i="3"/>
  <c r="D644" i="3"/>
  <c r="D612" i="3"/>
  <c r="D580" i="3"/>
  <c r="D548" i="3"/>
  <c r="D516" i="3"/>
  <c r="D484" i="3"/>
  <c r="D452" i="3"/>
  <c r="D420" i="3"/>
  <c r="E392" i="3"/>
  <c r="E360" i="3"/>
  <c r="E328" i="3"/>
  <c r="E277" i="3"/>
  <c r="D393" i="3"/>
  <c r="D361" i="3"/>
  <c r="D329" i="3"/>
  <c r="E283" i="3"/>
  <c r="E223" i="3"/>
  <c r="E181" i="3"/>
  <c r="D296" i="3"/>
  <c r="D264" i="3"/>
  <c r="D232" i="3"/>
  <c r="E199" i="3"/>
  <c r="E143" i="3"/>
  <c r="D182" i="3"/>
  <c r="D150" i="3"/>
  <c r="D95" i="3"/>
  <c r="E86" i="3"/>
  <c r="D60" i="3"/>
  <c r="D18" i="3"/>
  <c r="F25" i="3"/>
  <c r="F50" i="3"/>
  <c r="G47" i="3"/>
  <c r="G66" i="3"/>
  <c r="F104" i="3"/>
  <c r="G81" i="3"/>
  <c r="G113" i="3"/>
  <c r="F140" i="3"/>
  <c r="F172" i="3"/>
  <c r="G130" i="3"/>
  <c r="G179" i="3"/>
  <c r="F222" i="3"/>
  <c r="F254" i="3"/>
  <c r="F286" i="3"/>
  <c r="G161" i="3"/>
  <c r="G213" i="3"/>
  <c r="G263" i="3"/>
  <c r="F319" i="3"/>
  <c r="F351" i="3"/>
  <c r="F383" i="3"/>
  <c r="G257" i="3"/>
  <c r="G318" i="3"/>
  <c r="G350" i="3"/>
  <c r="G382" i="3"/>
  <c r="F410" i="3"/>
  <c r="F442" i="3"/>
  <c r="F474" i="3"/>
  <c r="F506" i="3"/>
  <c r="F538" i="3"/>
  <c r="F570" i="3"/>
  <c r="F602" i="3"/>
  <c r="F634" i="3"/>
  <c r="F666" i="3"/>
  <c r="G433" i="3"/>
  <c r="G465" i="3"/>
  <c r="G497" i="3"/>
  <c r="G529" i="3"/>
  <c r="G561" i="3"/>
  <c r="D36" i="3"/>
  <c r="E61" i="3"/>
  <c r="D118" i="3"/>
  <c r="G131" i="3"/>
  <c r="F31" i="3"/>
  <c r="F56" i="3"/>
  <c r="G53" i="3"/>
  <c r="F78" i="3"/>
  <c r="F110" i="3"/>
  <c r="G87" i="3"/>
  <c r="G119" i="3"/>
  <c r="F146" i="3"/>
  <c r="F178" i="3"/>
  <c r="G139" i="3"/>
  <c r="G191" i="3"/>
  <c r="F228" i="3"/>
  <c r="F260" i="3"/>
  <c r="F292" i="3"/>
  <c r="G173" i="3"/>
  <c r="G219" i="3"/>
  <c r="G275" i="3"/>
  <c r="F325" i="3"/>
  <c r="F357" i="3"/>
  <c r="F389" i="3"/>
  <c r="G269" i="3"/>
  <c r="G324" i="3"/>
  <c r="G356" i="3"/>
  <c r="G388" i="3"/>
  <c r="F416" i="3"/>
  <c r="F448" i="3"/>
  <c r="F480" i="3"/>
  <c r="F512" i="3"/>
  <c r="F544" i="3"/>
  <c r="F576" i="3"/>
  <c r="F608" i="3"/>
  <c r="F640" i="3"/>
  <c r="G405" i="3"/>
  <c r="G439" i="3"/>
  <c r="G471" i="3"/>
  <c r="G503" i="3"/>
  <c r="G535" i="3"/>
  <c r="G567" i="3"/>
  <c r="G599" i="3"/>
  <c r="G631" i="3"/>
  <c r="G663" i="3"/>
  <c r="F692" i="3"/>
  <c r="F724" i="3"/>
  <c r="G674" i="3"/>
  <c r="G715" i="3"/>
  <c r="D709" i="3"/>
  <c r="D677" i="3"/>
  <c r="E726" i="3"/>
  <c r="E694" i="3"/>
  <c r="D665" i="3"/>
  <c r="D633" i="3"/>
  <c r="D601" i="3"/>
  <c r="D569" i="3"/>
  <c r="D537" i="3"/>
  <c r="D505" i="3"/>
  <c r="D473" i="3"/>
  <c r="D441" i="3"/>
  <c r="D409" i="3"/>
  <c r="E642" i="3"/>
  <c r="E610" i="3"/>
  <c r="E578" i="3"/>
  <c r="E546" i="3"/>
  <c r="E514" i="3"/>
  <c r="E482" i="3"/>
  <c r="E450" i="3"/>
  <c r="E418" i="3"/>
  <c r="D390" i="3"/>
  <c r="D358" i="3"/>
  <c r="D326" i="3"/>
  <c r="F273" i="3"/>
  <c r="E391" i="3"/>
  <c r="E359" i="3"/>
  <c r="E327" i="3"/>
  <c r="D279" i="3"/>
  <c r="D221" i="3"/>
  <c r="F177" i="3"/>
  <c r="G294" i="3"/>
  <c r="G262" i="3"/>
  <c r="G230" i="3"/>
  <c r="D195" i="3"/>
  <c r="D141" i="3"/>
  <c r="E180" i="3"/>
  <c r="E148" i="3"/>
  <c r="D121" i="3"/>
  <c r="D89" i="3"/>
  <c r="E112" i="3"/>
  <c r="E80" i="3"/>
  <c r="D55" i="3"/>
  <c r="E58" i="3"/>
  <c r="E33" i="3"/>
  <c r="D731" i="3"/>
  <c r="G701" i="3"/>
  <c r="F718" i="3"/>
  <c r="F686" i="3"/>
  <c r="G657" i="3"/>
  <c r="G625" i="3"/>
  <c r="G593" i="3"/>
  <c r="E19" i="3"/>
  <c r="D45" i="3"/>
  <c r="D98" i="3"/>
  <c r="E107" i="3"/>
  <c r="G18" i="3"/>
  <c r="F28" i="3"/>
  <c r="D22" i="3"/>
  <c r="F61" i="3"/>
  <c r="G86" i="3"/>
  <c r="G118" i="3"/>
  <c r="F95" i="3"/>
  <c r="E127" i="3"/>
  <c r="E154" i="3"/>
  <c r="E186" i="3"/>
  <c r="F147" i="3"/>
  <c r="G204" i="3"/>
  <c r="G236" i="3"/>
  <c r="G268" i="3"/>
  <c r="G300" i="3"/>
  <c r="D189" i="3"/>
  <c r="F227" i="3"/>
  <c r="F291" i="3"/>
  <c r="G333" i="3"/>
  <c r="G365" i="3"/>
  <c r="G397" i="3"/>
  <c r="D285" i="3"/>
  <c r="F332" i="3"/>
  <c r="F364" i="3"/>
  <c r="F396" i="3"/>
  <c r="G424" i="3"/>
  <c r="G456" i="3"/>
  <c r="G488" i="3"/>
  <c r="G520" i="3"/>
  <c r="G552" i="3"/>
  <c r="G584" i="3"/>
  <c r="G616" i="3"/>
  <c r="G648" i="3"/>
  <c r="F415" i="3"/>
  <c r="F447" i="3"/>
  <c r="F479" i="3"/>
  <c r="F511" i="3"/>
  <c r="F543" i="3"/>
  <c r="F575" i="3"/>
  <c r="F607" i="3"/>
  <c r="F639" i="3"/>
  <c r="E671" i="3"/>
  <c r="G700" i="3"/>
  <c r="F683" i="3"/>
  <c r="G727" i="3"/>
  <c r="E701" i="3"/>
  <c r="D718" i="3"/>
  <c r="D686" i="3"/>
  <c r="E657" i="3"/>
  <c r="E625" i="3"/>
  <c r="E593" i="3"/>
  <c r="E561" i="3"/>
  <c r="E529" i="3"/>
  <c r="E497" i="3"/>
  <c r="E465" i="3"/>
  <c r="E433" i="3"/>
  <c r="D666" i="3"/>
  <c r="D634" i="3"/>
  <c r="D602" i="3"/>
  <c r="D570" i="3"/>
  <c r="D538" i="3"/>
  <c r="D506" i="3"/>
  <c r="D474" i="3"/>
  <c r="D442" i="3"/>
  <c r="D410" i="3"/>
  <c r="E382" i="3"/>
  <c r="E350" i="3"/>
  <c r="E318" i="3"/>
  <c r="E257" i="3"/>
  <c r="D383" i="3"/>
  <c r="D351" i="3"/>
  <c r="D319" i="3"/>
  <c r="E263" i="3"/>
  <c r="E213" i="3"/>
  <c r="E161" i="3"/>
  <c r="D286" i="3"/>
  <c r="D254" i="3"/>
  <c r="D222" i="3"/>
  <c r="E179" i="3"/>
  <c r="E130" i="3"/>
  <c r="D172" i="3"/>
  <c r="D140" i="3"/>
  <c r="E113" i="3"/>
  <c r="E81" i="3"/>
  <c r="D104" i="3"/>
  <c r="E66" i="3"/>
  <c r="E47" i="3"/>
  <c r="D50" i="3"/>
  <c r="D25" i="3"/>
  <c r="E723" i="3"/>
  <c r="F729" i="3"/>
  <c r="F697" i="3"/>
  <c r="G714" i="3"/>
  <c r="G682" i="3"/>
  <c r="F653" i="3"/>
  <c r="F621" i="3"/>
  <c r="F723" i="3"/>
  <c r="D679" i="3"/>
  <c r="E728" i="3"/>
  <c r="E696" i="3"/>
  <c r="D667" i="3"/>
  <c r="D635" i="3"/>
  <c r="D603" i="3"/>
  <c r="D571" i="3"/>
  <c r="D539" i="3"/>
  <c r="D507" i="3"/>
  <c r="D475" i="3"/>
  <c r="D443" i="3"/>
  <c r="D411" i="3"/>
  <c r="E644" i="3"/>
  <c r="E612" i="3"/>
  <c r="E580" i="3"/>
  <c r="E548" i="3"/>
  <c r="E516" i="3"/>
  <c r="E484" i="3"/>
  <c r="E452" i="3"/>
  <c r="E420" i="3"/>
  <c r="D392" i="3"/>
  <c r="D360" i="3"/>
  <c r="D328" i="3"/>
  <c r="F277" i="3"/>
  <c r="E393" i="3"/>
  <c r="E361" i="3"/>
  <c r="E329" i="3"/>
  <c r="D283" i="3"/>
  <c r="D223" i="3"/>
  <c r="F181" i="3"/>
  <c r="E296" i="3"/>
  <c r="E264" i="3"/>
  <c r="E232" i="3"/>
  <c r="D199" i="3"/>
  <c r="D143" i="3"/>
  <c r="G182" i="3"/>
  <c r="D146" i="3"/>
  <c r="D91" i="3"/>
  <c r="E82" i="3"/>
  <c r="D56" i="3"/>
  <c r="G21" i="3"/>
  <c r="G46" i="3"/>
  <c r="F43" i="3"/>
  <c r="G75" i="3"/>
  <c r="G100" i="3"/>
  <c r="D76" i="3"/>
  <c r="F109" i="3"/>
  <c r="F132" i="3"/>
  <c r="G168" i="3"/>
  <c r="G200" i="3"/>
  <c r="F171" i="3"/>
  <c r="G218" i="3"/>
  <c r="E250" i="3"/>
  <c r="E282" i="3"/>
  <c r="D153" i="3"/>
  <c r="F209" i="3"/>
  <c r="F255" i="3"/>
  <c r="G315" i="3"/>
  <c r="G347" i="3"/>
  <c r="G379" i="3"/>
  <c r="D249" i="3"/>
  <c r="F314" i="3"/>
  <c r="F346" i="3"/>
  <c r="F378" i="3"/>
  <c r="F407" i="3"/>
  <c r="G438" i="3"/>
  <c r="G470" i="3"/>
  <c r="G502" i="3"/>
  <c r="G534" i="3"/>
  <c r="G566" i="3"/>
  <c r="G598" i="3"/>
  <c r="G630" i="3"/>
  <c r="G662" i="3"/>
  <c r="F429" i="3"/>
  <c r="F461" i="3"/>
  <c r="F493" i="3"/>
  <c r="F525" i="3"/>
  <c r="F557" i="3"/>
  <c r="D724" i="3"/>
  <c r="D692" i="3"/>
  <c r="E663" i="3"/>
  <c r="E631" i="3"/>
  <c r="E599" i="3"/>
  <c r="E567" i="3"/>
  <c r="E535" i="3"/>
  <c r="E503" i="3"/>
  <c r="E471" i="3"/>
  <c r="E439" i="3"/>
  <c r="E405" i="3"/>
  <c r="D640" i="3"/>
  <c r="D608" i="3"/>
  <c r="D576" i="3"/>
  <c r="D544" i="3"/>
  <c r="D512" i="3"/>
  <c r="D480" i="3"/>
  <c r="D448" i="3"/>
  <c r="D416" i="3"/>
  <c r="E388" i="3"/>
  <c r="E356" i="3"/>
  <c r="E324" i="3"/>
  <c r="E269" i="3"/>
  <c r="D389" i="3"/>
  <c r="D357" i="3"/>
  <c r="D325" i="3"/>
  <c r="E275" i="3"/>
  <c r="E219" i="3"/>
  <c r="E173" i="3"/>
  <c r="D292" i="3"/>
  <c r="D260" i="3"/>
  <c r="D228" i="3"/>
  <c r="E191" i="3"/>
  <c r="E139" i="3"/>
  <c r="D178" i="3"/>
  <c r="E146" i="3"/>
  <c r="D87" i="3"/>
  <c r="E70" i="3"/>
  <c r="D52" i="3"/>
  <c r="F38" i="3"/>
  <c r="G34" i="3"/>
  <c r="F67" i="3"/>
  <c r="F92" i="3"/>
  <c r="F124" i="3"/>
  <c r="G101" i="3"/>
  <c r="F133" i="3"/>
  <c r="F160" i="3"/>
  <c r="F192" i="3"/>
  <c r="G155" i="3"/>
  <c r="F210" i="3"/>
  <c r="F242" i="3"/>
  <c r="F274" i="3"/>
  <c r="F306" i="3"/>
  <c r="G201" i="3"/>
  <c r="G239" i="3"/>
  <c r="G303" i="3"/>
  <c r="F339" i="3"/>
  <c r="F371" i="3"/>
  <c r="G233" i="3"/>
  <c r="G297" i="3"/>
  <c r="G338" i="3"/>
  <c r="G370" i="3"/>
  <c r="F402" i="3"/>
  <c r="F430" i="3"/>
  <c r="F462" i="3"/>
  <c r="F494" i="3"/>
  <c r="F526" i="3"/>
  <c r="F558" i="3"/>
  <c r="F590" i="3"/>
  <c r="F622" i="3"/>
  <c r="F654" i="3"/>
  <c r="G421" i="3"/>
  <c r="G453" i="3"/>
  <c r="G485" i="3"/>
  <c r="G517" i="3"/>
  <c r="G549" i="3"/>
  <c r="F593" i="3"/>
  <c r="E44" i="3"/>
  <c r="D69" i="3"/>
  <c r="E64" i="3"/>
  <c r="D135" i="3"/>
  <c r="G19" i="3"/>
  <c r="F44" i="3"/>
  <c r="G41" i="3"/>
  <c r="F73" i="3"/>
  <c r="F98" i="3"/>
  <c r="G72" i="3"/>
  <c r="G107" i="3"/>
  <c r="G128" i="3"/>
  <c r="F166" i="3"/>
  <c r="F198" i="3"/>
  <c r="G167" i="3"/>
  <c r="F216" i="3"/>
  <c r="F248" i="3"/>
  <c r="F280" i="3"/>
  <c r="E312" i="3"/>
  <c r="G207" i="3"/>
  <c r="G251" i="3"/>
  <c r="A251" i="6" s="1"/>
  <c r="F313" i="3"/>
  <c r="F345" i="3"/>
  <c r="A345" i="6" s="1"/>
  <c r="F377" i="3"/>
  <c r="G245" i="3"/>
  <c r="G309" i="3"/>
  <c r="G344" i="3"/>
  <c r="G376" i="3"/>
  <c r="G403" i="3"/>
  <c r="F436" i="3"/>
  <c r="F468" i="3"/>
  <c r="F500" i="3"/>
  <c r="F532" i="3"/>
  <c r="F564" i="3"/>
  <c r="F596" i="3"/>
  <c r="F628" i="3"/>
  <c r="F660" i="3"/>
  <c r="G427" i="3"/>
  <c r="G459" i="3"/>
  <c r="G491" i="3"/>
  <c r="G523" i="3"/>
  <c r="A523" i="6" s="1"/>
  <c r="G555" i="3"/>
  <c r="G587" i="3"/>
  <c r="G619" i="3"/>
  <c r="G651" i="3"/>
  <c r="F680" i="3"/>
  <c r="F712" i="3"/>
  <c r="A712" i="6" s="1"/>
  <c r="G695" i="3"/>
  <c r="D721" i="3"/>
  <c r="D689" i="3"/>
  <c r="E706" i="3"/>
  <c r="D672" i="3"/>
  <c r="D645" i="3"/>
  <c r="D613" i="3"/>
  <c r="D581" i="3"/>
  <c r="D549" i="3"/>
  <c r="D517" i="3"/>
  <c r="D485" i="3"/>
  <c r="D453" i="3"/>
  <c r="D421" i="3"/>
  <c r="E654" i="3"/>
  <c r="E622" i="3"/>
  <c r="E590" i="3"/>
  <c r="E558" i="3"/>
  <c r="E526" i="3"/>
  <c r="E494" i="3"/>
  <c r="E462" i="3"/>
  <c r="E430" i="3"/>
  <c r="G402" i="3"/>
  <c r="D370" i="3"/>
  <c r="D338" i="3"/>
  <c r="F297" i="3"/>
  <c r="F233" i="3"/>
  <c r="E371" i="3"/>
  <c r="E339" i="3"/>
  <c r="D303" i="3"/>
  <c r="D239" i="3"/>
  <c r="D201" i="3"/>
  <c r="G306" i="3"/>
  <c r="G274" i="3"/>
  <c r="G242" i="3"/>
  <c r="E210" i="3"/>
  <c r="D155" i="3"/>
  <c r="E192" i="3"/>
  <c r="E160" i="3"/>
  <c r="E133" i="3"/>
  <c r="D101" i="3"/>
  <c r="E124" i="3"/>
  <c r="E92" i="3"/>
  <c r="E67" i="3"/>
  <c r="F34" i="3"/>
  <c r="E38" i="3"/>
  <c r="D727" i="3"/>
  <c r="G729" i="3"/>
  <c r="G697" i="3"/>
  <c r="F714" i="3"/>
  <c r="F682" i="3"/>
  <c r="G653" i="3"/>
  <c r="G621" i="3"/>
  <c r="G589" i="3"/>
  <c r="G31" i="3"/>
  <c r="D53" i="3"/>
  <c r="D106" i="3"/>
  <c r="E115" i="3"/>
  <c r="E27" i="3"/>
  <c r="G52" i="3"/>
  <c r="F49" i="3"/>
  <c r="F70" i="3"/>
  <c r="G106" i="3"/>
  <c r="F83" i="3"/>
  <c r="F115" i="3"/>
  <c r="G142" i="3"/>
  <c r="E174" i="3"/>
  <c r="D134" i="3"/>
  <c r="F183" i="3"/>
  <c r="G224" i="3"/>
  <c r="G256" i="3"/>
  <c r="G288" i="3"/>
  <c r="D165" i="3"/>
  <c r="F215" i="3"/>
  <c r="F267" i="3"/>
  <c r="G321" i="3"/>
  <c r="G353" i="3"/>
  <c r="G385" i="3"/>
  <c r="D261" i="3"/>
  <c r="A261" i="6" s="1"/>
  <c r="F320" i="3"/>
  <c r="F352" i="3"/>
  <c r="F384" i="3"/>
  <c r="G412" i="3"/>
  <c r="G444" i="3"/>
  <c r="G476" i="3"/>
  <c r="G508" i="3"/>
  <c r="G540" i="3"/>
  <c r="G572" i="3"/>
  <c r="G604" i="3"/>
  <c r="G636" i="3"/>
  <c r="G668" i="3"/>
  <c r="F435" i="3"/>
  <c r="F467" i="3"/>
  <c r="A467" i="6" s="1"/>
  <c r="F499" i="3"/>
  <c r="F531" i="3"/>
  <c r="F563" i="3"/>
  <c r="F595" i="3"/>
  <c r="F627" i="3"/>
  <c r="F659" i="3"/>
  <c r="G688" i="3"/>
  <c r="G720" i="3"/>
  <c r="G703" i="3"/>
  <c r="E713" i="3"/>
  <c r="E681" i="3"/>
  <c r="D730" i="3"/>
  <c r="D698" i="3"/>
  <c r="D669" i="3"/>
  <c r="A669" i="6" s="1"/>
  <c r="E637" i="3"/>
  <c r="E605" i="3"/>
  <c r="A605" i="6" s="1"/>
  <c r="E573" i="3"/>
  <c r="E541" i="3"/>
  <c r="E509" i="3"/>
  <c r="E477" i="3"/>
  <c r="E445" i="3"/>
  <c r="E413" i="3"/>
  <c r="D646" i="3"/>
  <c r="D614" i="3"/>
  <c r="D582" i="3"/>
  <c r="D550" i="3"/>
  <c r="D518" i="3"/>
  <c r="D486" i="3"/>
  <c r="D454" i="3"/>
  <c r="D422" i="3"/>
  <c r="E394" i="3"/>
  <c r="E362" i="3"/>
  <c r="E330" i="3"/>
  <c r="E281" i="3"/>
  <c r="D395" i="3"/>
  <c r="D363" i="3"/>
  <c r="D331" i="3"/>
  <c r="E287" i="3"/>
  <c r="E225" i="3"/>
  <c r="E185" i="3"/>
  <c r="D298" i="3"/>
  <c r="D266" i="3"/>
  <c r="D234" i="3"/>
  <c r="D202" i="3"/>
  <c r="E145" i="3"/>
  <c r="D184" i="3"/>
  <c r="D152" i="3"/>
  <c r="D125" i="3"/>
  <c r="E93" i="3"/>
  <c r="D116" i="3"/>
  <c r="D84" i="3"/>
  <c r="E59" i="3"/>
  <c r="D62" i="3"/>
  <c r="E24" i="3"/>
  <c r="D20" i="3"/>
  <c r="E719" i="3"/>
  <c r="F725" i="3"/>
  <c r="F693" i="3"/>
  <c r="G710" i="3"/>
  <c r="G678" i="3"/>
  <c r="F649" i="3"/>
  <c r="F617" i="3"/>
  <c r="F715" i="3"/>
  <c r="F674" i="3"/>
  <c r="E724" i="3"/>
  <c r="E692" i="3"/>
  <c r="D663" i="3"/>
  <c r="D631" i="3"/>
  <c r="D599" i="3"/>
  <c r="D567" i="3"/>
  <c r="D535" i="3"/>
  <c r="D503" i="3"/>
  <c r="D471" i="3"/>
  <c r="D439" i="3"/>
  <c r="F405" i="3"/>
  <c r="E640" i="3"/>
  <c r="E608" i="3"/>
  <c r="E576" i="3"/>
  <c r="E544" i="3"/>
  <c r="E512" i="3"/>
  <c r="E480" i="3"/>
  <c r="E448" i="3"/>
  <c r="E416" i="3"/>
  <c r="D388" i="3"/>
  <c r="D356" i="3"/>
  <c r="D324" i="3"/>
  <c r="F269" i="3"/>
  <c r="E389" i="3"/>
  <c r="E357" i="3"/>
  <c r="E325" i="3"/>
  <c r="D275" i="3"/>
  <c r="D219" i="3"/>
  <c r="F173" i="3"/>
  <c r="E292" i="3"/>
  <c r="E260" i="3"/>
  <c r="E228" i="3"/>
  <c r="D191" i="3"/>
  <c r="D139" i="3"/>
  <c r="G178" i="3"/>
  <c r="E142" i="3"/>
  <c r="D83" i="3"/>
  <c r="D77" i="3"/>
  <c r="D48" i="3"/>
  <c r="G16" i="3"/>
  <c r="F32" i="3"/>
  <c r="D26" i="3"/>
  <c r="G63" i="3"/>
  <c r="G88" i="3"/>
  <c r="G120" i="3"/>
  <c r="F97" i="3"/>
  <c r="G129" i="3"/>
  <c r="G156" i="3"/>
  <c r="G188" i="3"/>
  <c r="F149" i="3"/>
  <c r="G206" i="3"/>
  <c r="E238" i="3"/>
  <c r="E270" i="3"/>
  <c r="E302" i="3"/>
  <c r="D193" i="3"/>
  <c r="F231" i="3"/>
  <c r="F295" i="3"/>
  <c r="G335" i="3"/>
  <c r="G367" i="3"/>
  <c r="G399" i="3"/>
  <c r="D289" i="3"/>
  <c r="F334" i="3"/>
  <c r="F366" i="3"/>
  <c r="F398" i="3"/>
  <c r="G426" i="3"/>
  <c r="G458" i="3"/>
  <c r="G490" i="3"/>
  <c r="G522" i="3"/>
  <c r="G554" i="3"/>
  <c r="G586" i="3"/>
  <c r="G618" i="3"/>
  <c r="G650" i="3"/>
  <c r="F417" i="3"/>
  <c r="F449" i="3"/>
  <c r="F481" i="3"/>
  <c r="F513" i="3"/>
  <c r="F545" i="3"/>
  <c r="F581" i="3"/>
  <c r="E695" i="3"/>
  <c r="D704" i="3"/>
  <c r="D675" i="3"/>
  <c r="E643" i="3"/>
  <c r="E611" i="3"/>
  <c r="E579" i="3"/>
  <c r="E547" i="3"/>
  <c r="E515" i="3"/>
  <c r="E483" i="3"/>
  <c r="E451" i="3"/>
  <c r="E419" i="3"/>
  <c r="D652" i="3"/>
  <c r="D620" i="3"/>
  <c r="D588" i="3"/>
  <c r="D556" i="3"/>
  <c r="D524" i="3"/>
  <c r="D492" i="3"/>
  <c r="D460" i="3"/>
  <c r="D428" i="3"/>
  <c r="D400" i="3"/>
  <c r="E368" i="3"/>
  <c r="E336" i="3"/>
  <c r="E293" i="3"/>
  <c r="E229" i="3"/>
  <c r="D369" i="3"/>
  <c r="D337" i="3"/>
  <c r="E299" i="3"/>
  <c r="E235" i="3"/>
  <c r="E197" i="3"/>
  <c r="D304" i="3"/>
  <c r="D272" i="3"/>
  <c r="D240" i="3"/>
  <c r="D208" i="3"/>
  <c r="E151" i="3"/>
  <c r="D190" i="3"/>
  <c r="D158" i="3"/>
  <c r="D111" i="3"/>
  <c r="E102" i="3"/>
  <c r="E41" i="3"/>
  <c r="G23" i="3"/>
  <c r="G17" i="3"/>
  <c r="F42" i="3"/>
  <c r="G39" i="3"/>
  <c r="F71" i="3"/>
  <c r="F96" i="3"/>
  <c r="G68" i="3"/>
  <c r="G105" i="3"/>
  <c r="F137" i="3"/>
  <c r="F164" i="3"/>
  <c r="F196" i="3"/>
  <c r="G163" i="3"/>
  <c r="F214" i="3"/>
  <c r="F246" i="3"/>
  <c r="F278" i="3"/>
  <c r="F310" i="3"/>
  <c r="G205" i="3"/>
  <c r="G247" i="3"/>
  <c r="G311" i="3"/>
  <c r="F343" i="3"/>
  <c r="F375" i="3"/>
  <c r="G241" i="3"/>
  <c r="G305" i="3"/>
  <c r="G342" i="3"/>
  <c r="G374" i="3"/>
  <c r="F406" i="3"/>
  <c r="F434" i="3"/>
  <c r="F466" i="3"/>
  <c r="F498" i="3"/>
  <c r="F530" i="3"/>
  <c r="F562" i="3"/>
  <c r="F594" i="3"/>
  <c r="F626" i="3"/>
  <c r="F658" i="3"/>
  <c r="G425" i="3"/>
  <c r="G457" i="3"/>
  <c r="G489" i="3"/>
  <c r="G521" i="3"/>
  <c r="G553" i="3"/>
  <c r="G27" i="3"/>
  <c r="D49" i="3"/>
  <c r="D102" i="3"/>
  <c r="E111" i="3"/>
  <c r="F18" i="3"/>
  <c r="G28" i="3"/>
  <c r="G22" i="3"/>
  <c r="G61" i="3"/>
  <c r="F86" i="3"/>
  <c r="F118" i="3"/>
  <c r="G95" i="3"/>
  <c r="F127" i="3"/>
  <c r="F154" i="3"/>
  <c r="F186" i="3"/>
  <c r="G147" i="3"/>
  <c r="F204" i="3"/>
  <c r="F236" i="3"/>
  <c r="F268" i="3"/>
  <c r="F300" i="3"/>
  <c r="G189" i="3"/>
  <c r="G227" i="3"/>
  <c r="G291" i="3"/>
  <c r="F333" i="3"/>
  <c r="F365" i="3"/>
  <c r="F397" i="3"/>
  <c r="G285" i="3"/>
  <c r="G332" i="3"/>
  <c r="G364" i="3"/>
  <c r="G396" i="3"/>
  <c r="F424" i="3"/>
  <c r="F456" i="3"/>
  <c r="F488" i="3"/>
  <c r="F520" i="3"/>
  <c r="F552" i="3"/>
  <c r="F584" i="3"/>
  <c r="F616" i="3"/>
  <c r="F648" i="3"/>
  <c r="G415" i="3"/>
  <c r="G447" i="3"/>
  <c r="G479" i="3"/>
  <c r="G511" i="3"/>
  <c r="G543" i="3"/>
  <c r="G575" i="3"/>
  <c r="G607" i="3"/>
  <c r="G639" i="3"/>
  <c r="F671" i="3"/>
  <c r="F700" i="3"/>
  <c r="G683" i="3"/>
  <c r="G731" i="3"/>
  <c r="D701" i="3"/>
  <c r="E718" i="3"/>
  <c r="E686" i="3"/>
  <c r="D657" i="3"/>
  <c r="D625" i="3"/>
  <c r="D593" i="3"/>
  <c r="D561" i="3"/>
  <c r="D529" i="3"/>
  <c r="D497" i="3"/>
  <c r="D465" i="3"/>
  <c r="D433" i="3"/>
  <c r="E666" i="3"/>
  <c r="E634" i="3"/>
  <c r="E602" i="3"/>
  <c r="E570" i="3"/>
  <c r="E538" i="3"/>
  <c r="E506" i="3"/>
  <c r="E474" i="3"/>
  <c r="E442" i="3"/>
  <c r="E410" i="3"/>
  <c r="D382" i="3"/>
  <c r="D350" i="3"/>
  <c r="D318" i="3"/>
  <c r="F257" i="3"/>
  <c r="E383" i="3"/>
  <c r="E351" i="3"/>
  <c r="E319" i="3"/>
  <c r="D263" i="3"/>
  <c r="D213" i="3"/>
  <c r="F161" i="3"/>
  <c r="G286" i="3"/>
  <c r="G254" i="3"/>
  <c r="E222" i="3"/>
  <c r="D179" i="3"/>
  <c r="F130" i="3"/>
  <c r="E172" i="3"/>
  <c r="E140" i="3"/>
  <c r="D113" i="3"/>
  <c r="D81" i="3"/>
  <c r="E104" i="3"/>
  <c r="D66" i="3"/>
  <c r="D47" i="3"/>
  <c r="E50" i="3"/>
  <c r="E25" i="3"/>
  <c r="D723" i="3"/>
  <c r="G725" i="3"/>
  <c r="G693" i="3"/>
  <c r="F710" i="3"/>
  <c r="F678" i="3"/>
  <c r="G649" i="3"/>
  <c r="G617" i="3"/>
  <c r="G585" i="3"/>
  <c r="D28" i="3"/>
  <c r="D61" i="3"/>
  <c r="D114" i="3"/>
  <c r="A114" i="6" s="1"/>
  <c r="E123" i="3"/>
  <c r="E31" i="3"/>
  <c r="G56" i="3"/>
  <c r="F53" i="3"/>
  <c r="G78" i="3"/>
  <c r="G110" i="3"/>
  <c r="F87" i="3"/>
  <c r="F119" i="3"/>
  <c r="G146" i="3"/>
  <c r="E178" i="3"/>
  <c r="F139" i="3"/>
  <c r="F191" i="3"/>
  <c r="G228" i="3"/>
  <c r="G260" i="3"/>
  <c r="G292" i="3"/>
  <c r="D173" i="3"/>
  <c r="F219" i="3"/>
  <c r="F275" i="3"/>
  <c r="G325" i="3"/>
  <c r="G357" i="3"/>
  <c r="G389" i="3"/>
  <c r="D269" i="3"/>
  <c r="F324" i="3"/>
  <c r="F356" i="3"/>
  <c r="F388" i="3"/>
  <c r="G416" i="3"/>
  <c r="G448" i="3"/>
  <c r="G480" i="3"/>
  <c r="G512" i="3"/>
  <c r="G544" i="3"/>
  <c r="G576" i="3"/>
  <c r="G608" i="3"/>
  <c r="G640" i="3"/>
  <c r="D405" i="3"/>
  <c r="F439" i="3"/>
  <c r="F471" i="3"/>
  <c r="F503" i="3"/>
  <c r="F535" i="3"/>
  <c r="F567" i="3"/>
  <c r="F599" i="3"/>
  <c r="F631" i="3"/>
  <c r="F663" i="3"/>
  <c r="G692" i="3"/>
  <c r="G724" i="3"/>
  <c r="D674" i="3"/>
  <c r="G711" i="3"/>
  <c r="E709" i="3"/>
  <c r="E677" i="3"/>
  <c r="D726" i="3"/>
  <c r="D694" i="3"/>
  <c r="E665" i="3"/>
  <c r="E633" i="3"/>
  <c r="E601" i="3"/>
  <c r="E569" i="3"/>
  <c r="E537" i="3"/>
  <c r="E505" i="3"/>
  <c r="E473" i="3"/>
  <c r="E441" i="3"/>
  <c r="E409" i="3"/>
  <c r="D642" i="3"/>
  <c r="D610" i="3"/>
  <c r="D578" i="3"/>
  <c r="D546" i="3"/>
  <c r="D514" i="3"/>
  <c r="D482" i="3"/>
  <c r="D450" i="3"/>
  <c r="D418" i="3"/>
  <c r="E390" i="3"/>
  <c r="E358" i="3"/>
  <c r="E326" i="3"/>
  <c r="E273" i="3"/>
  <c r="D391" i="3"/>
  <c r="D359" i="3"/>
  <c r="D327" i="3"/>
  <c r="E279" i="3"/>
  <c r="E221" i="3"/>
  <c r="E177" i="3"/>
  <c r="D294" i="3"/>
  <c r="D262" i="3"/>
  <c r="D230" i="3"/>
  <c r="E195" i="3"/>
  <c r="E141" i="3"/>
  <c r="D180" i="3"/>
  <c r="D148" i="3"/>
  <c r="E121" i="3"/>
  <c r="E89" i="3"/>
  <c r="D112" i="3"/>
  <c r="D80" i="3"/>
  <c r="E55" i="3"/>
  <c r="D58" i="3"/>
  <c r="D33" i="3"/>
  <c r="E731" i="3"/>
  <c r="E699" i="3"/>
  <c r="F705" i="3"/>
  <c r="D670" i="3"/>
  <c r="G722" i="3"/>
  <c r="G690" i="3"/>
  <c r="F661" i="3"/>
  <c r="F629" i="3"/>
  <c r="F597" i="3"/>
  <c r="E683" i="3"/>
  <c r="D687" i="3"/>
  <c r="E704" i="3"/>
  <c r="G675" i="3"/>
  <c r="D643" i="3"/>
  <c r="D611" i="3"/>
  <c r="D579" i="3"/>
  <c r="D547" i="3"/>
  <c r="D515" i="3"/>
  <c r="D483" i="3"/>
  <c r="D451" i="3"/>
  <c r="D419" i="3"/>
  <c r="E652" i="3"/>
  <c r="E620" i="3"/>
  <c r="E588" i="3"/>
  <c r="E556" i="3"/>
  <c r="E524" i="3"/>
  <c r="E492" i="3"/>
  <c r="E460" i="3"/>
  <c r="E428" i="3"/>
  <c r="E400" i="3"/>
  <c r="D368" i="3"/>
  <c r="D336" i="3"/>
  <c r="F293" i="3"/>
  <c r="F229" i="3"/>
  <c r="E369" i="3"/>
  <c r="E337" i="3"/>
  <c r="D299" i="3"/>
  <c r="D235" i="3"/>
  <c r="F197" i="3"/>
  <c r="E304" i="3"/>
  <c r="E272" i="3"/>
  <c r="E240" i="3"/>
  <c r="E208" i="3"/>
  <c r="D151" i="3"/>
  <c r="G190" i="3"/>
  <c r="G158" i="3"/>
  <c r="D107" i="3"/>
  <c r="E98" i="3"/>
  <c r="E37" i="3"/>
  <c r="E15" i="3"/>
  <c r="G38" i="3"/>
  <c r="D34" i="3"/>
  <c r="G67" i="3"/>
  <c r="G92" i="3"/>
  <c r="G124" i="3"/>
  <c r="F101" i="3"/>
  <c r="G133" i="3"/>
  <c r="G160" i="3"/>
  <c r="G192" i="3"/>
  <c r="F155" i="3"/>
  <c r="G210" i="3"/>
  <c r="E242" i="3"/>
  <c r="E274" i="3"/>
  <c r="E306" i="3"/>
  <c r="F201" i="3"/>
  <c r="F239" i="3"/>
  <c r="F303" i="3"/>
  <c r="G339" i="3"/>
  <c r="G371" i="3"/>
  <c r="D233" i="3"/>
  <c r="D297" i="3"/>
  <c r="F338" i="3"/>
  <c r="F370" i="3"/>
  <c r="G430" i="3"/>
  <c r="G494" i="3"/>
  <c r="G558" i="3"/>
  <c r="G622" i="3"/>
  <c r="F421" i="3"/>
  <c r="F485" i="3"/>
  <c r="F549" i="3"/>
  <c r="E687" i="3"/>
  <c r="D671" i="3"/>
  <c r="E607" i="3"/>
  <c r="E543" i="3"/>
  <c r="E479" i="3"/>
  <c r="E415" i="3"/>
  <c r="D616" i="3"/>
  <c r="D552" i="3"/>
  <c r="D488" i="3"/>
  <c r="D424" i="3"/>
  <c r="E364" i="3"/>
  <c r="E285" i="3"/>
  <c r="D365" i="3"/>
  <c r="E291" i="3"/>
  <c r="E189" i="3"/>
  <c r="D268" i="3"/>
  <c r="D204" i="3"/>
  <c r="D186" i="3"/>
  <c r="D103" i="3"/>
  <c r="E30" i="3"/>
  <c r="F21" i="3"/>
  <c r="G43" i="3"/>
  <c r="F100" i="3"/>
  <c r="G109" i="3"/>
  <c r="F168" i="3"/>
  <c r="G171" i="3"/>
  <c r="F250" i="3"/>
  <c r="G153" i="3"/>
  <c r="G255" i="3"/>
  <c r="F347" i="3"/>
  <c r="G249" i="3"/>
  <c r="G346" i="3"/>
  <c r="D407" i="3"/>
  <c r="F470" i="3"/>
  <c r="F534" i="3"/>
  <c r="F598" i="3"/>
  <c r="F662" i="3"/>
  <c r="G461" i="3"/>
  <c r="G525" i="3"/>
  <c r="D634" i="2"/>
  <c r="E10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713" i="2"/>
  <c r="D680" i="2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709" i="2"/>
  <c r="D676" i="2"/>
  <c r="D644" i="2"/>
  <c r="D612" i="2"/>
  <c r="E579" i="2"/>
  <c r="E547" i="2"/>
  <c r="E515" i="2"/>
  <c r="E483" i="2"/>
  <c r="E451" i="2"/>
  <c r="E418" i="2"/>
  <c r="E386" i="2"/>
  <c r="E344" i="2"/>
  <c r="E312" i="2"/>
  <c r="E280" i="2"/>
  <c r="D248" i="2"/>
  <c r="D216" i="2"/>
  <c r="D184" i="2"/>
  <c r="E153" i="2"/>
  <c r="D121" i="2"/>
  <c r="E88" i="2"/>
  <c r="D56" i="2"/>
  <c r="D24" i="2"/>
  <c r="E2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D27" i="2"/>
  <c r="D59" i="2"/>
  <c r="E91" i="2"/>
  <c r="D122" i="2"/>
  <c r="E154" i="2"/>
  <c r="D187" i="2"/>
  <c r="D219" i="2"/>
  <c r="A219" i="5" s="1"/>
  <c r="E251" i="2"/>
  <c r="E283" i="2"/>
  <c r="E315" i="2"/>
  <c r="E347" i="2"/>
  <c r="E385" i="2"/>
  <c r="E417" i="2"/>
  <c r="E448" i="2"/>
  <c r="E480" i="2"/>
  <c r="E512" i="2"/>
  <c r="E544" i="2"/>
  <c r="E576" i="2"/>
  <c r="D607" i="2"/>
  <c r="A607" i="5" s="1"/>
  <c r="D639" i="2"/>
  <c r="D671" i="2"/>
  <c r="D702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D13" i="2"/>
  <c r="D77" i="2"/>
  <c r="D140" i="2"/>
  <c r="D205" i="2"/>
  <c r="E269" i="2"/>
  <c r="E333" i="2"/>
  <c r="E399" i="2"/>
  <c r="E462" i="2"/>
  <c r="E526" i="2"/>
  <c r="E590" i="2"/>
  <c r="D653" i="2"/>
  <c r="D716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E21" i="2"/>
  <c r="E53" i="2"/>
  <c r="D85" i="2"/>
  <c r="E116" i="2"/>
  <c r="E148" i="2"/>
  <c r="E181" i="2"/>
  <c r="E213" i="2"/>
  <c r="E245" i="2"/>
  <c r="D277" i="2"/>
  <c r="D309" i="2"/>
  <c r="D341" i="2"/>
  <c r="D375" i="2"/>
  <c r="D407" i="2"/>
  <c r="D438" i="2"/>
  <c r="D470" i="2"/>
  <c r="D502" i="2"/>
  <c r="D534" i="2"/>
  <c r="D566" i="2"/>
  <c r="D598" i="2"/>
  <c r="E629" i="2"/>
  <c r="E661" i="2"/>
  <c r="E693" i="2"/>
  <c r="E724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701" i="2"/>
  <c r="D668" i="2"/>
  <c r="D636" i="2"/>
  <c r="D604" i="2"/>
  <c r="E571" i="2"/>
  <c r="E539" i="2"/>
  <c r="E507" i="2"/>
  <c r="E475" i="2"/>
  <c r="E443" i="2"/>
  <c r="E410" i="2"/>
  <c r="E378" i="2"/>
  <c r="E336" i="2"/>
  <c r="E304" i="2"/>
  <c r="E272" i="2"/>
  <c r="D240" i="2"/>
  <c r="D208" i="2"/>
  <c r="D176" i="2"/>
  <c r="D145" i="2"/>
  <c r="D113" i="2"/>
  <c r="D80" i="2"/>
  <c r="D48" i="2"/>
  <c r="D16" i="2"/>
  <c r="E8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D17" i="2"/>
  <c r="D49" i="2"/>
  <c r="A49" i="5" s="1"/>
  <c r="D81" i="2"/>
  <c r="D112" i="2"/>
  <c r="D144" i="2"/>
  <c r="D177" i="2"/>
  <c r="A177" i="5" s="1"/>
  <c r="D209" i="2"/>
  <c r="D241" i="2"/>
  <c r="E273" i="2"/>
  <c r="E305" i="2"/>
  <c r="E337" i="2"/>
  <c r="E387" i="2"/>
  <c r="E419" i="2"/>
  <c r="E450" i="2"/>
  <c r="E482" i="2"/>
  <c r="E514" i="2"/>
  <c r="E546" i="2"/>
  <c r="E578" i="2"/>
  <c r="D609" i="2"/>
  <c r="D641" i="2"/>
  <c r="D673" i="2"/>
  <c r="D704" i="2"/>
  <c r="A704" i="5" s="1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33" i="2"/>
  <c r="E65" i="2"/>
  <c r="D97" i="2"/>
  <c r="E128" i="2"/>
  <c r="D160" i="2"/>
  <c r="E193" i="2"/>
  <c r="E225" i="2"/>
  <c r="D257" i="2"/>
  <c r="D289" i="2"/>
  <c r="D321" i="2"/>
  <c r="A321" i="5" s="1"/>
  <c r="D353" i="2"/>
  <c r="D403" i="2"/>
  <c r="D434" i="2"/>
  <c r="D466" i="2"/>
  <c r="A466" i="5" s="1"/>
  <c r="D498" i="2"/>
  <c r="D530" i="2"/>
  <c r="D562" i="2"/>
  <c r="D594" i="2"/>
  <c r="A594" i="5" s="1"/>
  <c r="E625" i="2"/>
  <c r="E657" i="2"/>
  <c r="E689" i="2"/>
  <c r="E720" i="2"/>
  <c r="D19" i="2"/>
  <c r="D51" i="2"/>
  <c r="E83" i="2"/>
  <c r="D114" i="2"/>
  <c r="D146" i="2"/>
  <c r="D179" i="2"/>
  <c r="D211" i="2"/>
  <c r="D243" i="2"/>
  <c r="E275" i="2"/>
  <c r="E307" i="2"/>
  <c r="E339" i="2"/>
  <c r="E377" i="2"/>
  <c r="E409" i="2"/>
  <c r="E440" i="2"/>
  <c r="E472" i="2"/>
  <c r="E504" i="2"/>
  <c r="E536" i="2"/>
  <c r="E568" i="2"/>
  <c r="E600" i="2"/>
  <c r="D631" i="2"/>
  <c r="D663" i="2"/>
  <c r="D695" i="2"/>
  <c r="D726" i="2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29" i="2"/>
  <c r="D697" i="2"/>
  <c r="D664" i="2"/>
  <c r="D632" i="2"/>
  <c r="E599" i="2"/>
  <c r="E567" i="2"/>
  <c r="E535" i="2"/>
  <c r="E503" i="2"/>
  <c r="E471" i="2"/>
  <c r="E439" i="2"/>
  <c r="E406" i="2"/>
  <c r="E374" i="2"/>
  <c r="E340" i="2"/>
  <c r="E308" i="2"/>
  <c r="E276" i="2"/>
  <c r="D244" i="2"/>
  <c r="D212" i="2"/>
  <c r="D180" i="2"/>
  <c r="D149" i="2"/>
  <c r="D117" i="2"/>
  <c r="E84" i="2"/>
  <c r="D52" i="2"/>
  <c r="D20" i="2"/>
  <c r="E14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37" i="2"/>
  <c r="D69" i="2"/>
  <c r="D100" i="2"/>
  <c r="D132" i="2"/>
  <c r="E164" i="2"/>
  <c r="D197" i="2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D708" i="2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A10" i="5" s="1"/>
  <c r="E29" i="2"/>
  <c r="E61" i="2"/>
  <c r="D93" i="2"/>
  <c r="E124" i="2"/>
  <c r="D156" i="2"/>
  <c r="E189" i="2"/>
  <c r="E221" i="2"/>
  <c r="D253" i="2"/>
  <c r="D285" i="2"/>
  <c r="D317" i="2"/>
  <c r="D349" i="2"/>
  <c r="D383" i="2"/>
  <c r="D415" i="2"/>
  <c r="D446" i="2"/>
  <c r="D478" i="2"/>
  <c r="D510" i="2"/>
  <c r="D542" i="2"/>
  <c r="D574" i="2"/>
  <c r="E605" i="2"/>
  <c r="E637" i="2"/>
  <c r="E669" i="2"/>
  <c r="E700" i="2"/>
  <c r="D31" i="2"/>
  <c r="D63" i="2"/>
  <c r="E95" i="2"/>
  <c r="D126" i="2"/>
  <c r="E158" i="2"/>
  <c r="D191" i="2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D675" i="2"/>
  <c r="D706" i="2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D725" i="2"/>
  <c r="D692" i="2"/>
  <c r="D660" i="2"/>
  <c r="D628" i="2"/>
  <c r="E595" i="2"/>
  <c r="E563" i="2"/>
  <c r="E531" i="2"/>
  <c r="E499" i="2"/>
  <c r="E467" i="2"/>
  <c r="E435" i="2"/>
  <c r="E402" i="2"/>
  <c r="E360" i="2"/>
  <c r="E328" i="2"/>
  <c r="E296" i="2"/>
  <c r="E264" i="2"/>
  <c r="D232" i="2"/>
  <c r="D200" i="2"/>
  <c r="E169" i="2"/>
  <c r="D137" i="2"/>
  <c r="D105" i="2"/>
  <c r="D72" i="2"/>
  <c r="E40" i="2"/>
  <c r="D8" i="2"/>
  <c r="E23" i="2"/>
  <c r="E55" i="2"/>
  <c r="D87" i="2"/>
  <c r="E118" i="2"/>
  <c r="E150" i="2"/>
  <c r="E183" i="2"/>
  <c r="E215" i="2"/>
  <c r="E247" i="2"/>
  <c r="D279" i="2"/>
  <c r="D311" i="2"/>
  <c r="D343" i="2"/>
  <c r="D381" i="2"/>
  <c r="D413" i="2"/>
  <c r="D444" i="2"/>
  <c r="D476" i="2"/>
  <c r="D508" i="2"/>
  <c r="D540" i="2"/>
  <c r="D572" i="2"/>
  <c r="E603" i="2"/>
  <c r="E635" i="2"/>
  <c r="E667" i="2"/>
  <c r="E698" i="2"/>
  <c r="E730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E379" i="2"/>
  <c r="E411" i="2"/>
  <c r="E442" i="2"/>
  <c r="E474" i="2"/>
  <c r="E506" i="2"/>
  <c r="E538" i="2"/>
  <c r="E570" i="2"/>
  <c r="D601" i="2"/>
  <c r="A601" i="5" s="1"/>
  <c r="D633" i="2"/>
  <c r="D665" i="2"/>
  <c r="D696" i="2"/>
  <c r="D728" i="2"/>
  <c r="A728" i="5" s="1"/>
  <c r="E727" i="2"/>
  <c r="E694" i="2"/>
  <c r="E662" i="2"/>
  <c r="E630" i="2"/>
  <c r="D597" i="2"/>
  <c r="D565" i="2"/>
  <c r="D533" i="2"/>
  <c r="D501" i="2"/>
  <c r="D469" i="2"/>
  <c r="D437" i="2"/>
  <c r="D404" i="2"/>
  <c r="D338" i="2"/>
  <c r="D306" i="2"/>
  <c r="D274" i="2"/>
  <c r="E242" i="2"/>
  <c r="E210" i="2"/>
  <c r="E178" i="2"/>
  <c r="E147" i="2"/>
  <c r="E115" i="2"/>
  <c r="D82" i="2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E717" i="2"/>
  <c r="E684" i="2"/>
  <c r="E652" i="2"/>
  <c r="E620" i="2"/>
  <c r="D587" i="2"/>
  <c r="A587" i="5" s="1"/>
  <c r="D555" i="2"/>
  <c r="D523" i="2"/>
  <c r="D491" i="2"/>
  <c r="A491" i="5" s="1"/>
  <c r="D459" i="2"/>
  <c r="A459" i="5" s="1"/>
  <c r="D426" i="2"/>
  <c r="D394" i="2"/>
  <c r="D352" i="2"/>
  <c r="A352" i="5" s="1"/>
  <c r="D320" i="2"/>
  <c r="A320" i="5" s="1"/>
  <c r="D288" i="2"/>
  <c r="D256" i="2"/>
  <c r="E224" i="2"/>
  <c r="E192" i="2"/>
  <c r="D161" i="2"/>
  <c r="E129" i="2"/>
  <c r="D96" i="2"/>
  <c r="A96" i="5" s="1"/>
  <c r="E64" i="2"/>
  <c r="D705" i="2"/>
  <c r="D672" i="2"/>
  <c r="D640" i="2"/>
  <c r="D608" i="2"/>
  <c r="E575" i="2"/>
  <c r="E543" i="2"/>
  <c r="E511" i="2"/>
  <c r="E479" i="2"/>
  <c r="E447" i="2"/>
  <c r="E414" i="2"/>
  <c r="E382" i="2"/>
  <c r="E348" i="2"/>
  <c r="E316" i="2"/>
  <c r="E284" i="2"/>
  <c r="E252" i="2"/>
  <c r="D220" i="2"/>
  <c r="D188" i="2"/>
  <c r="E157" i="2"/>
  <c r="D125" i="2"/>
  <c r="E92" i="2"/>
  <c r="D60" i="2"/>
  <c r="D28" i="2"/>
  <c r="E28" i="2"/>
  <c r="D35" i="2"/>
  <c r="E67" i="2"/>
  <c r="E130" i="2"/>
  <c r="E195" i="2"/>
  <c r="D259" i="2"/>
  <c r="A259" i="5" s="1"/>
  <c r="D323" i="2"/>
  <c r="D393" i="2"/>
  <c r="D456" i="2"/>
  <c r="D520" i="2"/>
  <c r="A520" i="5" s="1"/>
  <c r="D584" i="2"/>
  <c r="E647" i="2"/>
  <c r="E710" i="2"/>
  <c r="D45" i="2"/>
  <c r="D108" i="2"/>
  <c r="A108" i="5" s="1"/>
  <c r="E172" i="2"/>
  <c r="D237" i="2"/>
  <c r="A237" i="5" s="1"/>
  <c r="E301" i="2"/>
  <c r="E365" i="2"/>
  <c r="E430" i="2"/>
  <c r="E494" i="2"/>
  <c r="E558" i="2"/>
  <c r="D621" i="2"/>
  <c r="A621" i="5" s="1"/>
  <c r="D685" i="2"/>
  <c r="E707" i="2"/>
  <c r="E642" i="2"/>
  <c r="D577" i="2"/>
  <c r="D513" i="2"/>
  <c r="E589" i="2"/>
  <c r="D606" i="2"/>
  <c r="D699" i="2"/>
  <c r="A699" i="5" s="1"/>
  <c r="D670" i="2"/>
  <c r="A670" i="5" s="1"/>
  <c r="D690" i="2"/>
  <c r="A690" i="5" s="1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E230" i="2"/>
  <c r="D278" i="2"/>
  <c r="D334" i="2"/>
  <c r="D392" i="2"/>
  <c r="D646" i="2"/>
  <c r="A646" i="5" s="1"/>
  <c r="D715" i="2"/>
  <c r="D686" i="2"/>
  <c r="D707" i="2"/>
  <c r="D678" i="2"/>
  <c r="E62" i="2"/>
  <c r="E127" i="2"/>
  <c r="E190" i="2"/>
  <c r="D262" i="2"/>
  <c r="D342" i="2"/>
  <c r="D416" i="2"/>
  <c r="E54" i="2"/>
  <c r="E119" i="2"/>
  <c r="E182" i="2"/>
  <c r="E246" i="2"/>
  <c r="D294" i="2"/>
  <c r="D350" i="2"/>
  <c r="A350" i="5" s="1"/>
  <c r="D408" i="2"/>
  <c r="D622" i="2"/>
  <c r="D666" i="2"/>
  <c r="D731" i="2"/>
  <c r="D642" i="2"/>
  <c r="D703" i="2"/>
  <c r="A703" i="5" s="1"/>
  <c r="D658" i="2"/>
  <c r="A658" i="5" s="1"/>
  <c r="D723" i="2"/>
  <c r="D638" i="2"/>
  <c r="D694" i="2"/>
  <c r="E78" i="2"/>
  <c r="E143" i="2"/>
  <c r="E206" i="2"/>
  <c r="D286" i="2"/>
  <c r="D366" i="2"/>
  <c r="A366" i="5" s="1"/>
  <c r="D433" i="2"/>
  <c r="E70" i="2"/>
  <c r="E135" i="2"/>
  <c r="E198" i="2"/>
  <c r="D254" i="2"/>
  <c r="D310" i="2"/>
  <c r="D358" i="2"/>
  <c r="D424" i="2"/>
  <c r="D682" i="2"/>
  <c r="D654" i="2"/>
  <c r="D719" i="2"/>
  <c r="A719" i="5" s="1"/>
  <c r="D674" i="2"/>
  <c r="D650" i="2"/>
  <c r="A650" i="5" s="1"/>
  <c r="D711" i="2"/>
  <c r="D94" i="2"/>
  <c r="A94" i="5" s="1"/>
  <c r="D159" i="2"/>
  <c r="E222" i="2"/>
  <c r="D302" i="2"/>
  <c r="A302" i="5" s="1"/>
  <c r="D384" i="2"/>
  <c r="D449" i="2"/>
  <c r="A449" i="5" s="1"/>
  <c r="D86" i="2"/>
  <c r="A86" i="5" s="1"/>
  <c r="E151" i="2"/>
  <c r="E214" i="2"/>
  <c r="D270" i="2"/>
  <c r="D326" i="2"/>
  <c r="D376" i="2"/>
  <c r="A376" i="5" s="1"/>
  <c r="D441" i="2"/>
  <c r="A316" i="6" l="1"/>
  <c r="A495" i="6"/>
  <c r="A472" i="6"/>
  <c r="A592" i="6"/>
  <c r="A176" i="6"/>
  <c r="A185" i="6"/>
  <c r="A315" i="6"/>
  <c r="A317" i="6"/>
  <c r="A470" i="6"/>
  <c r="A725" i="6"/>
  <c r="A367" i="6"/>
  <c r="A193" i="6"/>
  <c r="A188" i="6"/>
  <c r="A129" i="6"/>
  <c r="A120" i="6"/>
  <c r="A48" i="6"/>
  <c r="A680" i="6"/>
  <c r="A313" i="6"/>
  <c r="A128" i="6"/>
  <c r="A45" i="6"/>
  <c r="A258" i="6"/>
  <c r="A469" i="6"/>
  <c r="A252" i="6"/>
  <c r="A253" i="6"/>
  <c r="A667" i="6"/>
  <c r="A17" i="6"/>
  <c r="A719" i="6"/>
  <c r="A497" i="6"/>
  <c r="A475" i="6"/>
  <c r="A661" i="6"/>
  <c r="A578" i="6"/>
  <c r="A677" i="6"/>
  <c r="A374" i="6"/>
  <c r="A205" i="6"/>
  <c r="A24" i="6"/>
  <c r="A287" i="6"/>
  <c r="A53" i="6"/>
  <c r="A693" i="6"/>
  <c r="A106" i="6"/>
  <c r="A133" i="6"/>
  <c r="A657" i="6"/>
  <c r="A359" i="6"/>
  <c r="A121" i="6"/>
  <c r="A279" i="6"/>
  <c r="A418" i="6"/>
  <c r="A610" i="6"/>
  <c r="A409" i="6"/>
  <c r="A692" i="6"/>
  <c r="A389" i="6"/>
  <c r="A254" i="6"/>
  <c r="A538" i="6"/>
  <c r="A639" i="6"/>
  <c r="A511" i="6"/>
  <c r="A333" i="6"/>
  <c r="A227" i="6"/>
  <c r="A247" i="6"/>
  <c r="A675" i="6"/>
  <c r="A517" i="6"/>
  <c r="A260" i="6"/>
  <c r="A254" i="5"/>
  <c r="A433" i="5"/>
  <c r="A731" i="5"/>
  <c r="A678" i="5"/>
  <c r="A577" i="5"/>
  <c r="A456" i="5"/>
  <c r="A60" i="5"/>
  <c r="A188" i="5"/>
  <c r="A705" i="5"/>
  <c r="A677" i="5"/>
  <c r="A189" i="6"/>
  <c r="A365" i="6"/>
  <c r="A58" i="6"/>
  <c r="A326" i="6"/>
  <c r="A450" i="6"/>
  <c r="A642" i="6"/>
  <c r="A110" i="6"/>
  <c r="A623" i="6"/>
  <c r="A673" i="6"/>
  <c r="A194" i="6"/>
  <c r="A682" i="5"/>
  <c r="A306" i="5"/>
  <c r="A469" i="5"/>
  <c r="A597" i="5"/>
  <c r="A13" i="5"/>
  <c r="A293" i="6"/>
  <c r="A483" i="6"/>
  <c r="A547" i="6"/>
  <c r="A535" i="6"/>
  <c r="A382" i="6"/>
  <c r="A442" i="6"/>
  <c r="A686" i="6"/>
  <c r="A462" i="6"/>
  <c r="A150" i="6"/>
  <c r="A336" i="6"/>
  <c r="A494" i="6"/>
  <c r="A576" i="6"/>
  <c r="A263" i="6"/>
  <c r="A350" i="6"/>
  <c r="A465" i="6"/>
  <c r="A19" i="6"/>
  <c r="A18" i="6"/>
  <c r="A296" i="6"/>
  <c r="A507" i="6"/>
  <c r="A696" i="6"/>
  <c r="A629" i="6"/>
  <c r="A153" i="6"/>
  <c r="A234" i="6"/>
  <c r="A126" i="6"/>
  <c r="A672" i="6"/>
  <c r="A157" i="6"/>
  <c r="A175" i="6"/>
  <c r="A134" i="6"/>
  <c r="A636" i="6"/>
  <c r="A435" i="6"/>
  <c r="A499" i="6"/>
  <c r="A563" i="6"/>
  <c r="A627" i="6"/>
  <c r="A244" i="6"/>
  <c r="A502" i="6"/>
  <c r="A655" i="5"/>
  <c r="A138" i="5"/>
  <c r="A11" i="5"/>
  <c r="A270" i="5"/>
  <c r="A674" i="5"/>
  <c r="A654" i="5"/>
  <c r="A638" i="5"/>
  <c r="A408" i="5"/>
  <c r="A715" i="5"/>
  <c r="A278" i="5"/>
  <c r="A45" i="5"/>
  <c r="A35" i="5"/>
  <c r="A220" i="5"/>
  <c r="A608" i="5"/>
  <c r="A508" i="5"/>
  <c r="A381" i="5"/>
  <c r="A611" i="5"/>
  <c r="A223" i="5"/>
  <c r="A708" i="5"/>
  <c r="A197" i="5"/>
  <c r="A69" i="5"/>
  <c r="A596" i="5"/>
  <c r="A468" i="5"/>
  <c r="A335" i="5"/>
  <c r="A425" i="5"/>
  <c r="A162" i="5"/>
  <c r="A529" i="5"/>
  <c r="A461" i="6"/>
  <c r="A43" i="6"/>
  <c r="A239" i="6"/>
  <c r="A52" i="5"/>
  <c r="A180" i="5"/>
  <c r="A697" i="5"/>
  <c r="A294" i="5"/>
  <c r="A167" i="5"/>
  <c r="A16" i="5"/>
  <c r="A262" i="5"/>
  <c r="A117" i="5"/>
  <c r="A244" i="5"/>
  <c r="A632" i="5"/>
  <c r="A610" i="5"/>
  <c r="A16" i="6"/>
  <c r="A15" i="6"/>
  <c r="A14" i="6"/>
  <c r="A149" i="5"/>
  <c r="A212" i="5"/>
  <c r="A664" i="5"/>
  <c r="A729" i="5"/>
  <c r="A42" i="5"/>
  <c r="A707" i="5"/>
  <c r="A424" i="5"/>
  <c r="A444" i="6"/>
  <c r="A663" i="6"/>
  <c r="A109" i="6"/>
  <c r="A213" i="6"/>
  <c r="A348" i="6"/>
  <c r="A413" i="6"/>
  <c r="A394" i="6"/>
  <c r="A510" i="5"/>
  <c r="A383" i="5"/>
  <c r="A253" i="5"/>
  <c r="A552" i="5"/>
  <c r="A291" i="5"/>
  <c r="A687" i="5"/>
  <c r="A39" i="6"/>
  <c r="A26" i="6"/>
  <c r="A132" i="6"/>
  <c r="A729" i="6"/>
  <c r="A618" i="6"/>
  <c r="A689" i="6"/>
  <c r="A208" i="6"/>
  <c r="A631" i="6"/>
  <c r="A303" i="6"/>
  <c r="A570" i="6"/>
  <c r="A54" i="6"/>
  <c r="A95" i="6"/>
  <c r="A412" i="6"/>
  <c r="A182" i="6"/>
  <c r="A658" i="6"/>
  <c r="A423" i="6"/>
  <c r="A602" i="6"/>
  <c r="A268" i="6"/>
  <c r="A520" i="6"/>
  <c r="A551" i="6"/>
  <c r="A89" i="6"/>
  <c r="A326" i="5"/>
  <c r="A393" i="5"/>
  <c r="A256" i="5"/>
  <c r="A394" i="5"/>
  <c r="A523" i="5"/>
  <c r="A711" i="5"/>
  <c r="A723" i="5"/>
  <c r="A513" i="5"/>
  <c r="A706" i="5"/>
  <c r="A191" i="5"/>
  <c r="A63" i="5"/>
  <c r="A478" i="5"/>
  <c r="A349" i="5"/>
  <c r="A93" i="5"/>
  <c r="A358" i="5"/>
  <c r="A686" i="5"/>
  <c r="A82" i="5"/>
  <c r="A501" i="5"/>
  <c r="A57" i="5"/>
  <c r="A343" i="5"/>
  <c r="A87" i="5"/>
  <c r="A232" i="5"/>
  <c r="A631" i="5"/>
  <c r="A243" i="5"/>
  <c r="A114" i="5"/>
  <c r="A113" i="5"/>
  <c r="A240" i="5"/>
  <c r="A636" i="5"/>
  <c r="A566" i="5"/>
  <c r="A438" i="5"/>
  <c r="A309" i="5"/>
  <c r="A338" i="5"/>
  <c r="A696" i="5"/>
  <c r="A185" i="5"/>
  <c r="A476" i="5"/>
  <c r="A105" i="5"/>
  <c r="A628" i="5"/>
  <c r="A384" i="5"/>
  <c r="A606" i="5"/>
  <c r="A125" i="5"/>
  <c r="A640" i="5"/>
  <c r="A645" i="5"/>
  <c r="A132" i="5"/>
  <c r="A651" i="6"/>
  <c r="A73" i="6"/>
  <c r="A72" i="5"/>
  <c r="A200" i="5"/>
  <c r="A725" i="5"/>
  <c r="A663" i="5"/>
  <c r="A146" i="5"/>
  <c r="A19" i="5"/>
  <c r="A598" i="5"/>
  <c r="A470" i="5"/>
  <c r="A341" i="5"/>
  <c r="A85" i="5"/>
  <c r="A633" i="6"/>
  <c r="A675" i="5"/>
  <c r="A31" i="5"/>
  <c r="A574" i="5"/>
  <c r="A446" i="5"/>
  <c r="A317" i="5"/>
  <c r="A20" i="5"/>
  <c r="A530" i="5"/>
  <c r="A403" i="5"/>
  <c r="A257" i="5"/>
  <c r="A676" i="5"/>
  <c r="A666" i="5"/>
  <c r="A441" i="5"/>
  <c r="A310" i="5"/>
  <c r="A334" i="5"/>
  <c r="A685" i="5"/>
  <c r="A161" i="5"/>
  <c r="A288" i="5"/>
  <c r="A426" i="5"/>
  <c r="A555" i="5"/>
  <c r="A187" i="6"/>
  <c r="A672" i="5"/>
  <c r="A133" i="5"/>
  <c r="A648" i="5"/>
  <c r="A80" i="5"/>
  <c r="A208" i="5"/>
  <c r="A604" i="5"/>
  <c r="A121" i="5"/>
  <c r="A248" i="5"/>
  <c r="A644" i="5"/>
  <c r="A562" i="5"/>
  <c r="A434" i="5"/>
  <c r="A289" i="5"/>
  <c r="A160" i="5"/>
  <c r="A33" i="5"/>
  <c r="A30" i="5"/>
  <c r="A609" i="5"/>
  <c r="A209" i="5"/>
  <c r="A81" i="5"/>
  <c r="A500" i="5"/>
  <c r="A373" i="5"/>
  <c r="A77" i="5"/>
  <c r="A497" i="5"/>
  <c r="A639" i="5"/>
  <c r="A122" i="5"/>
  <c r="A680" i="5"/>
  <c r="A694" i="5"/>
  <c r="A584" i="5"/>
  <c r="A323" i="5"/>
  <c r="A623" i="5"/>
  <c r="A235" i="5"/>
  <c r="A106" i="5"/>
  <c r="A643" i="5"/>
  <c r="A126" i="5"/>
  <c r="A498" i="5"/>
  <c r="A673" i="5"/>
  <c r="A144" i="5"/>
  <c r="A17" i="5"/>
  <c r="A564" i="5"/>
  <c r="A436" i="5"/>
  <c r="A303" i="5"/>
  <c r="A174" i="5"/>
  <c r="A716" i="5"/>
  <c r="A205" i="5"/>
  <c r="A561" i="5"/>
  <c r="A702" i="5"/>
  <c r="A187" i="5"/>
  <c r="A59" i="5"/>
  <c r="A218" i="5"/>
  <c r="A107" i="5"/>
  <c r="A234" i="5"/>
  <c r="A622" i="5"/>
  <c r="A342" i="5"/>
  <c r="A633" i="5"/>
  <c r="A120" i="5"/>
  <c r="A641" i="6"/>
  <c r="A342" i="6"/>
  <c r="A159" i="5"/>
  <c r="A416" i="5"/>
  <c r="A727" i="5"/>
  <c r="A404" i="5"/>
  <c r="A533" i="5"/>
  <c r="A665" i="5"/>
  <c r="A152" i="5"/>
  <c r="A25" i="5"/>
  <c r="A572" i="5"/>
  <c r="A444" i="5"/>
  <c r="A311" i="5"/>
  <c r="A8" i="5"/>
  <c r="A137" i="5"/>
  <c r="A660" i="5"/>
  <c r="A542" i="5"/>
  <c r="A415" i="5"/>
  <c r="A285" i="5"/>
  <c r="A156" i="5"/>
  <c r="A726" i="5"/>
  <c r="A211" i="5"/>
  <c r="A353" i="5"/>
  <c r="A97" i="5"/>
  <c r="A145" i="5"/>
  <c r="A668" i="5"/>
  <c r="A534" i="5"/>
  <c r="A407" i="5"/>
  <c r="A277" i="5"/>
  <c r="A355" i="5"/>
  <c r="A99" i="5"/>
  <c r="A56" i="5"/>
  <c r="A184" i="5"/>
  <c r="A709" i="5"/>
  <c r="A101" i="5"/>
  <c r="A228" i="5"/>
  <c r="A616" i="5"/>
  <c r="A34" i="6"/>
  <c r="A42" i="6"/>
  <c r="A666" i="6"/>
  <c r="A549" i="6"/>
  <c r="A539" i="6"/>
  <c r="A360" i="6"/>
  <c r="A569" i="6"/>
  <c r="A286" i="5"/>
  <c r="A718" i="5"/>
  <c r="A203" i="5"/>
  <c r="A75" i="5"/>
  <c r="A618" i="5"/>
  <c r="A274" i="5"/>
  <c r="A437" i="5"/>
  <c r="A565" i="5"/>
  <c r="A540" i="5"/>
  <c r="A413" i="5"/>
  <c r="A279" i="5"/>
  <c r="A692" i="5"/>
  <c r="A74" i="5"/>
  <c r="A202" i="5"/>
  <c r="A613" i="5"/>
  <c r="A229" i="5"/>
  <c r="A100" i="5"/>
  <c r="A695" i="5"/>
  <c r="A179" i="5"/>
  <c r="A51" i="5"/>
  <c r="A36" i="5"/>
  <c r="A641" i="5"/>
  <c r="A241" i="5"/>
  <c r="A112" i="5"/>
  <c r="A532" i="5"/>
  <c r="A405" i="5"/>
  <c r="A271" i="5"/>
  <c r="A48" i="5"/>
  <c r="A176" i="5"/>
  <c r="A701" i="5"/>
  <c r="A502" i="5"/>
  <c r="A375" i="5"/>
  <c r="A653" i="5"/>
  <c r="A140" i="5"/>
  <c r="A465" i="5"/>
  <c r="A593" i="5"/>
  <c r="A671" i="5"/>
  <c r="A27" i="5"/>
  <c r="A216" i="5"/>
  <c r="A612" i="5"/>
  <c r="A167" i="6"/>
  <c r="A665" i="6"/>
  <c r="A581" i="6"/>
  <c r="A139" i="5"/>
  <c r="A602" i="5"/>
  <c r="A531" i="6"/>
  <c r="A98" i="6"/>
  <c r="A215" i="6"/>
  <c r="A582" i="6"/>
  <c r="A590" i="6"/>
  <c r="A125" i="6"/>
  <c r="A695" i="6"/>
  <c r="A380" i="6"/>
  <c r="A87" i="6"/>
  <c r="A622" i="6"/>
  <c r="A591" i="6"/>
  <c r="A144" i="6"/>
  <c r="A650" i="6"/>
  <c r="A99" i="6"/>
  <c r="A250" i="6"/>
  <c r="A155" i="6"/>
  <c r="A443" i="6"/>
  <c r="A51" i="6"/>
  <c r="A337" i="6"/>
  <c r="A588" i="6"/>
  <c r="A407" i="6"/>
  <c r="A426" i="6"/>
  <c r="A428" i="6"/>
  <c r="A140" i="6"/>
  <c r="A489" i="6"/>
  <c r="A320" i="6"/>
  <c r="A63" i="6"/>
  <c r="A408" i="6"/>
  <c r="A235" i="6"/>
  <c r="A599" i="6"/>
  <c r="A522" i="6"/>
  <c r="A678" i="6"/>
  <c r="A362" i="6"/>
  <c r="A58" i="5"/>
  <c r="A186" i="5"/>
  <c r="A384" i="6"/>
  <c r="A323" i="6"/>
  <c r="A262" i="6"/>
  <c r="A632" i="6"/>
  <c r="A265" i="6"/>
  <c r="A690" i="6"/>
  <c r="A445" i="6"/>
  <c r="A395" i="6"/>
  <c r="A225" i="6"/>
  <c r="A567" i="6"/>
  <c r="A135" i="6"/>
  <c r="A67" i="6"/>
  <c r="A656" i="6"/>
  <c r="A668" i="6"/>
  <c r="A400" i="6"/>
  <c r="A439" i="6"/>
  <c r="A441" i="6"/>
  <c r="A593" i="6"/>
  <c r="A484" i="6"/>
  <c r="A504" i="6"/>
  <c r="A216" i="6"/>
  <c r="A256" i="6"/>
  <c r="A231" i="6"/>
  <c r="A478" i="6"/>
  <c r="A159" i="6"/>
  <c r="A486" i="6"/>
  <c r="A681" i="6"/>
  <c r="A625" i="6"/>
  <c r="A404" i="6"/>
  <c r="A285" i="6"/>
  <c r="A309" i="6"/>
  <c r="A68" i="6"/>
  <c r="A312" i="6"/>
  <c r="A328" i="6"/>
  <c r="A27" i="6"/>
  <c r="A88" i="6"/>
  <c r="A401" i="6"/>
  <c r="A519" i="6"/>
  <c r="A33" i="6"/>
  <c r="A307" i="6"/>
  <c r="A479" i="6"/>
  <c r="A212" i="6"/>
  <c r="A209" i="6"/>
  <c r="A324" i="6"/>
  <c r="A437" i="6"/>
  <c r="A473" i="6"/>
  <c r="A363" i="6"/>
  <c r="A496" i="6"/>
  <c r="A620" i="6"/>
  <c r="A203" i="6"/>
  <c r="A335" i="6"/>
  <c r="A116" i="6"/>
  <c r="A34" i="5"/>
  <c r="A191" i="6"/>
  <c r="A655" i="6"/>
  <c r="A463" i="6"/>
  <c r="A390" i="6"/>
  <c r="A202" i="6"/>
  <c r="A31" i="6"/>
  <c r="A399" i="6"/>
  <c r="A223" i="6"/>
  <c r="A458" i="6"/>
  <c r="A100" i="6"/>
  <c r="A65" i="6"/>
  <c r="A318" i="6"/>
  <c r="A298" i="6"/>
  <c r="A131" i="6"/>
  <c r="A525" i="6"/>
  <c r="A717" i="6"/>
  <c r="A702" i="6"/>
  <c r="A532" i="6"/>
  <c r="A177" i="6"/>
  <c r="A600" i="6"/>
  <c r="A648" i="6"/>
  <c r="A580" i="6"/>
  <c r="A372" i="6"/>
  <c r="A311" i="6"/>
  <c r="A537" i="6"/>
  <c r="A364" i="6"/>
  <c r="A102" i="6"/>
  <c r="A46" i="6"/>
  <c r="A637" i="6"/>
  <c r="A615" i="6"/>
  <c r="A141" i="6"/>
  <c r="A518" i="6"/>
  <c r="A186" i="6"/>
  <c r="A221" i="6"/>
  <c r="A498" i="6"/>
  <c r="A162" i="6"/>
  <c r="A589" i="6"/>
  <c r="A232" i="6"/>
  <c r="A459" i="6"/>
  <c r="A699" i="6"/>
  <c r="A503" i="6"/>
  <c r="A329" i="6"/>
  <c r="A70" i="6"/>
  <c r="A218" i="6"/>
  <c r="A90" i="6"/>
  <c r="A609" i="6"/>
  <c r="A652" i="6"/>
  <c r="A55" i="6"/>
  <c r="A621" i="6"/>
  <c r="A718" i="6"/>
  <c r="A649" i="6"/>
  <c r="A624" i="6"/>
  <c r="A376" i="6"/>
  <c r="A267" i="6"/>
  <c r="A123" i="6"/>
  <c r="A240" i="6"/>
  <c r="A452" i="6"/>
  <c r="A601" i="6"/>
  <c r="A471" i="6"/>
  <c r="A379" i="6"/>
  <c r="A492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04" i="6"/>
  <c r="A397" i="6"/>
  <c r="A343" i="6"/>
  <c r="A721" i="6"/>
  <c r="A598" i="6"/>
  <c r="A527" i="6"/>
  <c r="A691" i="6"/>
  <c r="A40" i="6"/>
  <c r="A558" i="6"/>
  <c r="A438" i="6"/>
  <c r="A562" i="6"/>
  <c r="A214" i="6"/>
  <c r="A288" i="6"/>
  <c r="A468" i="6"/>
  <c r="A304" i="6"/>
  <c r="A516" i="6"/>
  <c r="A597" i="6"/>
  <c r="A49" i="6"/>
  <c r="A433" i="6"/>
  <c r="A50" i="6"/>
  <c r="A369" i="6"/>
  <c r="A584" i="6"/>
  <c r="A614" i="6"/>
  <c r="A447" i="6"/>
  <c r="A32" i="6"/>
  <c r="A228" i="6"/>
  <c r="A284" i="6"/>
  <c r="A595" i="6"/>
  <c r="A572" i="6"/>
  <c r="A91" i="6"/>
  <c r="A613" i="6"/>
  <c r="A487" i="6"/>
  <c r="A587" i="6"/>
  <c r="A230" i="6"/>
  <c r="A720" i="6"/>
  <c r="A552" i="6"/>
  <c r="A356" i="6"/>
  <c r="A229" i="6"/>
  <c r="A357" i="6"/>
  <c r="A405" i="6"/>
  <c r="A554" i="6"/>
  <c r="A292" i="6"/>
  <c r="A561" i="6"/>
  <c r="A220" i="6"/>
  <c r="A196" i="6"/>
  <c r="A402" i="6"/>
  <c r="A197" i="6"/>
  <c r="A545" i="6"/>
  <c r="A396" i="6"/>
  <c r="A274" i="6"/>
  <c r="A66" i="6"/>
  <c r="A278" i="6"/>
  <c r="A544" i="6"/>
  <c r="A512" i="6"/>
  <c r="A671" i="6"/>
  <c r="A242" i="6"/>
  <c r="A69" i="6"/>
  <c r="A93" i="6"/>
  <c r="A596" i="6"/>
  <c r="A685" i="6"/>
  <c r="A174" i="6"/>
  <c r="A612" i="6"/>
  <c r="A210" i="6"/>
  <c r="A112" i="6"/>
  <c r="A608" i="6"/>
  <c r="A340" i="6"/>
  <c r="A683" i="6"/>
  <c r="A694" i="6"/>
  <c r="A137" i="6"/>
  <c r="A490" i="6"/>
  <c r="A645" i="6"/>
  <c r="A75" i="6"/>
  <c r="A385" i="6"/>
  <c r="A166" i="6"/>
  <c r="A178" i="6"/>
  <c r="A565" i="6"/>
  <c r="A716" i="6"/>
  <c r="A28" i="6"/>
  <c r="A104" i="6"/>
  <c r="A526" i="6"/>
  <c r="A493" i="6"/>
  <c r="A310" i="6"/>
  <c r="A398" i="6"/>
  <c r="A222" i="6"/>
  <c r="A111" i="6"/>
  <c r="A711" i="6"/>
  <c r="A346" i="6"/>
  <c r="A181" i="6"/>
  <c r="A59" i="6"/>
  <c r="A349" i="6"/>
  <c r="A276" i="6"/>
  <c r="A424" i="6"/>
  <c r="A482" i="6"/>
  <c r="A714" i="6"/>
  <c r="A86" i="6"/>
  <c r="A481" i="6"/>
  <c r="A154" i="6"/>
  <c r="A119" i="6"/>
  <c r="A164" i="6"/>
  <c r="A726" i="6"/>
  <c r="A457" i="6"/>
  <c r="A96" i="6"/>
  <c r="A29" i="6"/>
  <c r="A146" i="6"/>
  <c r="A679" i="6"/>
  <c r="A198" i="6"/>
  <c r="A604" i="6"/>
  <c r="A327" i="6"/>
  <c r="A575" i="6"/>
  <c r="A233" i="6"/>
  <c r="A646" i="6"/>
  <c r="A682" i="6"/>
  <c r="A571" i="6"/>
  <c r="A275" i="6"/>
  <c r="A659" i="6"/>
  <c r="A574" i="6"/>
  <c r="A436" i="6"/>
  <c r="A184" i="6"/>
  <c r="A660" i="6"/>
  <c r="A606" i="6"/>
  <c r="A136" i="6"/>
  <c r="A72" i="6"/>
  <c r="A158" i="6"/>
  <c r="A201" i="6"/>
  <c r="A559" i="6"/>
  <c r="A453" i="6"/>
  <c r="A286" i="6"/>
  <c r="A534" i="6"/>
  <c r="A101" i="6"/>
  <c r="A421" i="6"/>
  <c r="A282" i="6"/>
  <c r="A314" i="6"/>
  <c r="A466" i="6"/>
  <c r="A82" i="6"/>
  <c r="A151" i="6"/>
  <c r="A41" i="6"/>
  <c r="A273" i="6"/>
  <c r="A708" i="6"/>
  <c r="A607" i="6"/>
  <c r="A245" i="6"/>
  <c r="A630" i="6"/>
  <c r="A192" i="6"/>
  <c r="A553" i="6"/>
  <c r="A52" i="6"/>
  <c r="A334" i="6"/>
  <c r="A375" i="6"/>
  <c r="A301" i="6"/>
  <c r="A723" i="6"/>
  <c r="A163" i="6"/>
  <c r="A664" i="6"/>
  <c r="A387" i="6"/>
  <c r="A319" i="6"/>
  <c r="A510" i="6"/>
  <c r="A173" i="6"/>
  <c r="A476" i="6"/>
  <c r="A21" i="6"/>
  <c r="A127" i="6"/>
  <c r="A411" i="6"/>
  <c r="A700" i="6"/>
  <c r="A654" i="6"/>
  <c r="A344" i="6"/>
  <c r="A138" i="6"/>
  <c r="A280" i="6"/>
  <c r="A352" i="6"/>
  <c r="A354" i="6"/>
  <c r="A246" i="6"/>
  <c r="A206" i="6"/>
  <c r="A270" i="6"/>
  <c r="A145" i="6"/>
  <c r="A676" i="6"/>
  <c r="A728" i="6"/>
  <c r="A577" i="6"/>
  <c r="A160" i="6"/>
  <c r="A78" i="6"/>
  <c r="A406" i="6"/>
  <c r="A419" i="6"/>
  <c r="A616" i="6"/>
  <c r="A124" i="6"/>
  <c r="A207" i="6"/>
  <c r="A77" i="6"/>
  <c r="A44" i="6"/>
  <c r="A509" i="6"/>
  <c r="A706" i="6"/>
  <c r="A295" i="6"/>
  <c r="A161" i="6"/>
  <c r="A330" i="6"/>
  <c r="A701" i="6"/>
  <c r="A226" i="6"/>
  <c r="A514" i="6"/>
  <c r="A339" i="6"/>
  <c r="A698" i="6"/>
  <c r="A451" i="6"/>
  <c r="A381" i="6"/>
  <c r="A94" i="6"/>
  <c r="A183" i="6"/>
  <c r="A611" i="6"/>
  <c r="A358" i="6"/>
  <c r="A550" i="6"/>
  <c r="A417" i="6"/>
  <c r="A148" i="6"/>
  <c r="A341" i="6"/>
  <c r="A460" i="6"/>
  <c r="A97" i="6"/>
  <c r="A361" i="6"/>
  <c r="A635" i="6"/>
  <c r="A403" i="6"/>
  <c r="A647" i="6"/>
  <c r="A200" i="6"/>
  <c r="A281" i="6"/>
  <c r="A434" i="6"/>
  <c r="A373" i="6"/>
  <c r="A674" i="6"/>
  <c r="A429" i="6"/>
  <c r="A156" i="6"/>
  <c r="A727" i="6"/>
  <c r="A322" i="6"/>
  <c r="A670" i="6"/>
  <c r="A243" i="6"/>
  <c r="A524" i="6"/>
  <c r="A566" i="6"/>
  <c r="A560" i="6"/>
  <c r="A30" i="6"/>
  <c r="A541" i="6"/>
  <c r="A83" i="6"/>
  <c r="A378" i="6"/>
  <c r="A289" i="6"/>
  <c r="A325" i="6"/>
  <c r="A536" i="6"/>
  <c r="A548" i="6"/>
  <c r="A506" i="6"/>
  <c r="A117" i="6"/>
  <c r="A321" i="6"/>
  <c r="A76" i="6"/>
  <c r="A224" i="6"/>
  <c r="A485" i="6"/>
  <c r="A294" i="6"/>
  <c r="A477" i="6"/>
  <c r="A427" i="6"/>
  <c r="A118" i="6"/>
  <c r="A454" i="6"/>
  <c r="A71" i="6"/>
  <c r="A64" i="6"/>
  <c r="A391" i="6"/>
  <c r="A60" i="6"/>
  <c r="A108" i="6"/>
  <c r="A684" i="6"/>
  <c r="A169" i="6"/>
  <c r="A249" i="6"/>
  <c r="A386" i="6"/>
  <c r="A305" i="6"/>
  <c r="A271" i="6"/>
  <c r="A530" i="6"/>
  <c r="A139" i="6"/>
  <c r="A84" i="6"/>
  <c r="A415" i="6"/>
  <c r="A586" i="6"/>
  <c r="A36" i="6"/>
  <c r="A147" i="6"/>
  <c r="A568" i="6"/>
  <c r="A422" i="6"/>
  <c r="A377" i="6"/>
  <c r="A703" i="6"/>
  <c r="A195" i="6"/>
  <c r="A564" i="6"/>
  <c r="A25" i="6"/>
  <c r="A383" i="6"/>
  <c r="A713" i="6"/>
  <c r="A238" i="6"/>
  <c r="A643" i="6"/>
  <c r="A47" i="6"/>
  <c r="A638" i="6"/>
  <c r="A579" i="6"/>
  <c r="A446" i="6"/>
  <c r="A432" i="6"/>
  <c r="A22" i="6"/>
  <c r="A20" i="6"/>
  <c r="A92" i="6"/>
  <c r="A513" i="6"/>
  <c r="A277" i="6"/>
  <c r="A709" i="6"/>
  <c r="A165" i="6"/>
  <c r="A508" i="6"/>
  <c r="A555" i="6"/>
  <c r="A521" i="6"/>
  <c r="A730" i="6"/>
  <c r="A556" i="6"/>
  <c r="A347" i="6"/>
  <c r="A430" i="6"/>
  <c r="A180" i="6"/>
  <c r="A431" i="6"/>
  <c r="A113" i="6"/>
  <c r="A688" i="6"/>
  <c r="A368" i="6"/>
  <c r="A722" i="6"/>
  <c r="A115" i="6"/>
  <c r="A542" i="6"/>
  <c r="A371" i="6"/>
  <c r="A533" i="6"/>
  <c r="A332" i="6"/>
  <c r="A168" i="6"/>
  <c r="A302" i="6"/>
  <c r="A662" i="6"/>
  <c r="A300" i="6"/>
  <c r="A355" i="6"/>
  <c r="A594" i="6"/>
  <c r="A61" i="6"/>
  <c r="A540" i="6"/>
  <c r="A308" i="6"/>
  <c r="A170" i="6"/>
  <c r="A724" i="6"/>
  <c r="A236" i="6"/>
  <c r="A653" i="6"/>
  <c r="A628" i="6"/>
  <c r="A425" i="6"/>
  <c r="A449" i="6"/>
  <c r="A23" i="6"/>
  <c r="A388" i="6"/>
  <c r="A634" i="6"/>
  <c r="A488" i="6"/>
  <c r="A122" i="6"/>
  <c r="A269" i="6"/>
  <c r="A107" i="6"/>
  <c r="A529" i="6"/>
  <c r="A179" i="6"/>
  <c r="A199" i="6"/>
  <c r="A56" i="6"/>
  <c r="A37" i="6"/>
  <c r="A143" i="6"/>
  <c r="A392" i="6"/>
  <c r="A171" i="6"/>
  <c r="A35" i="6"/>
  <c r="A62" i="6"/>
  <c r="A710" i="6"/>
  <c r="A448" i="6"/>
  <c r="A255" i="6"/>
  <c r="A142" i="6"/>
  <c r="A190" i="6"/>
  <c r="A283" i="6"/>
  <c r="A366" i="6"/>
  <c r="A290" i="6"/>
  <c r="A464" i="6"/>
  <c r="A152" i="6"/>
  <c r="A172" i="6"/>
  <c r="A264" i="6"/>
  <c r="A715" i="6"/>
  <c r="A705" i="6"/>
  <c r="A338" i="6"/>
  <c r="A573" i="6"/>
  <c r="A410" i="6"/>
  <c r="A505" i="6"/>
  <c r="A259" i="6"/>
  <c r="A707" i="6"/>
  <c r="A393" i="6"/>
  <c r="A306" i="6"/>
  <c r="A241" i="6"/>
  <c r="A501" i="6"/>
  <c r="A299" i="6"/>
  <c r="A414" i="6"/>
  <c r="A640" i="6"/>
  <c r="A528" i="6"/>
  <c r="A731" i="6"/>
  <c r="A644" i="6"/>
  <c r="A687" i="6"/>
  <c r="A603" i="6"/>
  <c r="A103" i="6"/>
  <c r="A557" i="6"/>
  <c r="A583" i="6"/>
  <c r="A440" i="6"/>
  <c r="A105" i="6"/>
  <c r="A297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130" i="6"/>
  <c r="A515" i="6"/>
  <c r="A291" i="6"/>
  <c r="A370" i="6"/>
  <c r="A204" i="6"/>
  <c r="A257" i="6"/>
  <c r="A500" i="6"/>
  <c r="A68" i="5"/>
  <c r="A196" i="5"/>
  <c r="A713" i="5"/>
  <c r="A123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698" i="5"/>
  <c r="A635" i="5"/>
  <c r="A247" i="5"/>
  <c r="A183" i="5"/>
  <c r="A118" i="5"/>
  <c r="A55" i="5"/>
  <c r="A50" i="5"/>
  <c r="A115" i="5"/>
  <c r="A178" i="5"/>
  <c r="A242" i="5"/>
  <c r="A481" i="5"/>
  <c r="A700" i="5"/>
  <c r="A637" i="5"/>
  <c r="A189" i="5"/>
  <c r="A124" i="5"/>
  <c r="A61" i="5"/>
  <c r="A600" i="5"/>
  <c r="A536" i="5"/>
  <c r="A472" i="5"/>
  <c r="A409" i="5"/>
  <c r="A339" i="5"/>
  <c r="A275" i="5"/>
  <c r="A83" i="5"/>
  <c r="A109" i="5"/>
  <c r="A236" i="5"/>
  <c r="A624" i="5"/>
  <c r="A688" i="5"/>
  <c r="A272" i="5"/>
  <c r="A336" i="5"/>
  <c r="A410" i="5"/>
  <c r="A475" i="5"/>
  <c r="A539" i="5"/>
  <c r="A538" i="5"/>
  <c r="A474" i="5"/>
  <c r="A411" i="5"/>
  <c r="A345" i="5"/>
  <c r="A281" i="5"/>
  <c r="A89" i="5"/>
  <c r="A54" i="5"/>
  <c r="A119" i="5"/>
  <c r="A182" i="5"/>
  <c r="A246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26" i="5"/>
  <c r="A473" i="5"/>
  <c r="A537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312" i="5"/>
  <c r="A386" i="5"/>
  <c r="A451" i="5"/>
  <c r="A515" i="5"/>
  <c r="A579" i="5"/>
  <c r="A679" i="5"/>
  <c r="A615" i="5"/>
  <c r="A227" i="5"/>
  <c r="A578" i="5"/>
  <c r="A514" i="5"/>
  <c r="A450" i="5"/>
  <c r="A387" i="5"/>
  <c r="A305" i="5"/>
  <c r="A14" i="5"/>
  <c r="A78" i="5"/>
  <c r="A143" i="5"/>
  <c r="A206" i="5"/>
  <c r="A250" i="5"/>
  <c r="A314" i="5"/>
  <c r="A380" i="5"/>
  <c r="A445" i="5"/>
  <c r="A509" i="5"/>
  <c r="A573" i="5"/>
  <c r="A720" i="5"/>
  <c r="A657" i="5"/>
  <c r="A193" i="5"/>
  <c r="A128" i="5"/>
  <c r="A65" i="5"/>
  <c r="A548" i="5"/>
  <c r="A484" i="5"/>
  <c r="A421" i="5"/>
  <c r="A351" i="5"/>
  <c r="A287" i="5"/>
  <c r="A158" i="5"/>
  <c r="A95" i="5"/>
  <c r="A32" i="5"/>
  <c r="A224" i="5"/>
  <c r="A620" i="5"/>
  <c r="A684" i="5"/>
  <c r="A260" i="5"/>
  <c r="A324" i="5"/>
  <c r="A390" i="5"/>
  <c r="A455" i="5"/>
  <c r="A519" i="5"/>
  <c r="A583" i="5"/>
  <c r="A683" i="5"/>
  <c r="A619" i="5"/>
  <c r="A231" i="5"/>
  <c r="A102" i="5"/>
  <c r="A550" i="5"/>
  <c r="A486" i="5"/>
  <c r="A423" i="5"/>
  <c r="A357" i="5"/>
  <c r="A293" i="5"/>
  <c r="A164" i="5"/>
  <c r="A37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4" i="5"/>
  <c r="A276" i="5"/>
  <c r="A340" i="5"/>
  <c r="A406" i="5"/>
  <c r="A471" i="5"/>
  <c r="A535" i="5"/>
  <c r="A599" i="5"/>
  <c r="A730" i="5"/>
  <c r="A667" i="5"/>
  <c r="A603" i="5"/>
  <c r="A215" i="5"/>
  <c r="A150" i="5"/>
  <c r="A23" i="5"/>
  <c r="A147" i="5"/>
  <c r="A210" i="5"/>
  <c r="A630" i="5"/>
  <c r="A545" i="5"/>
  <c r="A669" i="5"/>
  <c r="A605" i="5"/>
  <c r="A221" i="5"/>
  <c r="A29" i="5"/>
  <c r="A568" i="5"/>
  <c r="A504" i="5"/>
  <c r="A440" i="5"/>
  <c r="A377" i="5"/>
  <c r="A307" i="5"/>
  <c r="A76" i="5"/>
  <c r="A141" i="5"/>
  <c r="A204" i="5"/>
  <c r="A656" i="5"/>
  <c r="A721" i="5"/>
  <c r="A304" i="5"/>
  <c r="A378" i="5"/>
  <c r="A443" i="5"/>
  <c r="A507" i="5"/>
  <c r="A571" i="5"/>
  <c r="A570" i="5"/>
  <c r="A506" i="5"/>
  <c r="A442" i="5"/>
  <c r="A379" i="5"/>
  <c r="A313" i="5"/>
  <c r="A249" i="5"/>
  <c r="A151" i="5"/>
  <c r="A214" i="5"/>
  <c r="A681" i="5"/>
  <c r="A617" i="5"/>
  <c r="A233" i="5"/>
  <c r="A104" i="5"/>
  <c r="A24" i="5"/>
  <c r="A252" i="5"/>
  <c r="A316" i="5"/>
  <c r="A382" i="5"/>
  <c r="A447" i="5"/>
  <c r="A511" i="5"/>
  <c r="A575" i="5"/>
  <c r="A691" i="5"/>
  <c r="A627" i="5"/>
  <c r="A239" i="5"/>
  <c r="A110" i="5"/>
  <c r="A47" i="5"/>
  <c r="A590" i="5"/>
  <c r="A526" i="5"/>
  <c r="A462" i="5"/>
  <c r="A399" i="5"/>
  <c r="A333" i="5"/>
  <c r="A269" i="5"/>
  <c r="A505" i="5"/>
  <c r="A569" i="5"/>
  <c r="A693" i="5"/>
  <c r="A629" i="5"/>
  <c r="A245" i="5"/>
  <c r="A181" i="5"/>
  <c r="A116" i="5"/>
  <c r="A53" i="5"/>
  <c r="A576" i="5"/>
  <c r="A512" i="5"/>
  <c r="A448" i="5"/>
  <c r="A385" i="5"/>
  <c r="A315" i="5"/>
  <c r="A251" i="5"/>
  <c r="A40" i="5"/>
  <c r="A88" i="5"/>
  <c r="A153" i="5"/>
  <c r="A280" i="5"/>
  <c r="A344" i="5"/>
  <c r="A418" i="5"/>
  <c r="A483" i="5"/>
  <c r="A547" i="5"/>
  <c r="A710" i="5"/>
  <c r="A647" i="5"/>
  <c r="A195" i="5"/>
  <c r="A130" i="5"/>
  <c r="A67" i="5"/>
  <c r="A546" i="5"/>
  <c r="A482" i="5"/>
  <c r="A419" i="5"/>
  <c r="A337" i="5"/>
  <c r="A273" i="5"/>
  <c r="A46" i="5"/>
  <c r="A111" i="5"/>
  <c r="A238" i="5"/>
  <c r="A626" i="5"/>
  <c r="A90" i="5"/>
  <c r="A155" i="5"/>
  <c r="A282" i="5"/>
  <c r="A346" i="5"/>
  <c r="A412" i="5"/>
  <c r="A477" i="5"/>
  <c r="A541" i="5"/>
  <c r="A689" i="5"/>
  <c r="A625" i="5"/>
  <c r="A225" i="5"/>
  <c r="A580" i="5"/>
  <c r="A516" i="5"/>
  <c r="A452" i="5"/>
  <c r="A389" i="5"/>
  <c r="A319" i="5"/>
  <c r="A255" i="5"/>
  <c r="A64" i="5"/>
  <c r="A129" i="5"/>
  <c r="A192" i="5"/>
  <c r="A652" i="5"/>
  <c r="A717" i="5"/>
  <c r="A165" i="5"/>
  <c r="A292" i="5"/>
  <c r="A356" i="5"/>
  <c r="A422" i="5"/>
  <c r="A487" i="5"/>
  <c r="A551" i="5"/>
  <c r="A714" i="5"/>
  <c r="A651" i="5"/>
  <c r="A199" i="5"/>
  <c r="A134" i="5"/>
  <c r="A71" i="5"/>
  <c r="A582" i="5"/>
  <c r="A518" i="5"/>
  <c r="A454" i="5"/>
  <c r="A391" i="5"/>
  <c r="A325" i="5"/>
  <c r="A261" i="5"/>
  <c r="A44" i="5"/>
  <c r="A66" i="5"/>
  <c r="A131" i="5"/>
  <c r="A194" i="5"/>
  <c r="A634" i="5"/>
</calcChain>
</file>

<file path=xl/sharedStrings.xml><?xml version="1.0" encoding="utf-8"?>
<sst xmlns="http://schemas.openxmlformats.org/spreadsheetml/2006/main" count="67" uniqueCount="47">
  <si>
    <t>Datum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</si>
  <si>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</si>
  <si>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</si>
  <si>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</si>
  <si>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</si>
  <si>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</si>
  <si>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</si>
  <si>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</si>
  <si>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</si>
  <si>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</si>
  <si>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</si>
  <si>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</si>
  <si>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</si>
  <si>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</si>
  <si>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</si>
  <si>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</si>
  <si>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</si>
  <si>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</si>
  <si>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</si>
  <si>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</si>
  <si>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</si>
  <si>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</si>
  <si>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</si>
  <si>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</si>
  <si>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</si>
  <si>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</si>
  <si>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</si>
  <si>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</si>
  <si>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</si>
  <si>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Weerkundige waarnemingen Bonaire</t>
  </si>
  <si>
    <t>Barometerstand</t>
  </si>
  <si>
    <t>Thermometerstand</t>
  </si>
  <si>
    <t>08.00</t>
  </si>
  <si>
    <t>15.00</t>
  </si>
  <si>
    <t>Kralendijk</t>
  </si>
  <si>
    <t>Rincon</t>
  </si>
  <si>
    <t>Plantage "Bolivia"</t>
  </si>
  <si>
    <t>Pastorie Rincon</t>
  </si>
  <si>
    <t>x</t>
  </si>
  <si>
    <t>hoogste</t>
  </si>
  <si>
    <t>Playa Lechi</t>
  </si>
  <si>
    <t>n</t>
  </si>
  <si>
    <t>laagste</t>
  </si>
  <si>
    <t>Playa</t>
  </si>
  <si>
    <t>Fratershuis</t>
  </si>
  <si>
    <t>Antriol</t>
  </si>
  <si>
    <t>Tras di Montaña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</si>
</sst>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yyyy\.mm\.dd"/>
    <numFmt numFmtId="165" formatCode="0_0_0_0_0_0;\-0_0_0_0_0_0;&quot;∙&quot;_,_0_0_0_0_0;@_0_0_0_0_0"/>
    <numFmt numFmtId="166" formatCode="000"/>
    <numFmt numFmtId="167" formatCode="0_0_0_0_("/>
    <numFmt numFmtId="168" formatCode="00_0_0_0"/>
    <numFmt numFmtId="169" formatCode="0_0_0_0;\-0_0_0_0;0_0_0_0;@_0_0_0"/>
    <numFmt numFmtId="170" formatCode="0.0_,_0"/>
    <numFmt numFmtId="171" formatCode="0.0_,_0_0_0_0;\-0.0_,_0_0_0_0;&quot;∙&quot;_,_0_0_0_0_0;@_0_0_0_0_0"/>
    <numFmt numFmtId="172" formatCode="General_0_0"/>
    <numFmt numFmtId="173" formatCode="0.0_0_0;\-0.0_0_0;0.0_0_0;@_0_0_0"/>
    <numFmt numFmtId="174" formatCode="0.0_0_0;\-0.0_0_0;0.0_0_0;@_,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165" fontId="0" fillId="5" borderId="5" xfId="0" applyNumberFormat="1" applyFill="1" applyBorder="1" applyProtection="1">
      <protection locked="0"/>
    </xf>
    <xf numFmtId="165" fontId="0" fillId="5" borderId="8" xfId="0" applyNumberFormat="1" applyFill="1" applyBorder="1" applyProtection="1">
      <protection locked="0"/>
    </xf>
    <xf numFmtId="165" fontId="0" fillId="5" borderId="5" xfId="0" applyNumberFormat="1" applyFill="1" applyBorder="1" applyAlignment="1" applyProtection="1">
      <protection locked="0"/>
    </xf>
    <xf numFmtId="165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0" fontId="0" fillId="0" borderId="9" xfId="0" applyBorder="1"/>
    <xf numFmtId="167" fontId="0" fillId="0" borderId="9" xfId="0" applyNumberFormat="1" applyBorder="1"/>
    <xf numFmtId="166" fontId="0" fillId="0" borderId="9" xfId="0" applyNumberFormat="1" applyBorder="1" applyAlignment="1">
      <alignment horizontal="center"/>
    </xf>
    <xf numFmtId="0" fontId="3" fillId="0" borderId="10" xfId="0" applyFont="1" applyFill="1" applyBorder="1" applyAlignment="1">
      <alignment horizontal="center"/>
    </xf>
    <xf numFmtId="169" fontId="0" fillId="0" borderId="0" xfId="0" applyNumberFormat="1" applyAlignment="1">
      <alignment horizontal="right"/>
    </xf>
    <xf numFmtId="168" fontId="0" fillId="0" borderId="0" xfId="0" applyNumberFormat="1" applyAlignment="1"/>
    <xf numFmtId="0" fontId="4" fillId="0" borderId="0" xfId="0" applyFont="1"/>
    <xf numFmtId="170" fontId="0" fillId="4" borderId="5" xfId="0" applyNumberFormat="1" applyFill="1" applyBorder="1"/>
    <xf numFmtId="170" fontId="0" fillId="4" borderId="0" xfId="0" applyNumberFormat="1" applyFill="1" applyBorder="1"/>
    <xf numFmtId="170" fontId="0" fillId="3" borderId="5" xfId="0" applyNumberFormat="1" applyFill="1" applyBorder="1"/>
    <xf numFmtId="170" fontId="0" fillId="3" borderId="0" xfId="0" applyNumberFormat="1" applyFill="1" applyBorder="1"/>
    <xf numFmtId="171" fontId="0" fillId="5" borderId="5" xfId="0" applyNumberFormat="1" applyFill="1" applyBorder="1"/>
    <xf numFmtId="171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8" fontId="0" fillId="0" borderId="0" xfId="0" applyNumberFormat="1" applyAlignment="1">
      <alignment horizontal="right"/>
    </xf>
    <xf numFmtId="172" fontId="0" fillId="4" borderId="5" xfId="0" applyNumberFormat="1" applyFill="1" applyBorder="1" applyProtection="1">
      <protection locked="0"/>
    </xf>
    <xf numFmtId="172" fontId="0" fillId="4" borderId="0" xfId="0" applyNumberFormat="1" applyFill="1" applyBorder="1" applyProtection="1">
      <protection locked="0"/>
    </xf>
    <xf numFmtId="172" fontId="0" fillId="3" borderId="5" xfId="0" applyNumberFormat="1" applyFill="1" applyBorder="1" applyProtection="1">
      <protection locked="0"/>
    </xf>
    <xf numFmtId="172" fontId="0" fillId="3" borderId="0" xfId="0" applyNumberFormat="1" applyFill="1" applyBorder="1" applyProtection="1">
      <protection locked="0"/>
    </xf>
    <xf numFmtId="172" fontId="0" fillId="3" borderId="5" xfId="0" applyNumberFormat="1" applyFill="1" applyBorder="1" applyAlignment="1" applyProtection="1">
      <alignment horizontal="right"/>
      <protection locked="0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173" fontId="0" fillId="0" borderId="0" xfId="0" applyNumberFormat="1" applyAlignment="1">
      <alignment horizontal="right"/>
    </xf>
    <xf numFmtId="174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0" fillId="0" borderId="11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1" xfId="0" applyBorder="1" applyAlignment="1">
      <alignment horizont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381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0.140625" customWidth="1"/>
    <col min="6" max="7" width="14.28515625" customWidth="1"/>
  </cols>
  <sheetData>
    <row r="1" spans="1:7" ht="20.25" x14ac:dyDescent="0.3">
      <c r="A1" s="46" t="s">
        <v>29</v>
      </c>
      <c r="B1" s="46"/>
      <c r="C1" s="46"/>
      <c r="D1" s="46"/>
      <c r="E1" s="46"/>
      <c r="F1" s="46"/>
      <c r="G1" s="46"/>
    </row>
    <row r="3" spans="1:7" x14ac:dyDescent="0.25">
      <c r="A3" s="44" t="s">
        <v>0</v>
      </c>
      <c r="B3" s="41" t="s">
        <v>30</v>
      </c>
      <c r="C3" s="43"/>
      <c r="D3" s="41" t="s">
        <v>31</v>
      </c>
      <c r="E3" s="43"/>
      <c r="F3" s="41" t="s">
        <v>1</v>
      </c>
      <c r="G3" s="42"/>
    </row>
    <row r="4" spans="1:7" x14ac:dyDescent="0.25">
      <c r="A4" s="45"/>
      <c r="B4" s="2" t="s">
        <v>32</v>
      </c>
      <c r="C4" s="3" t="s">
        <v>33</v>
      </c>
      <c r="D4" s="2" t="s">
        <v>32</v>
      </c>
      <c r="E4" s="3" t="s">
        <v>33</v>
      </c>
      <c r="F4" s="2" t="s">
        <v>34</v>
      </c>
      <c r="G4" s="4" t="s">
        <v>35</v>
      </c>
    </row>
    <row r="5" spans="1:7" x14ac:dyDescent="0.25">
      <c r="A5" s="1">
        <f ca="1">DATE(VALUE(MID(CELL("bestandsnaam"),FIND(".",CELL("bestandsnaam"))-4,4)),1,1)</f>
        <v>9863</v>
      </c>
      <c r="B5" s="32">
        <v>7585</v>
      </c>
      <c r="C5" s="33">
        <v>7570</v>
      </c>
      <c r="D5" s="34">
        <v>275</v>
      </c>
      <c r="E5" s="35">
        <v>280</v>
      </c>
      <c r="F5" s="5">
        <v>35</v>
      </c>
      <c r="G5" s="6">
        <v>0</v>
      </c>
    </row>
    <row r="6" spans="1:7" x14ac:dyDescent="0.25">
      <c r="A6" s="1">
        <f ca="1">IF(ISTEXT(A5),A4+1,IF(MONTH(A5+1)=MONTH(A5),A5+1,"Totaal"))</f>
        <v>9864</v>
      </c>
      <c r="B6" s="32">
        <v>7585</v>
      </c>
      <c r="C6" s="33">
        <v>7570</v>
      </c>
      <c r="D6" s="34">
        <v>275</v>
      </c>
      <c r="E6" s="35">
        <v>280</v>
      </c>
      <c r="F6" s="7">
        <v>0</v>
      </c>
      <c r="G6" s="6">
        <v>0</v>
      </c>
    </row>
    <row r="7" spans="1:7" x14ac:dyDescent="0.25">
      <c r="A7" s="1">
        <f t="shared" ref="A7:A70" ca="1" si="0">IF(ISTEXT(A6),A5+1,IF(MONTH(A6+1)=MONTH(A6),A6+1,"Totaal"))</f>
        <v>9865</v>
      </c>
      <c r="B7" s="32">
        <v>7585</v>
      </c>
      <c r="C7" s="33">
        <v>7575</v>
      </c>
      <c r="D7" s="36">
        <v>275</v>
      </c>
      <c r="E7" s="35">
        <v>280</v>
      </c>
      <c r="F7" s="8">
        <v>0</v>
      </c>
      <c r="G7" s="6">
        <v>0</v>
      </c>
    </row>
    <row r="8" spans="1:7" x14ac:dyDescent="0.25">
      <c r="A8" s="1">
        <f t="shared" ca="1" si="0"/>
        <v>9866</v>
      </c>
      <c r="B8" s="32">
        <v>7585</v>
      </c>
      <c r="C8" s="33">
        <v>7570</v>
      </c>
      <c r="D8" s="34">
        <v>275</v>
      </c>
      <c r="E8" s="35">
        <v>290</v>
      </c>
      <c r="F8" s="5">
        <v>0</v>
      </c>
      <c r="G8" s="6">
        <v>0</v>
      </c>
    </row>
    <row r="9" spans="1:7" x14ac:dyDescent="0.25">
      <c r="A9" s="1">
        <f t="shared" ca="1" si="0"/>
        <v>9867</v>
      </c>
      <c r="B9" s="32">
        <v>7585</v>
      </c>
      <c r="C9" s="33">
        <v>7570</v>
      </c>
      <c r="D9" s="34">
        <v>275</v>
      </c>
      <c r="E9" s="35">
        <v>285</v>
      </c>
      <c r="F9" s="5">
        <v>44</v>
      </c>
      <c r="G9" s="6">
        <v>9</v>
      </c>
    </row>
    <row r="10" spans="1:7" x14ac:dyDescent="0.25">
      <c r="A10" s="1">
        <f t="shared" ca="1" si="0"/>
        <v>9868</v>
      </c>
      <c r="B10" s="32">
        <v>7585</v>
      </c>
      <c r="C10" s="33">
        <v>7565</v>
      </c>
      <c r="D10" s="34">
        <v>275</v>
      </c>
      <c r="E10" s="35">
        <v>285</v>
      </c>
      <c r="F10" s="5">
        <v>2</v>
      </c>
      <c r="G10" s="6">
        <v>0</v>
      </c>
    </row>
    <row r="11" spans="1:7" x14ac:dyDescent="0.25">
      <c r="A11" s="1">
        <f t="shared" ca="1" si="0"/>
        <v>9869</v>
      </c>
      <c r="B11" s="32">
        <v>7575</v>
      </c>
      <c r="C11" s="33">
        <v>7555</v>
      </c>
      <c r="D11" s="34">
        <v>275</v>
      </c>
      <c r="E11" s="35">
        <v>285</v>
      </c>
      <c r="F11" s="5">
        <v>26</v>
      </c>
      <c r="G11" s="6">
        <v>45</v>
      </c>
    </row>
    <row r="12" spans="1:7" x14ac:dyDescent="0.25">
      <c r="A12" s="1">
        <f t="shared" ca="1" si="0"/>
        <v>9870</v>
      </c>
      <c r="B12" s="32">
        <v>7580</v>
      </c>
      <c r="C12" s="33">
        <v>7545</v>
      </c>
      <c r="D12" s="34">
        <v>275</v>
      </c>
      <c r="E12" s="35">
        <v>285</v>
      </c>
      <c r="F12" s="5">
        <v>7</v>
      </c>
      <c r="G12" s="6">
        <v>46</v>
      </c>
    </row>
    <row r="13" spans="1:7" x14ac:dyDescent="0.25">
      <c r="A13" s="1">
        <f t="shared" ca="1" si="0"/>
        <v>9871</v>
      </c>
      <c r="B13" s="32">
        <v>7580</v>
      </c>
      <c r="C13" s="33">
        <v>7550</v>
      </c>
      <c r="D13" s="34">
        <v>275</v>
      </c>
      <c r="E13" s="35">
        <v>285</v>
      </c>
      <c r="F13" s="5">
        <v>25</v>
      </c>
      <c r="G13" s="6">
        <v>30</v>
      </c>
    </row>
    <row r="14" spans="1:7" x14ac:dyDescent="0.25">
      <c r="A14" s="1">
        <f t="shared" ca="1" si="0"/>
        <v>9872</v>
      </c>
      <c r="B14" s="32">
        <v>7580</v>
      </c>
      <c r="C14" s="33">
        <v>7550</v>
      </c>
      <c r="D14" s="34">
        <v>275</v>
      </c>
      <c r="E14" s="35">
        <v>290</v>
      </c>
      <c r="F14" s="5">
        <v>0</v>
      </c>
      <c r="G14" s="6">
        <v>0</v>
      </c>
    </row>
    <row r="15" spans="1:7" x14ac:dyDescent="0.25">
      <c r="A15" s="1">
        <f t="shared" ca="1" si="0"/>
        <v>9873</v>
      </c>
      <c r="B15" s="32">
        <v>7575</v>
      </c>
      <c r="C15" s="33">
        <v>7550</v>
      </c>
      <c r="D15" s="34">
        <v>280</v>
      </c>
      <c r="E15" s="35">
        <v>290</v>
      </c>
      <c r="F15" s="5">
        <v>0</v>
      </c>
      <c r="G15" s="6">
        <v>0</v>
      </c>
    </row>
    <row r="16" spans="1:7" x14ac:dyDescent="0.25">
      <c r="A16" s="1">
        <f t="shared" ca="1" si="0"/>
        <v>9874</v>
      </c>
      <c r="B16" s="32">
        <v>7580</v>
      </c>
      <c r="C16" s="33">
        <v>7560</v>
      </c>
      <c r="D16" s="34">
        <v>280</v>
      </c>
      <c r="E16" s="35">
        <v>290</v>
      </c>
      <c r="F16" s="5">
        <v>0</v>
      </c>
      <c r="G16" s="6">
        <v>0</v>
      </c>
    </row>
    <row r="17" spans="1:7" x14ac:dyDescent="0.25">
      <c r="A17" s="1">
        <f t="shared" ca="1" si="0"/>
        <v>9875</v>
      </c>
      <c r="B17" s="32">
        <v>7585</v>
      </c>
      <c r="C17" s="33">
        <v>7555</v>
      </c>
      <c r="D17" s="34">
        <v>275</v>
      </c>
      <c r="E17" s="35">
        <v>285</v>
      </c>
      <c r="F17" s="5">
        <v>51</v>
      </c>
      <c r="G17" s="6">
        <v>135</v>
      </c>
    </row>
    <row r="18" spans="1:7" x14ac:dyDescent="0.25">
      <c r="A18" s="1">
        <f t="shared" ca="1" si="0"/>
        <v>9876</v>
      </c>
      <c r="B18" s="32">
        <v>7570</v>
      </c>
      <c r="C18" s="33">
        <v>7545</v>
      </c>
      <c r="D18" s="34">
        <v>280</v>
      </c>
      <c r="E18" s="35">
        <v>290</v>
      </c>
      <c r="F18" s="5">
        <v>14</v>
      </c>
      <c r="G18" s="6">
        <v>162</v>
      </c>
    </row>
    <row r="19" spans="1:7" x14ac:dyDescent="0.25">
      <c r="A19" s="1">
        <f t="shared" ca="1" si="0"/>
        <v>9877</v>
      </c>
      <c r="B19" s="32">
        <v>7550</v>
      </c>
      <c r="C19" s="33">
        <v>7550</v>
      </c>
      <c r="D19" s="34">
        <v>270</v>
      </c>
      <c r="E19" s="35">
        <v>280</v>
      </c>
      <c r="F19" s="5">
        <v>0</v>
      </c>
      <c r="G19" s="6">
        <v>0</v>
      </c>
    </row>
    <row r="20" spans="1:7" x14ac:dyDescent="0.25">
      <c r="A20" s="1">
        <f t="shared" ca="1" si="0"/>
        <v>9878</v>
      </c>
      <c r="B20" s="32">
        <v>7560</v>
      </c>
      <c r="C20" s="33">
        <v>7555</v>
      </c>
      <c r="D20" s="34">
        <v>270</v>
      </c>
      <c r="E20" s="35">
        <v>280</v>
      </c>
      <c r="F20" s="5">
        <v>0</v>
      </c>
      <c r="G20" s="6">
        <v>11</v>
      </c>
    </row>
    <row r="21" spans="1:7" x14ac:dyDescent="0.25">
      <c r="A21" s="1">
        <f t="shared" ca="1" si="0"/>
        <v>9879</v>
      </c>
      <c r="B21" s="32">
        <v>7575</v>
      </c>
      <c r="C21" s="33">
        <v>7560</v>
      </c>
      <c r="D21" s="34">
        <v>275</v>
      </c>
      <c r="E21" s="35">
        <v>285</v>
      </c>
      <c r="F21" s="5">
        <v>2</v>
      </c>
      <c r="G21" s="6">
        <v>15</v>
      </c>
    </row>
    <row r="22" spans="1:7" x14ac:dyDescent="0.25">
      <c r="A22" s="1">
        <f t="shared" ca="1" si="0"/>
        <v>9880</v>
      </c>
      <c r="B22" s="32">
        <v>7575</v>
      </c>
      <c r="C22" s="33">
        <v>7555</v>
      </c>
      <c r="D22" s="34">
        <v>275</v>
      </c>
      <c r="E22" s="35">
        <v>285</v>
      </c>
      <c r="F22" s="5">
        <v>0</v>
      </c>
      <c r="G22" s="6">
        <v>0</v>
      </c>
    </row>
    <row r="23" spans="1:7" x14ac:dyDescent="0.25">
      <c r="A23" s="1">
        <f t="shared" ca="1" si="0"/>
        <v>9881</v>
      </c>
      <c r="B23" s="32">
        <v>7575</v>
      </c>
      <c r="C23" s="33">
        <v>7555</v>
      </c>
      <c r="D23" s="34">
        <v>275</v>
      </c>
      <c r="E23" s="35">
        <v>285</v>
      </c>
      <c r="F23" s="5">
        <v>4</v>
      </c>
      <c r="G23" s="6">
        <v>10</v>
      </c>
    </row>
    <row r="24" spans="1:7" x14ac:dyDescent="0.25">
      <c r="A24" s="1">
        <f t="shared" ca="1" si="0"/>
        <v>9882</v>
      </c>
      <c r="B24" s="32">
        <v>7575</v>
      </c>
      <c r="C24" s="33">
        <v>7560</v>
      </c>
      <c r="D24" s="34">
        <v>280</v>
      </c>
      <c r="E24" s="35">
        <v>270</v>
      </c>
      <c r="F24" s="5">
        <v>16</v>
      </c>
      <c r="G24" s="6">
        <v>18</v>
      </c>
    </row>
    <row r="25" spans="1:7" x14ac:dyDescent="0.25">
      <c r="A25" s="1">
        <f t="shared" ca="1" si="0"/>
        <v>9883</v>
      </c>
      <c r="B25" s="32">
        <v>7575</v>
      </c>
      <c r="C25" s="33">
        <v>7560</v>
      </c>
      <c r="D25" s="34">
        <v>270</v>
      </c>
      <c r="E25" s="35">
        <v>280</v>
      </c>
      <c r="F25" s="5">
        <v>31</v>
      </c>
      <c r="G25" s="6">
        <v>45</v>
      </c>
    </row>
    <row r="26" spans="1:7" x14ac:dyDescent="0.25">
      <c r="A26" s="1">
        <f t="shared" ca="1" si="0"/>
        <v>9884</v>
      </c>
      <c r="B26" s="32">
        <v>7585</v>
      </c>
      <c r="C26" s="33">
        <v>7560</v>
      </c>
      <c r="D26" s="34">
        <v>270</v>
      </c>
      <c r="E26" s="35">
        <v>280</v>
      </c>
      <c r="F26" s="5">
        <v>31</v>
      </c>
      <c r="G26" s="6">
        <v>62</v>
      </c>
    </row>
    <row r="27" spans="1:7" x14ac:dyDescent="0.25">
      <c r="A27" s="1">
        <f t="shared" ca="1" si="0"/>
        <v>9885</v>
      </c>
      <c r="B27" s="32">
        <v>7585</v>
      </c>
      <c r="C27" s="33">
        <v>7560</v>
      </c>
      <c r="D27" s="34">
        <v>270</v>
      </c>
      <c r="E27" s="35">
        <v>280</v>
      </c>
      <c r="F27" s="5">
        <v>0</v>
      </c>
      <c r="G27" s="6">
        <v>8</v>
      </c>
    </row>
    <row r="28" spans="1:7" x14ac:dyDescent="0.25">
      <c r="A28" s="1">
        <f t="shared" ca="1" si="0"/>
        <v>9886</v>
      </c>
      <c r="B28" s="32">
        <v>7580</v>
      </c>
      <c r="C28" s="33">
        <v>7565</v>
      </c>
      <c r="D28" s="34">
        <v>270</v>
      </c>
      <c r="E28" s="35">
        <v>280</v>
      </c>
      <c r="F28" s="5">
        <v>80</v>
      </c>
      <c r="G28" s="6">
        <v>70</v>
      </c>
    </row>
    <row r="29" spans="1:7" x14ac:dyDescent="0.25">
      <c r="A29" s="1">
        <f t="shared" ca="1" si="0"/>
        <v>9887</v>
      </c>
      <c r="B29" s="32">
        <v>7580</v>
      </c>
      <c r="C29" s="33">
        <v>7560</v>
      </c>
      <c r="D29" s="34">
        <v>270</v>
      </c>
      <c r="E29" s="35">
        <v>280</v>
      </c>
      <c r="F29" s="5">
        <v>0</v>
      </c>
      <c r="G29" s="6">
        <v>34</v>
      </c>
    </row>
    <row r="30" spans="1:7" x14ac:dyDescent="0.25">
      <c r="A30" s="1">
        <f t="shared" ca="1" si="0"/>
        <v>9888</v>
      </c>
      <c r="B30" s="32">
        <v>7585</v>
      </c>
      <c r="C30" s="33">
        <v>7570</v>
      </c>
      <c r="D30" s="34">
        <v>265</v>
      </c>
      <c r="E30" s="35">
        <v>280</v>
      </c>
      <c r="F30" s="5">
        <v>21</v>
      </c>
      <c r="G30" s="6">
        <v>0</v>
      </c>
    </row>
    <row r="31" spans="1:7" x14ac:dyDescent="0.25">
      <c r="A31" s="1">
        <f t="shared" ca="1" si="0"/>
        <v>9889</v>
      </c>
      <c r="B31" s="32">
        <v>7585</v>
      </c>
      <c r="C31" s="33">
        <v>7560</v>
      </c>
      <c r="D31" s="34">
        <v>270</v>
      </c>
      <c r="E31" s="35">
        <v>280</v>
      </c>
      <c r="F31" s="5">
        <v>0</v>
      </c>
      <c r="G31" s="6">
        <v>0</v>
      </c>
    </row>
    <row r="32" spans="1:7" x14ac:dyDescent="0.25">
      <c r="A32" s="1">
        <f t="shared" ca="1" si="0"/>
        <v>9890</v>
      </c>
      <c r="B32" s="32">
        <v>7585</v>
      </c>
      <c r="C32" s="33">
        <v>7565</v>
      </c>
      <c r="D32" s="34">
        <v>270</v>
      </c>
      <c r="E32" s="35">
        <v>285</v>
      </c>
      <c r="F32" s="5">
        <v>10</v>
      </c>
      <c r="G32" s="6">
        <v>0</v>
      </c>
    </row>
    <row r="33" spans="1:7" x14ac:dyDescent="0.25">
      <c r="A33" s="1">
        <f t="shared" ca="1" si="0"/>
        <v>9891</v>
      </c>
      <c r="B33" s="32">
        <v>7585</v>
      </c>
      <c r="C33" s="33">
        <v>7560</v>
      </c>
      <c r="D33" s="34">
        <v>270</v>
      </c>
      <c r="E33" s="35">
        <v>280</v>
      </c>
      <c r="F33" s="5">
        <v>46</v>
      </c>
      <c r="G33" s="6">
        <v>85</v>
      </c>
    </row>
    <row r="34" spans="1:7" x14ac:dyDescent="0.25">
      <c r="A34" s="1">
        <f t="shared" ca="1" si="0"/>
        <v>9892</v>
      </c>
      <c r="B34" s="32">
        <v>7585</v>
      </c>
      <c r="C34" s="33">
        <v>7560</v>
      </c>
      <c r="D34" s="34">
        <v>270</v>
      </c>
      <c r="E34" s="35">
        <v>280</v>
      </c>
      <c r="F34" s="5">
        <v>25</v>
      </c>
      <c r="G34" s="6">
        <v>0</v>
      </c>
    </row>
    <row r="35" spans="1:7" x14ac:dyDescent="0.25">
      <c r="A35" s="1">
        <f t="shared" ca="1" si="0"/>
        <v>9893</v>
      </c>
      <c r="B35" s="32">
        <v>7585</v>
      </c>
      <c r="C35" s="33">
        <v>7560</v>
      </c>
      <c r="D35" s="34">
        <v>270</v>
      </c>
      <c r="E35" s="35">
        <v>280</v>
      </c>
      <c r="F35" s="5">
        <v>61</v>
      </c>
      <c r="G35" s="6">
        <v>33</v>
      </c>
    </row>
    <row r="36" spans="1:7" x14ac:dyDescent="0.25">
      <c r="A36" s="1" t="str">
        <f t="shared" ca="1" si="0"/>
        <v>Totaal</v>
      </c>
      <c r="B36" s="20">
        <f>IF(COUNT(B5:B35)&gt;0,AVERAGE(B5:B35)/10,"")</f>
        <v>757.93548387096769</v>
      </c>
      <c r="C36" s="21">
        <f>IF(COUNT(C5:C35)&gt;0,AVERAGE(C5:C35)/10,"")</f>
        <v>755.95161290322585</v>
      </c>
      <c r="D36" s="22">
        <f>IF(COUNT(D5:D35)&gt;0,AVERAGE(D5:D35)/10,"")</f>
        <v>27.338709677419352</v>
      </c>
      <c r="E36" s="23">
        <f>IF(COUNT(E5:E35)&gt;0,AVERAGE(E5:E35)/10,"")</f>
        <v>28.29032258064516</v>
      </c>
      <c r="F36" s="24">
        <f>SUM(F5:F35)/10</f>
        <v>53.1</v>
      </c>
      <c r="G36" s="25">
        <f>SUM(G5:G35)/10</f>
        <v>81.8</v>
      </c>
    </row>
    <row r="37" spans="1:7" x14ac:dyDescent="0.25">
      <c r="A37" s="1">
        <f t="shared" ca="1" si="0"/>
        <v>9894</v>
      </c>
      <c r="B37" s="32">
        <v>7585</v>
      </c>
      <c r="C37" s="33">
        <v>7570</v>
      </c>
      <c r="D37" s="34">
        <v>270</v>
      </c>
      <c r="E37" s="35">
        <v>280</v>
      </c>
      <c r="F37" s="5">
        <v>0</v>
      </c>
      <c r="G37" s="6">
        <v>0</v>
      </c>
    </row>
    <row r="38" spans="1:7" x14ac:dyDescent="0.25">
      <c r="A38" s="1">
        <f t="shared" ca="1" si="0"/>
        <v>9895</v>
      </c>
      <c r="B38" s="32">
        <v>7585</v>
      </c>
      <c r="C38" s="33">
        <v>7570</v>
      </c>
      <c r="D38" s="34">
        <v>270</v>
      </c>
      <c r="E38" s="35">
        <v>280</v>
      </c>
      <c r="F38" s="5">
        <v>34</v>
      </c>
      <c r="G38" s="6">
        <v>26</v>
      </c>
    </row>
    <row r="39" spans="1:7" x14ac:dyDescent="0.25">
      <c r="A39" s="1">
        <f t="shared" ca="1" si="0"/>
        <v>9896</v>
      </c>
      <c r="B39" s="32">
        <v>7585</v>
      </c>
      <c r="C39" s="33">
        <v>7565</v>
      </c>
      <c r="D39" s="34">
        <v>270</v>
      </c>
      <c r="E39" s="35">
        <v>280</v>
      </c>
      <c r="F39" s="5">
        <v>13</v>
      </c>
      <c r="G39" s="6">
        <v>0</v>
      </c>
    </row>
    <row r="40" spans="1:7" x14ac:dyDescent="0.25">
      <c r="A40" s="1">
        <f t="shared" ca="1" si="0"/>
        <v>9897</v>
      </c>
      <c r="B40" s="32">
        <v>7585</v>
      </c>
      <c r="C40" s="33">
        <v>7570</v>
      </c>
      <c r="D40" s="34">
        <v>270</v>
      </c>
      <c r="E40" s="35">
        <v>280</v>
      </c>
      <c r="F40" s="5">
        <v>8</v>
      </c>
      <c r="G40" s="6">
        <v>0</v>
      </c>
    </row>
    <row r="41" spans="1:7" x14ac:dyDescent="0.25">
      <c r="A41" s="1">
        <f t="shared" ca="1" si="0"/>
        <v>9898</v>
      </c>
      <c r="B41" s="32">
        <v>7585</v>
      </c>
      <c r="C41" s="33">
        <v>7565</v>
      </c>
      <c r="D41" s="34">
        <v>270</v>
      </c>
      <c r="E41" s="35">
        <v>280</v>
      </c>
      <c r="F41" s="5">
        <v>7</v>
      </c>
      <c r="G41" s="6">
        <v>0</v>
      </c>
    </row>
    <row r="42" spans="1:7" x14ac:dyDescent="0.25">
      <c r="A42" s="1">
        <f t="shared" ca="1" si="0"/>
        <v>9899</v>
      </c>
      <c r="B42" s="32">
        <v>7585</v>
      </c>
      <c r="C42" s="33">
        <v>7565</v>
      </c>
      <c r="D42" s="34">
        <v>270</v>
      </c>
      <c r="E42" s="35">
        <v>280</v>
      </c>
      <c r="F42" s="5">
        <v>0</v>
      </c>
      <c r="G42" s="6">
        <v>20</v>
      </c>
    </row>
    <row r="43" spans="1:7" x14ac:dyDescent="0.25">
      <c r="A43" s="1">
        <f t="shared" ca="1" si="0"/>
        <v>9900</v>
      </c>
      <c r="B43" s="32">
        <v>7585</v>
      </c>
      <c r="C43" s="33">
        <v>7570</v>
      </c>
      <c r="D43" s="34">
        <v>270</v>
      </c>
      <c r="E43" s="35">
        <v>280</v>
      </c>
      <c r="F43" s="5">
        <v>6</v>
      </c>
      <c r="G43" s="6">
        <v>0</v>
      </c>
    </row>
    <row r="44" spans="1:7" x14ac:dyDescent="0.25">
      <c r="A44" s="1">
        <f t="shared" ca="1" si="0"/>
        <v>9901</v>
      </c>
      <c r="B44" s="32">
        <v>7585</v>
      </c>
      <c r="C44" s="33">
        <v>7565</v>
      </c>
      <c r="D44" s="34">
        <v>270</v>
      </c>
      <c r="E44" s="35">
        <v>280</v>
      </c>
      <c r="F44" s="5">
        <v>8</v>
      </c>
      <c r="G44" s="6">
        <v>18</v>
      </c>
    </row>
    <row r="45" spans="1:7" x14ac:dyDescent="0.25">
      <c r="A45" s="1">
        <f t="shared" ca="1" si="0"/>
        <v>9902</v>
      </c>
      <c r="B45" s="32">
        <v>7585</v>
      </c>
      <c r="C45" s="33">
        <v>7570</v>
      </c>
      <c r="D45" s="34">
        <v>270</v>
      </c>
      <c r="E45" s="35">
        <v>280</v>
      </c>
      <c r="F45" s="5">
        <v>5</v>
      </c>
      <c r="G45" s="6">
        <v>22</v>
      </c>
    </row>
    <row r="46" spans="1:7" x14ac:dyDescent="0.25">
      <c r="A46" s="1">
        <f t="shared" ca="1" si="0"/>
        <v>9903</v>
      </c>
      <c r="B46" s="32">
        <v>7585</v>
      </c>
      <c r="C46" s="33">
        <v>7565</v>
      </c>
      <c r="D46" s="34">
        <v>280</v>
      </c>
      <c r="E46" s="35">
        <v>290</v>
      </c>
      <c r="F46" s="5">
        <v>3</v>
      </c>
      <c r="G46" s="6">
        <v>63</v>
      </c>
    </row>
    <row r="47" spans="1:7" x14ac:dyDescent="0.25">
      <c r="A47" s="1">
        <f t="shared" ca="1" si="0"/>
        <v>9904</v>
      </c>
      <c r="B47" s="32">
        <v>7585</v>
      </c>
      <c r="C47" s="33">
        <v>7570</v>
      </c>
      <c r="D47" s="34">
        <v>280</v>
      </c>
      <c r="E47" s="35">
        <v>290</v>
      </c>
      <c r="F47" s="5">
        <v>26</v>
      </c>
      <c r="G47" s="6">
        <v>0</v>
      </c>
    </row>
    <row r="48" spans="1:7" x14ac:dyDescent="0.25">
      <c r="A48" s="1">
        <f t="shared" ca="1" si="0"/>
        <v>9905</v>
      </c>
      <c r="B48" s="32">
        <v>7585</v>
      </c>
      <c r="C48" s="33">
        <v>7580</v>
      </c>
      <c r="D48" s="34">
        <v>270</v>
      </c>
      <c r="E48" s="35">
        <v>285</v>
      </c>
      <c r="F48" s="5">
        <v>64</v>
      </c>
      <c r="G48" s="6">
        <v>86</v>
      </c>
    </row>
    <row r="49" spans="1:7" x14ac:dyDescent="0.25">
      <c r="A49" s="1">
        <f t="shared" ca="1" si="0"/>
        <v>9906</v>
      </c>
      <c r="B49" s="32">
        <v>7585</v>
      </c>
      <c r="C49" s="33">
        <v>7580</v>
      </c>
      <c r="D49" s="34">
        <v>270</v>
      </c>
      <c r="E49" s="35">
        <v>285</v>
      </c>
      <c r="F49" s="5">
        <v>0</v>
      </c>
      <c r="G49" s="6">
        <v>8</v>
      </c>
    </row>
    <row r="50" spans="1:7" x14ac:dyDescent="0.25">
      <c r="A50" s="1">
        <f t="shared" ca="1" si="0"/>
        <v>9907</v>
      </c>
      <c r="B50" s="32">
        <v>7585</v>
      </c>
      <c r="C50" s="33">
        <v>7580</v>
      </c>
      <c r="D50" s="34">
        <v>270</v>
      </c>
      <c r="E50" s="35">
        <v>280</v>
      </c>
      <c r="F50" s="5">
        <v>47</v>
      </c>
      <c r="G50" s="6">
        <v>55</v>
      </c>
    </row>
    <row r="51" spans="1:7" x14ac:dyDescent="0.25">
      <c r="A51" s="1">
        <f t="shared" ca="1" si="0"/>
        <v>9908</v>
      </c>
      <c r="B51" s="32">
        <v>7585</v>
      </c>
      <c r="C51" s="33">
        <v>7580</v>
      </c>
      <c r="D51" s="34">
        <v>270</v>
      </c>
      <c r="E51" s="35">
        <v>285</v>
      </c>
      <c r="F51" s="5">
        <v>0</v>
      </c>
      <c r="G51" s="6">
        <v>10</v>
      </c>
    </row>
    <row r="52" spans="1:7" x14ac:dyDescent="0.25">
      <c r="A52" s="1">
        <f t="shared" ca="1" si="0"/>
        <v>9909</v>
      </c>
      <c r="B52" s="32">
        <v>7585</v>
      </c>
      <c r="C52" s="33">
        <v>7580</v>
      </c>
      <c r="D52" s="34">
        <v>270</v>
      </c>
      <c r="E52" s="35">
        <v>285</v>
      </c>
      <c r="F52" s="5">
        <v>0</v>
      </c>
      <c r="G52" s="6">
        <v>0</v>
      </c>
    </row>
    <row r="53" spans="1:7" x14ac:dyDescent="0.25">
      <c r="A53" s="1">
        <f t="shared" ca="1" si="0"/>
        <v>9910</v>
      </c>
      <c r="B53" s="32">
        <v>7585</v>
      </c>
      <c r="C53" s="33">
        <v>7570</v>
      </c>
      <c r="D53" s="34">
        <v>270</v>
      </c>
      <c r="E53" s="35">
        <v>280</v>
      </c>
      <c r="F53" s="5">
        <v>7</v>
      </c>
      <c r="G53" s="6">
        <v>0</v>
      </c>
    </row>
    <row r="54" spans="1:7" x14ac:dyDescent="0.25">
      <c r="A54" s="1">
        <f t="shared" ca="1" si="0"/>
        <v>9911</v>
      </c>
      <c r="B54" s="32">
        <v>7585</v>
      </c>
      <c r="C54" s="33">
        <v>7570</v>
      </c>
      <c r="D54" s="34">
        <v>270</v>
      </c>
      <c r="E54" s="35">
        <v>280</v>
      </c>
      <c r="F54" s="5">
        <v>65</v>
      </c>
      <c r="G54" s="6">
        <v>7</v>
      </c>
    </row>
    <row r="55" spans="1:7" x14ac:dyDescent="0.25">
      <c r="A55" s="1">
        <f t="shared" ca="1" si="0"/>
        <v>9912</v>
      </c>
      <c r="B55" s="32">
        <v>7585</v>
      </c>
      <c r="C55" s="33">
        <v>7580</v>
      </c>
      <c r="D55" s="34">
        <v>265</v>
      </c>
      <c r="E55" s="35">
        <v>280</v>
      </c>
      <c r="F55" s="5">
        <v>0</v>
      </c>
      <c r="G55" s="6">
        <v>0</v>
      </c>
    </row>
    <row r="56" spans="1:7" x14ac:dyDescent="0.25">
      <c r="A56" s="1">
        <f t="shared" ca="1" si="0"/>
        <v>9913</v>
      </c>
      <c r="B56" s="32">
        <v>7585</v>
      </c>
      <c r="C56" s="33">
        <v>7580</v>
      </c>
      <c r="D56" s="34">
        <v>265</v>
      </c>
      <c r="E56" s="35">
        <v>280</v>
      </c>
      <c r="F56" s="5">
        <v>0</v>
      </c>
      <c r="G56" s="6">
        <v>0</v>
      </c>
    </row>
    <row r="57" spans="1:7" x14ac:dyDescent="0.25">
      <c r="A57" s="1">
        <f t="shared" ca="1" si="0"/>
        <v>9914</v>
      </c>
      <c r="B57" s="32">
        <v>7585</v>
      </c>
      <c r="C57" s="33">
        <v>7580</v>
      </c>
      <c r="D57" s="34">
        <v>265</v>
      </c>
      <c r="E57" s="35">
        <v>280</v>
      </c>
      <c r="F57" s="5">
        <v>15</v>
      </c>
      <c r="G57" s="6">
        <v>1</v>
      </c>
    </row>
    <row r="58" spans="1:7" x14ac:dyDescent="0.25">
      <c r="A58" s="1">
        <f t="shared" ca="1" si="0"/>
        <v>9915</v>
      </c>
      <c r="B58" s="32">
        <v>7585</v>
      </c>
      <c r="C58" s="33">
        <v>7580</v>
      </c>
      <c r="D58" s="34">
        <v>265</v>
      </c>
      <c r="E58" s="35">
        <v>280</v>
      </c>
      <c r="F58" s="5">
        <v>0</v>
      </c>
      <c r="G58" s="6">
        <v>0</v>
      </c>
    </row>
    <row r="59" spans="1:7" x14ac:dyDescent="0.25">
      <c r="A59" s="1">
        <f t="shared" ca="1" si="0"/>
        <v>9916</v>
      </c>
      <c r="B59" s="32">
        <v>7585</v>
      </c>
      <c r="C59" s="33">
        <v>7575</v>
      </c>
      <c r="D59" s="34">
        <v>270</v>
      </c>
      <c r="E59" s="35">
        <v>275</v>
      </c>
      <c r="F59" s="5">
        <v>84</v>
      </c>
      <c r="G59" s="6">
        <v>0</v>
      </c>
    </row>
    <row r="60" spans="1:7" x14ac:dyDescent="0.25">
      <c r="A60" s="1">
        <f t="shared" ca="1" si="0"/>
        <v>9917</v>
      </c>
      <c r="B60" s="32">
        <v>7585</v>
      </c>
      <c r="C60" s="33">
        <v>7575</v>
      </c>
      <c r="D60" s="34">
        <v>265</v>
      </c>
      <c r="E60" s="35">
        <v>270</v>
      </c>
      <c r="F60" s="5">
        <v>0</v>
      </c>
      <c r="G60" s="6">
        <v>22</v>
      </c>
    </row>
    <row r="61" spans="1:7" x14ac:dyDescent="0.25">
      <c r="A61" s="1">
        <f t="shared" ca="1" si="0"/>
        <v>9918</v>
      </c>
      <c r="B61" s="32">
        <v>7585</v>
      </c>
      <c r="C61" s="33">
        <v>7570</v>
      </c>
      <c r="D61" s="34">
        <v>265</v>
      </c>
      <c r="E61" s="35">
        <v>280</v>
      </c>
      <c r="F61" s="5">
        <v>0</v>
      </c>
      <c r="G61" s="6">
        <v>0</v>
      </c>
    </row>
    <row r="62" spans="1:7" x14ac:dyDescent="0.25">
      <c r="A62" s="1">
        <f t="shared" ca="1" si="0"/>
        <v>9919</v>
      </c>
      <c r="B62" s="32">
        <v>7580</v>
      </c>
      <c r="C62" s="33">
        <v>7560</v>
      </c>
      <c r="D62" s="34">
        <v>270</v>
      </c>
      <c r="E62" s="35">
        <v>280</v>
      </c>
      <c r="F62" s="5">
        <v>0</v>
      </c>
      <c r="G62" s="6">
        <v>0</v>
      </c>
    </row>
    <row r="63" spans="1:7" x14ac:dyDescent="0.25">
      <c r="A63" s="1">
        <f t="shared" ca="1" si="0"/>
        <v>9920</v>
      </c>
      <c r="B63" s="32">
        <v>7580</v>
      </c>
      <c r="C63" s="33">
        <v>7560</v>
      </c>
      <c r="D63" s="34">
        <v>270</v>
      </c>
      <c r="E63" s="35">
        <v>280</v>
      </c>
      <c r="F63" s="5">
        <v>0</v>
      </c>
      <c r="G63" s="6">
        <v>0</v>
      </c>
    </row>
    <row r="64" spans="1:7" x14ac:dyDescent="0.25">
      <c r="A64" s="1">
        <f t="shared" ca="1" si="0"/>
        <v>9921</v>
      </c>
      <c r="B64" s="32">
        <v>7585</v>
      </c>
      <c r="C64" s="33">
        <v>7570</v>
      </c>
      <c r="D64" s="34">
        <v>280</v>
      </c>
      <c r="E64" s="35">
        <v>280</v>
      </c>
      <c r="F64" s="5">
        <v>0</v>
      </c>
      <c r="G64" s="6">
        <v>6</v>
      </c>
    </row>
    <row r="65" spans="1:7" x14ac:dyDescent="0.25">
      <c r="A65" s="1" t="str">
        <f t="shared" ca="1" si="0"/>
        <v>Totaal</v>
      </c>
      <c r="B65" s="20">
        <f>IF(COUNT(B37:B64)&gt;0,AVERAGE(B37:B64)/10,"")</f>
        <v>758.46428571428567</v>
      </c>
      <c r="C65" s="21">
        <f>IF(COUNT(C37:C64)&gt;0,AVERAGE(C37:C64)/10,"")</f>
        <v>757.19642857142856</v>
      </c>
      <c r="D65" s="22">
        <f>IF(COUNT(D37:D64)&gt;0,AVERAGE(D37:D64)/10,"")</f>
        <v>27</v>
      </c>
      <c r="E65" s="23">
        <f>IF(COUNT(E37:E64)&gt;0,AVERAGE(E37:E64)/10,"")</f>
        <v>28.089285714285715</v>
      </c>
      <c r="F65" s="24">
        <f>SUM(F37:F64)/10</f>
        <v>39.200000000000003</v>
      </c>
      <c r="G65" s="25">
        <f>SUM(G37:G64)/10</f>
        <v>34.4</v>
      </c>
    </row>
    <row r="66" spans="1:7" x14ac:dyDescent="0.25">
      <c r="A66" s="1">
        <f t="shared" ca="1" si="0"/>
        <v>9922</v>
      </c>
      <c r="B66" s="32">
        <v>7585</v>
      </c>
      <c r="C66" s="33">
        <v>7565</v>
      </c>
      <c r="D66" s="34">
        <v>280</v>
      </c>
      <c r="E66" s="35">
        <v>290</v>
      </c>
      <c r="F66" s="5">
        <v>0</v>
      </c>
      <c r="G66" s="6">
        <v>0</v>
      </c>
    </row>
    <row r="67" spans="1:7" x14ac:dyDescent="0.25">
      <c r="A67" s="1">
        <f t="shared" ca="1" si="0"/>
        <v>9923</v>
      </c>
      <c r="B67" s="32">
        <v>7575</v>
      </c>
      <c r="C67" s="33">
        <v>7555</v>
      </c>
      <c r="D67" s="34">
        <v>270</v>
      </c>
      <c r="E67" s="35">
        <v>285</v>
      </c>
      <c r="F67" s="5">
        <v>0</v>
      </c>
      <c r="G67" s="6">
        <v>0</v>
      </c>
    </row>
    <row r="68" spans="1:7" x14ac:dyDescent="0.25">
      <c r="A68" s="1">
        <f t="shared" ca="1" si="0"/>
        <v>9924</v>
      </c>
      <c r="B68" s="32">
        <v>7585</v>
      </c>
      <c r="C68" s="33">
        <v>7560</v>
      </c>
      <c r="D68" s="34">
        <v>280</v>
      </c>
      <c r="E68" s="35">
        <v>290</v>
      </c>
      <c r="F68" s="5">
        <v>50</v>
      </c>
      <c r="G68" s="6">
        <v>15</v>
      </c>
    </row>
    <row r="69" spans="1:7" x14ac:dyDescent="0.25">
      <c r="A69" s="1">
        <f t="shared" ca="1" si="0"/>
        <v>9925</v>
      </c>
      <c r="B69" s="32">
        <v>7585</v>
      </c>
      <c r="C69" s="33">
        <v>7570</v>
      </c>
      <c r="D69" s="34">
        <v>280</v>
      </c>
      <c r="E69" s="35">
        <v>290</v>
      </c>
      <c r="F69" s="5">
        <v>0</v>
      </c>
      <c r="G69" s="6">
        <v>0</v>
      </c>
    </row>
    <row r="70" spans="1:7" x14ac:dyDescent="0.25">
      <c r="A70" s="1">
        <f t="shared" ca="1" si="0"/>
        <v>9926</v>
      </c>
      <c r="B70" s="32">
        <v>7585</v>
      </c>
      <c r="C70" s="33">
        <v>7580</v>
      </c>
      <c r="D70" s="34">
        <v>280</v>
      </c>
      <c r="E70" s="35">
        <v>285</v>
      </c>
      <c r="F70" s="5">
        <v>0</v>
      </c>
      <c r="G70" s="6">
        <v>0</v>
      </c>
    </row>
    <row r="71" spans="1:7" x14ac:dyDescent="0.25">
      <c r="A71" s="1">
        <f t="shared" ref="A71:A134" ca="1" si="1">IF(ISTEXT(A70),A69+1,IF(MONTH(A70+1)=MONTH(A70),A70+1,"Totaal"))</f>
        <v>9927</v>
      </c>
      <c r="B71" s="32">
        <v>7585</v>
      </c>
      <c r="C71" s="33">
        <v>7580</v>
      </c>
      <c r="D71" s="34">
        <v>280</v>
      </c>
      <c r="E71" s="35">
        <v>285</v>
      </c>
      <c r="F71" s="5">
        <v>0</v>
      </c>
      <c r="G71" s="6">
        <v>21</v>
      </c>
    </row>
    <row r="72" spans="1:7" x14ac:dyDescent="0.25">
      <c r="A72" s="1">
        <f t="shared" ca="1" si="1"/>
        <v>9928</v>
      </c>
      <c r="B72" s="32">
        <v>7585</v>
      </c>
      <c r="C72" s="33">
        <v>7565</v>
      </c>
      <c r="D72" s="34">
        <v>275</v>
      </c>
      <c r="E72" s="35">
        <v>275</v>
      </c>
      <c r="F72" s="5">
        <v>4</v>
      </c>
      <c r="G72" s="6">
        <v>0</v>
      </c>
    </row>
    <row r="73" spans="1:7" x14ac:dyDescent="0.25">
      <c r="A73" s="1">
        <f t="shared" ca="1" si="1"/>
        <v>9929</v>
      </c>
      <c r="B73" s="32">
        <v>7585</v>
      </c>
      <c r="C73" s="33">
        <v>7565</v>
      </c>
      <c r="D73" s="34">
        <v>270</v>
      </c>
      <c r="E73" s="35">
        <v>280</v>
      </c>
      <c r="F73" s="5">
        <v>26</v>
      </c>
      <c r="G73" s="6">
        <v>25</v>
      </c>
    </row>
    <row r="74" spans="1:7" x14ac:dyDescent="0.25">
      <c r="A74" s="1">
        <f t="shared" ca="1" si="1"/>
        <v>9930</v>
      </c>
      <c r="B74" s="32">
        <v>7585</v>
      </c>
      <c r="C74" s="33">
        <v>7565</v>
      </c>
      <c r="D74" s="34">
        <v>270</v>
      </c>
      <c r="E74" s="35">
        <v>280</v>
      </c>
      <c r="F74" s="5">
        <v>4</v>
      </c>
      <c r="G74" s="6">
        <v>25</v>
      </c>
    </row>
    <row r="75" spans="1:7" x14ac:dyDescent="0.25">
      <c r="A75" s="1">
        <f t="shared" ca="1" si="1"/>
        <v>9931</v>
      </c>
      <c r="B75" s="32">
        <v>7585</v>
      </c>
      <c r="C75" s="33">
        <v>7570</v>
      </c>
      <c r="D75" s="34">
        <v>270</v>
      </c>
      <c r="E75" s="35">
        <v>280</v>
      </c>
      <c r="F75" s="5">
        <v>5</v>
      </c>
      <c r="G75" s="6">
        <v>1</v>
      </c>
    </row>
    <row r="76" spans="1:7" x14ac:dyDescent="0.25">
      <c r="A76" s="1">
        <f t="shared" ca="1" si="1"/>
        <v>9932</v>
      </c>
      <c r="B76" s="32">
        <v>7585</v>
      </c>
      <c r="C76" s="33">
        <v>7565</v>
      </c>
      <c r="D76" s="34">
        <v>270</v>
      </c>
      <c r="E76" s="35">
        <v>280</v>
      </c>
      <c r="F76" s="5">
        <v>0</v>
      </c>
      <c r="G76" s="6">
        <v>0</v>
      </c>
    </row>
    <row r="77" spans="1:7" x14ac:dyDescent="0.25">
      <c r="A77" s="1">
        <f t="shared" ca="1" si="1"/>
        <v>9933</v>
      </c>
      <c r="B77" s="32">
        <v>7570</v>
      </c>
      <c r="C77" s="33">
        <v>7550</v>
      </c>
      <c r="D77" s="34">
        <v>280</v>
      </c>
      <c r="E77" s="35">
        <v>285</v>
      </c>
      <c r="F77" s="5">
        <v>21</v>
      </c>
      <c r="G77" s="6">
        <v>19</v>
      </c>
    </row>
    <row r="78" spans="1:7" x14ac:dyDescent="0.25">
      <c r="A78" s="1">
        <f t="shared" ca="1" si="1"/>
        <v>9934</v>
      </c>
      <c r="B78" s="32">
        <v>7570</v>
      </c>
      <c r="C78" s="33">
        <v>7550</v>
      </c>
      <c r="D78" s="34">
        <v>280</v>
      </c>
      <c r="E78" s="35">
        <v>285</v>
      </c>
      <c r="F78" s="5">
        <v>0</v>
      </c>
      <c r="G78" s="6">
        <v>0</v>
      </c>
    </row>
    <row r="79" spans="1:7" x14ac:dyDescent="0.25">
      <c r="A79" s="1">
        <f t="shared" ca="1" si="1"/>
        <v>9935</v>
      </c>
      <c r="B79" s="32">
        <v>7585</v>
      </c>
      <c r="C79" s="33">
        <v>7560</v>
      </c>
      <c r="D79" s="34">
        <v>270</v>
      </c>
      <c r="E79" s="35">
        <v>280</v>
      </c>
      <c r="F79" s="5">
        <v>0</v>
      </c>
      <c r="G79" s="6">
        <v>0</v>
      </c>
    </row>
    <row r="80" spans="1:7" x14ac:dyDescent="0.25">
      <c r="A80" s="1">
        <f t="shared" ca="1" si="1"/>
        <v>9936</v>
      </c>
      <c r="B80" s="32">
        <v>7575</v>
      </c>
      <c r="C80" s="33">
        <v>7550</v>
      </c>
      <c r="D80" s="34">
        <v>270</v>
      </c>
      <c r="E80" s="35">
        <v>280</v>
      </c>
      <c r="F80" s="5">
        <v>0</v>
      </c>
      <c r="G80" s="6">
        <v>0</v>
      </c>
    </row>
    <row r="81" spans="1:7" x14ac:dyDescent="0.25">
      <c r="A81" s="1">
        <f t="shared" ca="1" si="1"/>
        <v>9937</v>
      </c>
      <c r="B81" s="32">
        <v>7570</v>
      </c>
      <c r="C81" s="33">
        <v>7550</v>
      </c>
      <c r="D81" s="34">
        <v>270</v>
      </c>
      <c r="E81" s="35">
        <v>285</v>
      </c>
      <c r="F81" s="5">
        <v>0</v>
      </c>
      <c r="G81" s="6">
        <v>0</v>
      </c>
    </row>
    <row r="82" spans="1:7" x14ac:dyDescent="0.25">
      <c r="A82" s="1">
        <f t="shared" ca="1" si="1"/>
        <v>9938</v>
      </c>
      <c r="B82" s="32">
        <v>7580</v>
      </c>
      <c r="C82" s="33">
        <v>7560</v>
      </c>
      <c r="D82" s="34">
        <v>285</v>
      </c>
      <c r="E82" s="35">
        <v>280</v>
      </c>
      <c r="F82" s="5">
        <v>0</v>
      </c>
      <c r="G82" s="6">
        <v>0</v>
      </c>
    </row>
    <row r="83" spans="1:7" x14ac:dyDescent="0.25">
      <c r="A83" s="1">
        <f t="shared" ca="1" si="1"/>
        <v>9939</v>
      </c>
      <c r="B83" s="32">
        <v>7585</v>
      </c>
      <c r="C83" s="33">
        <v>7565</v>
      </c>
      <c r="D83" s="34">
        <v>270</v>
      </c>
      <c r="E83" s="35">
        <v>280</v>
      </c>
      <c r="F83" s="5">
        <v>0</v>
      </c>
      <c r="G83" s="6">
        <v>0</v>
      </c>
    </row>
    <row r="84" spans="1:7" x14ac:dyDescent="0.25">
      <c r="A84" s="1">
        <f t="shared" ca="1" si="1"/>
        <v>9940</v>
      </c>
      <c r="B84" s="32">
        <v>7575</v>
      </c>
      <c r="C84" s="33">
        <v>7560</v>
      </c>
      <c r="D84" s="34">
        <v>270</v>
      </c>
      <c r="E84" s="35">
        <v>280</v>
      </c>
      <c r="F84" s="5">
        <v>0</v>
      </c>
      <c r="G84" s="6">
        <v>0</v>
      </c>
    </row>
    <row r="85" spans="1:7" x14ac:dyDescent="0.25">
      <c r="A85" s="1">
        <f t="shared" ca="1" si="1"/>
        <v>9941</v>
      </c>
      <c r="B85" s="32">
        <v>7575</v>
      </c>
      <c r="C85" s="33">
        <v>7560</v>
      </c>
      <c r="D85" s="34">
        <v>270</v>
      </c>
      <c r="E85" s="35">
        <v>280</v>
      </c>
      <c r="F85" s="5">
        <v>0</v>
      </c>
      <c r="G85" s="6">
        <v>0</v>
      </c>
    </row>
    <row r="86" spans="1:7" x14ac:dyDescent="0.25">
      <c r="A86" s="1">
        <f t="shared" ca="1" si="1"/>
        <v>9942</v>
      </c>
      <c r="B86" s="32">
        <v>7570</v>
      </c>
      <c r="C86" s="33">
        <v>7550</v>
      </c>
      <c r="D86" s="34">
        <v>270</v>
      </c>
      <c r="E86" s="35">
        <v>285</v>
      </c>
      <c r="F86" s="5">
        <v>0</v>
      </c>
      <c r="G86" s="6">
        <v>0</v>
      </c>
    </row>
    <row r="87" spans="1:7" x14ac:dyDescent="0.25">
      <c r="A87" s="1">
        <f t="shared" ca="1" si="1"/>
        <v>9943</v>
      </c>
      <c r="B87" s="32">
        <v>7570</v>
      </c>
      <c r="C87" s="33">
        <v>7550</v>
      </c>
      <c r="D87" s="34">
        <v>270</v>
      </c>
      <c r="E87" s="35">
        <v>285</v>
      </c>
      <c r="F87" s="5">
        <v>0</v>
      </c>
      <c r="G87" s="6">
        <v>0</v>
      </c>
    </row>
    <row r="88" spans="1:7" x14ac:dyDescent="0.25">
      <c r="A88" s="1">
        <f t="shared" ca="1" si="1"/>
        <v>9944</v>
      </c>
      <c r="B88" s="32">
        <v>7580</v>
      </c>
      <c r="C88" s="33">
        <v>7555</v>
      </c>
      <c r="D88" s="34">
        <v>285</v>
      </c>
      <c r="E88" s="35">
        <v>290</v>
      </c>
      <c r="F88" s="5">
        <v>0</v>
      </c>
      <c r="G88" s="6">
        <v>0</v>
      </c>
    </row>
    <row r="89" spans="1:7" x14ac:dyDescent="0.25">
      <c r="A89" s="1">
        <f t="shared" ca="1" si="1"/>
        <v>9945</v>
      </c>
      <c r="B89" s="32">
        <v>7585</v>
      </c>
      <c r="C89" s="33">
        <v>7565</v>
      </c>
      <c r="D89" s="34">
        <v>270</v>
      </c>
      <c r="E89" s="35">
        <v>280</v>
      </c>
      <c r="F89" s="5">
        <v>0</v>
      </c>
      <c r="G89" s="6">
        <v>0</v>
      </c>
    </row>
    <row r="90" spans="1:7" x14ac:dyDescent="0.25">
      <c r="A90" s="1">
        <f t="shared" ca="1" si="1"/>
        <v>9946</v>
      </c>
      <c r="B90" s="32">
        <v>7580</v>
      </c>
      <c r="C90" s="33">
        <v>7560</v>
      </c>
      <c r="D90" s="34">
        <v>285</v>
      </c>
      <c r="E90" s="35">
        <v>285</v>
      </c>
      <c r="F90" s="5">
        <v>0</v>
      </c>
      <c r="G90" s="6">
        <v>0</v>
      </c>
    </row>
    <row r="91" spans="1:7" x14ac:dyDescent="0.25">
      <c r="A91" s="1">
        <f t="shared" ca="1" si="1"/>
        <v>9947</v>
      </c>
      <c r="B91" s="32">
        <v>7585</v>
      </c>
      <c r="C91" s="33">
        <v>7565</v>
      </c>
      <c r="D91" s="34">
        <v>270</v>
      </c>
      <c r="E91" s="35">
        <v>280</v>
      </c>
      <c r="F91" s="5">
        <v>0</v>
      </c>
      <c r="G91" s="6">
        <v>0</v>
      </c>
    </row>
    <row r="92" spans="1:7" x14ac:dyDescent="0.25">
      <c r="A92" s="1">
        <f t="shared" ca="1" si="1"/>
        <v>9948</v>
      </c>
      <c r="B92" s="32">
        <v>7585</v>
      </c>
      <c r="C92" s="33">
        <v>7565</v>
      </c>
      <c r="D92" s="34">
        <v>270</v>
      </c>
      <c r="E92" s="35">
        <v>280</v>
      </c>
      <c r="F92" s="5">
        <v>0</v>
      </c>
      <c r="G92" s="6">
        <v>0</v>
      </c>
    </row>
    <row r="93" spans="1:7" x14ac:dyDescent="0.25">
      <c r="A93" s="1">
        <f t="shared" ca="1" si="1"/>
        <v>9949</v>
      </c>
      <c r="B93" s="32">
        <v>7585</v>
      </c>
      <c r="C93" s="33">
        <v>7565</v>
      </c>
      <c r="D93" s="34">
        <v>270</v>
      </c>
      <c r="E93" s="35">
        <v>290</v>
      </c>
      <c r="F93" s="5">
        <v>0</v>
      </c>
      <c r="G93" s="6">
        <v>0</v>
      </c>
    </row>
    <row r="94" spans="1:7" x14ac:dyDescent="0.25">
      <c r="A94" s="1">
        <f t="shared" ca="1" si="1"/>
        <v>9950</v>
      </c>
      <c r="B94" s="32">
        <v>7580</v>
      </c>
      <c r="C94" s="33">
        <v>7560</v>
      </c>
      <c r="D94" s="34">
        <v>280</v>
      </c>
      <c r="E94" s="35">
        <v>290</v>
      </c>
      <c r="F94" s="5">
        <v>0</v>
      </c>
      <c r="G94" s="6">
        <v>0</v>
      </c>
    </row>
    <row r="95" spans="1:7" x14ac:dyDescent="0.25">
      <c r="A95" s="1">
        <f t="shared" ca="1" si="1"/>
        <v>9951</v>
      </c>
      <c r="B95" s="32">
        <v>7575</v>
      </c>
      <c r="C95" s="33">
        <v>7555</v>
      </c>
      <c r="D95" s="34">
        <v>270</v>
      </c>
      <c r="E95" s="35">
        <v>280</v>
      </c>
      <c r="F95" s="5">
        <v>0</v>
      </c>
      <c r="G95" s="6">
        <v>0</v>
      </c>
    </row>
    <row r="96" spans="1:7" x14ac:dyDescent="0.25">
      <c r="A96" s="1">
        <f t="shared" ca="1" si="1"/>
        <v>9952</v>
      </c>
      <c r="B96" s="32">
        <v>7575</v>
      </c>
      <c r="C96" s="33">
        <v>7555</v>
      </c>
      <c r="D96" s="34">
        <v>270</v>
      </c>
      <c r="E96" s="35">
        <v>280</v>
      </c>
      <c r="F96" s="5">
        <v>0</v>
      </c>
      <c r="G96" s="6">
        <v>0</v>
      </c>
    </row>
    <row r="97" spans="1:7" x14ac:dyDescent="0.25">
      <c r="A97" s="1" t="str">
        <f t="shared" ca="1" si="1"/>
        <v>Totaal</v>
      </c>
      <c r="B97" s="20">
        <f>IF(COUNT(B66:B96)&gt;0,AVERAGE(B66:B96)/10,"")</f>
        <v>758</v>
      </c>
      <c r="C97" s="21">
        <f>IF(COUNT(C66:C96)&gt;0,AVERAGE(C66:C96)/10,"")</f>
        <v>756.09677419354841</v>
      </c>
      <c r="D97" s="22">
        <f>IF(COUNT(D66:D96)&gt;0,AVERAGE(D66:D96)/10,"")</f>
        <v>27.419354838709676</v>
      </c>
      <c r="E97" s="23">
        <f>IF(COUNT(E66:E96)&gt;0,AVERAGE(E66:E96)/10,"")</f>
        <v>28.322580645161292</v>
      </c>
      <c r="F97" s="24">
        <f>SUM(F66:F96)/10</f>
        <v>11</v>
      </c>
      <c r="G97" s="25">
        <f>SUM(G66:G96)/10</f>
        <v>10.6</v>
      </c>
    </row>
    <row r="98" spans="1:7" x14ac:dyDescent="0.25">
      <c r="A98" s="1">
        <f t="shared" ca="1" si="1"/>
        <v>9953</v>
      </c>
      <c r="B98" s="32">
        <v>7585</v>
      </c>
      <c r="C98" s="33">
        <v>7565</v>
      </c>
      <c r="D98" s="34">
        <v>270</v>
      </c>
      <c r="E98" s="35">
        <v>280</v>
      </c>
      <c r="F98" s="5">
        <v>0</v>
      </c>
      <c r="G98" s="6">
        <v>39</v>
      </c>
    </row>
    <row r="99" spans="1:7" x14ac:dyDescent="0.25">
      <c r="A99" s="1">
        <f t="shared" ca="1" si="1"/>
        <v>9954</v>
      </c>
      <c r="B99" s="32">
        <v>7585</v>
      </c>
      <c r="C99" s="33">
        <v>7555</v>
      </c>
      <c r="D99" s="34">
        <v>270</v>
      </c>
      <c r="E99" s="35">
        <v>280</v>
      </c>
      <c r="F99" s="5">
        <v>42</v>
      </c>
      <c r="G99" s="6">
        <v>61</v>
      </c>
    </row>
    <row r="100" spans="1:7" x14ac:dyDescent="0.25">
      <c r="A100" s="1">
        <f t="shared" ca="1" si="1"/>
        <v>9955</v>
      </c>
      <c r="B100" s="32">
        <v>7580</v>
      </c>
      <c r="C100" s="33">
        <v>7555</v>
      </c>
      <c r="D100" s="34">
        <v>275</v>
      </c>
      <c r="E100" s="35">
        <v>285</v>
      </c>
      <c r="F100" s="5">
        <v>0</v>
      </c>
      <c r="G100" s="6">
        <v>16</v>
      </c>
    </row>
    <row r="101" spans="1:7" x14ac:dyDescent="0.25">
      <c r="A101" s="1">
        <f t="shared" ca="1" si="1"/>
        <v>9956</v>
      </c>
      <c r="B101" s="32">
        <v>7570</v>
      </c>
      <c r="C101" s="33">
        <v>7555</v>
      </c>
      <c r="D101" s="34">
        <v>280</v>
      </c>
      <c r="E101" s="35">
        <v>290</v>
      </c>
      <c r="F101" s="5">
        <v>7</v>
      </c>
      <c r="G101" s="6">
        <v>0</v>
      </c>
    </row>
    <row r="102" spans="1:7" x14ac:dyDescent="0.25">
      <c r="A102" s="1">
        <f t="shared" ca="1" si="1"/>
        <v>9957</v>
      </c>
      <c r="B102" s="32">
        <v>7570</v>
      </c>
      <c r="C102" s="33">
        <v>7550</v>
      </c>
      <c r="D102" s="34">
        <v>280</v>
      </c>
      <c r="E102" s="35">
        <v>285</v>
      </c>
      <c r="F102" s="5">
        <v>0</v>
      </c>
      <c r="G102" s="6">
        <v>0</v>
      </c>
    </row>
    <row r="103" spans="1:7" x14ac:dyDescent="0.25">
      <c r="A103" s="1">
        <f t="shared" ca="1" si="1"/>
        <v>9958</v>
      </c>
      <c r="B103" s="32">
        <v>7570</v>
      </c>
      <c r="C103" s="33">
        <v>7555</v>
      </c>
      <c r="D103" s="34">
        <v>280</v>
      </c>
      <c r="E103" s="35">
        <v>290</v>
      </c>
      <c r="F103" s="5">
        <v>6</v>
      </c>
      <c r="G103" s="6">
        <v>1</v>
      </c>
    </row>
    <row r="104" spans="1:7" x14ac:dyDescent="0.25">
      <c r="A104" s="1">
        <f t="shared" ca="1" si="1"/>
        <v>9959</v>
      </c>
      <c r="B104" s="32">
        <v>7570</v>
      </c>
      <c r="C104" s="33">
        <v>7555</v>
      </c>
      <c r="D104" s="34">
        <v>280</v>
      </c>
      <c r="E104" s="35">
        <v>290</v>
      </c>
      <c r="F104" s="5">
        <v>0</v>
      </c>
      <c r="G104" s="6">
        <v>36</v>
      </c>
    </row>
    <row r="105" spans="1:7" x14ac:dyDescent="0.25">
      <c r="A105" s="1">
        <f t="shared" ca="1" si="1"/>
        <v>9960</v>
      </c>
      <c r="B105" s="32">
        <v>7565</v>
      </c>
      <c r="C105" s="33">
        <v>7550</v>
      </c>
      <c r="D105" s="34">
        <v>270</v>
      </c>
      <c r="E105" s="35">
        <v>290</v>
      </c>
      <c r="F105" s="5">
        <v>0</v>
      </c>
      <c r="G105" s="6">
        <v>0</v>
      </c>
    </row>
    <row r="106" spans="1:7" x14ac:dyDescent="0.25">
      <c r="A106" s="1">
        <f t="shared" ca="1" si="1"/>
        <v>9961</v>
      </c>
      <c r="B106" s="32">
        <v>7575</v>
      </c>
      <c r="C106" s="33">
        <v>7540</v>
      </c>
      <c r="D106" s="34">
        <v>280</v>
      </c>
      <c r="E106" s="35">
        <v>290</v>
      </c>
      <c r="F106" s="5">
        <v>0</v>
      </c>
      <c r="G106" s="6">
        <v>0</v>
      </c>
    </row>
    <row r="107" spans="1:7" x14ac:dyDescent="0.25">
      <c r="A107" s="1">
        <f t="shared" ca="1" si="1"/>
        <v>9962</v>
      </c>
      <c r="B107" s="32">
        <v>7575</v>
      </c>
      <c r="C107" s="33">
        <v>7540</v>
      </c>
      <c r="D107" s="34">
        <v>280</v>
      </c>
      <c r="E107" s="35">
        <v>290</v>
      </c>
      <c r="F107" s="5">
        <v>0</v>
      </c>
      <c r="G107" s="6">
        <v>14</v>
      </c>
    </row>
    <row r="108" spans="1:7" x14ac:dyDescent="0.25">
      <c r="A108" s="1">
        <f t="shared" ca="1" si="1"/>
        <v>9963</v>
      </c>
      <c r="B108" s="32">
        <v>7555</v>
      </c>
      <c r="C108" s="33">
        <v>7530</v>
      </c>
      <c r="D108" s="34">
        <v>285</v>
      </c>
      <c r="E108" s="35">
        <v>295</v>
      </c>
      <c r="F108" s="5">
        <v>0</v>
      </c>
      <c r="G108" s="6">
        <v>0</v>
      </c>
    </row>
    <row r="109" spans="1:7" x14ac:dyDescent="0.25">
      <c r="A109" s="1">
        <f t="shared" ca="1" si="1"/>
        <v>9964</v>
      </c>
      <c r="B109" s="32">
        <v>7560</v>
      </c>
      <c r="C109" s="33">
        <v>7540</v>
      </c>
      <c r="D109" s="34">
        <v>280</v>
      </c>
      <c r="E109" s="35">
        <v>295</v>
      </c>
      <c r="F109" s="5">
        <v>109</v>
      </c>
      <c r="G109" s="6">
        <v>231</v>
      </c>
    </row>
    <row r="110" spans="1:7" x14ac:dyDescent="0.25">
      <c r="A110" s="1">
        <f t="shared" ca="1" si="1"/>
        <v>9965</v>
      </c>
      <c r="B110" s="32">
        <v>7560</v>
      </c>
      <c r="C110" s="33">
        <v>7545</v>
      </c>
      <c r="D110" s="34">
        <v>280</v>
      </c>
      <c r="E110" s="35">
        <v>295</v>
      </c>
      <c r="F110" s="5">
        <v>0</v>
      </c>
      <c r="G110" s="6">
        <v>10</v>
      </c>
    </row>
    <row r="111" spans="1:7" x14ac:dyDescent="0.25">
      <c r="A111" s="1">
        <f t="shared" ca="1" si="1"/>
        <v>9966</v>
      </c>
      <c r="B111" s="32">
        <v>7570</v>
      </c>
      <c r="C111" s="33">
        <v>7550</v>
      </c>
      <c r="D111" s="34">
        <v>280</v>
      </c>
      <c r="E111" s="35">
        <v>290</v>
      </c>
      <c r="F111" s="5">
        <v>0</v>
      </c>
      <c r="G111" s="6">
        <v>0</v>
      </c>
    </row>
    <row r="112" spans="1:7" x14ac:dyDescent="0.25">
      <c r="A112" s="1">
        <f t="shared" ca="1" si="1"/>
        <v>9967</v>
      </c>
      <c r="B112" s="32">
        <v>7550</v>
      </c>
      <c r="C112" s="33">
        <v>7550</v>
      </c>
      <c r="D112" s="34">
        <v>280</v>
      </c>
      <c r="E112" s="35">
        <v>290</v>
      </c>
      <c r="F112" s="5">
        <v>0</v>
      </c>
      <c r="G112" s="6">
        <v>0</v>
      </c>
    </row>
    <row r="113" spans="1:7" x14ac:dyDescent="0.25">
      <c r="A113" s="1">
        <f t="shared" ca="1" si="1"/>
        <v>9968</v>
      </c>
      <c r="B113" s="32">
        <v>7570</v>
      </c>
      <c r="C113" s="33">
        <v>7550</v>
      </c>
      <c r="D113" s="34">
        <v>280</v>
      </c>
      <c r="E113" s="35">
        <v>290</v>
      </c>
      <c r="F113" s="5">
        <v>0</v>
      </c>
      <c r="G113" s="6">
        <v>3</v>
      </c>
    </row>
    <row r="114" spans="1:7" x14ac:dyDescent="0.25">
      <c r="A114" s="1">
        <f t="shared" ca="1" si="1"/>
        <v>9969</v>
      </c>
      <c r="B114" s="32">
        <v>7570</v>
      </c>
      <c r="C114" s="33">
        <v>7550</v>
      </c>
      <c r="D114" s="34">
        <v>280</v>
      </c>
      <c r="E114" s="35">
        <v>290</v>
      </c>
      <c r="F114" s="5">
        <v>0</v>
      </c>
      <c r="G114" s="6">
        <v>0</v>
      </c>
    </row>
    <row r="115" spans="1:7" x14ac:dyDescent="0.25">
      <c r="A115" s="1">
        <f t="shared" ca="1" si="1"/>
        <v>9970</v>
      </c>
      <c r="B115" s="32">
        <v>7570</v>
      </c>
      <c r="C115" s="33">
        <v>7550</v>
      </c>
      <c r="D115" s="34">
        <v>280</v>
      </c>
      <c r="E115" s="35">
        <v>290</v>
      </c>
      <c r="F115" s="5">
        <v>0</v>
      </c>
      <c r="G115" s="6">
        <v>0</v>
      </c>
    </row>
    <row r="116" spans="1:7" x14ac:dyDescent="0.25">
      <c r="A116" s="1">
        <f t="shared" ca="1" si="1"/>
        <v>9971</v>
      </c>
      <c r="B116" s="32">
        <v>7560</v>
      </c>
      <c r="C116" s="33">
        <v>7540</v>
      </c>
      <c r="D116" s="34">
        <v>280</v>
      </c>
      <c r="E116" s="35">
        <v>290</v>
      </c>
      <c r="F116" s="5">
        <v>0</v>
      </c>
      <c r="G116" s="6">
        <v>92</v>
      </c>
    </row>
    <row r="117" spans="1:7" x14ac:dyDescent="0.25">
      <c r="A117" s="1">
        <f t="shared" ca="1" si="1"/>
        <v>9972</v>
      </c>
      <c r="B117" s="32">
        <v>7565</v>
      </c>
      <c r="C117" s="33">
        <v>7550</v>
      </c>
      <c r="D117" s="34">
        <v>280</v>
      </c>
      <c r="E117" s="35">
        <v>290</v>
      </c>
      <c r="F117" s="5">
        <v>36</v>
      </c>
      <c r="G117" s="6">
        <v>0</v>
      </c>
    </row>
    <row r="118" spans="1:7" x14ac:dyDescent="0.25">
      <c r="A118" s="1">
        <f t="shared" ca="1" si="1"/>
        <v>9973</v>
      </c>
      <c r="B118" s="32">
        <v>7570</v>
      </c>
      <c r="C118" s="33">
        <v>7555</v>
      </c>
      <c r="D118" s="34">
        <v>280</v>
      </c>
      <c r="E118" s="35">
        <v>290</v>
      </c>
      <c r="F118" s="5">
        <v>0</v>
      </c>
      <c r="G118" s="6">
        <v>0</v>
      </c>
    </row>
    <row r="119" spans="1:7" x14ac:dyDescent="0.25">
      <c r="A119" s="1">
        <f t="shared" ca="1" si="1"/>
        <v>9974</v>
      </c>
      <c r="B119" s="32">
        <v>7570</v>
      </c>
      <c r="C119" s="33">
        <v>7550</v>
      </c>
      <c r="D119" s="34">
        <v>280</v>
      </c>
      <c r="E119" s="35">
        <v>290</v>
      </c>
      <c r="F119" s="5">
        <v>76</v>
      </c>
      <c r="G119" s="6">
        <v>0</v>
      </c>
    </row>
    <row r="120" spans="1:7" x14ac:dyDescent="0.25">
      <c r="A120" s="1">
        <f t="shared" ca="1" si="1"/>
        <v>9975</v>
      </c>
      <c r="B120" s="32">
        <v>7565</v>
      </c>
      <c r="C120" s="33">
        <v>7540</v>
      </c>
      <c r="D120" s="34">
        <v>280</v>
      </c>
      <c r="E120" s="35">
        <v>290</v>
      </c>
      <c r="F120" s="5">
        <v>0</v>
      </c>
      <c r="G120" s="6">
        <v>57</v>
      </c>
    </row>
    <row r="121" spans="1:7" x14ac:dyDescent="0.25">
      <c r="A121" s="1">
        <f t="shared" ca="1" si="1"/>
        <v>9976</v>
      </c>
      <c r="B121" s="32">
        <v>7565</v>
      </c>
      <c r="C121" s="33">
        <v>7540</v>
      </c>
      <c r="D121" s="34">
        <v>280</v>
      </c>
      <c r="E121" s="35">
        <v>290</v>
      </c>
      <c r="F121" s="5">
        <v>448</v>
      </c>
      <c r="G121" s="6">
        <v>136</v>
      </c>
    </row>
    <row r="122" spans="1:7" x14ac:dyDescent="0.25">
      <c r="A122" s="1">
        <f t="shared" ca="1" si="1"/>
        <v>9977</v>
      </c>
      <c r="B122" s="32">
        <v>7570</v>
      </c>
      <c r="C122" s="33">
        <v>7550</v>
      </c>
      <c r="D122" s="34">
        <v>280</v>
      </c>
      <c r="E122" s="35">
        <v>295</v>
      </c>
      <c r="F122" s="5">
        <v>14</v>
      </c>
      <c r="G122" s="6">
        <v>0</v>
      </c>
    </row>
    <row r="123" spans="1:7" x14ac:dyDescent="0.25">
      <c r="A123" s="1">
        <f t="shared" ca="1" si="1"/>
        <v>9978</v>
      </c>
      <c r="B123" s="32">
        <v>7570</v>
      </c>
      <c r="C123" s="33">
        <v>7550</v>
      </c>
      <c r="D123" s="34">
        <v>280</v>
      </c>
      <c r="E123" s="35">
        <v>300</v>
      </c>
      <c r="F123" s="5">
        <v>160</v>
      </c>
      <c r="G123" s="6">
        <v>32</v>
      </c>
    </row>
    <row r="124" spans="1:7" x14ac:dyDescent="0.25">
      <c r="A124" s="1">
        <f t="shared" ca="1" si="1"/>
        <v>9979</v>
      </c>
      <c r="B124" s="32">
        <v>7570</v>
      </c>
      <c r="C124" s="33">
        <v>7540</v>
      </c>
      <c r="D124" s="34">
        <v>280</v>
      </c>
      <c r="E124" s="35">
        <v>290</v>
      </c>
      <c r="F124" s="5">
        <v>0</v>
      </c>
      <c r="G124" s="6">
        <v>0</v>
      </c>
    </row>
    <row r="125" spans="1:7" x14ac:dyDescent="0.25">
      <c r="A125" s="1">
        <f t="shared" ca="1" si="1"/>
        <v>9980</v>
      </c>
      <c r="B125" s="32">
        <v>7565</v>
      </c>
      <c r="C125" s="33">
        <v>7545</v>
      </c>
      <c r="D125" s="34">
        <v>280</v>
      </c>
      <c r="E125" s="35">
        <v>290</v>
      </c>
      <c r="F125" s="5">
        <v>0</v>
      </c>
      <c r="G125" s="6">
        <v>0</v>
      </c>
    </row>
    <row r="126" spans="1:7" x14ac:dyDescent="0.25">
      <c r="A126" s="1">
        <f t="shared" ca="1" si="1"/>
        <v>9981</v>
      </c>
      <c r="B126" s="32">
        <v>7565</v>
      </c>
      <c r="C126" s="33">
        <v>7545</v>
      </c>
      <c r="D126" s="34">
        <v>280</v>
      </c>
      <c r="E126" s="35">
        <v>290</v>
      </c>
      <c r="F126" s="5">
        <v>0</v>
      </c>
      <c r="G126" s="6">
        <v>0</v>
      </c>
    </row>
    <row r="127" spans="1:7" x14ac:dyDescent="0.25">
      <c r="A127" s="1">
        <f t="shared" ca="1" si="1"/>
        <v>9982</v>
      </c>
      <c r="B127" s="32">
        <v>7565</v>
      </c>
      <c r="C127" s="33">
        <v>7545</v>
      </c>
      <c r="D127" s="34">
        <v>280</v>
      </c>
      <c r="E127" s="35">
        <v>290</v>
      </c>
      <c r="F127" s="5">
        <v>0</v>
      </c>
      <c r="G127" s="6">
        <v>0</v>
      </c>
    </row>
    <row r="128" spans="1:7" x14ac:dyDescent="0.25">
      <c r="A128" s="1" t="str">
        <f t="shared" ca="1" si="1"/>
        <v>Totaal</v>
      </c>
      <c r="B128" s="20">
        <f>IF(COUNT(B98:B127)&gt;0,AVERAGE(B98:B127)/10,"")</f>
        <v>756.83333333333326</v>
      </c>
      <c r="C128" s="21">
        <f>IF(COUNT(C98:C127)&gt;0,AVERAGE(C98:C127)/10,"")</f>
        <v>754.7833333333333</v>
      </c>
      <c r="D128" s="22">
        <f>IF(COUNT(D98:D127)&gt;0,AVERAGE(D98:D127)/10,"")</f>
        <v>27.9</v>
      </c>
      <c r="E128" s="23">
        <f>IF(COUNT(E98:E127)&gt;0,AVERAGE(E98:E127)/10,"")</f>
        <v>29</v>
      </c>
      <c r="F128" s="24">
        <f>SUM(F98:F127)/10</f>
        <v>89.8</v>
      </c>
      <c r="G128" s="25">
        <f>SUM(G98:G127)/10</f>
        <v>72.8</v>
      </c>
    </row>
    <row r="129" spans="1:7" x14ac:dyDescent="0.25">
      <c r="A129" s="1">
        <f t="shared" ca="1" si="1"/>
        <v>9983</v>
      </c>
      <c r="B129" s="32">
        <v>7565</v>
      </c>
      <c r="C129" s="33">
        <v>7545</v>
      </c>
      <c r="D129" s="34">
        <v>280</v>
      </c>
      <c r="E129" s="35">
        <v>290</v>
      </c>
      <c r="F129" s="5">
        <v>0</v>
      </c>
      <c r="G129" s="6">
        <v>0</v>
      </c>
    </row>
    <row r="130" spans="1:7" x14ac:dyDescent="0.25">
      <c r="A130" s="1">
        <f t="shared" ca="1" si="1"/>
        <v>9984</v>
      </c>
      <c r="B130" s="32">
        <v>7565</v>
      </c>
      <c r="C130" s="33">
        <v>7545</v>
      </c>
      <c r="D130" s="34">
        <v>280</v>
      </c>
      <c r="E130" s="35">
        <v>290</v>
      </c>
      <c r="F130" s="5">
        <v>0</v>
      </c>
      <c r="G130" s="6">
        <v>0</v>
      </c>
    </row>
    <row r="131" spans="1:7" x14ac:dyDescent="0.25">
      <c r="A131" s="1">
        <f t="shared" ca="1" si="1"/>
        <v>9985</v>
      </c>
      <c r="B131" s="32">
        <v>7575</v>
      </c>
      <c r="C131" s="33">
        <v>7550</v>
      </c>
      <c r="D131" s="34">
        <v>280</v>
      </c>
      <c r="E131" s="35">
        <v>300</v>
      </c>
      <c r="F131" s="5">
        <v>0</v>
      </c>
      <c r="G131" s="6">
        <v>0</v>
      </c>
    </row>
    <row r="132" spans="1:7" x14ac:dyDescent="0.25">
      <c r="A132" s="1">
        <f t="shared" ca="1" si="1"/>
        <v>9986</v>
      </c>
      <c r="B132" s="32">
        <v>7575</v>
      </c>
      <c r="C132" s="33">
        <v>7550</v>
      </c>
      <c r="D132" s="34">
        <v>290</v>
      </c>
      <c r="E132" s="35">
        <v>290</v>
      </c>
      <c r="F132" s="5">
        <v>0</v>
      </c>
      <c r="G132" s="6">
        <v>0</v>
      </c>
    </row>
    <row r="133" spans="1:7" x14ac:dyDescent="0.25">
      <c r="A133" s="1">
        <f t="shared" ca="1" si="1"/>
        <v>9987</v>
      </c>
      <c r="B133" s="32">
        <v>7580</v>
      </c>
      <c r="C133" s="33">
        <v>7560</v>
      </c>
      <c r="D133" s="34">
        <v>290</v>
      </c>
      <c r="E133" s="35">
        <v>300</v>
      </c>
      <c r="F133" s="5">
        <v>0</v>
      </c>
      <c r="G133" s="6">
        <v>0</v>
      </c>
    </row>
    <row r="134" spans="1:7" x14ac:dyDescent="0.25">
      <c r="A134" s="1">
        <f t="shared" ca="1" si="1"/>
        <v>9988</v>
      </c>
      <c r="B134" s="32">
        <v>7575</v>
      </c>
      <c r="C134" s="33">
        <v>7555</v>
      </c>
      <c r="D134" s="34">
        <v>290</v>
      </c>
      <c r="E134" s="35">
        <v>300</v>
      </c>
      <c r="F134" s="5">
        <v>0</v>
      </c>
      <c r="G134" s="6">
        <v>0</v>
      </c>
    </row>
    <row r="135" spans="1:7" x14ac:dyDescent="0.25">
      <c r="A135" s="1">
        <f t="shared" ref="A135:A198" ca="1" si="2">IF(ISTEXT(A134),A133+1,IF(MONTH(A134+1)=MONTH(A134),A134+1,"Totaal"))</f>
        <v>9989</v>
      </c>
      <c r="B135" s="32">
        <v>7565</v>
      </c>
      <c r="C135" s="33">
        <v>7550</v>
      </c>
      <c r="D135" s="34">
        <v>295</v>
      </c>
      <c r="E135" s="35">
        <v>300</v>
      </c>
      <c r="F135" s="5">
        <v>0</v>
      </c>
      <c r="G135" s="6">
        <v>0</v>
      </c>
    </row>
    <row r="136" spans="1:7" x14ac:dyDescent="0.25">
      <c r="A136" s="1">
        <f t="shared" ca="1" si="2"/>
        <v>9990</v>
      </c>
      <c r="B136" s="32">
        <v>7565</v>
      </c>
      <c r="C136" s="33">
        <v>7550</v>
      </c>
      <c r="D136" s="34">
        <v>295</v>
      </c>
      <c r="E136" s="35">
        <v>300</v>
      </c>
      <c r="F136" s="5">
        <v>0</v>
      </c>
      <c r="G136" s="6">
        <v>0</v>
      </c>
    </row>
    <row r="137" spans="1:7" x14ac:dyDescent="0.25">
      <c r="A137" s="1">
        <f t="shared" ca="1" si="2"/>
        <v>9991</v>
      </c>
      <c r="B137" s="32">
        <v>7565</v>
      </c>
      <c r="C137" s="33">
        <v>7545</v>
      </c>
      <c r="D137" s="34">
        <v>290</v>
      </c>
      <c r="E137" s="35">
        <v>300</v>
      </c>
      <c r="F137" s="5">
        <v>0</v>
      </c>
      <c r="G137" s="6">
        <v>0</v>
      </c>
    </row>
    <row r="138" spans="1:7" x14ac:dyDescent="0.25">
      <c r="A138" s="1">
        <f t="shared" ca="1" si="2"/>
        <v>9992</v>
      </c>
      <c r="B138" s="32">
        <v>7575</v>
      </c>
      <c r="C138" s="33">
        <v>7550</v>
      </c>
      <c r="D138" s="34">
        <v>290</v>
      </c>
      <c r="E138" s="35">
        <v>300</v>
      </c>
      <c r="F138" s="5">
        <v>0</v>
      </c>
      <c r="G138" s="6">
        <v>0</v>
      </c>
    </row>
    <row r="139" spans="1:7" x14ac:dyDescent="0.25">
      <c r="A139" s="1">
        <f t="shared" ca="1" si="2"/>
        <v>9993</v>
      </c>
      <c r="B139" s="32">
        <v>7575</v>
      </c>
      <c r="C139" s="33">
        <v>7555</v>
      </c>
      <c r="D139" s="34">
        <v>290</v>
      </c>
      <c r="E139" s="35">
        <v>300</v>
      </c>
      <c r="F139" s="5">
        <v>0</v>
      </c>
      <c r="G139" s="6">
        <v>0</v>
      </c>
    </row>
    <row r="140" spans="1:7" x14ac:dyDescent="0.25">
      <c r="A140" s="1">
        <f t="shared" ca="1" si="2"/>
        <v>9994</v>
      </c>
      <c r="B140" s="32">
        <v>7580</v>
      </c>
      <c r="C140" s="33">
        <v>7565</v>
      </c>
      <c r="D140" s="34">
        <v>280</v>
      </c>
      <c r="E140" s="35">
        <v>295</v>
      </c>
      <c r="F140" s="5">
        <v>0</v>
      </c>
      <c r="G140" s="6">
        <v>0</v>
      </c>
    </row>
    <row r="141" spans="1:7" x14ac:dyDescent="0.25">
      <c r="A141" s="1">
        <f t="shared" ca="1" si="2"/>
        <v>9995</v>
      </c>
      <c r="B141" s="32">
        <v>7580</v>
      </c>
      <c r="C141" s="33">
        <v>7565</v>
      </c>
      <c r="D141" s="34">
        <v>280</v>
      </c>
      <c r="E141" s="35">
        <v>295</v>
      </c>
      <c r="F141" s="5">
        <v>0</v>
      </c>
      <c r="G141" s="6">
        <v>0</v>
      </c>
    </row>
    <row r="142" spans="1:7" x14ac:dyDescent="0.25">
      <c r="A142" s="1">
        <f t="shared" ca="1" si="2"/>
        <v>9996</v>
      </c>
      <c r="B142" s="32">
        <v>7585</v>
      </c>
      <c r="C142" s="33">
        <v>7555</v>
      </c>
      <c r="D142" s="34">
        <v>280</v>
      </c>
      <c r="E142" s="35">
        <v>300</v>
      </c>
      <c r="F142" s="5">
        <v>0</v>
      </c>
      <c r="G142" s="6">
        <v>0</v>
      </c>
    </row>
    <row r="143" spans="1:7" x14ac:dyDescent="0.25">
      <c r="A143" s="1">
        <f t="shared" ca="1" si="2"/>
        <v>9997</v>
      </c>
      <c r="B143" s="32">
        <v>7585</v>
      </c>
      <c r="C143" s="33">
        <v>7555</v>
      </c>
      <c r="D143" s="34">
        <v>280</v>
      </c>
      <c r="E143" s="35">
        <v>300</v>
      </c>
      <c r="F143" s="5">
        <v>0</v>
      </c>
      <c r="G143" s="6">
        <v>0</v>
      </c>
    </row>
    <row r="144" spans="1:7" x14ac:dyDescent="0.25">
      <c r="A144" s="1">
        <f t="shared" ca="1" si="2"/>
        <v>9998</v>
      </c>
      <c r="B144" s="32">
        <v>7585</v>
      </c>
      <c r="C144" s="33">
        <v>7560</v>
      </c>
      <c r="D144" s="34">
        <v>290</v>
      </c>
      <c r="E144" s="35">
        <v>290</v>
      </c>
      <c r="F144" s="5">
        <v>0</v>
      </c>
      <c r="G144" s="6">
        <v>0</v>
      </c>
    </row>
    <row r="145" spans="1:7" x14ac:dyDescent="0.25">
      <c r="A145" s="1">
        <f t="shared" ca="1" si="2"/>
        <v>9999</v>
      </c>
      <c r="B145" s="32">
        <v>7585</v>
      </c>
      <c r="C145" s="33">
        <v>7570</v>
      </c>
      <c r="D145" s="34">
        <v>280</v>
      </c>
      <c r="E145" s="35">
        <v>290</v>
      </c>
      <c r="F145" s="5">
        <v>0</v>
      </c>
      <c r="G145" s="6">
        <v>0</v>
      </c>
    </row>
    <row r="146" spans="1:7" x14ac:dyDescent="0.25">
      <c r="A146" s="1">
        <f t="shared" ca="1" si="2"/>
        <v>10000</v>
      </c>
      <c r="B146" s="32">
        <v>7585</v>
      </c>
      <c r="C146" s="33">
        <v>7565</v>
      </c>
      <c r="D146" s="34">
        <v>290</v>
      </c>
      <c r="E146" s="35">
        <v>300</v>
      </c>
      <c r="F146" s="5">
        <v>0</v>
      </c>
      <c r="G146" s="6">
        <v>0</v>
      </c>
    </row>
    <row r="147" spans="1:7" x14ac:dyDescent="0.25">
      <c r="A147" s="1">
        <f t="shared" ca="1" si="2"/>
        <v>10001</v>
      </c>
      <c r="B147" s="32">
        <v>7580</v>
      </c>
      <c r="C147" s="33">
        <v>7555</v>
      </c>
      <c r="D147" s="34">
        <v>290</v>
      </c>
      <c r="E147" s="35">
        <v>300</v>
      </c>
      <c r="F147" s="5">
        <v>0</v>
      </c>
      <c r="G147" s="6">
        <v>19</v>
      </c>
    </row>
    <row r="148" spans="1:7" x14ac:dyDescent="0.25">
      <c r="A148" s="1">
        <f t="shared" ca="1" si="2"/>
        <v>10002</v>
      </c>
      <c r="B148" s="32">
        <v>7570</v>
      </c>
      <c r="C148" s="33">
        <v>7550</v>
      </c>
      <c r="D148" s="34">
        <v>290</v>
      </c>
      <c r="E148" s="35">
        <v>300</v>
      </c>
      <c r="F148" s="5">
        <v>0</v>
      </c>
      <c r="G148" s="6">
        <v>0</v>
      </c>
    </row>
    <row r="149" spans="1:7" x14ac:dyDescent="0.25">
      <c r="A149" s="1">
        <f t="shared" ca="1" si="2"/>
        <v>10003</v>
      </c>
      <c r="B149" s="32">
        <v>7575</v>
      </c>
      <c r="C149" s="33">
        <v>7560</v>
      </c>
      <c r="D149" s="34">
        <v>290</v>
      </c>
      <c r="E149" s="35">
        <v>300</v>
      </c>
      <c r="F149" s="5">
        <v>0</v>
      </c>
      <c r="G149" s="6">
        <v>0</v>
      </c>
    </row>
    <row r="150" spans="1:7" x14ac:dyDescent="0.25">
      <c r="A150" s="1">
        <f t="shared" ca="1" si="2"/>
        <v>10004</v>
      </c>
      <c r="B150" s="32">
        <v>7575</v>
      </c>
      <c r="C150" s="33">
        <v>7560</v>
      </c>
      <c r="D150" s="34">
        <v>290</v>
      </c>
      <c r="E150" s="35">
        <v>300</v>
      </c>
      <c r="F150" s="5">
        <v>0</v>
      </c>
      <c r="G150" s="6">
        <v>0</v>
      </c>
    </row>
    <row r="151" spans="1:7" x14ac:dyDescent="0.25">
      <c r="A151" s="1">
        <f t="shared" ca="1" si="2"/>
        <v>10005</v>
      </c>
      <c r="B151" s="32">
        <v>7565</v>
      </c>
      <c r="C151" s="33">
        <v>7545</v>
      </c>
      <c r="D151" s="34">
        <v>290</v>
      </c>
      <c r="E151" s="35">
        <v>300</v>
      </c>
      <c r="F151" s="5">
        <v>0</v>
      </c>
      <c r="G151" s="6">
        <v>20</v>
      </c>
    </row>
    <row r="152" spans="1:7" x14ac:dyDescent="0.25">
      <c r="A152" s="1">
        <f t="shared" ca="1" si="2"/>
        <v>10006</v>
      </c>
      <c r="B152" s="32">
        <v>7560</v>
      </c>
      <c r="C152" s="33">
        <v>7550</v>
      </c>
      <c r="D152" s="34">
        <v>290</v>
      </c>
      <c r="E152" s="35">
        <v>300</v>
      </c>
      <c r="F152" s="5">
        <v>11</v>
      </c>
      <c r="G152" s="6">
        <v>0</v>
      </c>
    </row>
    <row r="153" spans="1:7" x14ac:dyDescent="0.25">
      <c r="A153" s="1">
        <f t="shared" ca="1" si="2"/>
        <v>10007</v>
      </c>
      <c r="B153" s="32">
        <v>7565</v>
      </c>
      <c r="C153" s="33">
        <v>7545</v>
      </c>
      <c r="D153" s="34">
        <v>290</v>
      </c>
      <c r="E153" s="35">
        <v>300</v>
      </c>
      <c r="F153" s="5">
        <v>0</v>
      </c>
      <c r="G153" s="6">
        <v>0</v>
      </c>
    </row>
    <row r="154" spans="1:7" x14ac:dyDescent="0.25">
      <c r="A154" s="1">
        <f t="shared" ca="1" si="2"/>
        <v>10008</v>
      </c>
      <c r="B154" s="32">
        <v>7565</v>
      </c>
      <c r="C154" s="33">
        <v>7545</v>
      </c>
      <c r="D154" s="34">
        <v>290</v>
      </c>
      <c r="E154" s="35">
        <v>300</v>
      </c>
      <c r="F154" s="5">
        <v>0</v>
      </c>
      <c r="G154" s="6">
        <v>0</v>
      </c>
    </row>
    <row r="155" spans="1:7" x14ac:dyDescent="0.25">
      <c r="A155" s="1">
        <f t="shared" ca="1" si="2"/>
        <v>10009</v>
      </c>
      <c r="B155" s="32">
        <v>7565</v>
      </c>
      <c r="C155" s="33">
        <v>7540</v>
      </c>
      <c r="D155" s="34">
        <v>290</v>
      </c>
      <c r="E155" s="35">
        <v>300</v>
      </c>
      <c r="F155" s="5">
        <v>0</v>
      </c>
      <c r="G155" s="6">
        <v>0</v>
      </c>
    </row>
    <row r="156" spans="1:7" x14ac:dyDescent="0.25">
      <c r="A156" s="1">
        <f t="shared" ca="1" si="2"/>
        <v>10010</v>
      </c>
      <c r="B156" s="32">
        <v>7560</v>
      </c>
      <c r="C156" s="33">
        <v>7545</v>
      </c>
      <c r="D156" s="34">
        <v>290</v>
      </c>
      <c r="E156" s="35">
        <v>300</v>
      </c>
      <c r="F156" s="5">
        <v>0</v>
      </c>
      <c r="G156" s="6">
        <v>0</v>
      </c>
    </row>
    <row r="157" spans="1:7" x14ac:dyDescent="0.25">
      <c r="A157" s="1">
        <f t="shared" ca="1" si="2"/>
        <v>10011</v>
      </c>
      <c r="B157" s="32">
        <v>7560</v>
      </c>
      <c r="C157" s="33">
        <v>7545</v>
      </c>
      <c r="D157" s="34">
        <v>290</v>
      </c>
      <c r="E157" s="35">
        <v>300</v>
      </c>
      <c r="F157" s="5">
        <v>0</v>
      </c>
      <c r="G157" s="6">
        <v>0</v>
      </c>
    </row>
    <row r="158" spans="1:7" x14ac:dyDescent="0.25">
      <c r="A158" s="1">
        <f t="shared" ca="1" si="2"/>
        <v>10012</v>
      </c>
      <c r="B158" s="32">
        <v>7585</v>
      </c>
      <c r="C158" s="33">
        <v>7560</v>
      </c>
      <c r="D158" s="34">
        <v>290</v>
      </c>
      <c r="E158" s="35">
        <v>300</v>
      </c>
      <c r="F158" s="5">
        <v>0</v>
      </c>
      <c r="G158" s="6">
        <v>0</v>
      </c>
    </row>
    <row r="159" spans="1:7" x14ac:dyDescent="0.25">
      <c r="A159" s="1">
        <f t="shared" ca="1" si="2"/>
        <v>10013</v>
      </c>
      <c r="B159" s="32">
        <v>7580</v>
      </c>
      <c r="C159" s="33">
        <v>7560</v>
      </c>
      <c r="D159" s="34">
        <v>290</v>
      </c>
      <c r="E159" s="35">
        <v>300</v>
      </c>
      <c r="F159" s="5">
        <v>0</v>
      </c>
      <c r="G159" s="6">
        <v>0</v>
      </c>
    </row>
    <row r="160" spans="1:7" x14ac:dyDescent="0.25">
      <c r="A160" s="1" t="str">
        <f t="shared" ca="1" si="2"/>
        <v>Totaal</v>
      </c>
      <c r="B160" s="20">
        <f>IF(COUNT(B129:B159)&gt;0,AVERAGE(B129:B159)/10,"")</f>
        <v>757.32258064516122</v>
      </c>
      <c r="C160" s="21">
        <f>IF(COUNT(C129:C159)&gt;0,AVERAGE(C129:C159)/10,"")</f>
        <v>755.32258064516122</v>
      </c>
      <c r="D160" s="22">
        <f>IF(COUNT(D129:D159)&gt;0,AVERAGE(D129:D159)/10,"")</f>
        <v>28.774193548387096</v>
      </c>
      <c r="E160" s="23">
        <f>IF(COUNT(E129:E159)&gt;0,AVERAGE(E129:E159)/10,"")</f>
        <v>29.806451612903224</v>
      </c>
      <c r="F160" s="24">
        <f>SUM(F129:F159)/10</f>
        <v>1.1000000000000001</v>
      </c>
      <c r="G160" s="25">
        <f>SUM(G129:G159)/10</f>
        <v>3.9</v>
      </c>
    </row>
    <row r="161" spans="1:7" x14ac:dyDescent="0.25">
      <c r="A161" s="1">
        <f t="shared" ca="1" si="2"/>
        <v>10014</v>
      </c>
      <c r="B161" s="32">
        <v>7570</v>
      </c>
      <c r="C161" s="33">
        <v>7550</v>
      </c>
      <c r="D161" s="34">
        <v>290</v>
      </c>
      <c r="E161" s="35">
        <v>300</v>
      </c>
      <c r="F161" s="5">
        <v>0</v>
      </c>
      <c r="G161" s="6">
        <v>0</v>
      </c>
    </row>
    <row r="162" spans="1:7" x14ac:dyDescent="0.25">
      <c r="A162" s="1">
        <f t="shared" ca="1" si="2"/>
        <v>10015</v>
      </c>
      <c r="B162" s="32">
        <v>7575</v>
      </c>
      <c r="C162" s="33">
        <v>7550</v>
      </c>
      <c r="D162" s="34">
        <v>290</v>
      </c>
      <c r="E162" s="35">
        <v>300</v>
      </c>
      <c r="F162" s="5">
        <v>0</v>
      </c>
      <c r="G162" s="6">
        <v>0</v>
      </c>
    </row>
    <row r="163" spans="1:7" x14ac:dyDescent="0.25">
      <c r="A163" s="1">
        <f t="shared" ca="1" si="2"/>
        <v>10016</v>
      </c>
      <c r="B163" s="32">
        <v>7575</v>
      </c>
      <c r="C163" s="33">
        <v>7555</v>
      </c>
      <c r="D163" s="34">
        <v>290</v>
      </c>
      <c r="E163" s="35">
        <v>300</v>
      </c>
      <c r="F163" s="5">
        <v>0</v>
      </c>
      <c r="G163" s="6">
        <v>0</v>
      </c>
    </row>
    <row r="164" spans="1:7" x14ac:dyDescent="0.25">
      <c r="A164" s="1">
        <f t="shared" ca="1" si="2"/>
        <v>10017</v>
      </c>
      <c r="B164" s="32">
        <v>7570</v>
      </c>
      <c r="C164" s="33">
        <v>7550</v>
      </c>
      <c r="D164" s="34">
        <v>290</v>
      </c>
      <c r="E164" s="35">
        <v>305</v>
      </c>
      <c r="F164" s="5">
        <v>0</v>
      </c>
      <c r="G164" s="6">
        <v>0</v>
      </c>
    </row>
    <row r="165" spans="1:7" x14ac:dyDescent="0.25">
      <c r="A165" s="1">
        <f t="shared" ca="1" si="2"/>
        <v>10018</v>
      </c>
      <c r="B165" s="32">
        <v>7570</v>
      </c>
      <c r="C165" s="33">
        <v>7550</v>
      </c>
      <c r="D165" s="34">
        <v>290</v>
      </c>
      <c r="E165" s="35">
        <v>300</v>
      </c>
      <c r="F165" s="5">
        <v>0</v>
      </c>
      <c r="G165" s="6">
        <v>0</v>
      </c>
    </row>
    <row r="166" spans="1:7" x14ac:dyDescent="0.25">
      <c r="A166" s="1">
        <f t="shared" ca="1" si="2"/>
        <v>10019</v>
      </c>
      <c r="B166" s="32">
        <v>7575</v>
      </c>
      <c r="C166" s="33">
        <v>7565</v>
      </c>
      <c r="D166" s="34">
        <v>290</v>
      </c>
      <c r="E166" s="35">
        <v>300</v>
      </c>
      <c r="F166" s="5">
        <v>0</v>
      </c>
      <c r="G166" s="6">
        <v>0</v>
      </c>
    </row>
    <row r="167" spans="1:7" x14ac:dyDescent="0.25">
      <c r="A167" s="1">
        <f t="shared" ca="1" si="2"/>
        <v>10020</v>
      </c>
      <c r="B167" s="32">
        <v>7575</v>
      </c>
      <c r="C167" s="33">
        <v>7565</v>
      </c>
      <c r="D167" s="34">
        <v>290</v>
      </c>
      <c r="E167" s="35">
        <v>300</v>
      </c>
      <c r="F167" s="5">
        <v>0</v>
      </c>
      <c r="G167" s="6">
        <v>0</v>
      </c>
    </row>
    <row r="168" spans="1:7" x14ac:dyDescent="0.25">
      <c r="A168" s="1">
        <f t="shared" ca="1" si="2"/>
        <v>10021</v>
      </c>
      <c r="B168" s="32">
        <v>7575</v>
      </c>
      <c r="C168" s="33">
        <v>7555</v>
      </c>
      <c r="D168" s="34">
        <v>290</v>
      </c>
      <c r="E168" s="35">
        <v>300</v>
      </c>
      <c r="F168" s="5">
        <v>0</v>
      </c>
      <c r="G168" s="6">
        <v>58</v>
      </c>
    </row>
    <row r="169" spans="1:7" x14ac:dyDescent="0.25">
      <c r="A169" s="1">
        <f t="shared" ca="1" si="2"/>
        <v>10022</v>
      </c>
      <c r="B169" s="32">
        <v>7575</v>
      </c>
      <c r="C169" s="33">
        <v>7555</v>
      </c>
      <c r="D169" s="34">
        <v>290</v>
      </c>
      <c r="E169" s="35">
        <v>300</v>
      </c>
      <c r="F169" s="5">
        <v>0</v>
      </c>
      <c r="G169" s="6">
        <v>0</v>
      </c>
    </row>
    <row r="170" spans="1:7" x14ac:dyDescent="0.25">
      <c r="A170" s="1">
        <f t="shared" ca="1" si="2"/>
        <v>10023</v>
      </c>
      <c r="B170" s="32">
        <v>7565</v>
      </c>
      <c r="C170" s="33">
        <v>7550</v>
      </c>
      <c r="D170" s="34">
        <v>290</v>
      </c>
      <c r="E170" s="35">
        <v>300</v>
      </c>
      <c r="F170" s="5">
        <v>0</v>
      </c>
      <c r="G170" s="6">
        <v>0</v>
      </c>
    </row>
    <row r="171" spans="1:7" x14ac:dyDescent="0.25">
      <c r="A171" s="1">
        <f t="shared" ca="1" si="2"/>
        <v>10024</v>
      </c>
      <c r="B171" s="32">
        <v>7565</v>
      </c>
      <c r="C171" s="33">
        <v>7545</v>
      </c>
      <c r="D171" s="34">
        <v>290</v>
      </c>
      <c r="E171" s="35">
        <v>300</v>
      </c>
      <c r="F171" s="5">
        <v>0</v>
      </c>
      <c r="G171" s="6">
        <v>0</v>
      </c>
    </row>
    <row r="172" spans="1:7" x14ac:dyDescent="0.25">
      <c r="A172" s="1">
        <f t="shared" ca="1" si="2"/>
        <v>10025</v>
      </c>
      <c r="B172" s="32">
        <v>7565</v>
      </c>
      <c r="C172" s="33">
        <v>7545</v>
      </c>
      <c r="D172" s="34">
        <v>290</v>
      </c>
      <c r="E172" s="35">
        <v>300</v>
      </c>
      <c r="F172" s="5">
        <v>0</v>
      </c>
      <c r="G172" s="6">
        <v>0</v>
      </c>
    </row>
    <row r="173" spans="1:7" x14ac:dyDescent="0.25">
      <c r="A173" s="1">
        <f t="shared" ca="1" si="2"/>
        <v>10026</v>
      </c>
      <c r="B173" s="32">
        <v>7575</v>
      </c>
      <c r="C173" s="33">
        <v>7570</v>
      </c>
      <c r="D173" s="34">
        <v>290</v>
      </c>
      <c r="E173" s="35">
        <v>300</v>
      </c>
      <c r="F173" s="5">
        <v>0</v>
      </c>
      <c r="G173" s="6">
        <v>0</v>
      </c>
    </row>
    <row r="174" spans="1:7" x14ac:dyDescent="0.25">
      <c r="A174" s="1">
        <f t="shared" ca="1" si="2"/>
        <v>10027</v>
      </c>
      <c r="B174" s="32">
        <v>7575</v>
      </c>
      <c r="C174" s="33">
        <v>7560</v>
      </c>
      <c r="D174" s="34">
        <v>290</v>
      </c>
      <c r="E174" s="35">
        <v>300</v>
      </c>
      <c r="F174" s="5">
        <v>0</v>
      </c>
      <c r="G174" s="6">
        <v>0</v>
      </c>
    </row>
    <row r="175" spans="1:7" x14ac:dyDescent="0.25">
      <c r="A175" s="1">
        <f t="shared" ca="1" si="2"/>
        <v>10028</v>
      </c>
      <c r="B175" s="32">
        <v>7570</v>
      </c>
      <c r="C175" s="33">
        <v>7545</v>
      </c>
      <c r="D175" s="34">
        <v>290</v>
      </c>
      <c r="E175" s="35">
        <v>300</v>
      </c>
      <c r="F175" s="5">
        <v>0</v>
      </c>
      <c r="G175" s="6">
        <v>0</v>
      </c>
    </row>
    <row r="176" spans="1:7" x14ac:dyDescent="0.25">
      <c r="A176" s="1">
        <f t="shared" ca="1" si="2"/>
        <v>10029</v>
      </c>
      <c r="B176" s="32">
        <v>7565</v>
      </c>
      <c r="C176" s="33">
        <v>7560</v>
      </c>
      <c r="D176" s="34">
        <v>290</v>
      </c>
      <c r="E176" s="35">
        <v>300</v>
      </c>
      <c r="F176" s="5">
        <v>4</v>
      </c>
      <c r="G176" s="6">
        <v>32</v>
      </c>
    </row>
    <row r="177" spans="1:7" x14ac:dyDescent="0.25">
      <c r="A177" s="1">
        <f t="shared" ca="1" si="2"/>
        <v>10030</v>
      </c>
      <c r="B177" s="32">
        <v>7565</v>
      </c>
      <c r="C177" s="33">
        <v>7560</v>
      </c>
      <c r="D177" s="34">
        <v>290</v>
      </c>
      <c r="E177" s="35">
        <v>300</v>
      </c>
      <c r="F177" s="5">
        <v>0</v>
      </c>
      <c r="G177" s="6">
        <v>0</v>
      </c>
    </row>
    <row r="178" spans="1:7" x14ac:dyDescent="0.25">
      <c r="A178" s="1">
        <f t="shared" ca="1" si="2"/>
        <v>10031</v>
      </c>
      <c r="B178" s="32">
        <v>7580</v>
      </c>
      <c r="C178" s="33">
        <v>7565</v>
      </c>
      <c r="D178" s="34">
        <v>290</v>
      </c>
      <c r="E178" s="35">
        <v>300</v>
      </c>
      <c r="F178" s="5">
        <v>25</v>
      </c>
      <c r="G178" s="6">
        <v>0</v>
      </c>
    </row>
    <row r="179" spans="1:7" x14ac:dyDescent="0.25">
      <c r="A179" s="1">
        <f t="shared" ca="1" si="2"/>
        <v>10032</v>
      </c>
      <c r="B179" s="32">
        <v>7580</v>
      </c>
      <c r="C179" s="33">
        <v>7565</v>
      </c>
      <c r="D179" s="34">
        <v>290</v>
      </c>
      <c r="E179" s="35">
        <v>300</v>
      </c>
      <c r="F179" s="5">
        <v>0</v>
      </c>
      <c r="G179" s="6">
        <v>0</v>
      </c>
    </row>
    <row r="180" spans="1:7" x14ac:dyDescent="0.25">
      <c r="A180" s="1">
        <f t="shared" ca="1" si="2"/>
        <v>10033</v>
      </c>
      <c r="B180" s="32">
        <v>7570</v>
      </c>
      <c r="C180" s="33">
        <v>7550</v>
      </c>
      <c r="D180" s="34">
        <v>290</v>
      </c>
      <c r="E180" s="35">
        <v>300</v>
      </c>
      <c r="F180" s="5">
        <v>306</v>
      </c>
      <c r="G180" s="6">
        <v>181</v>
      </c>
    </row>
    <row r="181" spans="1:7" x14ac:dyDescent="0.25">
      <c r="A181" s="1">
        <f t="shared" ca="1" si="2"/>
        <v>10034</v>
      </c>
      <c r="B181" s="32">
        <v>7575</v>
      </c>
      <c r="C181" s="33">
        <v>7555</v>
      </c>
      <c r="D181" s="34">
        <v>290</v>
      </c>
      <c r="E181" s="35">
        <v>300</v>
      </c>
      <c r="F181" s="5">
        <v>0</v>
      </c>
      <c r="G181" s="6">
        <v>14</v>
      </c>
    </row>
    <row r="182" spans="1:7" x14ac:dyDescent="0.25">
      <c r="A182" s="1">
        <f t="shared" ca="1" si="2"/>
        <v>10035</v>
      </c>
      <c r="B182" s="32">
        <v>7575</v>
      </c>
      <c r="C182" s="33">
        <v>7555</v>
      </c>
      <c r="D182" s="34">
        <v>290</v>
      </c>
      <c r="E182" s="35">
        <v>300</v>
      </c>
      <c r="F182" s="5">
        <v>0</v>
      </c>
      <c r="G182" s="6">
        <v>0</v>
      </c>
    </row>
    <row r="183" spans="1:7" x14ac:dyDescent="0.25">
      <c r="A183" s="1">
        <f t="shared" ca="1" si="2"/>
        <v>10036</v>
      </c>
      <c r="B183" s="32">
        <v>7575</v>
      </c>
      <c r="C183" s="33">
        <v>7560</v>
      </c>
      <c r="D183" s="34">
        <v>290</v>
      </c>
      <c r="E183" s="35">
        <v>300</v>
      </c>
      <c r="F183" s="5">
        <v>113</v>
      </c>
      <c r="G183" s="6">
        <v>170</v>
      </c>
    </row>
    <row r="184" spans="1:7" x14ac:dyDescent="0.25">
      <c r="A184" s="1">
        <f t="shared" ca="1" si="2"/>
        <v>10037</v>
      </c>
      <c r="B184" s="32">
        <v>7570</v>
      </c>
      <c r="C184" s="33">
        <v>7555</v>
      </c>
      <c r="D184" s="34">
        <v>290</v>
      </c>
      <c r="E184" s="35">
        <v>300</v>
      </c>
      <c r="F184" s="5">
        <v>5</v>
      </c>
      <c r="G184" s="6">
        <v>0</v>
      </c>
    </row>
    <row r="185" spans="1:7" x14ac:dyDescent="0.25">
      <c r="A185" s="1">
        <f t="shared" ca="1" si="2"/>
        <v>10038</v>
      </c>
      <c r="B185" s="32">
        <v>7580</v>
      </c>
      <c r="C185" s="33">
        <v>7555</v>
      </c>
      <c r="D185" s="34">
        <v>280</v>
      </c>
      <c r="E185" s="35">
        <v>290</v>
      </c>
      <c r="F185" s="5">
        <v>0</v>
      </c>
      <c r="G185" s="6">
        <v>0</v>
      </c>
    </row>
    <row r="186" spans="1:7" x14ac:dyDescent="0.25">
      <c r="A186" s="1">
        <f t="shared" ca="1" si="2"/>
        <v>10039</v>
      </c>
      <c r="B186" s="32">
        <v>7570</v>
      </c>
      <c r="C186" s="33">
        <v>7555</v>
      </c>
      <c r="D186" s="34">
        <v>290</v>
      </c>
      <c r="E186" s="35">
        <v>300</v>
      </c>
      <c r="F186" s="5">
        <v>0</v>
      </c>
      <c r="G186" s="6">
        <v>0</v>
      </c>
    </row>
    <row r="187" spans="1:7" x14ac:dyDescent="0.25">
      <c r="A187" s="1">
        <f t="shared" ca="1" si="2"/>
        <v>10040</v>
      </c>
      <c r="B187" s="32">
        <v>7570</v>
      </c>
      <c r="C187" s="33">
        <v>7555</v>
      </c>
      <c r="D187" s="34">
        <v>290</v>
      </c>
      <c r="E187" s="35">
        <v>295</v>
      </c>
      <c r="F187" s="5">
        <v>0</v>
      </c>
      <c r="G187" s="6">
        <v>0</v>
      </c>
    </row>
    <row r="188" spans="1:7" x14ac:dyDescent="0.25">
      <c r="A188" s="1">
        <f t="shared" ca="1" si="2"/>
        <v>10041</v>
      </c>
      <c r="B188" s="32">
        <v>7585</v>
      </c>
      <c r="C188" s="33">
        <v>7570</v>
      </c>
      <c r="D188" s="34">
        <v>285</v>
      </c>
      <c r="E188" s="35">
        <v>285</v>
      </c>
      <c r="F188" s="5">
        <v>17</v>
      </c>
      <c r="G188" s="6">
        <v>0</v>
      </c>
    </row>
    <row r="189" spans="1:7" x14ac:dyDescent="0.25">
      <c r="A189" s="1">
        <f t="shared" ca="1" si="2"/>
        <v>10042</v>
      </c>
      <c r="B189" s="32">
        <v>7575</v>
      </c>
      <c r="C189" s="33">
        <v>7570</v>
      </c>
      <c r="D189" s="34">
        <v>285</v>
      </c>
      <c r="E189" s="35">
        <v>285</v>
      </c>
      <c r="F189" s="5">
        <v>105</v>
      </c>
      <c r="G189" s="6">
        <v>22</v>
      </c>
    </row>
    <row r="190" spans="1:7" x14ac:dyDescent="0.25">
      <c r="A190" s="1">
        <f t="shared" ca="1" si="2"/>
        <v>10043</v>
      </c>
      <c r="B190" s="32">
        <v>7575</v>
      </c>
      <c r="C190" s="33">
        <v>7550</v>
      </c>
      <c r="D190" s="34">
        <v>285</v>
      </c>
      <c r="E190" s="35">
        <v>300</v>
      </c>
      <c r="F190" s="5">
        <v>0</v>
      </c>
      <c r="G190" s="6">
        <v>0</v>
      </c>
    </row>
    <row r="191" spans="1:7" x14ac:dyDescent="0.25">
      <c r="A191" s="1" t="str">
        <f t="shared" ca="1" si="2"/>
        <v>Totaal</v>
      </c>
      <c r="B191" s="20">
        <f>IF(COUNT(B161:B190)&gt;0,AVERAGE(B161:B190)/10,"")</f>
        <v>757.2833333333333</v>
      </c>
      <c r="C191" s="21">
        <f>IF(COUNT(C161:C190)&gt;0,AVERAGE(C161:C190)/10,"")</f>
        <v>755.63333333333333</v>
      </c>
      <c r="D191" s="22">
        <f>IF(COUNT(D161:D190)&gt;0,AVERAGE(D161:D190)/10,"")</f>
        <v>28.916666666666668</v>
      </c>
      <c r="E191" s="23">
        <f>IF(COUNT(E161:E190)&gt;0,AVERAGE(E161:E190)/10,"")</f>
        <v>29.866666666666667</v>
      </c>
      <c r="F191" s="24">
        <f>SUM(F161:F190)/10</f>
        <v>57.5</v>
      </c>
      <c r="G191" s="25">
        <f>SUM(G161:G190)/10</f>
        <v>47.7</v>
      </c>
    </row>
    <row r="192" spans="1:7" x14ac:dyDescent="0.25">
      <c r="A192" s="1">
        <f t="shared" ca="1" si="2"/>
        <v>10044</v>
      </c>
      <c r="B192" s="32">
        <v>7585</v>
      </c>
      <c r="C192" s="33">
        <v>7555</v>
      </c>
      <c r="D192" s="34">
        <v>285</v>
      </c>
      <c r="E192" s="35">
        <v>300</v>
      </c>
      <c r="F192" s="5">
        <v>0</v>
      </c>
      <c r="G192" s="6">
        <v>0</v>
      </c>
    </row>
    <row r="193" spans="1:7" x14ac:dyDescent="0.25">
      <c r="A193" s="1">
        <f t="shared" ca="1" si="2"/>
        <v>10045</v>
      </c>
      <c r="B193" s="32">
        <v>7585</v>
      </c>
      <c r="C193" s="33">
        <v>7550</v>
      </c>
      <c r="D193" s="34">
        <v>280</v>
      </c>
      <c r="E193" s="35">
        <v>290</v>
      </c>
      <c r="F193" s="5">
        <v>0</v>
      </c>
      <c r="G193" s="6">
        <v>0</v>
      </c>
    </row>
    <row r="194" spans="1:7" x14ac:dyDescent="0.25">
      <c r="A194" s="1">
        <f t="shared" ca="1" si="2"/>
        <v>10046</v>
      </c>
      <c r="B194" s="32">
        <v>7585</v>
      </c>
      <c r="C194" s="33">
        <v>7550</v>
      </c>
      <c r="D194" s="34">
        <v>280</v>
      </c>
      <c r="E194" s="35">
        <v>290</v>
      </c>
      <c r="F194" s="5">
        <v>0</v>
      </c>
      <c r="G194" s="6">
        <v>0</v>
      </c>
    </row>
    <row r="195" spans="1:7" x14ac:dyDescent="0.25">
      <c r="A195" s="1">
        <f t="shared" ca="1" si="2"/>
        <v>10047</v>
      </c>
      <c r="B195" s="32">
        <v>7585</v>
      </c>
      <c r="C195" s="33">
        <v>7570</v>
      </c>
      <c r="D195" s="34">
        <v>280</v>
      </c>
      <c r="E195" s="35">
        <v>290</v>
      </c>
      <c r="F195" s="5">
        <v>0</v>
      </c>
      <c r="G195" s="6">
        <v>0</v>
      </c>
    </row>
    <row r="196" spans="1:7" x14ac:dyDescent="0.25">
      <c r="A196" s="1">
        <f t="shared" ca="1" si="2"/>
        <v>10048</v>
      </c>
      <c r="B196" s="32">
        <v>7580</v>
      </c>
      <c r="C196" s="33">
        <v>7560</v>
      </c>
      <c r="D196" s="34">
        <v>285</v>
      </c>
      <c r="E196" s="35">
        <v>300</v>
      </c>
      <c r="F196" s="5">
        <v>0</v>
      </c>
      <c r="G196" s="6">
        <v>0</v>
      </c>
    </row>
    <row r="197" spans="1:7" x14ac:dyDescent="0.25">
      <c r="A197" s="1">
        <f t="shared" ca="1" si="2"/>
        <v>10049</v>
      </c>
      <c r="B197" s="32">
        <v>7580</v>
      </c>
      <c r="C197" s="33">
        <v>7555</v>
      </c>
      <c r="D197" s="34">
        <v>280</v>
      </c>
      <c r="E197" s="35">
        <v>300</v>
      </c>
      <c r="F197" s="5">
        <v>0</v>
      </c>
      <c r="G197" s="6">
        <v>0</v>
      </c>
    </row>
    <row r="198" spans="1:7" x14ac:dyDescent="0.25">
      <c r="A198" s="1">
        <f t="shared" ca="1" si="2"/>
        <v>10050</v>
      </c>
      <c r="B198" s="32">
        <v>7580</v>
      </c>
      <c r="C198" s="33">
        <v>7555</v>
      </c>
      <c r="D198" s="34">
        <v>290</v>
      </c>
      <c r="E198" s="35">
        <v>300</v>
      </c>
      <c r="F198" s="5">
        <v>123</v>
      </c>
      <c r="G198" s="6">
        <v>153</v>
      </c>
    </row>
    <row r="199" spans="1:7" x14ac:dyDescent="0.25">
      <c r="A199" s="1">
        <f t="shared" ref="A199:A262" ca="1" si="3">IF(ISTEXT(A198),A197+1,IF(MONTH(A198+1)=MONTH(A198),A198+1,"Totaal"))</f>
        <v>10051</v>
      </c>
      <c r="B199" s="32">
        <v>7585</v>
      </c>
      <c r="C199" s="33">
        <v>7570</v>
      </c>
      <c r="D199" s="34">
        <v>280</v>
      </c>
      <c r="E199" s="35">
        <v>300</v>
      </c>
      <c r="F199" s="5">
        <v>0</v>
      </c>
      <c r="G199" s="6">
        <v>9</v>
      </c>
    </row>
    <row r="200" spans="1:7" x14ac:dyDescent="0.25">
      <c r="A200" s="1">
        <f t="shared" ca="1" si="3"/>
        <v>10052</v>
      </c>
      <c r="B200" s="32">
        <v>7585</v>
      </c>
      <c r="C200" s="33">
        <v>7565</v>
      </c>
      <c r="D200" s="34">
        <v>285</v>
      </c>
      <c r="E200" s="35">
        <v>300</v>
      </c>
      <c r="F200" s="5">
        <v>0</v>
      </c>
      <c r="G200" s="6">
        <v>0</v>
      </c>
    </row>
    <row r="201" spans="1:7" x14ac:dyDescent="0.25">
      <c r="A201" s="1">
        <f t="shared" ca="1" si="3"/>
        <v>10053</v>
      </c>
      <c r="B201" s="32">
        <v>7585</v>
      </c>
      <c r="C201" s="33">
        <v>7565</v>
      </c>
      <c r="D201" s="34">
        <v>285</v>
      </c>
      <c r="E201" s="35">
        <v>300</v>
      </c>
      <c r="F201" s="5">
        <v>0</v>
      </c>
      <c r="G201" s="6">
        <v>0</v>
      </c>
    </row>
    <row r="202" spans="1:7" x14ac:dyDescent="0.25">
      <c r="A202" s="1">
        <f t="shared" ca="1" si="3"/>
        <v>10054</v>
      </c>
      <c r="B202" s="32">
        <v>7580</v>
      </c>
      <c r="C202" s="33">
        <v>7565</v>
      </c>
      <c r="D202" s="34">
        <v>285</v>
      </c>
      <c r="E202" s="35">
        <v>300</v>
      </c>
      <c r="F202" s="5">
        <v>0</v>
      </c>
      <c r="G202" s="6">
        <v>0</v>
      </c>
    </row>
    <row r="203" spans="1:7" x14ac:dyDescent="0.25">
      <c r="A203" s="1">
        <f t="shared" ca="1" si="3"/>
        <v>10055</v>
      </c>
      <c r="B203" s="32">
        <v>7585</v>
      </c>
      <c r="C203" s="33">
        <v>7565</v>
      </c>
      <c r="D203" s="34">
        <v>285</v>
      </c>
      <c r="E203" s="35">
        <v>300</v>
      </c>
      <c r="F203" s="5">
        <v>0</v>
      </c>
      <c r="G203" s="6">
        <v>0</v>
      </c>
    </row>
    <row r="204" spans="1:7" x14ac:dyDescent="0.25">
      <c r="A204" s="1">
        <f t="shared" ca="1" si="3"/>
        <v>10056</v>
      </c>
      <c r="B204" s="32">
        <v>7585</v>
      </c>
      <c r="C204" s="33">
        <v>7565</v>
      </c>
      <c r="D204" s="34">
        <v>280</v>
      </c>
      <c r="E204" s="35">
        <v>300</v>
      </c>
      <c r="F204" s="5">
        <v>0</v>
      </c>
      <c r="G204" s="6">
        <v>0</v>
      </c>
    </row>
    <row r="205" spans="1:7" x14ac:dyDescent="0.25">
      <c r="A205" s="1">
        <f t="shared" ca="1" si="3"/>
        <v>10057</v>
      </c>
      <c r="B205" s="32">
        <v>7575</v>
      </c>
      <c r="C205" s="33">
        <v>7560</v>
      </c>
      <c r="D205" s="34">
        <v>280</v>
      </c>
      <c r="E205" s="35">
        <v>300</v>
      </c>
      <c r="F205" s="5">
        <v>0</v>
      </c>
      <c r="G205" s="6">
        <v>0</v>
      </c>
    </row>
    <row r="206" spans="1:7" x14ac:dyDescent="0.25">
      <c r="A206" s="1">
        <f t="shared" ca="1" si="3"/>
        <v>10058</v>
      </c>
      <c r="B206" s="32">
        <v>7575</v>
      </c>
      <c r="C206" s="33">
        <v>7555</v>
      </c>
      <c r="D206" s="34">
        <v>285</v>
      </c>
      <c r="E206" s="35">
        <v>300</v>
      </c>
      <c r="F206" s="5">
        <v>0</v>
      </c>
      <c r="G206" s="6">
        <v>0</v>
      </c>
    </row>
    <row r="207" spans="1:7" x14ac:dyDescent="0.25">
      <c r="A207" s="1">
        <f t="shared" ca="1" si="3"/>
        <v>10059</v>
      </c>
      <c r="B207" s="32">
        <v>7580</v>
      </c>
      <c r="C207" s="33">
        <v>7565</v>
      </c>
      <c r="D207" s="34">
        <v>285</v>
      </c>
      <c r="E207" s="35">
        <v>300</v>
      </c>
      <c r="F207" s="5">
        <v>0</v>
      </c>
      <c r="G207" s="6">
        <v>0</v>
      </c>
    </row>
    <row r="208" spans="1:7" x14ac:dyDescent="0.25">
      <c r="A208" s="1">
        <f t="shared" ca="1" si="3"/>
        <v>10060</v>
      </c>
      <c r="B208" s="32">
        <v>7580</v>
      </c>
      <c r="C208" s="33">
        <v>7565</v>
      </c>
      <c r="D208" s="34">
        <v>285</v>
      </c>
      <c r="E208" s="35">
        <v>300</v>
      </c>
      <c r="F208" s="5">
        <v>0</v>
      </c>
      <c r="G208" s="6">
        <v>0</v>
      </c>
    </row>
    <row r="209" spans="1:7" x14ac:dyDescent="0.25">
      <c r="A209" s="1">
        <f t="shared" ca="1" si="3"/>
        <v>10061</v>
      </c>
      <c r="B209" s="32">
        <v>7570</v>
      </c>
      <c r="C209" s="33">
        <v>7555</v>
      </c>
      <c r="D209" s="34">
        <v>290</v>
      </c>
      <c r="E209" s="35">
        <v>300</v>
      </c>
      <c r="F209" s="5">
        <v>0</v>
      </c>
      <c r="G209" s="6">
        <v>0</v>
      </c>
    </row>
    <row r="210" spans="1:7" x14ac:dyDescent="0.25">
      <c r="A210" s="1">
        <f t="shared" ca="1" si="3"/>
        <v>10062</v>
      </c>
      <c r="B210" s="32">
        <v>7565</v>
      </c>
      <c r="C210" s="33">
        <v>7550</v>
      </c>
      <c r="D210" s="34">
        <v>290</v>
      </c>
      <c r="E210" s="35">
        <v>300</v>
      </c>
      <c r="F210" s="5">
        <v>0</v>
      </c>
      <c r="G210" s="6">
        <v>0</v>
      </c>
    </row>
    <row r="211" spans="1:7" x14ac:dyDescent="0.25">
      <c r="A211" s="1">
        <f t="shared" ca="1" si="3"/>
        <v>10063</v>
      </c>
      <c r="B211" s="32">
        <v>7565</v>
      </c>
      <c r="C211" s="33">
        <v>7550</v>
      </c>
      <c r="D211" s="34">
        <v>290</v>
      </c>
      <c r="E211" s="35">
        <v>300</v>
      </c>
      <c r="F211" s="5">
        <v>0</v>
      </c>
      <c r="G211" s="6">
        <v>0</v>
      </c>
    </row>
    <row r="212" spans="1:7" x14ac:dyDescent="0.25">
      <c r="A212" s="1">
        <f t="shared" ca="1" si="3"/>
        <v>10064</v>
      </c>
      <c r="B212" s="32">
        <v>7565</v>
      </c>
      <c r="C212" s="33">
        <v>7545</v>
      </c>
      <c r="D212" s="34">
        <v>300</v>
      </c>
      <c r="E212" s="35">
        <v>310</v>
      </c>
      <c r="F212" s="5">
        <v>0</v>
      </c>
      <c r="G212" s="6">
        <v>0</v>
      </c>
    </row>
    <row r="213" spans="1:7" x14ac:dyDescent="0.25">
      <c r="A213" s="1">
        <f t="shared" ca="1" si="3"/>
        <v>10065</v>
      </c>
      <c r="B213" s="32">
        <v>7565</v>
      </c>
      <c r="C213" s="33">
        <v>7545</v>
      </c>
      <c r="D213" s="34">
        <v>300</v>
      </c>
      <c r="E213" s="35">
        <v>310</v>
      </c>
      <c r="F213" s="5">
        <v>0</v>
      </c>
      <c r="G213" s="6">
        <v>0</v>
      </c>
    </row>
    <row r="214" spans="1:7" x14ac:dyDescent="0.25">
      <c r="A214" s="1">
        <f t="shared" ca="1" si="3"/>
        <v>10066</v>
      </c>
      <c r="B214" s="32">
        <v>7565</v>
      </c>
      <c r="C214" s="33">
        <v>7550</v>
      </c>
      <c r="D214" s="34">
        <v>300</v>
      </c>
      <c r="E214" s="35">
        <v>305</v>
      </c>
      <c r="F214" s="5">
        <v>0</v>
      </c>
      <c r="G214" s="6">
        <v>0</v>
      </c>
    </row>
    <row r="215" spans="1:7" x14ac:dyDescent="0.25">
      <c r="A215" s="1">
        <f t="shared" ca="1" si="3"/>
        <v>10067</v>
      </c>
      <c r="B215" s="32">
        <v>7565</v>
      </c>
      <c r="C215" s="33">
        <v>7550</v>
      </c>
      <c r="D215" s="34">
        <v>300</v>
      </c>
      <c r="E215" s="35">
        <v>305</v>
      </c>
      <c r="F215" s="5">
        <v>0</v>
      </c>
      <c r="G215" s="6">
        <v>0</v>
      </c>
    </row>
    <row r="216" spans="1:7" x14ac:dyDescent="0.25">
      <c r="A216" s="1">
        <f t="shared" ca="1" si="3"/>
        <v>10068</v>
      </c>
      <c r="B216" s="32">
        <v>7580</v>
      </c>
      <c r="C216" s="33">
        <v>7565</v>
      </c>
      <c r="D216" s="34">
        <v>295</v>
      </c>
      <c r="E216" s="35">
        <v>310</v>
      </c>
      <c r="F216" s="5">
        <v>0</v>
      </c>
      <c r="G216" s="6">
        <v>0</v>
      </c>
    </row>
    <row r="217" spans="1:7" x14ac:dyDescent="0.25">
      <c r="A217" s="1">
        <f t="shared" ca="1" si="3"/>
        <v>10069</v>
      </c>
      <c r="B217" s="32">
        <v>7585</v>
      </c>
      <c r="C217" s="33">
        <v>7570</v>
      </c>
      <c r="D217" s="34">
        <v>285</v>
      </c>
      <c r="E217" s="35">
        <v>305</v>
      </c>
      <c r="F217" s="5">
        <v>0</v>
      </c>
      <c r="G217" s="6">
        <v>0</v>
      </c>
    </row>
    <row r="218" spans="1:7" x14ac:dyDescent="0.25">
      <c r="A218" s="1">
        <f t="shared" ca="1" si="3"/>
        <v>10070</v>
      </c>
      <c r="B218" s="32">
        <v>7585</v>
      </c>
      <c r="C218" s="33">
        <v>7550</v>
      </c>
      <c r="D218" s="34">
        <v>290</v>
      </c>
      <c r="E218" s="35">
        <v>305</v>
      </c>
      <c r="F218" s="5">
        <v>0</v>
      </c>
      <c r="G218" s="6">
        <v>0</v>
      </c>
    </row>
    <row r="219" spans="1:7" x14ac:dyDescent="0.25">
      <c r="A219" s="1">
        <f t="shared" ca="1" si="3"/>
        <v>10071</v>
      </c>
      <c r="B219" s="32">
        <v>7585</v>
      </c>
      <c r="C219" s="33">
        <v>7565</v>
      </c>
      <c r="D219" s="34">
        <v>290</v>
      </c>
      <c r="E219" s="35">
        <v>305</v>
      </c>
      <c r="F219" s="5">
        <v>0</v>
      </c>
      <c r="G219" s="6">
        <v>0</v>
      </c>
    </row>
    <row r="220" spans="1:7" x14ac:dyDescent="0.25">
      <c r="A220" s="1">
        <f t="shared" ca="1" si="3"/>
        <v>10072</v>
      </c>
      <c r="B220" s="32">
        <v>7575</v>
      </c>
      <c r="C220" s="33">
        <v>7550</v>
      </c>
      <c r="D220" s="34">
        <v>290</v>
      </c>
      <c r="E220" s="35">
        <v>310</v>
      </c>
      <c r="F220" s="5">
        <v>0</v>
      </c>
      <c r="G220" s="6">
        <v>0</v>
      </c>
    </row>
    <row r="221" spans="1:7" x14ac:dyDescent="0.25">
      <c r="A221" s="1">
        <f t="shared" ca="1" si="3"/>
        <v>10073</v>
      </c>
      <c r="B221" s="32">
        <v>7575</v>
      </c>
      <c r="C221" s="33">
        <v>7555</v>
      </c>
      <c r="D221" s="34">
        <v>290</v>
      </c>
      <c r="E221" s="35">
        <v>310</v>
      </c>
      <c r="F221" s="5">
        <v>0</v>
      </c>
      <c r="G221" s="6">
        <v>0</v>
      </c>
    </row>
    <row r="222" spans="1:7" x14ac:dyDescent="0.25">
      <c r="A222" s="1">
        <f t="shared" ca="1" si="3"/>
        <v>10074</v>
      </c>
      <c r="B222" s="32">
        <v>7575</v>
      </c>
      <c r="C222" s="33">
        <v>7555</v>
      </c>
      <c r="D222" s="34">
        <v>290</v>
      </c>
      <c r="E222" s="35">
        <v>310</v>
      </c>
      <c r="F222" s="5">
        <v>0</v>
      </c>
      <c r="G222" s="6">
        <v>0</v>
      </c>
    </row>
    <row r="223" spans="1:7" x14ac:dyDescent="0.25">
      <c r="A223" s="1" t="str">
        <f t="shared" ca="1" si="3"/>
        <v>Totaal</v>
      </c>
      <c r="B223" s="20">
        <f>IF(COUNT(B192:B222)&gt;0,AVERAGE(B192:B222)/10,"")</f>
        <v>757.79032258064512</v>
      </c>
      <c r="C223" s="21">
        <f>IF(COUNT(C192:C222)&gt;0,AVERAGE(C192:C222)/10,"")</f>
        <v>755.77419354838707</v>
      </c>
      <c r="D223" s="22">
        <f>IF(COUNT(D192:D222)&gt;0,AVERAGE(D192:D222)/10,"")</f>
        <v>28.758064516129032</v>
      </c>
      <c r="E223" s="23">
        <f>IF(COUNT(E192:E222)&gt;0,AVERAGE(E192:E222)/10,"")</f>
        <v>30.177419354838708</v>
      </c>
      <c r="F223" s="24">
        <f>SUM(F192:F222)/10</f>
        <v>12.3</v>
      </c>
      <c r="G223" s="25">
        <f>SUM(G192:G222)/10</f>
        <v>16.2</v>
      </c>
    </row>
    <row r="224" spans="1:7" x14ac:dyDescent="0.25">
      <c r="A224" s="1">
        <f t="shared" ca="1" si="3"/>
        <v>10075</v>
      </c>
      <c r="B224" s="32">
        <v>7570</v>
      </c>
      <c r="C224" s="33">
        <v>7560</v>
      </c>
      <c r="D224" s="34">
        <v>290</v>
      </c>
      <c r="E224" s="35">
        <v>310</v>
      </c>
      <c r="F224" s="5">
        <v>0</v>
      </c>
      <c r="G224" s="6">
        <v>0</v>
      </c>
    </row>
    <row r="225" spans="1:7" x14ac:dyDescent="0.25">
      <c r="A225" s="1">
        <f t="shared" ca="1" si="3"/>
        <v>10076</v>
      </c>
      <c r="B225" s="32">
        <v>7570</v>
      </c>
      <c r="C225" s="33">
        <v>7550</v>
      </c>
      <c r="D225" s="34">
        <v>300</v>
      </c>
      <c r="E225" s="35">
        <v>305</v>
      </c>
      <c r="F225" s="5">
        <v>0</v>
      </c>
      <c r="G225" s="6">
        <v>0</v>
      </c>
    </row>
    <row r="226" spans="1:7" x14ac:dyDescent="0.25">
      <c r="A226" s="1">
        <f t="shared" ca="1" si="3"/>
        <v>10077</v>
      </c>
      <c r="B226" s="32">
        <v>7555</v>
      </c>
      <c r="C226" s="33">
        <v>7535</v>
      </c>
      <c r="D226" s="34">
        <v>300</v>
      </c>
      <c r="E226" s="35">
        <v>315</v>
      </c>
      <c r="F226" s="5">
        <v>25</v>
      </c>
      <c r="G226" s="6">
        <v>0</v>
      </c>
    </row>
    <row r="227" spans="1:7" x14ac:dyDescent="0.25">
      <c r="A227" s="1">
        <f t="shared" ca="1" si="3"/>
        <v>10078</v>
      </c>
      <c r="B227" s="32">
        <v>7560</v>
      </c>
      <c r="C227" s="33">
        <v>7545</v>
      </c>
      <c r="D227" s="34">
        <v>300</v>
      </c>
      <c r="E227" s="35">
        <v>310</v>
      </c>
      <c r="F227" s="5">
        <v>0</v>
      </c>
      <c r="G227" s="6">
        <v>0</v>
      </c>
    </row>
    <row r="228" spans="1:7" x14ac:dyDescent="0.25">
      <c r="A228" s="1">
        <f t="shared" ca="1" si="3"/>
        <v>10079</v>
      </c>
      <c r="B228" s="32">
        <v>7570</v>
      </c>
      <c r="C228" s="33">
        <v>7555</v>
      </c>
      <c r="D228" s="34">
        <v>290</v>
      </c>
      <c r="E228" s="35">
        <v>305</v>
      </c>
      <c r="F228" s="5">
        <v>0</v>
      </c>
      <c r="G228" s="6">
        <v>0</v>
      </c>
    </row>
    <row r="229" spans="1:7" x14ac:dyDescent="0.25">
      <c r="A229" s="1">
        <f t="shared" ca="1" si="3"/>
        <v>10080</v>
      </c>
      <c r="B229" s="32">
        <v>7565</v>
      </c>
      <c r="C229" s="33">
        <v>7545</v>
      </c>
      <c r="D229" s="34">
        <v>290</v>
      </c>
      <c r="E229" s="35">
        <v>310</v>
      </c>
      <c r="F229" s="5">
        <v>0</v>
      </c>
      <c r="G229" s="6">
        <v>0</v>
      </c>
    </row>
    <row r="230" spans="1:7" x14ac:dyDescent="0.25">
      <c r="A230" s="1">
        <f t="shared" ca="1" si="3"/>
        <v>10081</v>
      </c>
      <c r="B230" s="32">
        <v>7565</v>
      </c>
      <c r="C230" s="33">
        <v>7545</v>
      </c>
      <c r="D230" s="34">
        <v>290</v>
      </c>
      <c r="E230" s="35">
        <v>310</v>
      </c>
      <c r="F230" s="5">
        <v>0</v>
      </c>
      <c r="G230" s="6">
        <v>0</v>
      </c>
    </row>
    <row r="231" spans="1:7" x14ac:dyDescent="0.25">
      <c r="A231" s="1">
        <f t="shared" ca="1" si="3"/>
        <v>10082</v>
      </c>
      <c r="B231" s="32">
        <v>7565</v>
      </c>
      <c r="C231" s="33">
        <v>7550</v>
      </c>
      <c r="D231" s="34">
        <v>295</v>
      </c>
      <c r="E231" s="35">
        <v>310</v>
      </c>
      <c r="F231" s="5">
        <v>0</v>
      </c>
      <c r="G231" s="6">
        <v>0</v>
      </c>
    </row>
    <row r="232" spans="1:7" x14ac:dyDescent="0.25">
      <c r="A232" s="1">
        <f t="shared" ca="1" si="3"/>
        <v>10083</v>
      </c>
      <c r="B232" s="32">
        <v>7575</v>
      </c>
      <c r="C232" s="33">
        <v>7550</v>
      </c>
      <c r="D232" s="34">
        <v>290</v>
      </c>
      <c r="E232" s="35">
        <v>300</v>
      </c>
      <c r="F232" s="5">
        <v>0</v>
      </c>
      <c r="G232" s="6">
        <v>0</v>
      </c>
    </row>
    <row r="233" spans="1:7" x14ac:dyDescent="0.25">
      <c r="A233" s="1">
        <f t="shared" ca="1" si="3"/>
        <v>10084</v>
      </c>
      <c r="B233" s="32">
        <v>7570</v>
      </c>
      <c r="C233" s="33">
        <v>7545</v>
      </c>
      <c r="D233" s="34">
        <v>290</v>
      </c>
      <c r="E233" s="35">
        <v>305</v>
      </c>
      <c r="F233" s="5">
        <v>0</v>
      </c>
      <c r="G233" s="6">
        <v>0</v>
      </c>
    </row>
    <row r="234" spans="1:7" x14ac:dyDescent="0.25">
      <c r="A234" s="1">
        <f t="shared" ca="1" si="3"/>
        <v>10085</v>
      </c>
      <c r="B234" s="32">
        <v>7560</v>
      </c>
      <c r="C234" s="33">
        <v>7535</v>
      </c>
      <c r="D234" s="34">
        <v>295</v>
      </c>
      <c r="E234" s="35">
        <v>310</v>
      </c>
      <c r="F234" s="5">
        <v>0</v>
      </c>
      <c r="G234" s="6">
        <v>0</v>
      </c>
    </row>
    <row r="235" spans="1:7" x14ac:dyDescent="0.25">
      <c r="A235" s="1">
        <f t="shared" ca="1" si="3"/>
        <v>10086</v>
      </c>
      <c r="B235" s="32">
        <v>7570</v>
      </c>
      <c r="C235" s="33">
        <v>7540</v>
      </c>
      <c r="D235" s="34">
        <v>295</v>
      </c>
      <c r="E235" s="35">
        <v>305</v>
      </c>
      <c r="F235" s="5">
        <v>0</v>
      </c>
      <c r="G235" s="6">
        <v>0</v>
      </c>
    </row>
    <row r="236" spans="1:7" x14ac:dyDescent="0.25">
      <c r="A236" s="1">
        <f t="shared" ca="1" si="3"/>
        <v>10087</v>
      </c>
      <c r="B236" s="32">
        <v>7575</v>
      </c>
      <c r="C236" s="33">
        <v>7550</v>
      </c>
      <c r="D236" s="34">
        <v>295</v>
      </c>
      <c r="E236" s="35">
        <v>310</v>
      </c>
      <c r="F236" s="5">
        <v>0</v>
      </c>
      <c r="G236" s="6">
        <v>0</v>
      </c>
    </row>
    <row r="237" spans="1:7" x14ac:dyDescent="0.25">
      <c r="A237" s="1">
        <f t="shared" ca="1" si="3"/>
        <v>10088</v>
      </c>
      <c r="B237" s="32">
        <v>7575</v>
      </c>
      <c r="C237" s="33">
        <v>7550</v>
      </c>
      <c r="D237" s="34">
        <v>290</v>
      </c>
      <c r="E237" s="35">
        <v>310</v>
      </c>
      <c r="F237" s="5">
        <v>0</v>
      </c>
      <c r="G237" s="6">
        <v>0</v>
      </c>
    </row>
    <row r="238" spans="1:7" x14ac:dyDescent="0.25">
      <c r="A238" s="1">
        <f t="shared" ca="1" si="3"/>
        <v>10089</v>
      </c>
      <c r="B238" s="32">
        <v>7575</v>
      </c>
      <c r="C238" s="33">
        <v>7555</v>
      </c>
      <c r="D238" s="34">
        <v>295</v>
      </c>
      <c r="E238" s="35">
        <v>310</v>
      </c>
      <c r="F238" s="5">
        <v>0</v>
      </c>
      <c r="G238" s="6">
        <v>0</v>
      </c>
    </row>
    <row r="239" spans="1:7" x14ac:dyDescent="0.25">
      <c r="A239" s="1">
        <f t="shared" ca="1" si="3"/>
        <v>10090</v>
      </c>
      <c r="B239" s="32">
        <v>7570</v>
      </c>
      <c r="C239" s="33">
        <v>7550</v>
      </c>
      <c r="D239" s="34">
        <v>295</v>
      </c>
      <c r="E239" s="35">
        <v>310</v>
      </c>
      <c r="F239" s="5">
        <v>0</v>
      </c>
      <c r="G239" s="6">
        <v>0</v>
      </c>
    </row>
    <row r="240" spans="1:7" x14ac:dyDescent="0.25">
      <c r="A240" s="1">
        <f t="shared" ca="1" si="3"/>
        <v>10091</v>
      </c>
      <c r="B240" s="32">
        <v>7560</v>
      </c>
      <c r="C240" s="33">
        <v>7550</v>
      </c>
      <c r="D240" s="34">
        <v>295</v>
      </c>
      <c r="E240" s="35">
        <v>310</v>
      </c>
      <c r="F240" s="5">
        <v>0</v>
      </c>
      <c r="G240" s="6">
        <v>0</v>
      </c>
    </row>
    <row r="241" spans="1:7" x14ac:dyDescent="0.25">
      <c r="A241" s="1">
        <f t="shared" ca="1" si="3"/>
        <v>10092</v>
      </c>
      <c r="B241" s="32">
        <v>7575</v>
      </c>
      <c r="C241" s="33">
        <v>7550</v>
      </c>
      <c r="D241" s="34">
        <v>290</v>
      </c>
      <c r="E241" s="35">
        <v>305</v>
      </c>
      <c r="F241" s="5">
        <v>0</v>
      </c>
      <c r="G241" s="6">
        <v>0</v>
      </c>
    </row>
    <row r="242" spans="1:7" x14ac:dyDescent="0.25">
      <c r="A242" s="1">
        <f t="shared" ca="1" si="3"/>
        <v>10093</v>
      </c>
      <c r="B242" s="32">
        <v>7575</v>
      </c>
      <c r="C242" s="33">
        <v>7555</v>
      </c>
      <c r="D242" s="34">
        <v>285</v>
      </c>
      <c r="E242" s="35">
        <v>305</v>
      </c>
      <c r="F242" s="5">
        <v>0</v>
      </c>
      <c r="G242" s="6">
        <v>0</v>
      </c>
    </row>
    <row r="243" spans="1:7" x14ac:dyDescent="0.25">
      <c r="A243" s="1">
        <f t="shared" ca="1" si="3"/>
        <v>10094</v>
      </c>
      <c r="B243" s="32">
        <v>7565</v>
      </c>
      <c r="C243" s="33">
        <v>7545</v>
      </c>
      <c r="D243" s="34">
        <v>295</v>
      </c>
      <c r="E243" s="35">
        <v>310</v>
      </c>
      <c r="F243" s="5">
        <v>0</v>
      </c>
      <c r="G243" s="6">
        <v>0</v>
      </c>
    </row>
    <row r="244" spans="1:7" x14ac:dyDescent="0.25">
      <c r="A244" s="1">
        <f t="shared" ca="1" si="3"/>
        <v>10095</v>
      </c>
      <c r="B244" s="32">
        <v>7565</v>
      </c>
      <c r="C244" s="33">
        <v>7545</v>
      </c>
      <c r="D244" s="34">
        <v>295</v>
      </c>
      <c r="E244" s="35">
        <v>310</v>
      </c>
      <c r="F244" s="5">
        <v>0</v>
      </c>
      <c r="G244" s="6">
        <v>0</v>
      </c>
    </row>
    <row r="245" spans="1:7" x14ac:dyDescent="0.25">
      <c r="A245" s="1">
        <f t="shared" ca="1" si="3"/>
        <v>10096</v>
      </c>
      <c r="B245" s="32">
        <v>7570</v>
      </c>
      <c r="C245" s="33">
        <v>7545</v>
      </c>
      <c r="D245" s="34">
        <v>295</v>
      </c>
      <c r="E245" s="35">
        <v>310</v>
      </c>
      <c r="F245" s="5">
        <v>0</v>
      </c>
      <c r="G245" s="6">
        <v>0</v>
      </c>
    </row>
    <row r="246" spans="1:7" x14ac:dyDescent="0.25">
      <c r="A246" s="1">
        <f t="shared" ca="1" si="3"/>
        <v>10097</v>
      </c>
      <c r="B246" s="32">
        <v>7570</v>
      </c>
      <c r="C246" s="33">
        <v>7550</v>
      </c>
      <c r="D246" s="34">
        <v>295</v>
      </c>
      <c r="E246" s="35">
        <v>315</v>
      </c>
      <c r="F246" s="5">
        <v>0</v>
      </c>
      <c r="G246" s="6">
        <v>0</v>
      </c>
    </row>
    <row r="247" spans="1:7" x14ac:dyDescent="0.25">
      <c r="A247" s="1">
        <f t="shared" ca="1" si="3"/>
        <v>10098</v>
      </c>
      <c r="B247" s="32">
        <v>7565</v>
      </c>
      <c r="C247" s="33">
        <v>7540</v>
      </c>
      <c r="D247" s="34">
        <v>295</v>
      </c>
      <c r="E247" s="35">
        <v>315</v>
      </c>
      <c r="F247" s="5">
        <v>0</v>
      </c>
      <c r="G247" s="6">
        <v>0</v>
      </c>
    </row>
    <row r="248" spans="1:7" x14ac:dyDescent="0.25">
      <c r="A248" s="1">
        <f t="shared" ca="1" si="3"/>
        <v>10099</v>
      </c>
      <c r="B248" s="32">
        <v>7570</v>
      </c>
      <c r="C248" s="33">
        <v>7555</v>
      </c>
      <c r="D248" s="34">
        <v>290</v>
      </c>
      <c r="E248" s="35">
        <v>305</v>
      </c>
      <c r="F248" s="5">
        <v>0</v>
      </c>
      <c r="G248" s="6">
        <v>0</v>
      </c>
    </row>
    <row r="249" spans="1:7" x14ac:dyDescent="0.25">
      <c r="A249" s="1">
        <f t="shared" ca="1" si="3"/>
        <v>10100</v>
      </c>
      <c r="B249" s="32">
        <v>7575</v>
      </c>
      <c r="C249" s="33">
        <v>7550</v>
      </c>
      <c r="D249" s="34">
        <v>290</v>
      </c>
      <c r="E249" s="35">
        <v>305</v>
      </c>
      <c r="F249" s="5">
        <v>0</v>
      </c>
      <c r="G249" s="6">
        <v>0</v>
      </c>
    </row>
    <row r="250" spans="1:7" x14ac:dyDescent="0.25">
      <c r="A250" s="1">
        <f t="shared" ca="1" si="3"/>
        <v>10101</v>
      </c>
      <c r="B250" s="32">
        <v>7575</v>
      </c>
      <c r="C250" s="33">
        <v>7550</v>
      </c>
      <c r="D250" s="34">
        <v>290</v>
      </c>
      <c r="E250" s="35">
        <v>305</v>
      </c>
      <c r="F250" s="5">
        <v>0</v>
      </c>
      <c r="G250" s="6">
        <v>0</v>
      </c>
    </row>
    <row r="251" spans="1:7" x14ac:dyDescent="0.25">
      <c r="A251" s="1">
        <f t="shared" ca="1" si="3"/>
        <v>10102</v>
      </c>
      <c r="B251" s="32">
        <v>7570</v>
      </c>
      <c r="C251" s="33">
        <v>7550</v>
      </c>
      <c r="D251" s="34">
        <v>290</v>
      </c>
      <c r="E251" s="35">
        <v>305</v>
      </c>
      <c r="F251" s="5">
        <v>52</v>
      </c>
      <c r="G251" s="6">
        <v>12</v>
      </c>
    </row>
    <row r="252" spans="1:7" x14ac:dyDescent="0.25">
      <c r="A252" s="1">
        <f t="shared" ca="1" si="3"/>
        <v>10103</v>
      </c>
      <c r="B252" s="32">
        <v>7555</v>
      </c>
      <c r="C252" s="33">
        <v>7535</v>
      </c>
      <c r="D252" s="34">
        <v>295</v>
      </c>
      <c r="E252" s="35">
        <v>300</v>
      </c>
      <c r="F252" s="5">
        <v>0</v>
      </c>
      <c r="G252" s="6">
        <v>0</v>
      </c>
    </row>
    <row r="253" spans="1:7" x14ac:dyDescent="0.25">
      <c r="A253" s="1">
        <f t="shared" ca="1" si="3"/>
        <v>10104</v>
      </c>
      <c r="B253" s="32">
        <v>7555</v>
      </c>
      <c r="C253" s="33">
        <v>7535</v>
      </c>
      <c r="D253" s="34">
        <v>295</v>
      </c>
      <c r="E253" s="35">
        <v>310</v>
      </c>
      <c r="F253" s="5">
        <v>0</v>
      </c>
      <c r="G253" s="6">
        <v>0</v>
      </c>
    </row>
    <row r="254" spans="1:7" x14ac:dyDescent="0.25">
      <c r="A254" s="1">
        <f t="shared" ca="1" si="3"/>
        <v>10105</v>
      </c>
      <c r="B254" s="32">
        <v>7555</v>
      </c>
      <c r="C254" s="33">
        <v>7535</v>
      </c>
      <c r="D254" s="34">
        <v>295</v>
      </c>
      <c r="E254" s="35">
        <v>310</v>
      </c>
      <c r="F254" s="5">
        <v>0</v>
      </c>
      <c r="G254" s="6">
        <v>0</v>
      </c>
    </row>
    <row r="255" spans="1:7" x14ac:dyDescent="0.25">
      <c r="A255" s="1" t="str">
        <f t="shared" ca="1" si="3"/>
        <v>Totaal</v>
      </c>
      <c r="B255" s="20">
        <f>IF(COUNT(B224:B254)&gt;0,AVERAGE(B224:B254)/10,"")</f>
        <v>756.74193548387098</v>
      </c>
      <c r="C255" s="21">
        <f>IF(COUNT(C224:C254)&gt;0,AVERAGE(C224:C254)/10,"")</f>
        <v>754.67741935483878</v>
      </c>
      <c r="D255" s="22">
        <f>IF(COUNT(D224:D254)&gt;0,AVERAGE(D224:D254)/10,"")</f>
        <v>29.322580645161292</v>
      </c>
      <c r="E255" s="23">
        <f>IF(COUNT(E224:E254)&gt;0,AVERAGE(E224:E254)/10,"")</f>
        <v>30.822580645161292</v>
      </c>
      <c r="F255" s="24">
        <f>SUM(F224:F254)/10</f>
        <v>7.7</v>
      </c>
      <c r="G255" s="25">
        <f>SUM(G224:G254)/10</f>
        <v>1.2</v>
      </c>
    </row>
    <row r="256" spans="1:7" x14ac:dyDescent="0.25">
      <c r="A256" s="1">
        <f t="shared" ca="1" si="3"/>
        <v>10106</v>
      </c>
      <c r="B256" s="32">
        <v>7555</v>
      </c>
      <c r="C256" s="33">
        <v>7535</v>
      </c>
      <c r="D256" s="34">
        <v>300</v>
      </c>
      <c r="E256" s="35">
        <v>315</v>
      </c>
      <c r="F256" s="5">
        <v>0</v>
      </c>
      <c r="G256" s="6">
        <v>0</v>
      </c>
    </row>
    <row r="257" spans="1:7" x14ac:dyDescent="0.25">
      <c r="A257" s="1">
        <f t="shared" ca="1" si="3"/>
        <v>10107</v>
      </c>
      <c r="B257" s="32">
        <v>7550</v>
      </c>
      <c r="C257" s="33">
        <v>7535</v>
      </c>
      <c r="D257" s="34">
        <v>305</v>
      </c>
      <c r="E257" s="35">
        <v>315</v>
      </c>
      <c r="F257" s="5">
        <v>0</v>
      </c>
      <c r="G257" s="6">
        <v>0</v>
      </c>
    </row>
    <row r="258" spans="1:7" x14ac:dyDescent="0.25">
      <c r="A258" s="1">
        <f t="shared" ca="1" si="3"/>
        <v>10108</v>
      </c>
      <c r="B258" s="32">
        <v>7545</v>
      </c>
      <c r="C258" s="33">
        <v>7535</v>
      </c>
      <c r="D258" s="34">
        <v>305</v>
      </c>
      <c r="E258" s="35">
        <v>315</v>
      </c>
      <c r="F258" s="5">
        <v>0</v>
      </c>
      <c r="G258" s="6">
        <v>0</v>
      </c>
    </row>
    <row r="259" spans="1:7" x14ac:dyDescent="0.25">
      <c r="A259" s="1">
        <f t="shared" ca="1" si="3"/>
        <v>10109</v>
      </c>
      <c r="B259" s="32">
        <v>7545</v>
      </c>
      <c r="C259" s="33">
        <v>7535</v>
      </c>
      <c r="D259" s="34">
        <v>305</v>
      </c>
      <c r="E259" s="35">
        <v>315</v>
      </c>
      <c r="F259" s="5">
        <v>30</v>
      </c>
      <c r="G259" s="6">
        <v>40</v>
      </c>
    </row>
    <row r="260" spans="1:7" x14ac:dyDescent="0.25">
      <c r="A260" s="1">
        <f t="shared" ca="1" si="3"/>
        <v>10110</v>
      </c>
      <c r="B260" s="32">
        <v>7555</v>
      </c>
      <c r="C260" s="33">
        <v>7535</v>
      </c>
      <c r="D260" s="34">
        <v>300</v>
      </c>
      <c r="E260" s="35">
        <v>315</v>
      </c>
      <c r="F260" s="5">
        <v>0</v>
      </c>
      <c r="G260" s="6">
        <v>0</v>
      </c>
    </row>
    <row r="261" spans="1:7" x14ac:dyDescent="0.25">
      <c r="A261" s="1">
        <f t="shared" ca="1" si="3"/>
        <v>10111</v>
      </c>
      <c r="B261" s="32">
        <v>7550</v>
      </c>
      <c r="C261" s="33">
        <v>7535</v>
      </c>
      <c r="D261" s="34">
        <v>310</v>
      </c>
      <c r="E261" s="35">
        <v>320</v>
      </c>
      <c r="F261" s="5">
        <v>0</v>
      </c>
      <c r="G261" s="6">
        <v>0</v>
      </c>
    </row>
    <row r="262" spans="1:7" x14ac:dyDescent="0.25">
      <c r="A262" s="1">
        <f t="shared" ca="1" si="3"/>
        <v>10112</v>
      </c>
      <c r="B262" s="32">
        <v>7555</v>
      </c>
      <c r="C262" s="33">
        <v>7540</v>
      </c>
      <c r="D262" s="34">
        <v>300</v>
      </c>
      <c r="E262" s="35">
        <v>315</v>
      </c>
      <c r="F262" s="5">
        <v>0</v>
      </c>
      <c r="G262" s="6">
        <v>0</v>
      </c>
    </row>
    <row r="263" spans="1:7" x14ac:dyDescent="0.25">
      <c r="A263" s="1">
        <f t="shared" ref="A263:A326" ca="1" si="4">IF(ISTEXT(A262),A261+1,IF(MONTH(A262+1)=MONTH(A262),A262+1,"Totaal"))</f>
        <v>10113</v>
      </c>
      <c r="B263" s="32">
        <v>7560</v>
      </c>
      <c r="C263" s="33">
        <v>7550</v>
      </c>
      <c r="D263" s="34">
        <v>300</v>
      </c>
      <c r="E263" s="35">
        <v>310</v>
      </c>
      <c r="F263" s="5">
        <v>0</v>
      </c>
      <c r="G263" s="6">
        <v>0</v>
      </c>
    </row>
    <row r="264" spans="1:7" x14ac:dyDescent="0.25">
      <c r="A264" s="1">
        <f t="shared" ca="1" si="4"/>
        <v>10114</v>
      </c>
      <c r="B264" s="32">
        <v>7565</v>
      </c>
      <c r="C264" s="33">
        <v>7545</v>
      </c>
      <c r="D264" s="34">
        <v>295</v>
      </c>
      <c r="E264" s="35">
        <v>315</v>
      </c>
      <c r="F264" s="5">
        <v>0</v>
      </c>
      <c r="G264" s="6">
        <v>0</v>
      </c>
    </row>
    <row r="265" spans="1:7" x14ac:dyDescent="0.25">
      <c r="A265" s="1">
        <f t="shared" ca="1" si="4"/>
        <v>10115</v>
      </c>
      <c r="B265" s="32">
        <v>7565</v>
      </c>
      <c r="C265" s="33">
        <v>7540</v>
      </c>
      <c r="D265" s="34">
        <v>295</v>
      </c>
      <c r="E265" s="35">
        <v>315</v>
      </c>
      <c r="F265" s="5">
        <v>0</v>
      </c>
      <c r="G265" s="6">
        <v>0</v>
      </c>
    </row>
    <row r="266" spans="1:7" x14ac:dyDescent="0.25">
      <c r="A266" s="1">
        <f t="shared" ca="1" si="4"/>
        <v>10116</v>
      </c>
      <c r="B266" s="32">
        <v>7565</v>
      </c>
      <c r="C266" s="33">
        <v>7540</v>
      </c>
      <c r="D266" s="34">
        <v>295</v>
      </c>
      <c r="E266" s="35">
        <v>315</v>
      </c>
      <c r="F266" s="5">
        <v>0</v>
      </c>
      <c r="G266" s="6">
        <v>0</v>
      </c>
    </row>
    <row r="267" spans="1:7" x14ac:dyDescent="0.25">
      <c r="A267" s="1">
        <f t="shared" ca="1" si="4"/>
        <v>10117</v>
      </c>
      <c r="B267" s="32">
        <v>7565</v>
      </c>
      <c r="C267" s="33">
        <v>7540</v>
      </c>
      <c r="D267" s="34">
        <v>295</v>
      </c>
      <c r="E267" s="35">
        <v>315</v>
      </c>
      <c r="F267" s="5">
        <v>0</v>
      </c>
      <c r="G267" s="6">
        <v>0</v>
      </c>
    </row>
    <row r="268" spans="1:7" x14ac:dyDescent="0.25">
      <c r="A268" s="1">
        <f t="shared" ca="1" si="4"/>
        <v>10118</v>
      </c>
      <c r="B268" s="32">
        <v>7565</v>
      </c>
      <c r="C268" s="33">
        <v>7540</v>
      </c>
      <c r="D268" s="34">
        <v>295</v>
      </c>
      <c r="E268" s="35">
        <v>315</v>
      </c>
      <c r="F268" s="5">
        <v>0</v>
      </c>
      <c r="G268" s="6">
        <v>0</v>
      </c>
    </row>
    <row r="269" spans="1:7" x14ac:dyDescent="0.25">
      <c r="A269" s="1">
        <f t="shared" ca="1" si="4"/>
        <v>10119</v>
      </c>
      <c r="B269" s="32">
        <v>7555</v>
      </c>
      <c r="C269" s="33">
        <v>7550</v>
      </c>
      <c r="D269" s="34">
        <v>300</v>
      </c>
      <c r="E269" s="35">
        <v>315</v>
      </c>
      <c r="F269" s="5">
        <v>43</v>
      </c>
      <c r="G269" s="6">
        <v>0</v>
      </c>
    </row>
    <row r="270" spans="1:7" x14ac:dyDescent="0.25">
      <c r="A270" s="1">
        <f t="shared" ca="1" si="4"/>
        <v>10120</v>
      </c>
      <c r="B270" s="32">
        <v>7550</v>
      </c>
      <c r="C270" s="33">
        <v>7540</v>
      </c>
      <c r="D270" s="34">
        <v>300</v>
      </c>
      <c r="E270" s="35">
        <v>315</v>
      </c>
      <c r="F270" s="5">
        <v>0</v>
      </c>
      <c r="G270" s="6">
        <v>0</v>
      </c>
    </row>
    <row r="271" spans="1:7" x14ac:dyDescent="0.25">
      <c r="A271" s="1">
        <f t="shared" ca="1" si="4"/>
        <v>10121</v>
      </c>
      <c r="B271" s="32">
        <v>7555</v>
      </c>
      <c r="C271" s="33">
        <v>7530</v>
      </c>
      <c r="D271" s="34">
        <v>305</v>
      </c>
      <c r="E271" s="35">
        <v>315</v>
      </c>
      <c r="F271" s="5">
        <v>0</v>
      </c>
      <c r="G271" s="6">
        <v>0</v>
      </c>
    </row>
    <row r="272" spans="1:7" x14ac:dyDescent="0.25">
      <c r="A272" s="1">
        <f t="shared" ca="1" si="4"/>
        <v>10122</v>
      </c>
      <c r="B272" s="32">
        <v>7555</v>
      </c>
      <c r="C272" s="33">
        <v>7530</v>
      </c>
      <c r="D272" s="34">
        <v>305</v>
      </c>
      <c r="E272" s="35">
        <v>315</v>
      </c>
      <c r="F272" s="5">
        <v>0</v>
      </c>
      <c r="G272" s="6">
        <v>0</v>
      </c>
    </row>
    <row r="273" spans="1:7" x14ac:dyDescent="0.25">
      <c r="A273" s="1">
        <f t="shared" ca="1" si="4"/>
        <v>10123</v>
      </c>
      <c r="B273" s="32">
        <v>7555</v>
      </c>
      <c r="C273" s="33">
        <v>7530</v>
      </c>
      <c r="D273" s="34">
        <v>305</v>
      </c>
      <c r="E273" s="35">
        <v>315</v>
      </c>
      <c r="F273" s="5">
        <v>0</v>
      </c>
      <c r="G273" s="6">
        <v>21</v>
      </c>
    </row>
    <row r="274" spans="1:7" x14ac:dyDescent="0.25">
      <c r="A274" s="1">
        <f t="shared" ca="1" si="4"/>
        <v>10124</v>
      </c>
      <c r="B274" s="32">
        <v>7555</v>
      </c>
      <c r="C274" s="33">
        <v>7535</v>
      </c>
      <c r="D274" s="34">
        <v>300</v>
      </c>
      <c r="E274" s="35">
        <v>315</v>
      </c>
      <c r="F274" s="5">
        <v>0</v>
      </c>
      <c r="G274" s="6">
        <v>2</v>
      </c>
    </row>
    <row r="275" spans="1:7" x14ac:dyDescent="0.25">
      <c r="A275" s="1">
        <f t="shared" ca="1" si="4"/>
        <v>10125</v>
      </c>
      <c r="B275" s="32">
        <v>7560</v>
      </c>
      <c r="C275" s="33">
        <v>7550</v>
      </c>
      <c r="D275" s="34">
        <v>300</v>
      </c>
      <c r="E275" s="35">
        <v>315</v>
      </c>
      <c r="F275" s="5">
        <v>85</v>
      </c>
      <c r="G275" s="6">
        <v>0</v>
      </c>
    </row>
    <row r="276" spans="1:7" x14ac:dyDescent="0.25">
      <c r="A276" s="1">
        <f t="shared" ca="1" si="4"/>
        <v>10126</v>
      </c>
      <c r="B276" s="32">
        <v>7555</v>
      </c>
      <c r="C276" s="33">
        <v>7540</v>
      </c>
      <c r="D276" s="34">
        <v>305</v>
      </c>
      <c r="E276" s="35">
        <v>310</v>
      </c>
      <c r="F276" s="5">
        <v>0</v>
      </c>
      <c r="G276" s="6">
        <v>0</v>
      </c>
    </row>
    <row r="277" spans="1:7" x14ac:dyDescent="0.25">
      <c r="A277" s="1">
        <f t="shared" ca="1" si="4"/>
        <v>10127</v>
      </c>
      <c r="B277" s="32">
        <v>7560</v>
      </c>
      <c r="C277" s="33">
        <v>7535</v>
      </c>
      <c r="D277" s="34">
        <v>300</v>
      </c>
      <c r="E277" s="35">
        <v>315</v>
      </c>
      <c r="F277" s="5">
        <v>0</v>
      </c>
      <c r="G277" s="6">
        <v>170</v>
      </c>
    </row>
    <row r="278" spans="1:7" x14ac:dyDescent="0.25">
      <c r="A278" s="1">
        <f t="shared" ca="1" si="4"/>
        <v>10128</v>
      </c>
      <c r="B278" s="32">
        <v>7555</v>
      </c>
      <c r="C278" s="33">
        <v>7535</v>
      </c>
      <c r="D278" s="34">
        <v>295</v>
      </c>
      <c r="E278" s="35">
        <v>315</v>
      </c>
      <c r="F278" s="5">
        <v>0</v>
      </c>
      <c r="G278" s="6">
        <v>0</v>
      </c>
    </row>
    <row r="279" spans="1:7" x14ac:dyDescent="0.25">
      <c r="A279" s="1">
        <f t="shared" ca="1" si="4"/>
        <v>10129</v>
      </c>
      <c r="B279" s="32">
        <v>7555</v>
      </c>
      <c r="C279" s="33">
        <v>7525</v>
      </c>
      <c r="D279" s="34">
        <v>300</v>
      </c>
      <c r="E279" s="35">
        <v>320</v>
      </c>
      <c r="F279" s="5">
        <v>0</v>
      </c>
      <c r="G279" s="6">
        <v>0</v>
      </c>
    </row>
    <row r="280" spans="1:7" x14ac:dyDescent="0.25">
      <c r="A280" s="1">
        <f t="shared" ca="1" si="4"/>
        <v>10130</v>
      </c>
      <c r="B280" s="32">
        <v>7560</v>
      </c>
      <c r="C280" s="33">
        <v>7540</v>
      </c>
      <c r="D280" s="34">
        <v>310</v>
      </c>
      <c r="E280" s="35">
        <v>315</v>
      </c>
      <c r="F280" s="5">
        <v>0</v>
      </c>
      <c r="G280" s="6">
        <v>0</v>
      </c>
    </row>
    <row r="281" spans="1:7" x14ac:dyDescent="0.25">
      <c r="A281" s="1">
        <f t="shared" ca="1" si="4"/>
        <v>10131</v>
      </c>
      <c r="B281" s="32">
        <v>7560</v>
      </c>
      <c r="C281" s="33">
        <v>7540</v>
      </c>
      <c r="D281" s="34">
        <v>310</v>
      </c>
      <c r="E281" s="35">
        <v>310</v>
      </c>
      <c r="F281" s="5">
        <v>56</v>
      </c>
      <c r="G281" s="6">
        <v>225</v>
      </c>
    </row>
    <row r="282" spans="1:7" x14ac:dyDescent="0.25">
      <c r="A282" s="1">
        <f t="shared" ca="1" si="4"/>
        <v>10132</v>
      </c>
      <c r="B282" s="32">
        <v>7560</v>
      </c>
      <c r="C282" s="33">
        <v>7545</v>
      </c>
      <c r="D282" s="34">
        <v>300</v>
      </c>
      <c r="E282" s="35">
        <v>310</v>
      </c>
      <c r="F282" s="5">
        <v>16</v>
      </c>
      <c r="G282" s="6">
        <v>0</v>
      </c>
    </row>
    <row r="283" spans="1:7" x14ac:dyDescent="0.25">
      <c r="A283" s="1">
        <f t="shared" ca="1" si="4"/>
        <v>10133</v>
      </c>
      <c r="B283" s="32">
        <v>7555</v>
      </c>
      <c r="C283" s="33">
        <v>7530</v>
      </c>
      <c r="D283" s="34">
        <v>300</v>
      </c>
      <c r="E283" s="35">
        <v>320</v>
      </c>
      <c r="F283" s="5">
        <v>34</v>
      </c>
      <c r="G283" s="6">
        <v>0</v>
      </c>
    </row>
    <row r="284" spans="1:7" x14ac:dyDescent="0.25">
      <c r="A284" s="1">
        <f t="shared" ca="1" si="4"/>
        <v>10134</v>
      </c>
      <c r="B284" s="32">
        <v>7545</v>
      </c>
      <c r="C284" s="33">
        <v>7530</v>
      </c>
      <c r="D284" s="34">
        <v>315</v>
      </c>
      <c r="E284" s="35">
        <v>320</v>
      </c>
      <c r="F284" s="5">
        <v>0</v>
      </c>
      <c r="G284" s="6">
        <v>0</v>
      </c>
    </row>
    <row r="285" spans="1:7" x14ac:dyDescent="0.25">
      <c r="A285" s="1">
        <f t="shared" ca="1" si="4"/>
        <v>10135</v>
      </c>
      <c r="B285" s="32">
        <v>7545</v>
      </c>
      <c r="C285" s="33">
        <v>7530</v>
      </c>
      <c r="D285" s="34">
        <v>315</v>
      </c>
      <c r="E285" s="35">
        <v>320</v>
      </c>
      <c r="F285" s="5">
        <v>0</v>
      </c>
      <c r="G285" s="6">
        <v>0</v>
      </c>
    </row>
    <row r="286" spans="1:7" x14ac:dyDescent="0.25">
      <c r="A286" s="1" t="str">
        <f t="shared" ca="1" si="4"/>
        <v>Totaal</v>
      </c>
      <c r="B286" s="20">
        <f>IF(COUNT(B256:B285)&gt;0,AVERAGE(B256:B285)/10,"")</f>
        <v>755.58333333333326</v>
      </c>
      <c r="C286" s="21">
        <f>IF(COUNT(C256:C285)&gt;0,AVERAGE(C256:C285)/10,"")</f>
        <v>753.73333333333335</v>
      </c>
      <c r="D286" s="22">
        <f>IF(COUNT(D256:D285)&gt;0,AVERAGE(D256:D285)/10,"")</f>
        <v>30.216666666666669</v>
      </c>
      <c r="E286" s="23">
        <f>IF(COUNT(E256:E285)&gt;0,AVERAGE(E256:E285)/10,"")</f>
        <v>31.516666666666669</v>
      </c>
      <c r="F286" s="24">
        <f>SUM(F256:F285)/10</f>
        <v>26.4</v>
      </c>
      <c r="G286" s="25">
        <f>SUM(G256:G285)/10</f>
        <v>45.8</v>
      </c>
    </row>
    <row r="287" spans="1:7" x14ac:dyDescent="0.25">
      <c r="A287" s="1">
        <f t="shared" ca="1" si="4"/>
        <v>10136</v>
      </c>
      <c r="B287" s="32">
        <v>7555</v>
      </c>
      <c r="C287" s="33">
        <v>7540</v>
      </c>
      <c r="D287" s="34">
        <v>310</v>
      </c>
      <c r="E287" s="35">
        <v>320</v>
      </c>
      <c r="F287" s="5">
        <v>0</v>
      </c>
      <c r="G287" s="6">
        <v>0</v>
      </c>
    </row>
    <row r="288" spans="1:7" x14ac:dyDescent="0.25">
      <c r="A288" s="1">
        <f t="shared" ca="1" si="4"/>
        <v>10137</v>
      </c>
      <c r="B288" s="32">
        <v>7555</v>
      </c>
      <c r="C288" s="33">
        <v>7540</v>
      </c>
      <c r="D288" s="34">
        <v>310</v>
      </c>
      <c r="E288" s="35">
        <v>320</v>
      </c>
      <c r="F288" s="5">
        <v>0</v>
      </c>
      <c r="G288" s="6">
        <v>0</v>
      </c>
    </row>
    <row r="289" spans="1:7" x14ac:dyDescent="0.25">
      <c r="A289" s="1">
        <f t="shared" ca="1" si="4"/>
        <v>10138</v>
      </c>
      <c r="B289" s="32">
        <v>7560</v>
      </c>
      <c r="C289" s="33">
        <v>7545</v>
      </c>
      <c r="D289" s="34">
        <v>305</v>
      </c>
      <c r="E289" s="35">
        <v>320</v>
      </c>
      <c r="F289" s="5">
        <v>8</v>
      </c>
      <c r="G289" s="6">
        <v>10</v>
      </c>
    </row>
    <row r="290" spans="1:7" x14ac:dyDescent="0.25">
      <c r="A290" s="1">
        <f t="shared" ca="1" si="4"/>
        <v>10139</v>
      </c>
      <c r="B290" s="32">
        <v>7560</v>
      </c>
      <c r="C290" s="33">
        <v>7535</v>
      </c>
      <c r="D290" s="34">
        <v>305</v>
      </c>
      <c r="E290" s="35">
        <v>320</v>
      </c>
      <c r="F290" s="5">
        <v>0</v>
      </c>
      <c r="G290" s="6">
        <v>0</v>
      </c>
    </row>
    <row r="291" spans="1:7" x14ac:dyDescent="0.25">
      <c r="A291" s="1">
        <f t="shared" ca="1" si="4"/>
        <v>10140</v>
      </c>
      <c r="B291" s="32">
        <v>7560</v>
      </c>
      <c r="C291" s="33">
        <v>7530</v>
      </c>
      <c r="D291" s="34">
        <v>310</v>
      </c>
      <c r="E291" s="35">
        <v>320</v>
      </c>
      <c r="F291" s="5">
        <v>0</v>
      </c>
      <c r="G291" s="6">
        <v>0</v>
      </c>
    </row>
    <row r="292" spans="1:7" x14ac:dyDescent="0.25">
      <c r="A292" s="1">
        <f t="shared" ca="1" si="4"/>
        <v>10141</v>
      </c>
      <c r="B292" s="32">
        <v>7555</v>
      </c>
      <c r="C292" s="33">
        <v>7540</v>
      </c>
      <c r="D292" s="34">
        <v>310</v>
      </c>
      <c r="E292" s="35">
        <v>320</v>
      </c>
      <c r="F292" s="5">
        <v>0</v>
      </c>
      <c r="G292" s="6">
        <v>0</v>
      </c>
    </row>
    <row r="293" spans="1:7" x14ac:dyDescent="0.25">
      <c r="A293" s="1">
        <f t="shared" ca="1" si="4"/>
        <v>10142</v>
      </c>
      <c r="B293" s="32">
        <v>7560</v>
      </c>
      <c r="C293" s="33">
        <v>7550</v>
      </c>
      <c r="D293" s="34">
        <v>310</v>
      </c>
      <c r="E293" s="35">
        <v>320</v>
      </c>
      <c r="F293" s="5">
        <v>0</v>
      </c>
      <c r="G293" s="6">
        <v>0</v>
      </c>
    </row>
    <row r="294" spans="1:7" x14ac:dyDescent="0.25">
      <c r="A294" s="1">
        <f t="shared" ca="1" si="4"/>
        <v>10143</v>
      </c>
      <c r="B294" s="32">
        <v>7545</v>
      </c>
      <c r="C294" s="33">
        <v>7520</v>
      </c>
      <c r="D294" s="34">
        <v>310</v>
      </c>
      <c r="E294" s="35">
        <v>320</v>
      </c>
      <c r="F294" s="5">
        <v>0</v>
      </c>
      <c r="G294" s="6">
        <v>0</v>
      </c>
    </row>
    <row r="295" spans="1:7" x14ac:dyDescent="0.25">
      <c r="A295" s="1">
        <f t="shared" ca="1" si="4"/>
        <v>10144</v>
      </c>
      <c r="B295" s="32">
        <v>7545</v>
      </c>
      <c r="C295" s="33">
        <v>7520</v>
      </c>
      <c r="D295" s="34">
        <v>310</v>
      </c>
      <c r="E295" s="35">
        <v>320</v>
      </c>
      <c r="F295" s="5">
        <v>0</v>
      </c>
      <c r="G295" s="6">
        <v>0</v>
      </c>
    </row>
    <row r="296" spans="1:7" x14ac:dyDescent="0.25">
      <c r="A296" s="1">
        <f t="shared" ca="1" si="4"/>
        <v>10145</v>
      </c>
      <c r="B296" s="32">
        <v>7555</v>
      </c>
      <c r="C296" s="33">
        <v>7525</v>
      </c>
      <c r="D296" s="34">
        <v>310</v>
      </c>
      <c r="E296" s="35">
        <v>320</v>
      </c>
      <c r="F296" s="5">
        <v>10</v>
      </c>
      <c r="G296" s="6">
        <v>0</v>
      </c>
    </row>
    <row r="297" spans="1:7" x14ac:dyDescent="0.25">
      <c r="A297" s="1">
        <f t="shared" ca="1" si="4"/>
        <v>10146</v>
      </c>
      <c r="B297" s="32">
        <v>7555</v>
      </c>
      <c r="C297" s="33">
        <v>7530</v>
      </c>
      <c r="D297" s="34">
        <v>310</v>
      </c>
      <c r="E297" s="35">
        <v>320</v>
      </c>
      <c r="F297" s="5">
        <v>0</v>
      </c>
      <c r="G297" s="6">
        <v>0</v>
      </c>
    </row>
    <row r="298" spans="1:7" x14ac:dyDescent="0.25">
      <c r="A298" s="1">
        <f t="shared" ca="1" si="4"/>
        <v>10147</v>
      </c>
      <c r="B298" s="32">
        <v>7555</v>
      </c>
      <c r="C298" s="33">
        <v>7525</v>
      </c>
      <c r="D298" s="34">
        <v>310</v>
      </c>
      <c r="E298" s="35">
        <v>320</v>
      </c>
      <c r="F298" s="5">
        <v>0</v>
      </c>
      <c r="G298" s="6">
        <v>0</v>
      </c>
    </row>
    <row r="299" spans="1:7" x14ac:dyDescent="0.25">
      <c r="A299" s="1">
        <f t="shared" ca="1" si="4"/>
        <v>10148</v>
      </c>
      <c r="B299" s="32">
        <v>7555</v>
      </c>
      <c r="C299" s="33">
        <v>7530</v>
      </c>
      <c r="D299" s="34">
        <v>310</v>
      </c>
      <c r="E299" s="35">
        <v>320</v>
      </c>
      <c r="F299" s="5">
        <v>0</v>
      </c>
      <c r="G299" s="6">
        <v>0</v>
      </c>
    </row>
    <row r="300" spans="1:7" x14ac:dyDescent="0.25">
      <c r="A300" s="1">
        <f t="shared" ca="1" si="4"/>
        <v>10149</v>
      </c>
      <c r="B300" s="32">
        <v>7555</v>
      </c>
      <c r="C300" s="33">
        <v>7530</v>
      </c>
      <c r="D300" s="34">
        <v>310</v>
      </c>
      <c r="E300" s="35">
        <v>320</v>
      </c>
      <c r="F300" s="5">
        <v>0</v>
      </c>
      <c r="G300" s="6">
        <v>107</v>
      </c>
    </row>
    <row r="301" spans="1:7" x14ac:dyDescent="0.25">
      <c r="A301" s="1">
        <f t="shared" ca="1" si="4"/>
        <v>10150</v>
      </c>
      <c r="B301" s="32">
        <v>7555</v>
      </c>
      <c r="C301" s="33">
        <v>7525</v>
      </c>
      <c r="D301" s="34">
        <v>310</v>
      </c>
      <c r="E301" s="35">
        <v>320</v>
      </c>
      <c r="F301" s="5">
        <v>0</v>
      </c>
      <c r="G301" s="6">
        <v>87</v>
      </c>
    </row>
    <row r="302" spans="1:7" x14ac:dyDescent="0.25">
      <c r="A302" s="1">
        <f t="shared" ca="1" si="4"/>
        <v>10151</v>
      </c>
      <c r="B302" s="32">
        <v>7540</v>
      </c>
      <c r="C302" s="33">
        <v>7510</v>
      </c>
      <c r="D302" s="34">
        <v>310</v>
      </c>
      <c r="E302" s="35">
        <v>320</v>
      </c>
      <c r="F302" s="5">
        <v>543</v>
      </c>
      <c r="G302" s="6">
        <v>19</v>
      </c>
    </row>
    <row r="303" spans="1:7" x14ac:dyDescent="0.25">
      <c r="A303" s="1">
        <f t="shared" ca="1" si="4"/>
        <v>10152</v>
      </c>
      <c r="B303" s="32">
        <v>7545</v>
      </c>
      <c r="C303" s="33">
        <v>7525</v>
      </c>
      <c r="D303" s="34">
        <v>305</v>
      </c>
      <c r="E303" s="35">
        <v>305</v>
      </c>
      <c r="F303" s="5">
        <v>10</v>
      </c>
      <c r="G303" s="6">
        <v>360</v>
      </c>
    </row>
    <row r="304" spans="1:7" x14ac:dyDescent="0.25">
      <c r="A304" s="1">
        <f t="shared" ca="1" si="4"/>
        <v>10153</v>
      </c>
      <c r="B304" s="32">
        <v>7555</v>
      </c>
      <c r="C304" s="33">
        <v>7535</v>
      </c>
      <c r="D304" s="34">
        <v>305</v>
      </c>
      <c r="E304" s="35">
        <v>310</v>
      </c>
      <c r="F304" s="5">
        <v>0</v>
      </c>
      <c r="G304" s="6">
        <v>0</v>
      </c>
    </row>
    <row r="305" spans="1:7" x14ac:dyDescent="0.25">
      <c r="A305" s="1">
        <f t="shared" ca="1" si="4"/>
        <v>10154</v>
      </c>
      <c r="B305" s="32">
        <v>7560</v>
      </c>
      <c r="C305" s="33">
        <v>7535</v>
      </c>
      <c r="D305" s="34">
        <v>305</v>
      </c>
      <c r="E305" s="35">
        <v>315</v>
      </c>
      <c r="F305" s="5">
        <v>330</v>
      </c>
      <c r="G305" s="6">
        <v>340</v>
      </c>
    </row>
    <row r="306" spans="1:7" x14ac:dyDescent="0.25">
      <c r="A306" s="1">
        <f t="shared" ca="1" si="4"/>
        <v>10155</v>
      </c>
      <c r="B306" s="32">
        <v>7560</v>
      </c>
      <c r="C306" s="33">
        <v>7540</v>
      </c>
      <c r="D306" s="34">
        <v>300</v>
      </c>
      <c r="E306" s="35">
        <v>315</v>
      </c>
      <c r="F306" s="5">
        <v>0</v>
      </c>
      <c r="G306" s="6">
        <v>43</v>
      </c>
    </row>
    <row r="307" spans="1:7" x14ac:dyDescent="0.25">
      <c r="A307" s="1">
        <f t="shared" ca="1" si="4"/>
        <v>10156</v>
      </c>
      <c r="B307" s="32">
        <v>7570</v>
      </c>
      <c r="C307" s="33">
        <v>7550</v>
      </c>
      <c r="D307" s="34">
        <v>295</v>
      </c>
      <c r="E307" s="35">
        <v>310</v>
      </c>
      <c r="F307" s="5">
        <v>0</v>
      </c>
      <c r="G307" s="6">
        <v>0</v>
      </c>
    </row>
    <row r="308" spans="1:7" x14ac:dyDescent="0.25">
      <c r="A308" s="1">
        <f t="shared" ca="1" si="4"/>
        <v>10157</v>
      </c>
      <c r="B308" s="32">
        <v>7575</v>
      </c>
      <c r="C308" s="33">
        <v>7550</v>
      </c>
      <c r="D308" s="34">
        <v>285</v>
      </c>
      <c r="E308" s="35">
        <v>305</v>
      </c>
      <c r="F308" s="5">
        <v>0</v>
      </c>
      <c r="G308" s="6">
        <v>0</v>
      </c>
    </row>
    <row r="309" spans="1:7" x14ac:dyDescent="0.25">
      <c r="A309" s="1">
        <f t="shared" ca="1" si="4"/>
        <v>10158</v>
      </c>
      <c r="B309" s="32">
        <v>7565</v>
      </c>
      <c r="C309" s="33">
        <v>7550</v>
      </c>
      <c r="D309" s="34">
        <v>300</v>
      </c>
      <c r="E309" s="35">
        <v>310</v>
      </c>
      <c r="F309" s="5">
        <v>381</v>
      </c>
      <c r="G309" s="6">
        <v>269</v>
      </c>
    </row>
    <row r="310" spans="1:7" x14ac:dyDescent="0.25">
      <c r="A310" s="1">
        <f t="shared" ca="1" si="4"/>
        <v>10159</v>
      </c>
      <c r="B310" s="32">
        <v>7565</v>
      </c>
      <c r="C310" s="33">
        <v>7540</v>
      </c>
      <c r="D310" s="34">
        <v>300</v>
      </c>
      <c r="E310" s="35">
        <v>315</v>
      </c>
      <c r="F310" s="5">
        <v>0</v>
      </c>
      <c r="G310" s="6">
        <v>0</v>
      </c>
    </row>
    <row r="311" spans="1:7" x14ac:dyDescent="0.25">
      <c r="A311" s="1">
        <f t="shared" ca="1" si="4"/>
        <v>10160</v>
      </c>
      <c r="B311" s="32">
        <v>7550</v>
      </c>
      <c r="C311" s="33">
        <v>7530</v>
      </c>
      <c r="D311" s="34">
        <v>305</v>
      </c>
      <c r="E311" s="35">
        <v>315</v>
      </c>
      <c r="F311" s="5">
        <v>0</v>
      </c>
      <c r="G311" s="6">
        <v>0</v>
      </c>
    </row>
    <row r="312" spans="1:7" x14ac:dyDescent="0.25">
      <c r="A312" s="1">
        <f t="shared" ca="1" si="4"/>
        <v>10161</v>
      </c>
      <c r="B312" s="32">
        <v>7555</v>
      </c>
      <c r="C312" s="33">
        <v>7530</v>
      </c>
      <c r="D312" s="34">
        <v>305</v>
      </c>
      <c r="E312" s="35">
        <v>315</v>
      </c>
      <c r="F312" s="5">
        <v>0</v>
      </c>
      <c r="G312" s="6">
        <v>0</v>
      </c>
    </row>
    <row r="313" spans="1:7" x14ac:dyDescent="0.25">
      <c r="A313" s="1">
        <f t="shared" ca="1" si="4"/>
        <v>10162</v>
      </c>
      <c r="B313" s="32">
        <v>7560</v>
      </c>
      <c r="C313" s="33">
        <v>7540</v>
      </c>
      <c r="D313" s="34">
        <v>300</v>
      </c>
      <c r="E313" s="35">
        <v>315</v>
      </c>
      <c r="F313" s="5">
        <v>0</v>
      </c>
      <c r="G313" s="6">
        <v>0</v>
      </c>
    </row>
    <row r="314" spans="1:7" x14ac:dyDescent="0.25">
      <c r="A314" s="1">
        <f t="shared" ca="1" si="4"/>
        <v>10163</v>
      </c>
      <c r="B314" s="32">
        <v>7560</v>
      </c>
      <c r="C314" s="33">
        <v>7540</v>
      </c>
      <c r="D314" s="34">
        <v>300</v>
      </c>
      <c r="E314" s="35">
        <v>315</v>
      </c>
      <c r="F314" s="5">
        <v>0</v>
      </c>
      <c r="G314" s="6">
        <v>0</v>
      </c>
    </row>
    <row r="315" spans="1:7" x14ac:dyDescent="0.25">
      <c r="A315" s="1">
        <f t="shared" ca="1" si="4"/>
        <v>10164</v>
      </c>
      <c r="B315" s="32">
        <v>7555</v>
      </c>
      <c r="C315" s="33">
        <v>7535</v>
      </c>
      <c r="D315" s="34">
        <v>300</v>
      </c>
      <c r="E315" s="35">
        <v>315</v>
      </c>
      <c r="F315" s="5">
        <v>0</v>
      </c>
      <c r="G315" s="6">
        <v>0</v>
      </c>
    </row>
    <row r="316" spans="1:7" x14ac:dyDescent="0.25">
      <c r="A316" s="1">
        <f t="shared" ca="1" si="4"/>
        <v>10165</v>
      </c>
      <c r="B316" s="32">
        <v>7560</v>
      </c>
      <c r="C316" s="33">
        <v>7540</v>
      </c>
      <c r="D316" s="34">
        <v>300</v>
      </c>
      <c r="E316" s="35">
        <v>315</v>
      </c>
      <c r="F316" s="5">
        <v>0</v>
      </c>
      <c r="G316" s="6">
        <v>22</v>
      </c>
    </row>
    <row r="317" spans="1:7" x14ac:dyDescent="0.25">
      <c r="A317" s="1">
        <f t="shared" ca="1" si="4"/>
        <v>10166</v>
      </c>
      <c r="B317" s="32">
        <v>7560</v>
      </c>
      <c r="C317" s="33">
        <v>7540</v>
      </c>
      <c r="D317" s="34">
        <v>300</v>
      </c>
      <c r="E317" s="35">
        <v>315</v>
      </c>
      <c r="F317" s="5">
        <v>50</v>
      </c>
      <c r="G317" s="6">
        <v>68</v>
      </c>
    </row>
    <row r="318" spans="1:7" x14ac:dyDescent="0.25">
      <c r="A318" s="1" t="str">
        <f t="shared" ca="1" si="4"/>
        <v>Totaal</v>
      </c>
      <c r="B318" s="20">
        <f>IF(COUNT(B287:B317)&gt;0,AVERAGE(B287:B317)/10,"")</f>
        <v>755.67741935483878</v>
      </c>
      <c r="C318" s="21">
        <f>IF(COUNT(C287:C317)&gt;0,AVERAGE(C287:C317)/10,"")</f>
        <v>753.4677419354839</v>
      </c>
      <c r="D318" s="22">
        <f>IF(COUNT(D287:D317)&gt;0,AVERAGE(D287:D317)/10,"")</f>
        <v>30.5</v>
      </c>
      <c r="E318" s="23">
        <f>IF(COUNT(E287:E317)&gt;0,AVERAGE(E287:E317)/10,"")</f>
        <v>31.64516129032258</v>
      </c>
      <c r="F318" s="24">
        <f>SUM(F287:F317)/10</f>
        <v>133.19999999999999</v>
      </c>
      <c r="G318" s="25">
        <f>SUM(G287:G317)/10</f>
        <v>132.5</v>
      </c>
    </row>
    <row r="319" spans="1:7" x14ac:dyDescent="0.25">
      <c r="A319" s="1">
        <f t="shared" ca="1" si="4"/>
        <v>10167</v>
      </c>
      <c r="B319" s="32">
        <v>7570</v>
      </c>
      <c r="C319" s="33">
        <v>7545</v>
      </c>
      <c r="D319" s="34">
        <v>295</v>
      </c>
      <c r="E319" s="35">
        <v>305</v>
      </c>
      <c r="F319" s="5">
        <v>10</v>
      </c>
      <c r="G319" s="6">
        <v>0</v>
      </c>
    </row>
    <row r="320" spans="1:7" x14ac:dyDescent="0.25">
      <c r="A320" s="1">
        <f t="shared" ca="1" si="4"/>
        <v>10168</v>
      </c>
      <c r="B320" s="32">
        <v>7565</v>
      </c>
      <c r="C320" s="33">
        <v>7540</v>
      </c>
      <c r="D320" s="34">
        <v>295</v>
      </c>
      <c r="E320" s="35">
        <v>310</v>
      </c>
      <c r="F320" s="5">
        <v>0</v>
      </c>
      <c r="G320" s="6">
        <v>0</v>
      </c>
    </row>
    <row r="321" spans="1:7" x14ac:dyDescent="0.25">
      <c r="A321" s="1">
        <f t="shared" ca="1" si="4"/>
        <v>10169</v>
      </c>
      <c r="B321" s="32">
        <v>7555</v>
      </c>
      <c r="C321" s="33">
        <v>7525</v>
      </c>
      <c r="D321" s="34">
        <v>300</v>
      </c>
      <c r="E321" s="35">
        <v>320</v>
      </c>
      <c r="F321" s="5">
        <v>0</v>
      </c>
      <c r="G321" s="6">
        <v>0</v>
      </c>
    </row>
    <row r="322" spans="1:7" x14ac:dyDescent="0.25">
      <c r="A322" s="1">
        <f t="shared" ca="1" si="4"/>
        <v>10170</v>
      </c>
      <c r="B322" s="32">
        <v>7545</v>
      </c>
      <c r="C322" s="33">
        <v>7525</v>
      </c>
      <c r="D322" s="34">
        <v>305</v>
      </c>
      <c r="E322" s="35">
        <v>320</v>
      </c>
      <c r="F322" s="5">
        <v>0</v>
      </c>
      <c r="G322" s="6">
        <v>0</v>
      </c>
    </row>
    <row r="323" spans="1:7" x14ac:dyDescent="0.25">
      <c r="A323" s="1">
        <f t="shared" ca="1" si="4"/>
        <v>10171</v>
      </c>
      <c r="B323" s="32">
        <v>7560</v>
      </c>
      <c r="C323" s="33">
        <v>7535</v>
      </c>
      <c r="D323" s="34">
        <v>300</v>
      </c>
      <c r="E323" s="35">
        <v>305</v>
      </c>
      <c r="F323" s="5">
        <v>0</v>
      </c>
      <c r="G323" s="6">
        <v>0</v>
      </c>
    </row>
    <row r="324" spans="1:7" x14ac:dyDescent="0.25">
      <c r="A324" s="1">
        <f t="shared" ca="1" si="4"/>
        <v>10172</v>
      </c>
      <c r="B324" s="32">
        <v>7560</v>
      </c>
      <c r="C324" s="33">
        <v>7535</v>
      </c>
      <c r="D324" s="34">
        <v>300</v>
      </c>
      <c r="E324" s="35">
        <v>305</v>
      </c>
      <c r="F324" s="5">
        <v>0</v>
      </c>
      <c r="G324" s="6">
        <v>0</v>
      </c>
    </row>
    <row r="325" spans="1:7" x14ac:dyDescent="0.25">
      <c r="A325" s="1">
        <f t="shared" ca="1" si="4"/>
        <v>10173</v>
      </c>
      <c r="B325" s="32">
        <v>7560</v>
      </c>
      <c r="C325" s="33">
        <v>7535</v>
      </c>
      <c r="D325" s="34">
        <v>300</v>
      </c>
      <c r="E325" s="35">
        <v>310</v>
      </c>
      <c r="F325" s="5">
        <v>26</v>
      </c>
      <c r="G325" s="6">
        <v>30</v>
      </c>
    </row>
    <row r="326" spans="1:7" x14ac:dyDescent="0.25">
      <c r="A326" s="1">
        <f t="shared" ca="1" si="4"/>
        <v>10174</v>
      </c>
      <c r="B326" s="32">
        <v>7560</v>
      </c>
      <c r="C326" s="33">
        <v>7540</v>
      </c>
      <c r="D326" s="34">
        <v>300</v>
      </c>
      <c r="E326" s="35">
        <v>310</v>
      </c>
      <c r="F326" s="5">
        <v>22</v>
      </c>
      <c r="G326" s="6">
        <v>0</v>
      </c>
    </row>
    <row r="327" spans="1:7" x14ac:dyDescent="0.25">
      <c r="A327" s="1">
        <f t="shared" ref="A327:A381" ca="1" si="5">IF(ISTEXT(A326),A325+1,IF(MONTH(A326+1)=MONTH(A326),A326+1,"Totaal"))</f>
        <v>10175</v>
      </c>
      <c r="B327" s="32">
        <v>7570</v>
      </c>
      <c r="C327" s="33">
        <v>7545</v>
      </c>
      <c r="D327" s="34">
        <v>290</v>
      </c>
      <c r="E327" s="35">
        <v>310</v>
      </c>
      <c r="F327" s="5">
        <v>0</v>
      </c>
      <c r="G327" s="6">
        <v>4</v>
      </c>
    </row>
    <row r="328" spans="1:7" x14ac:dyDescent="0.25">
      <c r="A328" s="1">
        <f t="shared" ca="1" si="5"/>
        <v>10176</v>
      </c>
      <c r="B328" s="32">
        <v>7570</v>
      </c>
      <c r="C328" s="33">
        <v>7550</v>
      </c>
      <c r="D328" s="34">
        <v>290</v>
      </c>
      <c r="E328" s="35">
        <v>310</v>
      </c>
      <c r="F328" s="5">
        <v>0</v>
      </c>
      <c r="G328" s="6">
        <v>0</v>
      </c>
    </row>
    <row r="329" spans="1:7" x14ac:dyDescent="0.25">
      <c r="A329" s="1">
        <f t="shared" ca="1" si="5"/>
        <v>10177</v>
      </c>
      <c r="B329" s="32">
        <v>7560</v>
      </c>
      <c r="C329" s="33">
        <v>7540</v>
      </c>
      <c r="D329" s="34">
        <v>300</v>
      </c>
      <c r="E329" s="35">
        <v>315</v>
      </c>
      <c r="F329" s="5">
        <v>0</v>
      </c>
      <c r="G329" s="6">
        <v>0</v>
      </c>
    </row>
    <row r="330" spans="1:7" x14ac:dyDescent="0.25">
      <c r="A330" s="1">
        <f t="shared" ca="1" si="5"/>
        <v>10178</v>
      </c>
      <c r="B330" s="32">
        <v>7550</v>
      </c>
      <c r="C330" s="33">
        <v>7540</v>
      </c>
      <c r="D330" s="34">
        <v>300</v>
      </c>
      <c r="E330" s="35">
        <v>315</v>
      </c>
      <c r="F330" s="5">
        <v>0</v>
      </c>
      <c r="G330" s="6">
        <v>0</v>
      </c>
    </row>
    <row r="331" spans="1:7" x14ac:dyDescent="0.25">
      <c r="A331" s="1">
        <f t="shared" ca="1" si="5"/>
        <v>10179</v>
      </c>
      <c r="B331" s="32">
        <v>7555</v>
      </c>
      <c r="C331" s="33">
        <v>7540</v>
      </c>
      <c r="D331" s="34">
        <v>305</v>
      </c>
      <c r="E331" s="35">
        <v>315</v>
      </c>
      <c r="F331" s="5">
        <v>100</v>
      </c>
      <c r="G331" s="6">
        <v>22</v>
      </c>
    </row>
    <row r="332" spans="1:7" x14ac:dyDescent="0.25">
      <c r="A332" s="1">
        <f t="shared" ca="1" si="5"/>
        <v>10180</v>
      </c>
      <c r="B332" s="32">
        <v>7555</v>
      </c>
      <c r="C332" s="33">
        <v>7525</v>
      </c>
      <c r="D332" s="34">
        <v>305</v>
      </c>
      <c r="E332" s="35">
        <v>310</v>
      </c>
      <c r="F332" s="5">
        <v>210</v>
      </c>
      <c r="G332" s="6">
        <v>0</v>
      </c>
    </row>
    <row r="333" spans="1:7" x14ac:dyDescent="0.25">
      <c r="A333" s="1">
        <f t="shared" ca="1" si="5"/>
        <v>10181</v>
      </c>
      <c r="B333" s="32">
        <v>7554</v>
      </c>
      <c r="C333" s="33">
        <v>7515</v>
      </c>
      <c r="D333" s="34">
        <v>300</v>
      </c>
      <c r="E333" s="35">
        <v>315</v>
      </c>
      <c r="F333" s="5">
        <v>0</v>
      </c>
      <c r="G333" s="6">
        <v>0</v>
      </c>
    </row>
    <row r="334" spans="1:7" x14ac:dyDescent="0.25">
      <c r="A334" s="1">
        <f t="shared" ca="1" si="5"/>
        <v>10182</v>
      </c>
      <c r="B334" s="32">
        <v>7540</v>
      </c>
      <c r="C334" s="33">
        <v>7520</v>
      </c>
      <c r="D334" s="34">
        <v>305</v>
      </c>
      <c r="E334" s="35">
        <v>320</v>
      </c>
      <c r="F334" s="5">
        <v>0</v>
      </c>
      <c r="G334" s="6">
        <v>0</v>
      </c>
    </row>
    <row r="335" spans="1:7" x14ac:dyDescent="0.25">
      <c r="A335" s="1">
        <f t="shared" ca="1" si="5"/>
        <v>10183</v>
      </c>
      <c r="B335" s="32">
        <v>7530</v>
      </c>
      <c r="C335" s="33">
        <v>7510</v>
      </c>
      <c r="D335" s="34">
        <v>315</v>
      </c>
      <c r="E335" s="35">
        <v>320</v>
      </c>
      <c r="F335" s="5">
        <v>0</v>
      </c>
      <c r="G335" s="6">
        <v>122</v>
      </c>
    </row>
    <row r="336" spans="1:7" x14ac:dyDescent="0.25">
      <c r="A336" s="1">
        <f t="shared" ca="1" si="5"/>
        <v>10184</v>
      </c>
      <c r="B336" s="32">
        <v>7540</v>
      </c>
      <c r="C336" s="33">
        <v>7520</v>
      </c>
      <c r="D336" s="34">
        <v>300</v>
      </c>
      <c r="E336" s="35">
        <v>315</v>
      </c>
      <c r="F336" s="5">
        <v>0</v>
      </c>
      <c r="G336" s="6">
        <v>0</v>
      </c>
    </row>
    <row r="337" spans="1:7" x14ac:dyDescent="0.25">
      <c r="A337" s="1">
        <f t="shared" ca="1" si="5"/>
        <v>10185</v>
      </c>
      <c r="B337" s="32">
        <v>7550</v>
      </c>
      <c r="C337" s="33">
        <v>7520</v>
      </c>
      <c r="D337" s="34">
        <v>300</v>
      </c>
      <c r="E337" s="35">
        <v>315</v>
      </c>
      <c r="F337" s="5">
        <v>115</v>
      </c>
      <c r="G337" s="6">
        <v>32</v>
      </c>
    </row>
    <row r="338" spans="1:7" x14ac:dyDescent="0.25">
      <c r="A338" s="1">
        <f t="shared" ca="1" si="5"/>
        <v>10186</v>
      </c>
      <c r="B338" s="32">
        <v>7550</v>
      </c>
      <c r="C338" s="33">
        <v>7520</v>
      </c>
      <c r="D338" s="34">
        <v>300</v>
      </c>
      <c r="E338" s="35">
        <v>315</v>
      </c>
      <c r="F338" s="5">
        <v>191</v>
      </c>
      <c r="G338" s="6">
        <v>10</v>
      </c>
    </row>
    <row r="339" spans="1:7" x14ac:dyDescent="0.25">
      <c r="A339" s="1">
        <f t="shared" ca="1" si="5"/>
        <v>10187</v>
      </c>
      <c r="B339" s="32">
        <v>7555</v>
      </c>
      <c r="C339" s="33">
        <v>7535</v>
      </c>
      <c r="D339" s="34">
        <v>285</v>
      </c>
      <c r="E339" s="35">
        <v>290</v>
      </c>
      <c r="F339" s="5">
        <v>72</v>
      </c>
      <c r="G339" s="6">
        <v>32</v>
      </c>
    </row>
    <row r="340" spans="1:7" x14ac:dyDescent="0.25">
      <c r="A340" s="1">
        <f t="shared" ca="1" si="5"/>
        <v>10188</v>
      </c>
      <c r="B340" s="32">
        <v>7570</v>
      </c>
      <c r="C340" s="33">
        <v>7540</v>
      </c>
      <c r="D340" s="34">
        <v>290</v>
      </c>
      <c r="E340" s="35">
        <v>300</v>
      </c>
      <c r="F340" s="5">
        <v>283</v>
      </c>
      <c r="G340" s="6">
        <v>50</v>
      </c>
    </row>
    <row r="341" spans="1:7" x14ac:dyDescent="0.25">
      <c r="A341" s="1">
        <f t="shared" ca="1" si="5"/>
        <v>10189</v>
      </c>
      <c r="B341" s="32">
        <v>7560</v>
      </c>
      <c r="C341" s="33">
        <v>7550</v>
      </c>
      <c r="D341" s="34">
        <v>290</v>
      </c>
      <c r="E341" s="35">
        <v>300</v>
      </c>
      <c r="F341" s="5">
        <v>1000</v>
      </c>
      <c r="G341" s="6">
        <v>680</v>
      </c>
    </row>
    <row r="342" spans="1:7" x14ac:dyDescent="0.25">
      <c r="A342" s="1">
        <f t="shared" ca="1" si="5"/>
        <v>10190</v>
      </c>
      <c r="B342" s="32">
        <v>7550</v>
      </c>
      <c r="C342" s="33">
        <v>7530</v>
      </c>
      <c r="D342" s="34">
        <v>290</v>
      </c>
      <c r="E342" s="35">
        <v>300</v>
      </c>
      <c r="F342" s="5">
        <v>0</v>
      </c>
      <c r="G342" s="6">
        <v>12</v>
      </c>
    </row>
    <row r="343" spans="1:7" x14ac:dyDescent="0.25">
      <c r="A343" s="1">
        <f t="shared" ca="1" si="5"/>
        <v>10191</v>
      </c>
      <c r="B343" s="32">
        <v>7550</v>
      </c>
      <c r="C343" s="33">
        <v>7525</v>
      </c>
      <c r="D343" s="34">
        <v>290</v>
      </c>
      <c r="E343" s="35">
        <v>300</v>
      </c>
      <c r="F343" s="5">
        <v>0</v>
      </c>
      <c r="G343" s="6">
        <v>0</v>
      </c>
    </row>
    <row r="344" spans="1:7" x14ac:dyDescent="0.25">
      <c r="A344" s="1">
        <f t="shared" ca="1" si="5"/>
        <v>10192</v>
      </c>
      <c r="B344" s="32">
        <v>7545</v>
      </c>
      <c r="C344" s="33">
        <v>7530</v>
      </c>
      <c r="D344" s="34">
        <v>290</v>
      </c>
      <c r="E344" s="35">
        <v>300</v>
      </c>
      <c r="F344" s="5">
        <v>32</v>
      </c>
      <c r="G344" s="6">
        <v>71</v>
      </c>
    </row>
    <row r="345" spans="1:7" x14ac:dyDescent="0.25">
      <c r="A345" s="1">
        <f t="shared" ca="1" si="5"/>
        <v>10193</v>
      </c>
      <c r="B345" s="32">
        <v>7545</v>
      </c>
      <c r="C345" s="33">
        <v>7530</v>
      </c>
      <c r="D345" s="34">
        <v>290</v>
      </c>
      <c r="E345" s="35">
        <v>300</v>
      </c>
      <c r="F345" s="5">
        <v>0</v>
      </c>
      <c r="G345" s="6">
        <v>10</v>
      </c>
    </row>
    <row r="346" spans="1:7" x14ac:dyDescent="0.25">
      <c r="A346" s="1">
        <f t="shared" ca="1" si="5"/>
        <v>10194</v>
      </c>
      <c r="B346" s="32">
        <v>7545</v>
      </c>
      <c r="C346" s="33">
        <v>7525</v>
      </c>
      <c r="D346" s="34">
        <v>290</v>
      </c>
      <c r="E346" s="35">
        <v>300</v>
      </c>
      <c r="F346" s="5">
        <v>103</v>
      </c>
      <c r="G346" s="6">
        <v>70</v>
      </c>
    </row>
    <row r="347" spans="1:7" x14ac:dyDescent="0.25">
      <c r="A347" s="1">
        <f t="shared" ca="1" si="5"/>
        <v>10195</v>
      </c>
      <c r="B347" s="32">
        <v>7545</v>
      </c>
      <c r="C347" s="33">
        <v>7525</v>
      </c>
      <c r="D347" s="34">
        <v>290</v>
      </c>
      <c r="E347" s="35">
        <v>300</v>
      </c>
      <c r="F347" s="5">
        <v>85</v>
      </c>
      <c r="G347" s="6">
        <v>98</v>
      </c>
    </row>
    <row r="348" spans="1:7" x14ac:dyDescent="0.25">
      <c r="A348" s="1">
        <f t="shared" ca="1" si="5"/>
        <v>10196</v>
      </c>
      <c r="B348" s="32">
        <v>7545</v>
      </c>
      <c r="C348" s="33">
        <v>7525</v>
      </c>
      <c r="D348" s="34">
        <v>290</v>
      </c>
      <c r="E348" s="35">
        <v>300</v>
      </c>
      <c r="F348" s="5">
        <v>0</v>
      </c>
      <c r="G348" s="6">
        <v>0</v>
      </c>
    </row>
    <row r="349" spans="1:7" x14ac:dyDescent="0.25">
      <c r="A349" s="1" t="str">
        <f t="shared" ca="1" si="5"/>
        <v>Totaal</v>
      </c>
      <c r="B349" s="20">
        <f>IF(COUNT(B319:B348)&gt;0,AVERAGE(B319:B348)/10,"")</f>
        <v>755.36333333333334</v>
      </c>
      <c r="C349" s="21">
        <f>IF(COUNT(C319:C348)&gt;0,AVERAGE(C319:C348)/10,"")</f>
        <v>753.13333333333333</v>
      </c>
      <c r="D349" s="22">
        <f>IF(COUNT(D319:D348)&gt;0,AVERAGE(D319:D348)/10,"")</f>
        <v>29.666666666666668</v>
      </c>
      <c r="E349" s="23">
        <f>IF(COUNT(E319:E348)&gt;0,AVERAGE(E319:E348)/10,"")</f>
        <v>30.833333333333332</v>
      </c>
      <c r="F349" s="24">
        <f>SUM(F319:F348)/10</f>
        <v>224.9</v>
      </c>
      <c r="G349" s="25">
        <f>SUM(G319:G348)/10</f>
        <v>124.3</v>
      </c>
    </row>
    <row r="350" spans="1:7" x14ac:dyDescent="0.25">
      <c r="A350" s="1">
        <f t="shared" ca="1" si="5"/>
        <v>10197</v>
      </c>
      <c r="B350" s="32">
        <v>7545</v>
      </c>
      <c r="C350" s="33">
        <v>7525</v>
      </c>
      <c r="D350" s="34">
        <v>285</v>
      </c>
      <c r="E350" s="35">
        <v>300</v>
      </c>
      <c r="F350" s="5">
        <v>136</v>
      </c>
      <c r="G350" s="6">
        <v>17</v>
      </c>
    </row>
    <row r="351" spans="1:7" x14ac:dyDescent="0.25">
      <c r="A351" s="1">
        <f t="shared" ca="1" si="5"/>
        <v>10198</v>
      </c>
      <c r="B351" s="32">
        <v>7545</v>
      </c>
      <c r="C351" s="33">
        <v>7525</v>
      </c>
      <c r="D351" s="34">
        <v>285</v>
      </c>
      <c r="E351" s="35">
        <v>300</v>
      </c>
      <c r="F351" s="5">
        <v>0</v>
      </c>
      <c r="G351" s="6">
        <v>0</v>
      </c>
    </row>
    <row r="352" spans="1:7" x14ac:dyDescent="0.25">
      <c r="A352" s="1">
        <f t="shared" ca="1" si="5"/>
        <v>10199</v>
      </c>
      <c r="B352" s="32">
        <v>7560</v>
      </c>
      <c r="C352" s="33">
        <v>7545</v>
      </c>
      <c r="D352" s="34">
        <v>270</v>
      </c>
      <c r="E352" s="35">
        <v>290</v>
      </c>
      <c r="F352" s="5">
        <v>86</v>
      </c>
      <c r="G352" s="6">
        <v>13</v>
      </c>
    </row>
    <row r="353" spans="1:7" x14ac:dyDescent="0.25">
      <c r="A353" s="1">
        <f t="shared" ca="1" si="5"/>
        <v>10200</v>
      </c>
      <c r="B353" s="32">
        <v>7560</v>
      </c>
      <c r="C353" s="33">
        <v>7545</v>
      </c>
      <c r="D353" s="34">
        <v>275</v>
      </c>
      <c r="E353" s="35">
        <v>290</v>
      </c>
      <c r="F353" s="5">
        <v>0</v>
      </c>
      <c r="G353" s="6">
        <v>0</v>
      </c>
    </row>
    <row r="354" spans="1:7" x14ac:dyDescent="0.25">
      <c r="A354" s="1">
        <f t="shared" ca="1" si="5"/>
        <v>10201</v>
      </c>
      <c r="B354" s="32">
        <v>7570</v>
      </c>
      <c r="C354" s="33">
        <v>7550</v>
      </c>
      <c r="D354" s="34">
        <v>275</v>
      </c>
      <c r="E354" s="35">
        <v>285</v>
      </c>
      <c r="F354" s="5">
        <v>0</v>
      </c>
      <c r="G354" s="6">
        <v>0</v>
      </c>
    </row>
    <row r="355" spans="1:7" x14ac:dyDescent="0.25">
      <c r="A355" s="1">
        <f t="shared" ca="1" si="5"/>
        <v>10202</v>
      </c>
      <c r="B355" s="32">
        <v>7565</v>
      </c>
      <c r="C355" s="33">
        <v>7545</v>
      </c>
      <c r="D355" s="34">
        <v>270</v>
      </c>
      <c r="E355" s="35">
        <v>290</v>
      </c>
      <c r="F355" s="5">
        <v>0</v>
      </c>
      <c r="G355" s="6">
        <v>0</v>
      </c>
    </row>
    <row r="356" spans="1:7" x14ac:dyDescent="0.25">
      <c r="A356" s="1">
        <f t="shared" ca="1" si="5"/>
        <v>10203</v>
      </c>
      <c r="B356" s="32">
        <v>7555</v>
      </c>
      <c r="C356" s="33">
        <v>7545</v>
      </c>
      <c r="D356" s="34">
        <v>280</v>
      </c>
      <c r="E356" s="35">
        <v>290</v>
      </c>
      <c r="F356" s="5">
        <v>941</v>
      </c>
      <c r="G356" s="6">
        <v>600</v>
      </c>
    </row>
    <row r="357" spans="1:7" x14ac:dyDescent="0.25">
      <c r="A357" s="1">
        <f t="shared" ca="1" si="5"/>
        <v>10204</v>
      </c>
      <c r="B357" s="32">
        <v>7565</v>
      </c>
      <c r="C357" s="33">
        <v>7545</v>
      </c>
      <c r="D357" s="34">
        <v>275</v>
      </c>
      <c r="E357" s="35">
        <v>290</v>
      </c>
      <c r="F357" s="5">
        <v>18</v>
      </c>
      <c r="G357" s="6">
        <v>0</v>
      </c>
    </row>
    <row r="358" spans="1:7" x14ac:dyDescent="0.25">
      <c r="A358" s="1">
        <f t="shared" ca="1" si="5"/>
        <v>10205</v>
      </c>
      <c r="B358" s="32">
        <v>7565</v>
      </c>
      <c r="C358" s="33">
        <v>7555</v>
      </c>
      <c r="D358" s="34">
        <v>275</v>
      </c>
      <c r="E358" s="35">
        <v>285</v>
      </c>
      <c r="F358" s="5">
        <v>0</v>
      </c>
      <c r="G358" s="6">
        <v>0</v>
      </c>
    </row>
    <row r="359" spans="1:7" x14ac:dyDescent="0.25">
      <c r="A359" s="1">
        <f t="shared" ca="1" si="5"/>
        <v>10206</v>
      </c>
      <c r="B359" s="32">
        <v>7575</v>
      </c>
      <c r="C359" s="33">
        <v>7560</v>
      </c>
      <c r="D359" s="34">
        <v>270</v>
      </c>
      <c r="E359" s="35">
        <v>290</v>
      </c>
      <c r="F359" s="5">
        <v>33</v>
      </c>
      <c r="G359" s="6">
        <v>2</v>
      </c>
    </row>
    <row r="360" spans="1:7" x14ac:dyDescent="0.25">
      <c r="A360" s="1">
        <f t="shared" ca="1" si="5"/>
        <v>10207</v>
      </c>
      <c r="B360" s="32">
        <v>7575</v>
      </c>
      <c r="C360" s="33">
        <v>7560</v>
      </c>
      <c r="D360" s="34">
        <v>270</v>
      </c>
      <c r="E360" s="35">
        <v>290</v>
      </c>
      <c r="F360" s="5">
        <v>0</v>
      </c>
      <c r="G360" s="6">
        <v>75</v>
      </c>
    </row>
    <row r="361" spans="1:7" x14ac:dyDescent="0.25">
      <c r="A361" s="1">
        <f t="shared" ca="1" si="5"/>
        <v>10208</v>
      </c>
      <c r="B361" s="32">
        <v>7575</v>
      </c>
      <c r="C361" s="33">
        <v>7560</v>
      </c>
      <c r="D361" s="34">
        <v>270</v>
      </c>
      <c r="E361" s="35">
        <v>290</v>
      </c>
      <c r="F361" s="5">
        <v>0</v>
      </c>
      <c r="G361" s="6">
        <v>17</v>
      </c>
    </row>
    <row r="362" spans="1:7" x14ac:dyDescent="0.25">
      <c r="A362" s="1">
        <f t="shared" ca="1" si="5"/>
        <v>10209</v>
      </c>
      <c r="B362" s="32">
        <v>7575</v>
      </c>
      <c r="C362" s="33">
        <v>7560</v>
      </c>
      <c r="D362" s="34">
        <v>270</v>
      </c>
      <c r="E362" s="35">
        <v>285</v>
      </c>
      <c r="F362" s="5">
        <v>21</v>
      </c>
      <c r="G362" s="6">
        <v>0</v>
      </c>
    </row>
    <row r="363" spans="1:7" x14ac:dyDescent="0.25">
      <c r="A363" s="1">
        <f t="shared" ca="1" si="5"/>
        <v>10210</v>
      </c>
      <c r="B363" s="32">
        <v>7575</v>
      </c>
      <c r="C363" s="33">
        <v>7560</v>
      </c>
      <c r="D363" s="34">
        <v>270</v>
      </c>
      <c r="E363" s="35">
        <v>285</v>
      </c>
      <c r="F363" s="5">
        <v>0</v>
      </c>
      <c r="G363" s="6">
        <v>30</v>
      </c>
    </row>
    <row r="364" spans="1:7" x14ac:dyDescent="0.25">
      <c r="A364" s="1">
        <f t="shared" ca="1" si="5"/>
        <v>10211</v>
      </c>
      <c r="B364" s="32">
        <v>7575</v>
      </c>
      <c r="C364" s="33">
        <v>7555</v>
      </c>
      <c r="D364" s="34">
        <v>270</v>
      </c>
      <c r="E364" s="35">
        <v>290</v>
      </c>
      <c r="F364" s="5">
        <v>64</v>
      </c>
      <c r="G364" s="6">
        <v>76</v>
      </c>
    </row>
    <row r="365" spans="1:7" x14ac:dyDescent="0.25">
      <c r="A365" s="1">
        <f t="shared" ca="1" si="5"/>
        <v>10212</v>
      </c>
      <c r="B365" s="32">
        <v>7570</v>
      </c>
      <c r="C365" s="33">
        <v>7555</v>
      </c>
      <c r="D365" s="34">
        <v>270</v>
      </c>
      <c r="E365" s="35">
        <v>290</v>
      </c>
      <c r="F365" s="5">
        <v>264</v>
      </c>
      <c r="G365" s="6">
        <v>180</v>
      </c>
    </row>
    <row r="366" spans="1:7" x14ac:dyDescent="0.25">
      <c r="A366" s="1">
        <f t="shared" ca="1" si="5"/>
        <v>10213</v>
      </c>
      <c r="B366" s="32">
        <v>7565</v>
      </c>
      <c r="C366" s="33">
        <v>7550</v>
      </c>
      <c r="D366" s="34">
        <v>275</v>
      </c>
      <c r="E366" s="35">
        <v>290</v>
      </c>
      <c r="F366" s="5">
        <v>34</v>
      </c>
      <c r="G366" s="6">
        <v>24</v>
      </c>
    </row>
    <row r="367" spans="1:7" x14ac:dyDescent="0.25">
      <c r="A367" s="1">
        <f t="shared" ca="1" si="5"/>
        <v>10214</v>
      </c>
      <c r="B367" s="32">
        <v>7565</v>
      </c>
      <c r="C367" s="33">
        <v>7550</v>
      </c>
      <c r="D367" s="34">
        <v>275</v>
      </c>
      <c r="E367" s="35">
        <v>290</v>
      </c>
      <c r="F367" s="5">
        <v>0</v>
      </c>
      <c r="G367" s="6">
        <v>510</v>
      </c>
    </row>
    <row r="368" spans="1:7" x14ac:dyDescent="0.25">
      <c r="A368" s="1">
        <f t="shared" ca="1" si="5"/>
        <v>10215</v>
      </c>
      <c r="B368" s="32">
        <v>7565</v>
      </c>
      <c r="C368" s="33">
        <v>7545</v>
      </c>
      <c r="D368" s="34">
        <v>280</v>
      </c>
      <c r="E368" s="35">
        <v>290</v>
      </c>
      <c r="F368" s="5">
        <v>237</v>
      </c>
      <c r="G368" s="6">
        <v>40</v>
      </c>
    </row>
    <row r="369" spans="1:7" x14ac:dyDescent="0.25">
      <c r="A369" s="1">
        <f t="shared" ca="1" si="5"/>
        <v>10216</v>
      </c>
      <c r="B369" s="32">
        <v>7570</v>
      </c>
      <c r="C369" s="33">
        <v>7545</v>
      </c>
      <c r="D369" s="34">
        <v>270</v>
      </c>
      <c r="E369" s="35">
        <v>290</v>
      </c>
      <c r="F369" s="5">
        <v>0</v>
      </c>
      <c r="G369" s="6">
        <v>0</v>
      </c>
    </row>
    <row r="370" spans="1:7" x14ac:dyDescent="0.25">
      <c r="A370" s="1">
        <f t="shared" ca="1" si="5"/>
        <v>10217</v>
      </c>
      <c r="B370" s="32">
        <v>7565</v>
      </c>
      <c r="C370" s="33">
        <v>7550</v>
      </c>
      <c r="D370" s="34">
        <v>270</v>
      </c>
      <c r="E370" s="35">
        <v>290</v>
      </c>
      <c r="F370" s="5">
        <v>0</v>
      </c>
      <c r="G370" s="6">
        <v>0</v>
      </c>
    </row>
    <row r="371" spans="1:7" x14ac:dyDescent="0.25">
      <c r="A371" s="1">
        <f t="shared" ca="1" si="5"/>
        <v>10218</v>
      </c>
      <c r="B371" s="32">
        <v>7570</v>
      </c>
      <c r="C371" s="33">
        <v>7545</v>
      </c>
      <c r="D371" s="34">
        <v>270</v>
      </c>
      <c r="E371" s="35">
        <v>290</v>
      </c>
      <c r="F371" s="5">
        <v>0</v>
      </c>
      <c r="G371" s="6">
        <v>3</v>
      </c>
    </row>
    <row r="372" spans="1:7" x14ac:dyDescent="0.25">
      <c r="A372" s="1">
        <f t="shared" ca="1" si="5"/>
        <v>10219</v>
      </c>
      <c r="B372" s="32">
        <v>7575</v>
      </c>
      <c r="C372" s="33">
        <v>7555</v>
      </c>
      <c r="D372" s="34">
        <v>270</v>
      </c>
      <c r="E372" s="35">
        <v>290</v>
      </c>
      <c r="F372" s="5">
        <v>0</v>
      </c>
      <c r="G372" s="6">
        <v>0</v>
      </c>
    </row>
    <row r="373" spans="1:7" x14ac:dyDescent="0.25">
      <c r="A373" s="1">
        <f t="shared" ca="1" si="5"/>
        <v>10220</v>
      </c>
      <c r="B373" s="32">
        <v>7580</v>
      </c>
      <c r="C373" s="33">
        <v>7565</v>
      </c>
      <c r="D373" s="34">
        <v>275</v>
      </c>
      <c r="E373" s="35">
        <v>290</v>
      </c>
      <c r="F373" s="5">
        <v>0</v>
      </c>
      <c r="G373" s="6">
        <v>0</v>
      </c>
    </row>
    <row r="374" spans="1:7" x14ac:dyDescent="0.25">
      <c r="A374" s="1">
        <f t="shared" ca="1" si="5"/>
        <v>10221</v>
      </c>
      <c r="B374" s="32">
        <v>7565</v>
      </c>
      <c r="C374" s="33">
        <v>7555</v>
      </c>
      <c r="D374" s="34">
        <v>280</v>
      </c>
      <c r="E374" s="35">
        <v>290</v>
      </c>
      <c r="F374" s="5">
        <v>0</v>
      </c>
      <c r="G374" s="6">
        <v>37</v>
      </c>
    </row>
    <row r="375" spans="1:7" x14ac:dyDescent="0.25">
      <c r="A375" s="1">
        <f t="shared" ca="1" si="5"/>
        <v>10222</v>
      </c>
      <c r="B375" s="32">
        <v>7565</v>
      </c>
      <c r="C375" s="33">
        <v>7545</v>
      </c>
      <c r="D375" s="34">
        <v>280</v>
      </c>
      <c r="E375" s="35">
        <v>290</v>
      </c>
      <c r="F375" s="5">
        <v>90</v>
      </c>
      <c r="G375" s="6">
        <v>20</v>
      </c>
    </row>
    <row r="376" spans="1:7" x14ac:dyDescent="0.25">
      <c r="A376" s="1">
        <f t="shared" ca="1" si="5"/>
        <v>10223</v>
      </c>
      <c r="B376" s="32">
        <v>7565</v>
      </c>
      <c r="C376" s="33">
        <v>7545</v>
      </c>
      <c r="D376" s="34">
        <v>280</v>
      </c>
      <c r="E376" s="35">
        <v>290</v>
      </c>
      <c r="F376" s="5">
        <v>0</v>
      </c>
      <c r="G376" s="6">
        <v>0</v>
      </c>
    </row>
    <row r="377" spans="1:7" x14ac:dyDescent="0.25">
      <c r="A377" s="1">
        <f t="shared" ca="1" si="5"/>
        <v>10224</v>
      </c>
      <c r="B377" s="32">
        <v>7570</v>
      </c>
      <c r="C377" s="33">
        <v>7555</v>
      </c>
      <c r="D377" s="34">
        <v>280</v>
      </c>
      <c r="E377" s="35">
        <v>290</v>
      </c>
      <c r="F377" s="5">
        <v>52</v>
      </c>
      <c r="G377" s="6">
        <v>30</v>
      </c>
    </row>
    <row r="378" spans="1:7" x14ac:dyDescent="0.25">
      <c r="A378" s="1">
        <f t="shared" ca="1" si="5"/>
        <v>10225</v>
      </c>
      <c r="B378" s="32">
        <v>7580</v>
      </c>
      <c r="C378" s="33">
        <v>7560</v>
      </c>
      <c r="D378" s="34">
        <v>280</v>
      </c>
      <c r="E378" s="35">
        <v>290</v>
      </c>
      <c r="F378" s="5">
        <v>26</v>
      </c>
      <c r="G378" s="6">
        <v>118</v>
      </c>
    </row>
    <row r="379" spans="1:7" x14ac:dyDescent="0.25">
      <c r="A379" s="1">
        <f t="shared" ca="1" si="5"/>
        <v>10226</v>
      </c>
      <c r="B379" s="32">
        <v>7580</v>
      </c>
      <c r="C379" s="33">
        <v>7560</v>
      </c>
      <c r="D379" s="34">
        <v>280</v>
      </c>
      <c r="E379" s="35">
        <v>290</v>
      </c>
      <c r="F379" s="5">
        <v>0</v>
      </c>
      <c r="G379" s="6">
        <v>18</v>
      </c>
    </row>
    <row r="380" spans="1:7" x14ac:dyDescent="0.25">
      <c r="A380" s="1">
        <f t="shared" ca="1" si="5"/>
        <v>10227</v>
      </c>
      <c r="B380" s="32">
        <v>7585</v>
      </c>
      <c r="C380" s="33">
        <v>7560</v>
      </c>
      <c r="D380" s="34">
        <v>280</v>
      </c>
      <c r="E380" s="35">
        <v>290</v>
      </c>
      <c r="F380" s="5">
        <v>9</v>
      </c>
      <c r="G380" s="6">
        <v>0</v>
      </c>
    </row>
    <row r="381" spans="1:7" x14ac:dyDescent="0.25">
      <c r="A381" s="1" t="str">
        <f t="shared" ca="1" si="5"/>
        <v>Totaal</v>
      </c>
      <c r="B381" s="20">
        <f>IF(COUNT(B350:B380)&gt;0,AVERAGE(B350:B380)/10,"")</f>
        <v>756.82258064516122</v>
      </c>
      <c r="C381" s="21">
        <f>IF(COUNT(C350:C380)&gt;0,AVERAGE(C350:C380)/10,"")</f>
        <v>755.08064516129036</v>
      </c>
      <c r="D381" s="22">
        <f>IF(COUNT(D350:D380)&gt;0,AVERAGE(D350:D380)/10,"")</f>
        <v>27.5</v>
      </c>
      <c r="E381" s="23">
        <f>IF(COUNT(E350:E380)&gt;0,AVERAGE(E350:E380)/10,"")</f>
        <v>29</v>
      </c>
      <c r="F381" s="24">
        <f>SUM(F350:F380)/10</f>
        <v>201.1</v>
      </c>
      <c r="G381" s="25">
        <f>SUM(G350:G380)/10</f>
        <v>181</v>
      </c>
    </row>
  </sheetData>
  <sheetProtection sheet="1" objects="1" scenarios="1" selectLockedCells="1"/>
  <mergeCells count="5">
    <mergeCell ref="F3:G3"/>
    <mergeCell ref="B3:C3"/>
    <mergeCell ref="D3:E3"/>
    <mergeCell ref="A3:A4"/>
    <mergeCell ref="A1:G1"/>
  </mergeCells>
  <conditionalFormatting sqref="A5:G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P13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6" x14ac:dyDescent="0.25">
      <c r="A1" t="s">
        <v>11</v>
      </c>
      <c r="D1" t="s">
        <v>23</v>
      </c>
      <c r="G1" t="s">
        <v>21</v>
      </c>
      <c r="J1" t="s">
        <v>22</v>
      </c>
    </row>
    <row r="2" spans="1:16" ht="15.75" thickBot="1" x14ac:dyDescent="0.3"/>
    <row r="3" spans="1:16" ht="15.75" thickBot="1" x14ac:dyDescent="0.3">
      <c r="J3" s="47" t="s">
        <v>0</v>
      </c>
      <c r="K3" s="49" t="s">
        <v>30</v>
      </c>
      <c r="L3" s="49"/>
      <c r="M3" s="49" t="s">
        <v>31</v>
      </c>
      <c r="N3" s="49"/>
      <c r="O3" s="49" t="s">
        <v>1</v>
      </c>
      <c r="P3" s="49"/>
    </row>
    <row r="4" spans="1:16" x14ac:dyDescent="0.25">
      <c r="A4" s="28" t="s">
        <v>12</v>
      </c>
      <c r="B4" s="27" t="s">
        <v>13</v>
      </c>
      <c r="D4" s="27" t="s">
        <v>24</v>
      </c>
      <c r="E4" s="27" t="s">
        <v>26</v>
      </c>
      <c r="G4" s="16" t="s">
        <v>14</v>
      </c>
      <c r="H4" s="16" t="s">
        <v>15</v>
      </c>
      <c r="J4" s="48"/>
      <c r="K4" s="9" t="s">
        <v>32</v>
      </c>
      <c r="L4" s="9" t="s">
        <v>33</v>
      </c>
      <c r="M4" s="9" t="s">
        <v>32</v>
      </c>
      <c r="N4" s="9" t="s">
        <v>33</v>
      </c>
      <c r="O4" s="9" t="s">
        <v>34</v>
      </c>
      <c r="P4" s="9" t="s">
        <v>35</v>
      </c>
    </row>
    <row r="5" spans="1:16" x14ac:dyDescent="0.25">
      <c r="A5" s="11">
        <v>44</v>
      </c>
      <c r="B5" t="s">
        <v>34</v>
      </c>
      <c r="D5" t="s">
        <v>7</v>
      </c>
      <c r="E5" t="s">
        <v>25</v>
      </c>
      <c r="G5" t="s">
        <v>16</v>
      </c>
      <c r="H5" s="12">
        <v>0</v>
      </c>
    </row>
    <row r="6" spans="1:16" x14ac:dyDescent="0.25">
      <c r="A6" s="11">
        <v>42</v>
      </c>
      <c r="B6" t="s">
        <v>35</v>
      </c>
      <c r="D6" s="29" t="s">
        <v>9</v>
      </c>
      <c r="E6" s="29" t="s">
        <v>27</v>
      </c>
      <c r="G6" t="s">
        <v>17</v>
      </c>
      <c r="H6" s="12">
        <v>1</v>
      </c>
    </row>
    <row r="7" spans="1:16" x14ac:dyDescent="0.25">
      <c r="A7" s="37">
        <v>49</v>
      </c>
      <c r="B7" s="29" t="s">
        <v>36</v>
      </c>
      <c r="D7" s="38" t="s">
        <v>4</v>
      </c>
      <c r="E7" s="38" t="s">
        <v>28</v>
      </c>
      <c r="G7" t="s">
        <v>18</v>
      </c>
      <c r="H7" s="12">
        <v>4</v>
      </c>
    </row>
    <row r="8" spans="1:16" x14ac:dyDescent="0.25">
      <c r="A8" s="37">
        <v>41</v>
      </c>
      <c r="B8" t="s">
        <v>37</v>
      </c>
      <c r="D8" s="38" t="s">
        <v>38</v>
      </c>
      <c r="E8" s="38" t="s">
        <v>39</v>
      </c>
      <c r="G8" t="s">
        <v>19</v>
      </c>
      <c r="H8" s="12">
        <v>6</v>
      </c>
    </row>
    <row r="9" spans="1:16" ht="15.75" thickBot="1" x14ac:dyDescent="0.3">
      <c r="A9" s="37">
        <v>43</v>
      </c>
      <c r="B9" t="s">
        <v>40</v>
      </c>
      <c r="D9" s="30" t="s">
        <v>41</v>
      </c>
      <c r="E9" s="30" t="s">
        <v>42</v>
      </c>
      <c r="G9" s="13" t="s">
        <v>20</v>
      </c>
      <c r="H9" s="14">
        <v>7</v>
      </c>
    </row>
    <row r="10" spans="1:16" x14ac:dyDescent="0.25">
      <c r="A10" s="37">
        <v>45</v>
      </c>
      <c r="B10" t="s">
        <v>43</v>
      </c>
    </row>
    <row r="11" spans="1:16" x14ac:dyDescent="0.25">
      <c r="A11" s="37">
        <v>46</v>
      </c>
      <c r="B11" t="s">
        <v>44</v>
      </c>
    </row>
    <row r="12" spans="1:16" x14ac:dyDescent="0.25">
      <c r="A12" s="37">
        <v>47</v>
      </c>
      <c r="B12" t="s">
        <v>45</v>
      </c>
    </row>
    <row r="13" spans="1:16" ht="15.75" thickBot="1" x14ac:dyDescent="0.3">
      <c r="A13" s="15">
        <v>48</v>
      </c>
      <c r="B13" s="13" t="s">
        <v>46</v>
      </c>
    </row>
  </sheetData>
  <mergeCells count="4">
    <mergeCell ref="J3:J4"/>
    <mergeCell ref="K3:L3"/>
    <mergeCell ref="M3:N3"/>
    <mergeCell ref="O3:P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731"/>
  <sheetViews>
    <sheetView workbookViewId="0"/>
  </sheetViews>
  <sheetFormatPr defaultRowHeight="15" x14ac:dyDescent="0.25"/>
  <sheetData>
    <row r="1" spans="1:5" x14ac:dyDescent="0.25">
      <c r="A1" s="10" t="s">
        <v>2</v>
      </c>
      <c r="B1" s="9" t="s">
        <v>0</v>
      </c>
      <c r="C1" s="10" t="s">
        <v>3</v>
      </c>
      <c r="D1" s="10" t="s">
        <v>4</v>
      </c>
      <c r="E1" s="10" t="s">
        <v>5</v>
      </c>
    </row>
    <row r="2" spans="1:5" x14ac:dyDescent="0.25">
      <c r="A2" s="11">
        <f ca="1">INDEX(Stations,INT((ROWS(A$2:A2)-1)/(DATE(YEAR(Invoer!$A$5),12,31)-DATE(YEAR(Invoer!$A$5),1,1)+1))+2,1)</f>
        <v>44</v>
      </c>
      <c r="B2" t="str">
        <f ca="1">TEXT(DATE(YEAR(Invoer!$A$5),1,1)+MOD(ROWS(B$2:B2)-1,DATE(YEAR(Invoer!$A$5),12,31)-DATE(YEAR(Invoer!$A$5),1,1)+1),"jjjjmmdd")</f>
        <v>19270101</v>
      </c>
      <c r="C2" s="12">
        <v>1</v>
      </c>
      <c r="D2" s="17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35</v>
      </c>
      <c r="E2" s="18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1">
        <f ca="1">INDEX(Stations,INT((ROWS(A$2:A3)-1)/(DATE(YEAR(Invoer!$A$5),12,31)-DATE(YEAR(Invoer!$A$5),1,1)+1))+2,1)</f>
        <v>44</v>
      </c>
      <c r="B3" t="str">
        <f ca="1">TEXT(DATE(YEAR(Invoer!$A$5),1,1)+MOD(ROWS(B$2:B3)-1,DATE(YEAR(Invoer!$A$5),12,31)-DATE(YEAR(Invoer!$A$5),1,1)+1),"jjjjmmdd")</f>
        <v>19270102</v>
      </c>
      <c r="C3" s="12">
        <v>1</v>
      </c>
      <c r="D3" s="17">
        <f t="shared" ca="1" si="0"/>
        <v>0</v>
      </c>
      <c r="E3" s="18">
        <f t="shared" ca="1" si="1"/>
        <v>0</v>
      </c>
    </row>
    <row r="4" spans="1:5" x14ac:dyDescent="0.25">
      <c r="A4" s="11">
        <f ca="1">INDEX(Stations,INT((ROWS(A$2:A4)-1)/(DATE(YEAR(Invoer!$A$5),12,31)-DATE(YEAR(Invoer!$A$5),1,1)+1))+2,1)</f>
        <v>44</v>
      </c>
      <c r="B4" t="str">
        <f ca="1">TEXT(DATE(YEAR(Invoer!$A$5),1,1)+MOD(ROWS(B$2:B4)-1,DATE(YEAR(Invoer!$A$5),12,31)-DATE(YEAR(Invoer!$A$5),1,1)+1),"jjjjmmdd")</f>
        <v>19270103</v>
      </c>
      <c r="C4" s="12">
        <v>1</v>
      </c>
      <c r="D4" s="17">
        <f t="shared" ca="1" si="0"/>
        <v>0</v>
      </c>
      <c r="E4" s="18">
        <f t="shared" ca="1" si="1"/>
        <v>0</v>
      </c>
    </row>
    <row r="5" spans="1:5" x14ac:dyDescent="0.25">
      <c r="A5" s="11">
        <f ca="1">INDEX(Stations,INT((ROWS(A$2:A5)-1)/(DATE(YEAR(Invoer!$A$5),12,31)-DATE(YEAR(Invoer!$A$5),1,1)+1))+2,1)</f>
        <v>44</v>
      </c>
      <c r="B5" t="str">
        <f ca="1">TEXT(DATE(YEAR(Invoer!$A$5),1,1)+MOD(ROWS(B$2:B5)-1,DATE(YEAR(Invoer!$A$5),12,31)-DATE(YEAR(Invoer!$A$5),1,1)+1),"jjjjmmdd")</f>
        <v>19270104</v>
      </c>
      <c r="C5" s="12">
        <v>1</v>
      </c>
      <c r="D5" s="17">
        <f t="shared" ca="1" si="0"/>
        <v>0</v>
      </c>
      <c r="E5" s="18">
        <f t="shared" ca="1" si="1"/>
        <v>0</v>
      </c>
    </row>
    <row r="6" spans="1:5" x14ac:dyDescent="0.25">
      <c r="A6" s="11">
        <f ca="1">INDEX(Stations,INT((ROWS(A$2:A6)-1)/(DATE(YEAR(Invoer!$A$5),12,31)-DATE(YEAR(Invoer!$A$5),1,1)+1))+2,1)</f>
        <v>44</v>
      </c>
      <c r="B6" t="str">
        <f ca="1">TEXT(DATE(YEAR(Invoer!$A$5),1,1)+MOD(ROWS(B$2:B6)-1,DATE(YEAR(Invoer!$A$5),12,31)-DATE(YEAR(Invoer!$A$5),1,1)+1),"jjjjmmdd")</f>
        <v>19270105</v>
      </c>
      <c r="C6" s="12">
        <v>1</v>
      </c>
      <c r="D6" s="17">
        <f t="shared" ca="1" si="0"/>
        <v>44</v>
      </c>
      <c r="E6" s="18">
        <f t="shared" ca="1" si="1"/>
        <v>0</v>
      </c>
    </row>
    <row r="7" spans="1:5" x14ac:dyDescent="0.25">
      <c r="A7" s="11">
        <f ca="1">INDEX(Stations,INT((ROWS(A$2:A7)-1)/(DATE(YEAR(Invoer!$A$5),12,31)-DATE(YEAR(Invoer!$A$5),1,1)+1))+2,1)</f>
        <v>44</v>
      </c>
      <c r="B7" t="str">
        <f ca="1">TEXT(DATE(YEAR(Invoer!$A$5),1,1)+MOD(ROWS(B$2:B7)-1,DATE(YEAR(Invoer!$A$5),12,31)-DATE(YEAR(Invoer!$A$5),1,1)+1),"jjjjmmdd")</f>
        <v>19270106</v>
      </c>
      <c r="C7" s="12">
        <v>1</v>
      </c>
      <c r="D7" s="17">
        <f t="shared" ca="1" si="0"/>
        <v>2</v>
      </c>
      <c r="E7" s="18">
        <f t="shared" ca="1" si="1"/>
        <v>0</v>
      </c>
    </row>
    <row r="8" spans="1:5" x14ac:dyDescent="0.25">
      <c r="A8" s="11">
        <f ca="1">INDEX(Stations,INT((ROWS(A$2:A8)-1)/(DATE(YEAR(Invoer!$A$5),12,31)-DATE(YEAR(Invoer!$A$5),1,1)+1))+2,1)</f>
        <v>44</v>
      </c>
      <c r="B8" t="str">
        <f ca="1">TEXT(DATE(YEAR(Invoer!$A$5),1,1)+MOD(ROWS(B$2:B8)-1,DATE(YEAR(Invoer!$A$5),12,31)-DATE(YEAR(Invoer!$A$5),1,1)+1),"jjjjmmdd")</f>
        <v>19270107</v>
      </c>
      <c r="C8" s="12">
        <v>1</v>
      </c>
      <c r="D8" s="17">
        <f t="shared" ca="1" si="0"/>
        <v>26</v>
      </c>
      <c r="E8" s="18">
        <f t="shared" ca="1" si="1"/>
        <v>0</v>
      </c>
    </row>
    <row r="9" spans="1:5" x14ac:dyDescent="0.25">
      <c r="A9" s="11">
        <f ca="1">INDEX(Stations,INT((ROWS(A$2:A9)-1)/(DATE(YEAR(Invoer!$A$5),12,31)-DATE(YEAR(Invoer!$A$5),1,1)+1))+2,1)</f>
        <v>44</v>
      </c>
      <c r="B9" t="str">
        <f ca="1">TEXT(DATE(YEAR(Invoer!$A$5),1,1)+MOD(ROWS(B$2:B9)-1,DATE(YEAR(Invoer!$A$5),12,31)-DATE(YEAR(Invoer!$A$5),1,1)+1),"jjjjmmdd")</f>
        <v>19270108</v>
      </c>
      <c r="C9" s="12">
        <v>1</v>
      </c>
      <c r="D9" s="17">
        <f t="shared" ca="1" si="0"/>
        <v>7</v>
      </c>
      <c r="E9" s="18">
        <f t="shared" ca="1" si="1"/>
        <v>0</v>
      </c>
    </row>
    <row r="10" spans="1:5" x14ac:dyDescent="0.25">
      <c r="A10" s="11">
        <f ca="1">INDEX(Stations,INT((ROWS(A$2:A10)-1)/(DATE(YEAR(Invoer!$A$5),12,31)-DATE(YEAR(Invoer!$A$5),1,1)+1))+2,1)</f>
        <v>44</v>
      </c>
      <c r="B10" t="str">
        <f ca="1">TEXT(DATE(YEAR(Invoer!$A$5),1,1)+MOD(ROWS(B$2:B10)-1,DATE(YEAR(Invoer!$A$5),12,31)-DATE(YEAR(Invoer!$A$5),1,1)+1),"jjjjmmdd")</f>
        <v>19270109</v>
      </c>
      <c r="C10" s="12">
        <v>1</v>
      </c>
      <c r="D10" s="17">
        <f t="shared" ca="1" si="0"/>
        <v>25</v>
      </c>
      <c r="E10" s="18">
        <f t="shared" ca="1" si="1"/>
        <v>0</v>
      </c>
    </row>
    <row r="11" spans="1:5" x14ac:dyDescent="0.25">
      <c r="A11" s="11">
        <f ca="1">INDEX(Stations,INT((ROWS(A$2:A11)-1)/(DATE(YEAR(Invoer!$A$5),12,31)-DATE(YEAR(Invoer!$A$5),1,1)+1))+2,1)</f>
        <v>44</v>
      </c>
      <c r="B11" t="str">
        <f ca="1">TEXT(DATE(YEAR(Invoer!$A$5),1,1)+MOD(ROWS(B$2:B11)-1,DATE(YEAR(Invoer!$A$5),12,31)-DATE(YEAR(Invoer!$A$5),1,1)+1),"jjjjmmdd")</f>
        <v>19270110</v>
      </c>
      <c r="C11" s="12">
        <v>1</v>
      </c>
      <c r="D11" s="17">
        <f t="shared" ca="1" si="0"/>
        <v>0</v>
      </c>
      <c r="E11" s="18">
        <f t="shared" ca="1" si="1"/>
        <v>0</v>
      </c>
    </row>
    <row r="12" spans="1:5" x14ac:dyDescent="0.25">
      <c r="A12" s="11">
        <f ca="1">INDEX(Stations,INT((ROWS(A$2:A12)-1)/(DATE(YEAR(Invoer!$A$5),12,31)-DATE(YEAR(Invoer!$A$5),1,1)+1))+2,1)</f>
        <v>44</v>
      </c>
      <c r="B12" t="str">
        <f ca="1">TEXT(DATE(YEAR(Invoer!$A$5),1,1)+MOD(ROWS(B$2:B12)-1,DATE(YEAR(Invoer!$A$5),12,31)-DATE(YEAR(Invoer!$A$5),1,1)+1),"jjjjmmdd")</f>
        <v>19270111</v>
      </c>
      <c r="C12" s="12">
        <v>1</v>
      </c>
      <c r="D12" s="17">
        <f t="shared" ca="1" si="0"/>
        <v>0</v>
      </c>
      <c r="E12" s="18">
        <f t="shared" ca="1" si="1"/>
        <v>0</v>
      </c>
    </row>
    <row r="13" spans="1:5" x14ac:dyDescent="0.25">
      <c r="A13" s="11">
        <f ca="1">INDEX(Stations,INT((ROWS(A$2:A13)-1)/(DATE(YEAR(Invoer!$A$5),12,31)-DATE(YEAR(Invoer!$A$5),1,1)+1))+2,1)</f>
        <v>44</v>
      </c>
      <c r="B13" t="str">
        <f ca="1">TEXT(DATE(YEAR(Invoer!$A$5),1,1)+MOD(ROWS(B$2:B13)-1,DATE(YEAR(Invoer!$A$5),12,31)-DATE(YEAR(Invoer!$A$5),1,1)+1),"jjjjmmdd")</f>
        <v>19270112</v>
      </c>
      <c r="C13" s="12">
        <v>1</v>
      </c>
      <c r="D13" s="17">
        <f t="shared" ca="1" si="0"/>
        <v>0</v>
      </c>
      <c r="E13" s="18">
        <f t="shared" ca="1" si="1"/>
        <v>0</v>
      </c>
    </row>
    <row r="14" spans="1:5" x14ac:dyDescent="0.25">
      <c r="A14" s="11">
        <f ca="1">INDEX(Stations,INT((ROWS(A$2:A14)-1)/(DATE(YEAR(Invoer!$A$5),12,31)-DATE(YEAR(Invoer!$A$5),1,1)+1))+2,1)</f>
        <v>44</v>
      </c>
      <c r="B14" t="str">
        <f ca="1">TEXT(DATE(YEAR(Invoer!$A$5),1,1)+MOD(ROWS(B$2:B14)-1,DATE(YEAR(Invoer!$A$5),12,31)-DATE(YEAR(Invoer!$A$5),1,1)+1),"jjjjmmdd")</f>
        <v>19270113</v>
      </c>
      <c r="C14" s="12">
        <v>1</v>
      </c>
      <c r="D14" s="17">
        <f t="shared" ca="1" si="0"/>
        <v>51</v>
      </c>
      <c r="E14" s="18">
        <f t="shared" ca="1" si="1"/>
        <v>0</v>
      </c>
    </row>
    <row r="15" spans="1:5" x14ac:dyDescent="0.25">
      <c r="A15" s="11">
        <f ca="1">INDEX(Stations,INT((ROWS(A$2:A15)-1)/(DATE(YEAR(Invoer!$A$5),12,31)-DATE(YEAR(Invoer!$A$5),1,1)+1))+2,1)</f>
        <v>44</v>
      </c>
      <c r="B15" t="str">
        <f ca="1">TEXT(DATE(YEAR(Invoer!$A$5),1,1)+MOD(ROWS(B$2:B15)-1,DATE(YEAR(Invoer!$A$5),12,31)-DATE(YEAR(Invoer!$A$5),1,1)+1),"jjjjmmdd")</f>
        <v>19270114</v>
      </c>
      <c r="C15" s="12">
        <v>1</v>
      </c>
      <c r="D15" s="17">
        <f t="shared" ca="1" si="0"/>
        <v>14</v>
      </c>
      <c r="E15" s="18">
        <f t="shared" ca="1" si="1"/>
        <v>0</v>
      </c>
    </row>
    <row r="16" spans="1:5" x14ac:dyDescent="0.25">
      <c r="A16" s="11">
        <f ca="1">INDEX(Stations,INT((ROWS(A$2:A16)-1)/(DATE(YEAR(Invoer!$A$5),12,31)-DATE(YEAR(Invoer!$A$5),1,1)+1))+2,1)</f>
        <v>44</v>
      </c>
      <c r="B16" t="str">
        <f ca="1">TEXT(DATE(YEAR(Invoer!$A$5),1,1)+MOD(ROWS(B$2:B16)-1,DATE(YEAR(Invoer!$A$5),12,31)-DATE(YEAR(Invoer!$A$5),1,1)+1),"jjjjmmdd")</f>
        <v>19270115</v>
      </c>
      <c r="C16" s="12">
        <v>1</v>
      </c>
      <c r="D16" s="17">
        <f t="shared" ca="1" si="0"/>
        <v>0</v>
      </c>
      <c r="E16" s="18">
        <f t="shared" ca="1" si="1"/>
        <v>0</v>
      </c>
    </row>
    <row r="17" spans="1:5" x14ac:dyDescent="0.25">
      <c r="A17" s="11">
        <f ca="1">INDEX(Stations,INT((ROWS(A$2:A17)-1)/(DATE(YEAR(Invoer!$A$5),12,31)-DATE(YEAR(Invoer!$A$5),1,1)+1))+2,1)</f>
        <v>44</v>
      </c>
      <c r="B17" t="str">
        <f ca="1">TEXT(DATE(YEAR(Invoer!$A$5),1,1)+MOD(ROWS(B$2:B17)-1,DATE(YEAR(Invoer!$A$5),12,31)-DATE(YEAR(Invoer!$A$5),1,1)+1),"jjjjmmdd")</f>
        <v>19270116</v>
      </c>
      <c r="C17" s="12">
        <v>1</v>
      </c>
      <c r="D17" s="17">
        <f t="shared" ca="1" si="0"/>
        <v>0</v>
      </c>
      <c r="E17" s="18">
        <f t="shared" ca="1" si="1"/>
        <v>0</v>
      </c>
    </row>
    <row r="18" spans="1:5" x14ac:dyDescent="0.25">
      <c r="A18" s="11">
        <f ca="1">INDEX(Stations,INT((ROWS(A$2:A18)-1)/(DATE(YEAR(Invoer!$A$5),12,31)-DATE(YEAR(Invoer!$A$5),1,1)+1))+2,1)</f>
        <v>44</v>
      </c>
      <c r="B18" t="str">
        <f ca="1">TEXT(DATE(YEAR(Invoer!$A$5),1,1)+MOD(ROWS(B$2:B18)-1,DATE(YEAR(Invoer!$A$5),12,31)-DATE(YEAR(Invoer!$A$5),1,1)+1),"jjjjmmdd")</f>
        <v>19270117</v>
      </c>
      <c r="C18" s="12">
        <v>1</v>
      </c>
      <c r="D18" s="17">
        <f t="shared" ca="1" si="0"/>
        <v>2</v>
      </c>
      <c r="E18" s="18">
        <f t="shared" ca="1" si="1"/>
        <v>0</v>
      </c>
    </row>
    <row r="19" spans="1:5" x14ac:dyDescent="0.25">
      <c r="A19" s="11">
        <f ca="1">INDEX(Stations,INT((ROWS(A$2:A19)-1)/(DATE(YEAR(Invoer!$A$5),12,31)-DATE(YEAR(Invoer!$A$5),1,1)+1))+2,1)</f>
        <v>44</v>
      </c>
      <c r="B19" t="str">
        <f ca="1">TEXT(DATE(YEAR(Invoer!$A$5),1,1)+MOD(ROWS(B$2:B19)-1,DATE(YEAR(Invoer!$A$5),12,31)-DATE(YEAR(Invoer!$A$5),1,1)+1),"jjjjmmdd")</f>
        <v>19270118</v>
      </c>
      <c r="C19" s="12">
        <v>1</v>
      </c>
      <c r="D19" s="17">
        <f t="shared" ca="1" si="0"/>
        <v>0</v>
      </c>
      <c r="E19" s="18">
        <f t="shared" ca="1" si="1"/>
        <v>0</v>
      </c>
    </row>
    <row r="20" spans="1:5" x14ac:dyDescent="0.25">
      <c r="A20" s="11">
        <f ca="1">INDEX(Stations,INT((ROWS(A$2:A20)-1)/(DATE(YEAR(Invoer!$A$5),12,31)-DATE(YEAR(Invoer!$A$5),1,1)+1))+2,1)</f>
        <v>44</v>
      </c>
      <c r="B20" t="str">
        <f ca="1">TEXT(DATE(YEAR(Invoer!$A$5),1,1)+MOD(ROWS(B$2:B20)-1,DATE(YEAR(Invoer!$A$5),12,31)-DATE(YEAR(Invoer!$A$5),1,1)+1),"jjjjmmdd")</f>
        <v>19270119</v>
      </c>
      <c r="C20" s="12">
        <v>1</v>
      </c>
      <c r="D20" s="17">
        <f t="shared" ca="1" si="0"/>
        <v>4</v>
      </c>
      <c r="E20" s="18">
        <f t="shared" ca="1" si="1"/>
        <v>0</v>
      </c>
    </row>
    <row r="21" spans="1:5" x14ac:dyDescent="0.25">
      <c r="A21" s="11">
        <f ca="1">INDEX(Stations,INT((ROWS(A$2:A21)-1)/(DATE(YEAR(Invoer!$A$5),12,31)-DATE(YEAR(Invoer!$A$5),1,1)+1))+2,1)</f>
        <v>44</v>
      </c>
      <c r="B21" t="str">
        <f ca="1">TEXT(DATE(YEAR(Invoer!$A$5),1,1)+MOD(ROWS(B$2:B21)-1,DATE(YEAR(Invoer!$A$5),12,31)-DATE(YEAR(Invoer!$A$5),1,1)+1),"jjjjmmdd")</f>
        <v>19270120</v>
      </c>
      <c r="C21" s="12">
        <v>1</v>
      </c>
      <c r="D21" s="17">
        <f t="shared" ca="1" si="0"/>
        <v>16</v>
      </c>
      <c r="E21" s="18">
        <f t="shared" ca="1" si="1"/>
        <v>0</v>
      </c>
    </row>
    <row r="22" spans="1:5" x14ac:dyDescent="0.25">
      <c r="A22" s="11">
        <f ca="1">INDEX(Stations,INT((ROWS(A$2:A22)-1)/(DATE(YEAR(Invoer!$A$5),12,31)-DATE(YEAR(Invoer!$A$5),1,1)+1))+2,1)</f>
        <v>44</v>
      </c>
      <c r="B22" t="str">
        <f ca="1">TEXT(DATE(YEAR(Invoer!$A$5),1,1)+MOD(ROWS(B$2:B22)-1,DATE(YEAR(Invoer!$A$5),12,31)-DATE(YEAR(Invoer!$A$5),1,1)+1),"jjjjmmdd")</f>
        <v>19270121</v>
      </c>
      <c r="C22" s="12">
        <v>1</v>
      </c>
      <c r="D22" s="17">
        <f t="shared" ca="1" si="0"/>
        <v>31</v>
      </c>
      <c r="E22" s="18">
        <f t="shared" ca="1" si="1"/>
        <v>0</v>
      </c>
    </row>
    <row r="23" spans="1:5" x14ac:dyDescent="0.25">
      <c r="A23" s="11">
        <f ca="1">INDEX(Stations,INT((ROWS(A$2:A23)-1)/(DATE(YEAR(Invoer!$A$5),12,31)-DATE(YEAR(Invoer!$A$5),1,1)+1))+2,1)</f>
        <v>44</v>
      </c>
      <c r="B23" t="str">
        <f ca="1">TEXT(DATE(YEAR(Invoer!$A$5),1,1)+MOD(ROWS(B$2:B23)-1,DATE(YEAR(Invoer!$A$5),12,31)-DATE(YEAR(Invoer!$A$5),1,1)+1),"jjjjmmdd")</f>
        <v>19270122</v>
      </c>
      <c r="C23" s="12">
        <v>1</v>
      </c>
      <c r="D23" s="17">
        <f t="shared" ca="1" si="0"/>
        <v>31</v>
      </c>
      <c r="E23" s="18">
        <f t="shared" ca="1" si="1"/>
        <v>0</v>
      </c>
    </row>
    <row r="24" spans="1:5" x14ac:dyDescent="0.25">
      <c r="A24" s="11">
        <f ca="1">INDEX(Stations,INT((ROWS(A$2:A24)-1)/(DATE(YEAR(Invoer!$A$5),12,31)-DATE(YEAR(Invoer!$A$5),1,1)+1))+2,1)</f>
        <v>44</v>
      </c>
      <c r="B24" t="str">
        <f ca="1">TEXT(DATE(YEAR(Invoer!$A$5),1,1)+MOD(ROWS(B$2:B24)-1,DATE(YEAR(Invoer!$A$5),12,31)-DATE(YEAR(Invoer!$A$5),1,1)+1),"jjjjmmdd")</f>
        <v>19270123</v>
      </c>
      <c r="C24" s="12">
        <v>1</v>
      </c>
      <c r="D24" s="17">
        <f t="shared" ca="1" si="0"/>
        <v>0</v>
      </c>
      <c r="E24" s="18">
        <f t="shared" ca="1" si="1"/>
        <v>0</v>
      </c>
    </row>
    <row r="25" spans="1:5" x14ac:dyDescent="0.25">
      <c r="A25" s="11">
        <f ca="1">INDEX(Stations,INT((ROWS(A$2:A25)-1)/(DATE(YEAR(Invoer!$A$5),12,31)-DATE(YEAR(Invoer!$A$5),1,1)+1))+2,1)</f>
        <v>44</v>
      </c>
      <c r="B25" t="str">
        <f ca="1">TEXT(DATE(YEAR(Invoer!$A$5),1,1)+MOD(ROWS(B$2:B25)-1,DATE(YEAR(Invoer!$A$5),12,31)-DATE(YEAR(Invoer!$A$5),1,1)+1),"jjjjmmdd")</f>
        <v>19270124</v>
      </c>
      <c r="C25" s="12">
        <v>1</v>
      </c>
      <c r="D25" s="17">
        <f t="shared" ca="1" si="0"/>
        <v>80</v>
      </c>
      <c r="E25" s="18">
        <f t="shared" ca="1" si="1"/>
        <v>0</v>
      </c>
    </row>
    <row r="26" spans="1:5" x14ac:dyDescent="0.25">
      <c r="A26" s="11">
        <f ca="1">INDEX(Stations,INT((ROWS(A$2:A26)-1)/(DATE(YEAR(Invoer!$A$5),12,31)-DATE(YEAR(Invoer!$A$5),1,1)+1))+2,1)</f>
        <v>44</v>
      </c>
      <c r="B26" t="str">
        <f ca="1">TEXT(DATE(YEAR(Invoer!$A$5),1,1)+MOD(ROWS(B$2:B26)-1,DATE(YEAR(Invoer!$A$5),12,31)-DATE(YEAR(Invoer!$A$5),1,1)+1),"jjjjmmdd")</f>
        <v>19270125</v>
      </c>
      <c r="C26" s="12">
        <v>1</v>
      </c>
      <c r="D26" s="17">
        <f t="shared" ca="1" si="0"/>
        <v>0</v>
      </c>
      <c r="E26" s="18">
        <f t="shared" ca="1" si="1"/>
        <v>0</v>
      </c>
    </row>
    <row r="27" spans="1:5" x14ac:dyDescent="0.25">
      <c r="A27" s="11">
        <f ca="1">INDEX(Stations,INT((ROWS(A$2:A27)-1)/(DATE(YEAR(Invoer!$A$5),12,31)-DATE(YEAR(Invoer!$A$5),1,1)+1))+2,1)</f>
        <v>44</v>
      </c>
      <c r="B27" t="str">
        <f ca="1">TEXT(DATE(YEAR(Invoer!$A$5),1,1)+MOD(ROWS(B$2:B27)-1,DATE(YEAR(Invoer!$A$5),12,31)-DATE(YEAR(Invoer!$A$5),1,1)+1),"jjjjmmdd")</f>
        <v>19270126</v>
      </c>
      <c r="C27" s="12">
        <v>1</v>
      </c>
      <c r="D27" s="17">
        <f t="shared" ca="1" si="0"/>
        <v>21</v>
      </c>
      <c r="E27" s="18">
        <f t="shared" ca="1" si="1"/>
        <v>0</v>
      </c>
    </row>
    <row r="28" spans="1:5" x14ac:dyDescent="0.25">
      <c r="A28" s="11">
        <f ca="1">INDEX(Stations,INT((ROWS(A$2:A28)-1)/(DATE(YEAR(Invoer!$A$5),12,31)-DATE(YEAR(Invoer!$A$5),1,1)+1))+2,1)</f>
        <v>44</v>
      </c>
      <c r="B28" t="str">
        <f ca="1">TEXT(DATE(YEAR(Invoer!$A$5),1,1)+MOD(ROWS(B$2:B28)-1,DATE(YEAR(Invoer!$A$5),12,31)-DATE(YEAR(Invoer!$A$5),1,1)+1),"jjjjmmdd")</f>
        <v>19270127</v>
      </c>
      <c r="C28" s="12">
        <v>1</v>
      </c>
      <c r="D28" s="17">
        <f t="shared" ca="1" si="0"/>
        <v>0</v>
      </c>
      <c r="E28" s="18">
        <f t="shared" ca="1" si="1"/>
        <v>0</v>
      </c>
    </row>
    <row r="29" spans="1:5" x14ac:dyDescent="0.25">
      <c r="A29" s="11">
        <f ca="1">INDEX(Stations,INT((ROWS(A$2:A29)-1)/(DATE(YEAR(Invoer!$A$5),12,31)-DATE(YEAR(Invoer!$A$5),1,1)+1))+2,1)</f>
        <v>44</v>
      </c>
      <c r="B29" t="str">
        <f ca="1">TEXT(DATE(YEAR(Invoer!$A$5),1,1)+MOD(ROWS(B$2:B29)-1,DATE(YEAR(Invoer!$A$5),12,31)-DATE(YEAR(Invoer!$A$5),1,1)+1),"jjjjmmdd")</f>
        <v>19270128</v>
      </c>
      <c r="C29" s="12">
        <v>1</v>
      </c>
      <c r="D29" s="17">
        <f t="shared" ca="1" si="0"/>
        <v>10</v>
      </c>
      <c r="E29" s="18">
        <f t="shared" ca="1" si="1"/>
        <v>0</v>
      </c>
    </row>
    <row r="30" spans="1:5" x14ac:dyDescent="0.25">
      <c r="A30" s="11">
        <f ca="1">INDEX(Stations,INT((ROWS(A$2:A30)-1)/(DATE(YEAR(Invoer!$A$5),12,31)-DATE(YEAR(Invoer!$A$5),1,1)+1))+2,1)</f>
        <v>44</v>
      </c>
      <c r="B30" t="str">
        <f ca="1">TEXT(DATE(YEAR(Invoer!$A$5),1,1)+MOD(ROWS(B$2:B30)-1,DATE(YEAR(Invoer!$A$5),12,31)-DATE(YEAR(Invoer!$A$5),1,1)+1),"jjjjmmdd")</f>
        <v>19270129</v>
      </c>
      <c r="C30" s="12">
        <v>1</v>
      </c>
      <c r="D30" s="17">
        <f t="shared" ca="1" si="0"/>
        <v>46</v>
      </c>
      <c r="E30" s="18">
        <f t="shared" ca="1" si="1"/>
        <v>0</v>
      </c>
    </row>
    <row r="31" spans="1:5" x14ac:dyDescent="0.25">
      <c r="A31" s="11">
        <f ca="1">INDEX(Stations,INT((ROWS(A$2:A31)-1)/(DATE(YEAR(Invoer!$A$5),12,31)-DATE(YEAR(Invoer!$A$5),1,1)+1))+2,1)</f>
        <v>44</v>
      </c>
      <c r="B31" t="str">
        <f ca="1">TEXT(DATE(YEAR(Invoer!$A$5),1,1)+MOD(ROWS(B$2:B31)-1,DATE(YEAR(Invoer!$A$5),12,31)-DATE(YEAR(Invoer!$A$5),1,1)+1),"jjjjmmdd")</f>
        <v>19270130</v>
      </c>
      <c r="C31" s="12">
        <v>1</v>
      </c>
      <c r="D31" s="17">
        <f t="shared" ca="1" si="0"/>
        <v>25</v>
      </c>
      <c r="E31" s="18">
        <f t="shared" ca="1" si="1"/>
        <v>0</v>
      </c>
    </row>
    <row r="32" spans="1:5" x14ac:dyDescent="0.25">
      <c r="A32" s="11">
        <f ca="1">INDEX(Stations,INT((ROWS(A$2:A32)-1)/(DATE(YEAR(Invoer!$A$5),12,31)-DATE(YEAR(Invoer!$A$5),1,1)+1))+2,1)</f>
        <v>44</v>
      </c>
      <c r="B32" t="str">
        <f ca="1">TEXT(DATE(YEAR(Invoer!$A$5),1,1)+MOD(ROWS(B$2:B32)-1,DATE(YEAR(Invoer!$A$5),12,31)-DATE(YEAR(Invoer!$A$5),1,1)+1),"jjjjmmdd")</f>
        <v>19270131</v>
      </c>
      <c r="C32" s="12">
        <v>1</v>
      </c>
      <c r="D32" s="17">
        <f t="shared" ca="1" si="0"/>
        <v>61</v>
      </c>
      <c r="E32" s="18">
        <f t="shared" ca="1" si="1"/>
        <v>0</v>
      </c>
    </row>
    <row r="33" spans="1:5" x14ac:dyDescent="0.25">
      <c r="A33" s="11">
        <f ca="1">INDEX(Stations,INT((ROWS(A$2:A33)-1)/(DATE(YEAR(Invoer!$A$5),12,31)-DATE(YEAR(Invoer!$A$5),1,1)+1))+2,1)</f>
        <v>44</v>
      </c>
      <c r="B33" t="str">
        <f ca="1">TEXT(DATE(YEAR(Invoer!$A$5),1,1)+MOD(ROWS(B$2:B33)-1,DATE(YEAR(Invoer!$A$5),12,31)-DATE(YEAR(Invoer!$A$5),1,1)+1),"jjjjmmdd")</f>
        <v>19270201</v>
      </c>
      <c r="C33" s="12">
        <v>1</v>
      </c>
      <c r="D33" s="17">
        <f t="shared" ca="1" si="0"/>
        <v>0</v>
      </c>
      <c r="E33" s="18">
        <f t="shared" ca="1" si="1"/>
        <v>0</v>
      </c>
    </row>
    <row r="34" spans="1:5" x14ac:dyDescent="0.25">
      <c r="A34" s="11">
        <f ca="1">INDEX(Stations,INT((ROWS(A$2:A34)-1)/(DATE(YEAR(Invoer!$A$5),12,31)-DATE(YEAR(Invoer!$A$5),1,1)+1))+2,1)</f>
        <v>44</v>
      </c>
      <c r="B34" t="str">
        <f ca="1">TEXT(DATE(YEAR(Invoer!$A$5),1,1)+MOD(ROWS(B$2:B34)-1,DATE(YEAR(Invoer!$A$5),12,31)-DATE(YEAR(Invoer!$A$5),1,1)+1),"jjjjmmdd")</f>
        <v>19270202</v>
      </c>
      <c r="C34" s="12">
        <v>1</v>
      </c>
      <c r="D34" s="17">
        <f t="shared" ca="1" si="0"/>
        <v>34</v>
      </c>
      <c r="E34" s="18">
        <f t="shared" ca="1" si="1"/>
        <v>0</v>
      </c>
    </row>
    <row r="35" spans="1:5" x14ac:dyDescent="0.25">
      <c r="A35" s="11">
        <f ca="1">INDEX(Stations,INT((ROWS(A$2:A35)-1)/(DATE(YEAR(Invoer!$A$5),12,31)-DATE(YEAR(Invoer!$A$5),1,1)+1))+2,1)</f>
        <v>44</v>
      </c>
      <c r="B35" t="str">
        <f ca="1">TEXT(DATE(YEAR(Invoer!$A$5),1,1)+MOD(ROWS(B$2:B35)-1,DATE(YEAR(Invoer!$A$5),12,31)-DATE(YEAR(Invoer!$A$5),1,1)+1),"jjjjmmdd")</f>
        <v>19270203</v>
      </c>
      <c r="C35" s="12">
        <v>1</v>
      </c>
      <c r="D35" s="17">
        <f t="shared" ca="1" si="0"/>
        <v>13</v>
      </c>
      <c r="E35" s="18">
        <f t="shared" ca="1" si="1"/>
        <v>0</v>
      </c>
    </row>
    <row r="36" spans="1:5" x14ac:dyDescent="0.25">
      <c r="A36" s="11">
        <f ca="1">INDEX(Stations,INT((ROWS(A$2:A36)-1)/(DATE(YEAR(Invoer!$A$5),12,31)-DATE(YEAR(Invoer!$A$5),1,1)+1))+2,1)</f>
        <v>44</v>
      </c>
      <c r="B36" t="str">
        <f ca="1">TEXT(DATE(YEAR(Invoer!$A$5),1,1)+MOD(ROWS(B$2:B36)-1,DATE(YEAR(Invoer!$A$5),12,31)-DATE(YEAR(Invoer!$A$5),1,1)+1),"jjjjmmdd")</f>
        <v>19270204</v>
      </c>
      <c r="C36" s="12">
        <v>1</v>
      </c>
      <c r="D36" s="17">
        <f t="shared" ca="1" si="0"/>
        <v>8</v>
      </c>
      <c r="E36" s="18">
        <f t="shared" ca="1" si="1"/>
        <v>0</v>
      </c>
    </row>
    <row r="37" spans="1:5" x14ac:dyDescent="0.25">
      <c r="A37" s="11">
        <f ca="1">INDEX(Stations,INT((ROWS(A$2:A37)-1)/(DATE(YEAR(Invoer!$A$5),12,31)-DATE(YEAR(Invoer!$A$5),1,1)+1))+2,1)</f>
        <v>44</v>
      </c>
      <c r="B37" t="str">
        <f ca="1">TEXT(DATE(YEAR(Invoer!$A$5),1,1)+MOD(ROWS(B$2:B37)-1,DATE(YEAR(Invoer!$A$5),12,31)-DATE(YEAR(Invoer!$A$5),1,1)+1),"jjjjmmdd")</f>
        <v>19270205</v>
      </c>
      <c r="C37" s="12">
        <v>1</v>
      </c>
      <c r="D37" s="17">
        <f t="shared" ca="1" si="0"/>
        <v>7</v>
      </c>
      <c r="E37" s="18">
        <f t="shared" ca="1" si="1"/>
        <v>0</v>
      </c>
    </row>
    <row r="38" spans="1:5" x14ac:dyDescent="0.25">
      <c r="A38" s="11">
        <f ca="1">INDEX(Stations,INT((ROWS(A$2:A38)-1)/(DATE(YEAR(Invoer!$A$5),12,31)-DATE(YEAR(Invoer!$A$5),1,1)+1))+2,1)</f>
        <v>44</v>
      </c>
      <c r="B38" t="str">
        <f ca="1">TEXT(DATE(YEAR(Invoer!$A$5),1,1)+MOD(ROWS(B$2:B38)-1,DATE(YEAR(Invoer!$A$5),12,31)-DATE(YEAR(Invoer!$A$5),1,1)+1),"jjjjmmdd")</f>
        <v>19270206</v>
      </c>
      <c r="C38" s="12">
        <v>1</v>
      </c>
      <c r="D38" s="17">
        <f t="shared" ca="1" si="0"/>
        <v>0</v>
      </c>
      <c r="E38" s="18">
        <f t="shared" ca="1" si="1"/>
        <v>0</v>
      </c>
    </row>
    <row r="39" spans="1:5" x14ac:dyDescent="0.25">
      <c r="A39" s="11">
        <f ca="1">INDEX(Stations,INT((ROWS(A$2:A39)-1)/(DATE(YEAR(Invoer!$A$5),12,31)-DATE(YEAR(Invoer!$A$5),1,1)+1))+2,1)</f>
        <v>44</v>
      </c>
      <c r="B39" t="str">
        <f ca="1">TEXT(DATE(YEAR(Invoer!$A$5),1,1)+MOD(ROWS(B$2:B39)-1,DATE(YEAR(Invoer!$A$5),12,31)-DATE(YEAR(Invoer!$A$5),1,1)+1),"jjjjmmdd")</f>
        <v>19270207</v>
      </c>
      <c r="C39" s="12">
        <v>1</v>
      </c>
      <c r="D39" s="17">
        <f t="shared" ca="1" si="0"/>
        <v>6</v>
      </c>
      <c r="E39" s="18">
        <f t="shared" ca="1" si="1"/>
        <v>0</v>
      </c>
    </row>
    <row r="40" spans="1:5" x14ac:dyDescent="0.25">
      <c r="A40" s="11">
        <f ca="1">INDEX(Stations,INT((ROWS(A$2:A40)-1)/(DATE(YEAR(Invoer!$A$5),12,31)-DATE(YEAR(Invoer!$A$5),1,1)+1))+2,1)</f>
        <v>44</v>
      </c>
      <c r="B40" t="str">
        <f ca="1">TEXT(DATE(YEAR(Invoer!$A$5),1,1)+MOD(ROWS(B$2:B40)-1,DATE(YEAR(Invoer!$A$5),12,31)-DATE(YEAR(Invoer!$A$5),1,1)+1),"jjjjmmdd")</f>
        <v>19270208</v>
      </c>
      <c r="C40" s="12">
        <v>1</v>
      </c>
      <c r="D40" s="17">
        <f t="shared" ca="1" si="0"/>
        <v>8</v>
      </c>
      <c r="E40" s="18">
        <f t="shared" ca="1" si="1"/>
        <v>0</v>
      </c>
    </row>
    <row r="41" spans="1:5" x14ac:dyDescent="0.25">
      <c r="A41" s="11">
        <f ca="1">INDEX(Stations,INT((ROWS(A$2:A41)-1)/(DATE(YEAR(Invoer!$A$5),12,31)-DATE(YEAR(Invoer!$A$5),1,1)+1))+2,1)</f>
        <v>44</v>
      </c>
      <c r="B41" t="str">
        <f ca="1">TEXT(DATE(YEAR(Invoer!$A$5),1,1)+MOD(ROWS(B$2:B41)-1,DATE(YEAR(Invoer!$A$5),12,31)-DATE(YEAR(Invoer!$A$5),1,1)+1),"jjjjmmdd")</f>
        <v>19270209</v>
      </c>
      <c r="C41" s="12">
        <v>1</v>
      </c>
      <c r="D41" s="17">
        <f t="shared" ca="1" si="0"/>
        <v>5</v>
      </c>
      <c r="E41" s="18">
        <f t="shared" ca="1" si="1"/>
        <v>0</v>
      </c>
    </row>
    <row r="42" spans="1:5" x14ac:dyDescent="0.25">
      <c r="A42" s="11">
        <f ca="1">INDEX(Stations,INT((ROWS(A$2:A42)-1)/(DATE(YEAR(Invoer!$A$5),12,31)-DATE(YEAR(Invoer!$A$5),1,1)+1))+2,1)</f>
        <v>44</v>
      </c>
      <c r="B42" t="str">
        <f ca="1">TEXT(DATE(YEAR(Invoer!$A$5),1,1)+MOD(ROWS(B$2:B42)-1,DATE(YEAR(Invoer!$A$5),12,31)-DATE(YEAR(Invoer!$A$5),1,1)+1),"jjjjmmdd")</f>
        <v>19270210</v>
      </c>
      <c r="C42" s="12">
        <v>1</v>
      </c>
      <c r="D42" s="17">
        <f t="shared" ca="1" si="0"/>
        <v>3</v>
      </c>
      <c r="E42" s="18">
        <f t="shared" ca="1" si="1"/>
        <v>0</v>
      </c>
    </row>
    <row r="43" spans="1:5" x14ac:dyDescent="0.25">
      <c r="A43" s="11">
        <f ca="1">INDEX(Stations,INT((ROWS(A$2:A43)-1)/(DATE(YEAR(Invoer!$A$5),12,31)-DATE(YEAR(Invoer!$A$5),1,1)+1))+2,1)</f>
        <v>44</v>
      </c>
      <c r="B43" t="str">
        <f ca="1">TEXT(DATE(YEAR(Invoer!$A$5),1,1)+MOD(ROWS(B$2:B43)-1,DATE(YEAR(Invoer!$A$5),12,31)-DATE(YEAR(Invoer!$A$5),1,1)+1),"jjjjmmdd")</f>
        <v>19270211</v>
      </c>
      <c r="C43" s="12">
        <v>1</v>
      </c>
      <c r="D43" s="17">
        <f t="shared" ca="1" si="0"/>
        <v>26</v>
      </c>
      <c r="E43" s="18">
        <f t="shared" ca="1" si="1"/>
        <v>0</v>
      </c>
    </row>
    <row r="44" spans="1:5" x14ac:dyDescent="0.25">
      <c r="A44" s="11">
        <f ca="1">INDEX(Stations,INT((ROWS(A$2:A44)-1)/(DATE(YEAR(Invoer!$A$5),12,31)-DATE(YEAR(Invoer!$A$5),1,1)+1))+2,1)</f>
        <v>44</v>
      </c>
      <c r="B44" t="str">
        <f ca="1">TEXT(DATE(YEAR(Invoer!$A$5),1,1)+MOD(ROWS(B$2:B44)-1,DATE(YEAR(Invoer!$A$5),12,31)-DATE(YEAR(Invoer!$A$5),1,1)+1),"jjjjmmdd")</f>
        <v>19270212</v>
      </c>
      <c r="C44" s="12">
        <v>1</v>
      </c>
      <c r="D44" s="17">
        <f t="shared" ca="1" si="0"/>
        <v>64</v>
      </c>
      <c r="E44" s="18">
        <f t="shared" ca="1" si="1"/>
        <v>0</v>
      </c>
    </row>
    <row r="45" spans="1:5" x14ac:dyDescent="0.25">
      <c r="A45" s="11">
        <f ca="1">INDEX(Stations,INT((ROWS(A$2:A45)-1)/(DATE(YEAR(Invoer!$A$5),12,31)-DATE(YEAR(Invoer!$A$5),1,1)+1))+2,1)</f>
        <v>44</v>
      </c>
      <c r="B45" t="str">
        <f ca="1">TEXT(DATE(YEAR(Invoer!$A$5),1,1)+MOD(ROWS(B$2:B45)-1,DATE(YEAR(Invoer!$A$5),12,31)-DATE(YEAR(Invoer!$A$5),1,1)+1),"jjjjmmdd")</f>
        <v>19270213</v>
      </c>
      <c r="C45" s="12">
        <v>1</v>
      </c>
      <c r="D45" s="17">
        <f t="shared" ca="1" si="0"/>
        <v>0</v>
      </c>
      <c r="E45" s="18">
        <f t="shared" ca="1" si="1"/>
        <v>0</v>
      </c>
    </row>
    <row r="46" spans="1:5" x14ac:dyDescent="0.25">
      <c r="A46" s="11">
        <f ca="1">INDEX(Stations,INT((ROWS(A$2:A46)-1)/(DATE(YEAR(Invoer!$A$5),12,31)-DATE(YEAR(Invoer!$A$5),1,1)+1))+2,1)</f>
        <v>44</v>
      </c>
      <c r="B46" t="str">
        <f ca="1">TEXT(DATE(YEAR(Invoer!$A$5),1,1)+MOD(ROWS(B$2:B46)-1,DATE(YEAR(Invoer!$A$5),12,31)-DATE(YEAR(Invoer!$A$5),1,1)+1),"jjjjmmdd")</f>
        <v>19270214</v>
      </c>
      <c r="C46" s="12">
        <v>1</v>
      </c>
      <c r="D46" s="17">
        <f t="shared" ca="1" si="0"/>
        <v>47</v>
      </c>
      <c r="E46" s="18">
        <f t="shared" ca="1" si="1"/>
        <v>0</v>
      </c>
    </row>
    <row r="47" spans="1:5" x14ac:dyDescent="0.25">
      <c r="A47" s="11">
        <f ca="1">INDEX(Stations,INT((ROWS(A$2:A47)-1)/(DATE(YEAR(Invoer!$A$5),12,31)-DATE(YEAR(Invoer!$A$5),1,1)+1))+2,1)</f>
        <v>44</v>
      </c>
      <c r="B47" t="str">
        <f ca="1">TEXT(DATE(YEAR(Invoer!$A$5),1,1)+MOD(ROWS(B$2:B47)-1,DATE(YEAR(Invoer!$A$5),12,31)-DATE(YEAR(Invoer!$A$5),1,1)+1),"jjjjmmdd")</f>
        <v>19270215</v>
      </c>
      <c r="C47" s="12">
        <v>1</v>
      </c>
      <c r="D47" s="17">
        <f t="shared" ca="1" si="0"/>
        <v>0</v>
      </c>
      <c r="E47" s="18">
        <f t="shared" ca="1" si="1"/>
        <v>0</v>
      </c>
    </row>
    <row r="48" spans="1:5" x14ac:dyDescent="0.25">
      <c r="A48" s="11">
        <f ca="1">INDEX(Stations,INT((ROWS(A$2:A48)-1)/(DATE(YEAR(Invoer!$A$5),12,31)-DATE(YEAR(Invoer!$A$5),1,1)+1))+2,1)</f>
        <v>44</v>
      </c>
      <c r="B48" t="str">
        <f ca="1">TEXT(DATE(YEAR(Invoer!$A$5),1,1)+MOD(ROWS(B$2:B48)-1,DATE(YEAR(Invoer!$A$5),12,31)-DATE(YEAR(Invoer!$A$5),1,1)+1),"jjjjmmdd")</f>
        <v>19270216</v>
      </c>
      <c r="C48" s="12">
        <v>1</v>
      </c>
      <c r="D48" s="17">
        <f t="shared" ca="1" si="0"/>
        <v>0</v>
      </c>
      <c r="E48" s="18">
        <f t="shared" ca="1" si="1"/>
        <v>0</v>
      </c>
    </row>
    <row r="49" spans="1:5" x14ac:dyDescent="0.25">
      <c r="A49" s="11">
        <f ca="1">INDEX(Stations,INT((ROWS(A$2:A49)-1)/(DATE(YEAR(Invoer!$A$5),12,31)-DATE(YEAR(Invoer!$A$5),1,1)+1))+2,1)</f>
        <v>44</v>
      </c>
      <c r="B49" t="str">
        <f ca="1">TEXT(DATE(YEAR(Invoer!$A$5),1,1)+MOD(ROWS(B$2:B49)-1,DATE(YEAR(Invoer!$A$5),12,31)-DATE(YEAR(Invoer!$A$5),1,1)+1),"jjjjmmdd")</f>
        <v>19270217</v>
      </c>
      <c r="C49" s="12">
        <v>1</v>
      </c>
      <c r="D49" s="17">
        <f t="shared" ca="1" si="0"/>
        <v>7</v>
      </c>
      <c r="E49" s="18">
        <f t="shared" ca="1" si="1"/>
        <v>0</v>
      </c>
    </row>
    <row r="50" spans="1:5" x14ac:dyDescent="0.25">
      <c r="A50" s="11">
        <f ca="1">INDEX(Stations,INT((ROWS(A$2:A50)-1)/(DATE(YEAR(Invoer!$A$5),12,31)-DATE(YEAR(Invoer!$A$5),1,1)+1))+2,1)</f>
        <v>44</v>
      </c>
      <c r="B50" t="str">
        <f ca="1">TEXT(DATE(YEAR(Invoer!$A$5),1,1)+MOD(ROWS(B$2:B50)-1,DATE(YEAR(Invoer!$A$5),12,31)-DATE(YEAR(Invoer!$A$5),1,1)+1),"jjjjmmdd")</f>
        <v>19270218</v>
      </c>
      <c r="C50" s="12">
        <v>1</v>
      </c>
      <c r="D50" s="17">
        <f t="shared" ca="1" si="0"/>
        <v>65</v>
      </c>
      <c r="E50" s="18">
        <f t="shared" ca="1" si="1"/>
        <v>0</v>
      </c>
    </row>
    <row r="51" spans="1:5" x14ac:dyDescent="0.25">
      <c r="A51" s="11">
        <f ca="1">INDEX(Stations,INT((ROWS(A$2:A51)-1)/(DATE(YEAR(Invoer!$A$5),12,31)-DATE(YEAR(Invoer!$A$5),1,1)+1))+2,1)</f>
        <v>44</v>
      </c>
      <c r="B51" t="str">
        <f ca="1">TEXT(DATE(YEAR(Invoer!$A$5),1,1)+MOD(ROWS(B$2:B51)-1,DATE(YEAR(Invoer!$A$5),12,31)-DATE(YEAR(Invoer!$A$5),1,1)+1),"jjjjmmdd")</f>
        <v>19270219</v>
      </c>
      <c r="C51" s="12">
        <v>1</v>
      </c>
      <c r="D51" s="17">
        <f t="shared" ca="1" si="0"/>
        <v>0</v>
      </c>
      <c r="E51" s="18">
        <f t="shared" ca="1" si="1"/>
        <v>0</v>
      </c>
    </row>
    <row r="52" spans="1:5" x14ac:dyDescent="0.25">
      <c r="A52" s="11">
        <f ca="1">INDEX(Stations,INT((ROWS(A$2:A52)-1)/(DATE(YEAR(Invoer!$A$5),12,31)-DATE(YEAR(Invoer!$A$5),1,1)+1))+2,1)</f>
        <v>44</v>
      </c>
      <c r="B52" t="str">
        <f ca="1">TEXT(DATE(YEAR(Invoer!$A$5),1,1)+MOD(ROWS(B$2:B52)-1,DATE(YEAR(Invoer!$A$5),12,31)-DATE(YEAR(Invoer!$A$5),1,1)+1),"jjjjmmdd")</f>
        <v>19270220</v>
      </c>
      <c r="C52" s="12">
        <v>1</v>
      </c>
      <c r="D52" s="17">
        <f t="shared" ca="1" si="0"/>
        <v>0</v>
      </c>
      <c r="E52" s="18">
        <f t="shared" ca="1" si="1"/>
        <v>0</v>
      </c>
    </row>
    <row r="53" spans="1:5" x14ac:dyDescent="0.25">
      <c r="A53" s="11">
        <f ca="1">INDEX(Stations,INT((ROWS(A$2:A53)-1)/(DATE(YEAR(Invoer!$A$5),12,31)-DATE(YEAR(Invoer!$A$5),1,1)+1))+2,1)</f>
        <v>44</v>
      </c>
      <c r="B53" t="str">
        <f ca="1">TEXT(DATE(YEAR(Invoer!$A$5),1,1)+MOD(ROWS(B$2:B53)-1,DATE(YEAR(Invoer!$A$5),12,31)-DATE(YEAR(Invoer!$A$5),1,1)+1),"jjjjmmdd")</f>
        <v>19270221</v>
      </c>
      <c r="C53" s="12">
        <v>1</v>
      </c>
      <c r="D53" s="17">
        <f t="shared" ca="1" si="0"/>
        <v>15</v>
      </c>
      <c r="E53" s="18">
        <f t="shared" ca="1" si="1"/>
        <v>0</v>
      </c>
    </row>
    <row r="54" spans="1:5" x14ac:dyDescent="0.25">
      <c r="A54" s="11">
        <f ca="1">INDEX(Stations,INT((ROWS(A$2:A54)-1)/(DATE(YEAR(Invoer!$A$5),12,31)-DATE(YEAR(Invoer!$A$5),1,1)+1))+2,1)</f>
        <v>44</v>
      </c>
      <c r="B54" t="str">
        <f ca="1">TEXT(DATE(YEAR(Invoer!$A$5),1,1)+MOD(ROWS(B$2:B54)-1,DATE(YEAR(Invoer!$A$5),12,31)-DATE(YEAR(Invoer!$A$5),1,1)+1),"jjjjmmdd")</f>
        <v>19270222</v>
      </c>
      <c r="C54" s="12">
        <v>1</v>
      </c>
      <c r="D54" s="17">
        <f t="shared" ca="1" si="0"/>
        <v>0</v>
      </c>
      <c r="E54" s="18">
        <f t="shared" ca="1" si="1"/>
        <v>0</v>
      </c>
    </row>
    <row r="55" spans="1:5" x14ac:dyDescent="0.25">
      <c r="A55" s="11">
        <f ca="1">INDEX(Stations,INT((ROWS(A$2:A55)-1)/(DATE(YEAR(Invoer!$A$5),12,31)-DATE(YEAR(Invoer!$A$5),1,1)+1))+2,1)</f>
        <v>44</v>
      </c>
      <c r="B55" t="str">
        <f ca="1">TEXT(DATE(YEAR(Invoer!$A$5),1,1)+MOD(ROWS(B$2:B55)-1,DATE(YEAR(Invoer!$A$5),12,31)-DATE(YEAR(Invoer!$A$5),1,1)+1),"jjjjmmdd")</f>
        <v>19270223</v>
      </c>
      <c r="C55" s="12">
        <v>1</v>
      </c>
      <c r="D55" s="17">
        <f t="shared" ca="1" si="0"/>
        <v>84</v>
      </c>
      <c r="E55" s="18">
        <f t="shared" ca="1" si="1"/>
        <v>0</v>
      </c>
    </row>
    <row r="56" spans="1:5" x14ac:dyDescent="0.25">
      <c r="A56" s="11">
        <f ca="1">INDEX(Stations,INT((ROWS(A$2:A56)-1)/(DATE(YEAR(Invoer!$A$5),12,31)-DATE(YEAR(Invoer!$A$5),1,1)+1))+2,1)</f>
        <v>44</v>
      </c>
      <c r="B56" t="str">
        <f ca="1">TEXT(DATE(YEAR(Invoer!$A$5),1,1)+MOD(ROWS(B$2:B56)-1,DATE(YEAR(Invoer!$A$5),12,31)-DATE(YEAR(Invoer!$A$5),1,1)+1),"jjjjmmdd")</f>
        <v>19270224</v>
      </c>
      <c r="C56" s="12">
        <v>1</v>
      </c>
      <c r="D56" s="17">
        <f t="shared" ca="1" si="0"/>
        <v>0</v>
      </c>
      <c r="E56" s="18">
        <f t="shared" ca="1" si="1"/>
        <v>0</v>
      </c>
    </row>
    <row r="57" spans="1:5" x14ac:dyDescent="0.25">
      <c r="A57" s="11">
        <f ca="1">INDEX(Stations,INT((ROWS(A$2:A57)-1)/(DATE(YEAR(Invoer!$A$5),12,31)-DATE(YEAR(Invoer!$A$5),1,1)+1))+2,1)</f>
        <v>44</v>
      </c>
      <c r="B57" t="str">
        <f ca="1">TEXT(DATE(YEAR(Invoer!$A$5),1,1)+MOD(ROWS(B$2:B57)-1,DATE(YEAR(Invoer!$A$5),12,31)-DATE(YEAR(Invoer!$A$5),1,1)+1),"jjjjmmdd")</f>
        <v>19270225</v>
      </c>
      <c r="C57" s="12">
        <v>1</v>
      </c>
      <c r="D57" s="17">
        <f t="shared" ca="1" si="0"/>
        <v>0</v>
      </c>
      <c r="E57" s="18">
        <f t="shared" ca="1" si="1"/>
        <v>0</v>
      </c>
    </row>
    <row r="58" spans="1:5" x14ac:dyDescent="0.25">
      <c r="A58" s="11">
        <f ca="1">INDEX(Stations,INT((ROWS(A$2:A58)-1)/(DATE(YEAR(Invoer!$A$5),12,31)-DATE(YEAR(Invoer!$A$5),1,1)+1))+2,1)</f>
        <v>44</v>
      </c>
      <c r="B58" t="str">
        <f ca="1">TEXT(DATE(YEAR(Invoer!$A$5),1,1)+MOD(ROWS(B$2:B58)-1,DATE(YEAR(Invoer!$A$5),12,31)-DATE(YEAR(Invoer!$A$5),1,1)+1),"jjjjmmdd")</f>
        <v>19270226</v>
      </c>
      <c r="C58" s="12">
        <v>1</v>
      </c>
      <c r="D58" s="17">
        <f t="shared" ca="1" si="0"/>
        <v>0</v>
      </c>
      <c r="E58" s="18">
        <f t="shared" ca="1" si="1"/>
        <v>0</v>
      </c>
    </row>
    <row r="59" spans="1:5" x14ac:dyDescent="0.25">
      <c r="A59" s="11">
        <f ca="1">INDEX(Stations,INT((ROWS(A$2:A59)-1)/(DATE(YEAR(Invoer!$A$5),12,31)-DATE(YEAR(Invoer!$A$5),1,1)+1))+2,1)</f>
        <v>44</v>
      </c>
      <c r="B59" t="str">
        <f ca="1">TEXT(DATE(YEAR(Invoer!$A$5),1,1)+MOD(ROWS(B$2:B59)-1,DATE(YEAR(Invoer!$A$5),12,31)-DATE(YEAR(Invoer!$A$5),1,1)+1),"jjjjmmdd")</f>
        <v>19270227</v>
      </c>
      <c r="C59" s="12">
        <v>1</v>
      </c>
      <c r="D59" s="17">
        <f t="shared" ca="1" si="0"/>
        <v>0</v>
      </c>
      <c r="E59" s="18">
        <f t="shared" ca="1" si="1"/>
        <v>0</v>
      </c>
    </row>
    <row r="60" spans="1:5" x14ac:dyDescent="0.25">
      <c r="A60" s="11">
        <f ca="1">INDEX(Stations,INT((ROWS(A$2:A60)-1)/(DATE(YEAR(Invoer!$A$5),12,31)-DATE(YEAR(Invoer!$A$5),1,1)+1))+2,1)</f>
        <v>44</v>
      </c>
      <c r="B60" t="str">
        <f ca="1">TEXT(DATE(YEAR(Invoer!$A$5),1,1)+MOD(ROWS(B$2:B60)-1,DATE(YEAR(Invoer!$A$5),12,31)-DATE(YEAR(Invoer!$A$5),1,1)+1),"jjjjmmdd")</f>
        <v>19270228</v>
      </c>
      <c r="C60" s="12">
        <v>1</v>
      </c>
      <c r="D60" s="17">
        <f t="shared" ca="1" si="0"/>
        <v>0</v>
      </c>
      <c r="E60" s="18">
        <f t="shared" ca="1" si="1"/>
        <v>0</v>
      </c>
    </row>
    <row r="61" spans="1:5" x14ac:dyDescent="0.25">
      <c r="A61" s="11">
        <f ca="1">INDEX(Stations,INT((ROWS(A$2:A61)-1)/(DATE(YEAR(Invoer!$A$5),12,31)-DATE(YEAR(Invoer!$A$5),1,1)+1))+2,1)</f>
        <v>44</v>
      </c>
      <c r="B61" t="str">
        <f ca="1">TEXT(DATE(YEAR(Invoer!$A$5),1,1)+MOD(ROWS(B$2:B61)-1,DATE(YEAR(Invoer!$A$5),12,31)-DATE(YEAR(Invoer!$A$5),1,1)+1),"jjjjmmdd")</f>
        <v>19270301</v>
      </c>
      <c r="C61" s="12">
        <v>1</v>
      </c>
      <c r="D61" s="17">
        <f t="shared" ca="1" si="0"/>
        <v>0</v>
      </c>
      <c r="E61" s="18">
        <f t="shared" ca="1" si="1"/>
        <v>0</v>
      </c>
    </row>
    <row r="62" spans="1:5" x14ac:dyDescent="0.25">
      <c r="A62" s="11">
        <f ca="1">INDEX(Stations,INT((ROWS(A$2:A62)-1)/(DATE(YEAR(Invoer!$A$5),12,31)-DATE(YEAR(Invoer!$A$5),1,1)+1))+2,1)</f>
        <v>44</v>
      </c>
      <c r="B62" t="str">
        <f ca="1">TEXT(DATE(YEAR(Invoer!$A$5),1,1)+MOD(ROWS(B$2:B62)-1,DATE(YEAR(Invoer!$A$5),12,31)-DATE(YEAR(Invoer!$A$5),1,1)+1),"jjjjmmdd")</f>
        <v>19270302</v>
      </c>
      <c r="C62" s="12">
        <v>1</v>
      </c>
      <c r="D62" s="17">
        <f t="shared" ca="1" si="0"/>
        <v>0</v>
      </c>
      <c r="E62" s="18">
        <f t="shared" ca="1" si="1"/>
        <v>0</v>
      </c>
    </row>
    <row r="63" spans="1:5" x14ac:dyDescent="0.25">
      <c r="A63" s="11">
        <f ca="1">INDEX(Stations,INT((ROWS(A$2:A63)-1)/(DATE(YEAR(Invoer!$A$5),12,31)-DATE(YEAR(Invoer!$A$5),1,1)+1))+2,1)</f>
        <v>44</v>
      </c>
      <c r="B63" t="str">
        <f ca="1">TEXT(DATE(YEAR(Invoer!$A$5),1,1)+MOD(ROWS(B$2:B63)-1,DATE(YEAR(Invoer!$A$5),12,31)-DATE(YEAR(Invoer!$A$5),1,1)+1),"jjjjmmdd")</f>
        <v>19270303</v>
      </c>
      <c r="C63" s="12">
        <v>1</v>
      </c>
      <c r="D63" s="17">
        <f t="shared" ca="1" si="0"/>
        <v>50</v>
      </c>
      <c r="E63" s="18">
        <f t="shared" ca="1" si="1"/>
        <v>0</v>
      </c>
    </row>
    <row r="64" spans="1:5" x14ac:dyDescent="0.25">
      <c r="A64" s="11">
        <f ca="1">INDEX(Stations,INT((ROWS(A$2:A64)-1)/(DATE(YEAR(Invoer!$A$5),12,31)-DATE(YEAR(Invoer!$A$5),1,1)+1))+2,1)</f>
        <v>44</v>
      </c>
      <c r="B64" t="str">
        <f ca="1">TEXT(DATE(YEAR(Invoer!$A$5),1,1)+MOD(ROWS(B$2:B64)-1,DATE(YEAR(Invoer!$A$5),12,31)-DATE(YEAR(Invoer!$A$5),1,1)+1),"jjjjmmdd")</f>
        <v>19270304</v>
      </c>
      <c r="C64" s="12">
        <v>1</v>
      </c>
      <c r="D64" s="17">
        <f t="shared" ca="1" si="0"/>
        <v>0</v>
      </c>
      <c r="E64" s="18">
        <f t="shared" ca="1" si="1"/>
        <v>0</v>
      </c>
    </row>
    <row r="65" spans="1:5" x14ac:dyDescent="0.25">
      <c r="A65" s="11">
        <f ca="1">INDEX(Stations,INT((ROWS(A$2:A65)-1)/(DATE(YEAR(Invoer!$A$5),12,31)-DATE(YEAR(Invoer!$A$5),1,1)+1))+2,1)</f>
        <v>44</v>
      </c>
      <c r="B65" t="str">
        <f ca="1">TEXT(DATE(YEAR(Invoer!$A$5),1,1)+MOD(ROWS(B$2:B65)-1,DATE(YEAR(Invoer!$A$5),12,31)-DATE(YEAR(Invoer!$A$5),1,1)+1),"jjjjmmdd")</f>
        <v>19270305</v>
      </c>
      <c r="C65" s="12">
        <v>1</v>
      </c>
      <c r="D65" s="17">
        <f t="shared" ca="1" si="0"/>
        <v>0</v>
      </c>
      <c r="E65" s="18">
        <f t="shared" ca="1" si="1"/>
        <v>0</v>
      </c>
    </row>
    <row r="66" spans="1:5" x14ac:dyDescent="0.25">
      <c r="A66" s="11">
        <f ca="1">INDEX(Stations,INT((ROWS(A$2:A66)-1)/(DATE(YEAR(Invoer!$A$5),12,31)-DATE(YEAR(Invoer!$A$5),1,1)+1))+2,1)</f>
        <v>44</v>
      </c>
      <c r="B66" t="str">
        <f ca="1">TEXT(DATE(YEAR(Invoer!$A$5),1,1)+MOD(ROWS(B$2:B66)-1,DATE(YEAR(Invoer!$A$5),12,31)-DATE(YEAR(Invoer!$A$5),1,1)+1),"jjjjmmdd")</f>
        <v>19270306</v>
      </c>
      <c r="C66" s="12">
        <v>1</v>
      </c>
      <c r="D66" s="17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18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1">
        <f ca="1">INDEX(Stations,INT((ROWS(A$2:A67)-1)/(DATE(YEAR(Invoer!$A$5),12,31)-DATE(YEAR(Invoer!$A$5),1,1)+1))+2,1)</f>
        <v>44</v>
      </c>
      <c r="B67" t="str">
        <f ca="1">TEXT(DATE(YEAR(Invoer!$A$5),1,1)+MOD(ROWS(B$2:B67)-1,DATE(YEAR(Invoer!$A$5),12,31)-DATE(YEAR(Invoer!$A$5),1,1)+1),"jjjjmmdd")</f>
        <v>19270307</v>
      </c>
      <c r="C67" s="12">
        <v>1</v>
      </c>
      <c r="D67" s="17">
        <f t="shared" ca="1" si="2"/>
        <v>4</v>
      </c>
      <c r="E67" s="18">
        <f t="shared" ca="1" si="3"/>
        <v>0</v>
      </c>
    </row>
    <row r="68" spans="1:5" x14ac:dyDescent="0.25">
      <c r="A68" s="11">
        <f ca="1">INDEX(Stations,INT((ROWS(A$2:A68)-1)/(DATE(YEAR(Invoer!$A$5),12,31)-DATE(YEAR(Invoer!$A$5),1,1)+1))+2,1)</f>
        <v>44</v>
      </c>
      <c r="B68" t="str">
        <f ca="1">TEXT(DATE(YEAR(Invoer!$A$5),1,1)+MOD(ROWS(B$2:B68)-1,DATE(YEAR(Invoer!$A$5),12,31)-DATE(YEAR(Invoer!$A$5),1,1)+1),"jjjjmmdd")</f>
        <v>19270308</v>
      </c>
      <c r="C68" s="12">
        <v>1</v>
      </c>
      <c r="D68" s="17">
        <f t="shared" ca="1" si="2"/>
        <v>26</v>
      </c>
      <c r="E68" s="18">
        <f t="shared" ca="1" si="3"/>
        <v>0</v>
      </c>
    </row>
    <row r="69" spans="1:5" x14ac:dyDescent="0.25">
      <c r="A69" s="11">
        <f ca="1">INDEX(Stations,INT((ROWS(A$2:A69)-1)/(DATE(YEAR(Invoer!$A$5),12,31)-DATE(YEAR(Invoer!$A$5),1,1)+1))+2,1)</f>
        <v>44</v>
      </c>
      <c r="B69" t="str">
        <f ca="1">TEXT(DATE(YEAR(Invoer!$A$5),1,1)+MOD(ROWS(B$2:B69)-1,DATE(YEAR(Invoer!$A$5),12,31)-DATE(YEAR(Invoer!$A$5),1,1)+1),"jjjjmmdd")</f>
        <v>19270309</v>
      </c>
      <c r="C69" s="12">
        <v>1</v>
      </c>
      <c r="D69" s="17">
        <f t="shared" ca="1" si="2"/>
        <v>4</v>
      </c>
      <c r="E69" s="18">
        <f t="shared" ca="1" si="3"/>
        <v>0</v>
      </c>
    </row>
    <row r="70" spans="1:5" x14ac:dyDescent="0.25">
      <c r="A70" s="11">
        <f ca="1">INDEX(Stations,INT((ROWS(A$2:A70)-1)/(DATE(YEAR(Invoer!$A$5),12,31)-DATE(YEAR(Invoer!$A$5),1,1)+1))+2,1)</f>
        <v>44</v>
      </c>
      <c r="B70" t="str">
        <f ca="1">TEXT(DATE(YEAR(Invoer!$A$5),1,1)+MOD(ROWS(B$2:B70)-1,DATE(YEAR(Invoer!$A$5),12,31)-DATE(YEAR(Invoer!$A$5),1,1)+1),"jjjjmmdd")</f>
        <v>19270310</v>
      </c>
      <c r="C70" s="12">
        <v>1</v>
      </c>
      <c r="D70" s="17">
        <f t="shared" ca="1" si="2"/>
        <v>5</v>
      </c>
      <c r="E70" s="18">
        <f t="shared" ca="1" si="3"/>
        <v>0</v>
      </c>
    </row>
    <row r="71" spans="1:5" x14ac:dyDescent="0.25">
      <c r="A71" s="11">
        <f ca="1">INDEX(Stations,INT((ROWS(A$2:A71)-1)/(DATE(YEAR(Invoer!$A$5),12,31)-DATE(YEAR(Invoer!$A$5),1,1)+1))+2,1)</f>
        <v>44</v>
      </c>
      <c r="B71" t="str">
        <f ca="1">TEXT(DATE(YEAR(Invoer!$A$5),1,1)+MOD(ROWS(B$2:B71)-1,DATE(YEAR(Invoer!$A$5),12,31)-DATE(YEAR(Invoer!$A$5),1,1)+1),"jjjjmmdd")</f>
        <v>19270311</v>
      </c>
      <c r="C71" s="12">
        <v>1</v>
      </c>
      <c r="D71" s="17">
        <f t="shared" ca="1" si="2"/>
        <v>0</v>
      </c>
      <c r="E71" s="18">
        <f t="shared" ca="1" si="3"/>
        <v>0</v>
      </c>
    </row>
    <row r="72" spans="1:5" x14ac:dyDescent="0.25">
      <c r="A72" s="11">
        <f ca="1">INDEX(Stations,INT((ROWS(A$2:A72)-1)/(DATE(YEAR(Invoer!$A$5),12,31)-DATE(YEAR(Invoer!$A$5),1,1)+1))+2,1)</f>
        <v>44</v>
      </c>
      <c r="B72" t="str">
        <f ca="1">TEXT(DATE(YEAR(Invoer!$A$5),1,1)+MOD(ROWS(B$2:B72)-1,DATE(YEAR(Invoer!$A$5),12,31)-DATE(YEAR(Invoer!$A$5),1,1)+1),"jjjjmmdd")</f>
        <v>19270312</v>
      </c>
      <c r="C72" s="12">
        <v>1</v>
      </c>
      <c r="D72" s="17">
        <f t="shared" ca="1" si="2"/>
        <v>21</v>
      </c>
      <c r="E72" s="18">
        <f t="shared" ca="1" si="3"/>
        <v>0</v>
      </c>
    </row>
    <row r="73" spans="1:5" x14ac:dyDescent="0.25">
      <c r="A73" s="11">
        <f ca="1">INDEX(Stations,INT((ROWS(A$2:A73)-1)/(DATE(YEAR(Invoer!$A$5),12,31)-DATE(YEAR(Invoer!$A$5),1,1)+1))+2,1)</f>
        <v>44</v>
      </c>
      <c r="B73" t="str">
        <f ca="1">TEXT(DATE(YEAR(Invoer!$A$5),1,1)+MOD(ROWS(B$2:B73)-1,DATE(YEAR(Invoer!$A$5),12,31)-DATE(YEAR(Invoer!$A$5),1,1)+1),"jjjjmmdd")</f>
        <v>19270313</v>
      </c>
      <c r="C73" s="12">
        <v>1</v>
      </c>
      <c r="D73" s="17">
        <f t="shared" ca="1" si="2"/>
        <v>0</v>
      </c>
      <c r="E73" s="18">
        <f t="shared" ca="1" si="3"/>
        <v>0</v>
      </c>
    </row>
    <row r="74" spans="1:5" x14ac:dyDescent="0.25">
      <c r="A74" s="11">
        <f ca="1">INDEX(Stations,INT((ROWS(A$2:A74)-1)/(DATE(YEAR(Invoer!$A$5),12,31)-DATE(YEAR(Invoer!$A$5),1,1)+1))+2,1)</f>
        <v>44</v>
      </c>
      <c r="B74" t="str">
        <f ca="1">TEXT(DATE(YEAR(Invoer!$A$5),1,1)+MOD(ROWS(B$2:B74)-1,DATE(YEAR(Invoer!$A$5),12,31)-DATE(YEAR(Invoer!$A$5),1,1)+1),"jjjjmmdd")</f>
        <v>19270314</v>
      </c>
      <c r="C74" s="12">
        <v>1</v>
      </c>
      <c r="D74" s="17">
        <f t="shared" ca="1" si="2"/>
        <v>0</v>
      </c>
      <c r="E74" s="18">
        <f t="shared" ca="1" si="3"/>
        <v>0</v>
      </c>
    </row>
    <row r="75" spans="1:5" x14ac:dyDescent="0.25">
      <c r="A75" s="11">
        <f ca="1">INDEX(Stations,INT((ROWS(A$2:A75)-1)/(DATE(YEAR(Invoer!$A$5),12,31)-DATE(YEAR(Invoer!$A$5),1,1)+1))+2,1)</f>
        <v>44</v>
      </c>
      <c r="B75" t="str">
        <f ca="1">TEXT(DATE(YEAR(Invoer!$A$5),1,1)+MOD(ROWS(B$2:B75)-1,DATE(YEAR(Invoer!$A$5),12,31)-DATE(YEAR(Invoer!$A$5),1,1)+1),"jjjjmmdd")</f>
        <v>19270315</v>
      </c>
      <c r="C75" s="12">
        <v>1</v>
      </c>
      <c r="D75" s="17">
        <f t="shared" ca="1" si="2"/>
        <v>0</v>
      </c>
      <c r="E75" s="18">
        <f t="shared" ca="1" si="3"/>
        <v>0</v>
      </c>
    </row>
    <row r="76" spans="1:5" x14ac:dyDescent="0.25">
      <c r="A76" s="11">
        <f ca="1">INDEX(Stations,INT((ROWS(A$2:A76)-1)/(DATE(YEAR(Invoer!$A$5),12,31)-DATE(YEAR(Invoer!$A$5),1,1)+1))+2,1)</f>
        <v>44</v>
      </c>
      <c r="B76" t="str">
        <f ca="1">TEXT(DATE(YEAR(Invoer!$A$5),1,1)+MOD(ROWS(B$2:B76)-1,DATE(YEAR(Invoer!$A$5),12,31)-DATE(YEAR(Invoer!$A$5),1,1)+1),"jjjjmmdd")</f>
        <v>19270316</v>
      </c>
      <c r="C76" s="12">
        <v>1</v>
      </c>
      <c r="D76" s="17">
        <f t="shared" ca="1" si="2"/>
        <v>0</v>
      </c>
      <c r="E76" s="18">
        <f t="shared" ca="1" si="3"/>
        <v>0</v>
      </c>
    </row>
    <row r="77" spans="1:5" x14ac:dyDescent="0.25">
      <c r="A77" s="11">
        <f ca="1">INDEX(Stations,INT((ROWS(A$2:A77)-1)/(DATE(YEAR(Invoer!$A$5),12,31)-DATE(YEAR(Invoer!$A$5),1,1)+1))+2,1)</f>
        <v>44</v>
      </c>
      <c r="B77" t="str">
        <f ca="1">TEXT(DATE(YEAR(Invoer!$A$5),1,1)+MOD(ROWS(B$2:B77)-1,DATE(YEAR(Invoer!$A$5),12,31)-DATE(YEAR(Invoer!$A$5),1,1)+1),"jjjjmmdd")</f>
        <v>19270317</v>
      </c>
      <c r="C77" s="12">
        <v>1</v>
      </c>
      <c r="D77" s="17">
        <f t="shared" ca="1" si="2"/>
        <v>0</v>
      </c>
      <c r="E77" s="18">
        <f t="shared" ca="1" si="3"/>
        <v>0</v>
      </c>
    </row>
    <row r="78" spans="1:5" x14ac:dyDescent="0.25">
      <c r="A78" s="11">
        <f ca="1">INDEX(Stations,INT((ROWS(A$2:A78)-1)/(DATE(YEAR(Invoer!$A$5),12,31)-DATE(YEAR(Invoer!$A$5),1,1)+1))+2,1)</f>
        <v>44</v>
      </c>
      <c r="B78" t="str">
        <f ca="1">TEXT(DATE(YEAR(Invoer!$A$5),1,1)+MOD(ROWS(B$2:B78)-1,DATE(YEAR(Invoer!$A$5),12,31)-DATE(YEAR(Invoer!$A$5),1,1)+1),"jjjjmmdd")</f>
        <v>19270318</v>
      </c>
      <c r="C78" s="12">
        <v>1</v>
      </c>
      <c r="D78" s="17">
        <f t="shared" ca="1" si="2"/>
        <v>0</v>
      </c>
      <c r="E78" s="18">
        <f t="shared" ca="1" si="3"/>
        <v>0</v>
      </c>
    </row>
    <row r="79" spans="1:5" x14ac:dyDescent="0.25">
      <c r="A79" s="11">
        <f ca="1">INDEX(Stations,INT((ROWS(A$2:A79)-1)/(DATE(YEAR(Invoer!$A$5),12,31)-DATE(YEAR(Invoer!$A$5),1,1)+1))+2,1)</f>
        <v>44</v>
      </c>
      <c r="B79" t="str">
        <f ca="1">TEXT(DATE(YEAR(Invoer!$A$5),1,1)+MOD(ROWS(B$2:B79)-1,DATE(YEAR(Invoer!$A$5),12,31)-DATE(YEAR(Invoer!$A$5),1,1)+1),"jjjjmmdd")</f>
        <v>19270319</v>
      </c>
      <c r="C79" s="12">
        <v>1</v>
      </c>
      <c r="D79" s="17">
        <f t="shared" ca="1" si="2"/>
        <v>0</v>
      </c>
      <c r="E79" s="18">
        <f t="shared" ca="1" si="3"/>
        <v>0</v>
      </c>
    </row>
    <row r="80" spans="1:5" x14ac:dyDescent="0.25">
      <c r="A80" s="11">
        <f ca="1">INDEX(Stations,INT((ROWS(A$2:A80)-1)/(DATE(YEAR(Invoer!$A$5),12,31)-DATE(YEAR(Invoer!$A$5),1,1)+1))+2,1)</f>
        <v>44</v>
      </c>
      <c r="B80" t="str">
        <f ca="1">TEXT(DATE(YEAR(Invoer!$A$5),1,1)+MOD(ROWS(B$2:B80)-1,DATE(YEAR(Invoer!$A$5),12,31)-DATE(YEAR(Invoer!$A$5),1,1)+1),"jjjjmmdd")</f>
        <v>19270320</v>
      </c>
      <c r="C80" s="12">
        <v>1</v>
      </c>
      <c r="D80" s="17">
        <f t="shared" ca="1" si="2"/>
        <v>0</v>
      </c>
      <c r="E80" s="18">
        <f t="shared" ca="1" si="3"/>
        <v>0</v>
      </c>
    </row>
    <row r="81" spans="1:5" x14ac:dyDescent="0.25">
      <c r="A81" s="11">
        <f ca="1">INDEX(Stations,INT((ROWS(A$2:A81)-1)/(DATE(YEAR(Invoer!$A$5),12,31)-DATE(YEAR(Invoer!$A$5),1,1)+1))+2,1)</f>
        <v>44</v>
      </c>
      <c r="B81" t="str">
        <f ca="1">TEXT(DATE(YEAR(Invoer!$A$5),1,1)+MOD(ROWS(B$2:B81)-1,DATE(YEAR(Invoer!$A$5),12,31)-DATE(YEAR(Invoer!$A$5),1,1)+1),"jjjjmmdd")</f>
        <v>19270321</v>
      </c>
      <c r="C81" s="12">
        <v>1</v>
      </c>
      <c r="D81" s="17">
        <f t="shared" ca="1" si="2"/>
        <v>0</v>
      </c>
      <c r="E81" s="18">
        <f t="shared" ca="1" si="3"/>
        <v>0</v>
      </c>
    </row>
    <row r="82" spans="1:5" x14ac:dyDescent="0.25">
      <c r="A82" s="11">
        <f ca="1">INDEX(Stations,INT((ROWS(A$2:A82)-1)/(DATE(YEAR(Invoer!$A$5),12,31)-DATE(YEAR(Invoer!$A$5),1,1)+1))+2,1)</f>
        <v>44</v>
      </c>
      <c r="B82" t="str">
        <f ca="1">TEXT(DATE(YEAR(Invoer!$A$5),1,1)+MOD(ROWS(B$2:B82)-1,DATE(YEAR(Invoer!$A$5),12,31)-DATE(YEAR(Invoer!$A$5),1,1)+1),"jjjjmmdd")</f>
        <v>19270322</v>
      </c>
      <c r="C82" s="12">
        <v>1</v>
      </c>
      <c r="D82" s="17">
        <f t="shared" ca="1" si="2"/>
        <v>0</v>
      </c>
      <c r="E82" s="18">
        <f t="shared" ca="1" si="3"/>
        <v>0</v>
      </c>
    </row>
    <row r="83" spans="1:5" x14ac:dyDescent="0.25">
      <c r="A83" s="11">
        <f ca="1">INDEX(Stations,INT((ROWS(A$2:A83)-1)/(DATE(YEAR(Invoer!$A$5),12,31)-DATE(YEAR(Invoer!$A$5),1,1)+1))+2,1)</f>
        <v>44</v>
      </c>
      <c r="B83" t="str">
        <f ca="1">TEXT(DATE(YEAR(Invoer!$A$5),1,1)+MOD(ROWS(B$2:B83)-1,DATE(YEAR(Invoer!$A$5),12,31)-DATE(YEAR(Invoer!$A$5),1,1)+1),"jjjjmmdd")</f>
        <v>19270323</v>
      </c>
      <c r="C83" s="12">
        <v>1</v>
      </c>
      <c r="D83" s="17">
        <f t="shared" ca="1" si="2"/>
        <v>0</v>
      </c>
      <c r="E83" s="18">
        <f t="shared" ca="1" si="3"/>
        <v>0</v>
      </c>
    </row>
    <row r="84" spans="1:5" x14ac:dyDescent="0.25">
      <c r="A84" s="11">
        <f ca="1">INDEX(Stations,INT((ROWS(A$2:A84)-1)/(DATE(YEAR(Invoer!$A$5),12,31)-DATE(YEAR(Invoer!$A$5),1,1)+1))+2,1)</f>
        <v>44</v>
      </c>
      <c r="B84" t="str">
        <f ca="1">TEXT(DATE(YEAR(Invoer!$A$5),1,1)+MOD(ROWS(B$2:B84)-1,DATE(YEAR(Invoer!$A$5),12,31)-DATE(YEAR(Invoer!$A$5),1,1)+1),"jjjjmmdd")</f>
        <v>19270324</v>
      </c>
      <c r="C84" s="12">
        <v>1</v>
      </c>
      <c r="D84" s="17">
        <f t="shared" ca="1" si="2"/>
        <v>0</v>
      </c>
      <c r="E84" s="18">
        <f t="shared" ca="1" si="3"/>
        <v>0</v>
      </c>
    </row>
    <row r="85" spans="1:5" x14ac:dyDescent="0.25">
      <c r="A85" s="11">
        <f ca="1">INDEX(Stations,INT((ROWS(A$2:A85)-1)/(DATE(YEAR(Invoer!$A$5),12,31)-DATE(YEAR(Invoer!$A$5),1,1)+1))+2,1)</f>
        <v>44</v>
      </c>
      <c r="B85" t="str">
        <f ca="1">TEXT(DATE(YEAR(Invoer!$A$5),1,1)+MOD(ROWS(B$2:B85)-1,DATE(YEAR(Invoer!$A$5),12,31)-DATE(YEAR(Invoer!$A$5),1,1)+1),"jjjjmmdd")</f>
        <v>19270325</v>
      </c>
      <c r="C85" s="12">
        <v>1</v>
      </c>
      <c r="D85" s="17">
        <f t="shared" ca="1" si="2"/>
        <v>0</v>
      </c>
      <c r="E85" s="18">
        <f t="shared" ca="1" si="3"/>
        <v>0</v>
      </c>
    </row>
    <row r="86" spans="1:5" x14ac:dyDescent="0.25">
      <c r="A86" s="11">
        <f ca="1">INDEX(Stations,INT((ROWS(A$2:A86)-1)/(DATE(YEAR(Invoer!$A$5),12,31)-DATE(YEAR(Invoer!$A$5),1,1)+1))+2,1)</f>
        <v>44</v>
      </c>
      <c r="B86" t="str">
        <f ca="1">TEXT(DATE(YEAR(Invoer!$A$5),1,1)+MOD(ROWS(B$2:B86)-1,DATE(YEAR(Invoer!$A$5),12,31)-DATE(YEAR(Invoer!$A$5),1,1)+1),"jjjjmmdd")</f>
        <v>19270326</v>
      </c>
      <c r="C86" s="12">
        <v>1</v>
      </c>
      <c r="D86" s="17">
        <f t="shared" ca="1" si="2"/>
        <v>0</v>
      </c>
      <c r="E86" s="18">
        <f t="shared" ca="1" si="3"/>
        <v>0</v>
      </c>
    </row>
    <row r="87" spans="1:5" x14ac:dyDescent="0.25">
      <c r="A87" s="11">
        <f ca="1">INDEX(Stations,INT((ROWS(A$2:A87)-1)/(DATE(YEAR(Invoer!$A$5),12,31)-DATE(YEAR(Invoer!$A$5),1,1)+1))+2,1)</f>
        <v>44</v>
      </c>
      <c r="B87" t="str">
        <f ca="1">TEXT(DATE(YEAR(Invoer!$A$5),1,1)+MOD(ROWS(B$2:B87)-1,DATE(YEAR(Invoer!$A$5),12,31)-DATE(YEAR(Invoer!$A$5),1,1)+1),"jjjjmmdd")</f>
        <v>19270327</v>
      </c>
      <c r="C87" s="12">
        <v>1</v>
      </c>
      <c r="D87" s="17">
        <f t="shared" ca="1" si="2"/>
        <v>0</v>
      </c>
      <c r="E87" s="18">
        <f t="shared" ca="1" si="3"/>
        <v>0</v>
      </c>
    </row>
    <row r="88" spans="1:5" x14ac:dyDescent="0.25">
      <c r="A88" s="11">
        <f ca="1">INDEX(Stations,INT((ROWS(A$2:A88)-1)/(DATE(YEAR(Invoer!$A$5),12,31)-DATE(YEAR(Invoer!$A$5),1,1)+1))+2,1)</f>
        <v>44</v>
      </c>
      <c r="B88" t="str">
        <f ca="1">TEXT(DATE(YEAR(Invoer!$A$5),1,1)+MOD(ROWS(B$2:B88)-1,DATE(YEAR(Invoer!$A$5),12,31)-DATE(YEAR(Invoer!$A$5),1,1)+1),"jjjjmmdd")</f>
        <v>19270328</v>
      </c>
      <c r="C88" s="12">
        <v>1</v>
      </c>
      <c r="D88" s="17">
        <f t="shared" ca="1" si="2"/>
        <v>0</v>
      </c>
      <c r="E88" s="18">
        <f t="shared" ca="1" si="3"/>
        <v>0</v>
      </c>
    </row>
    <row r="89" spans="1:5" x14ac:dyDescent="0.25">
      <c r="A89" s="11">
        <f ca="1">INDEX(Stations,INT((ROWS(A$2:A89)-1)/(DATE(YEAR(Invoer!$A$5),12,31)-DATE(YEAR(Invoer!$A$5),1,1)+1))+2,1)</f>
        <v>44</v>
      </c>
      <c r="B89" t="str">
        <f ca="1">TEXT(DATE(YEAR(Invoer!$A$5),1,1)+MOD(ROWS(B$2:B89)-1,DATE(YEAR(Invoer!$A$5),12,31)-DATE(YEAR(Invoer!$A$5),1,1)+1),"jjjjmmdd")</f>
        <v>19270329</v>
      </c>
      <c r="C89" s="12">
        <v>1</v>
      </c>
      <c r="D89" s="17">
        <f t="shared" ca="1" si="2"/>
        <v>0</v>
      </c>
      <c r="E89" s="18">
        <f t="shared" ca="1" si="3"/>
        <v>0</v>
      </c>
    </row>
    <row r="90" spans="1:5" x14ac:dyDescent="0.25">
      <c r="A90" s="11">
        <f ca="1">INDEX(Stations,INT((ROWS(A$2:A90)-1)/(DATE(YEAR(Invoer!$A$5),12,31)-DATE(YEAR(Invoer!$A$5),1,1)+1))+2,1)</f>
        <v>44</v>
      </c>
      <c r="B90" t="str">
        <f ca="1">TEXT(DATE(YEAR(Invoer!$A$5),1,1)+MOD(ROWS(B$2:B90)-1,DATE(YEAR(Invoer!$A$5),12,31)-DATE(YEAR(Invoer!$A$5),1,1)+1),"jjjjmmdd")</f>
        <v>19270330</v>
      </c>
      <c r="C90" s="12">
        <v>1</v>
      </c>
      <c r="D90" s="17">
        <f t="shared" ca="1" si="2"/>
        <v>0</v>
      </c>
      <c r="E90" s="18">
        <f t="shared" ca="1" si="3"/>
        <v>0</v>
      </c>
    </row>
    <row r="91" spans="1:5" x14ac:dyDescent="0.25">
      <c r="A91" s="11">
        <f ca="1">INDEX(Stations,INT((ROWS(A$2:A91)-1)/(DATE(YEAR(Invoer!$A$5),12,31)-DATE(YEAR(Invoer!$A$5),1,1)+1))+2,1)</f>
        <v>44</v>
      </c>
      <c r="B91" t="str">
        <f ca="1">TEXT(DATE(YEAR(Invoer!$A$5),1,1)+MOD(ROWS(B$2:B91)-1,DATE(YEAR(Invoer!$A$5),12,31)-DATE(YEAR(Invoer!$A$5),1,1)+1),"jjjjmmdd")</f>
        <v>19270331</v>
      </c>
      <c r="C91" s="12">
        <v>1</v>
      </c>
      <c r="D91" s="17">
        <f t="shared" ca="1" si="2"/>
        <v>0</v>
      </c>
      <c r="E91" s="18">
        <f t="shared" ca="1" si="3"/>
        <v>0</v>
      </c>
    </row>
    <row r="92" spans="1:5" x14ac:dyDescent="0.25">
      <c r="A92" s="11">
        <f ca="1">INDEX(Stations,INT((ROWS(A$2:A92)-1)/(DATE(YEAR(Invoer!$A$5),12,31)-DATE(YEAR(Invoer!$A$5),1,1)+1))+2,1)</f>
        <v>44</v>
      </c>
      <c r="B92" t="str">
        <f ca="1">TEXT(DATE(YEAR(Invoer!$A$5),1,1)+MOD(ROWS(B$2:B92)-1,DATE(YEAR(Invoer!$A$5),12,31)-DATE(YEAR(Invoer!$A$5),1,1)+1),"jjjjmmdd")</f>
        <v>19270401</v>
      </c>
      <c r="C92" s="12">
        <v>1</v>
      </c>
      <c r="D92" s="17">
        <f t="shared" ca="1" si="2"/>
        <v>0</v>
      </c>
      <c r="E92" s="18">
        <f t="shared" ca="1" si="3"/>
        <v>0</v>
      </c>
    </row>
    <row r="93" spans="1:5" x14ac:dyDescent="0.25">
      <c r="A93" s="11">
        <f ca="1">INDEX(Stations,INT((ROWS(A$2:A93)-1)/(DATE(YEAR(Invoer!$A$5),12,31)-DATE(YEAR(Invoer!$A$5),1,1)+1))+2,1)</f>
        <v>44</v>
      </c>
      <c r="B93" t="str">
        <f ca="1">TEXT(DATE(YEAR(Invoer!$A$5),1,1)+MOD(ROWS(B$2:B93)-1,DATE(YEAR(Invoer!$A$5),12,31)-DATE(YEAR(Invoer!$A$5),1,1)+1),"jjjjmmdd")</f>
        <v>19270402</v>
      </c>
      <c r="C93" s="12">
        <v>1</v>
      </c>
      <c r="D93" s="17">
        <f t="shared" ca="1" si="2"/>
        <v>42</v>
      </c>
      <c r="E93" s="18">
        <f t="shared" ca="1" si="3"/>
        <v>0</v>
      </c>
    </row>
    <row r="94" spans="1:5" x14ac:dyDescent="0.25">
      <c r="A94" s="11">
        <f ca="1">INDEX(Stations,INT((ROWS(A$2:A94)-1)/(DATE(YEAR(Invoer!$A$5),12,31)-DATE(YEAR(Invoer!$A$5),1,1)+1))+2,1)</f>
        <v>44</v>
      </c>
      <c r="B94" t="str">
        <f ca="1">TEXT(DATE(YEAR(Invoer!$A$5),1,1)+MOD(ROWS(B$2:B94)-1,DATE(YEAR(Invoer!$A$5),12,31)-DATE(YEAR(Invoer!$A$5),1,1)+1),"jjjjmmdd")</f>
        <v>19270403</v>
      </c>
      <c r="C94" s="12">
        <v>1</v>
      </c>
      <c r="D94" s="17">
        <f t="shared" ca="1" si="2"/>
        <v>0</v>
      </c>
      <c r="E94" s="18">
        <f t="shared" ca="1" si="3"/>
        <v>0</v>
      </c>
    </row>
    <row r="95" spans="1:5" x14ac:dyDescent="0.25">
      <c r="A95" s="11">
        <f ca="1">INDEX(Stations,INT((ROWS(A$2:A95)-1)/(DATE(YEAR(Invoer!$A$5),12,31)-DATE(YEAR(Invoer!$A$5),1,1)+1))+2,1)</f>
        <v>44</v>
      </c>
      <c r="B95" t="str">
        <f ca="1">TEXT(DATE(YEAR(Invoer!$A$5),1,1)+MOD(ROWS(B$2:B95)-1,DATE(YEAR(Invoer!$A$5),12,31)-DATE(YEAR(Invoer!$A$5),1,1)+1),"jjjjmmdd")</f>
        <v>19270404</v>
      </c>
      <c r="C95" s="12">
        <v>1</v>
      </c>
      <c r="D95" s="17">
        <f t="shared" ca="1" si="2"/>
        <v>7</v>
      </c>
      <c r="E95" s="18">
        <f t="shared" ca="1" si="3"/>
        <v>0</v>
      </c>
    </row>
    <row r="96" spans="1:5" x14ac:dyDescent="0.25">
      <c r="A96" s="11">
        <f ca="1">INDEX(Stations,INT((ROWS(A$2:A96)-1)/(DATE(YEAR(Invoer!$A$5),12,31)-DATE(YEAR(Invoer!$A$5),1,1)+1))+2,1)</f>
        <v>44</v>
      </c>
      <c r="B96" t="str">
        <f ca="1">TEXT(DATE(YEAR(Invoer!$A$5),1,1)+MOD(ROWS(B$2:B96)-1,DATE(YEAR(Invoer!$A$5),12,31)-DATE(YEAR(Invoer!$A$5),1,1)+1),"jjjjmmdd")</f>
        <v>19270405</v>
      </c>
      <c r="C96" s="12">
        <v>1</v>
      </c>
      <c r="D96" s="17">
        <f t="shared" ca="1" si="2"/>
        <v>0</v>
      </c>
      <c r="E96" s="18">
        <f t="shared" ca="1" si="3"/>
        <v>0</v>
      </c>
    </row>
    <row r="97" spans="1:5" x14ac:dyDescent="0.25">
      <c r="A97" s="11">
        <f ca="1">INDEX(Stations,INT((ROWS(A$2:A97)-1)/(DATE(YEAR(Invoer!$A$5),12,31)-DATE(YEAR(Invoer!$A$5),1,1)+1))+2,1)</f>
        <v>44</v>
      </c>
      <c r="B97" t="str">
        <f ca="1">TEXT(DATE(YEAR(Invoer!$A$5),1,1)+MOD(ROWS(B$2:B97)-1,DATE(YEAR(Invoer!$A$5),12,31)-DATE(YEAR(Invoer!$A$5),1,1)+1),"jjjjmmdd")</f>
        <v>19270406</v>
      </c>
      <c r="C97" s="12">
        <v>1</v>
      </c>
      <c r="D97" s="17">
        <f t="shared" ca="1" si="2"/>
        <v>6</v>
      </c>
      <c r="E97" s="18">
        <f t="shared" ca="1" si="3"/>
        <v>0</v>
      </c>
    </row>
    <row r="98" spans="1:5" x14ac:dyDescent="0.25">
      <c r="A98" s="11">
        <f ca="1">INDEX(Stations,INT((ROWS(A$2:A98)-1)/(DATE(YEAR(Invoer!$A$5),12,31)-DATE(YEAR(Invoer!$A$5),1,1)+1))+2,1)</f>
        <v>44</v>
      </c>
      <c r="B98" t="str">
        <f ca="1">TEXT(DATE(YEAR(Invoer!$A$5),1,1)+MOD(ROWS(B$2:B98)-1,DATE(YEAR(Invoer!$A$5),12,31)-DATE(YEAR(Invoer!$A$5),1,1)+1),"jjjjmmdd")</f>
        <v>19270407</v>
      </c>
      <c r="C98" s="12">
        <v>1</v>
      </c>
      <c r="D98" s="17">
        <f t="shared" ca="1" si="2"/>
        <v>0</v>
      </c>
      <c r="E98" s="18">
        <f t="shared" ca="1" si="3"/>
        <v>0</v>
      </c>
    </row>
    <row r="99" spans="1:5" x14ac:dyDescent="0.25">
      <c r="A99" s="11">
        <f ca="1">INDEX(Stations,INT((ROWS(A$2:A99)-1)/(DATE(YEAR(Invoer!$A$5),12,31)-DATE(YEAR(Invoer!$A$5),1,1)+1))+2,1)</f>
        <v>44</v>
      </c>
      <c r="B99" t="str">
        <f ca="1">TEXT(DATE(YEAR(Invoer!$A$5),1,1)+MOD(ROWS(B$2:B99)-1,DATE(YEAR(Invoer!$A$5),12,31)-DATE(YEAR(Invoer!$A$5),1,1)+1),"jjjjmmdd")</f>
        <v>19270408</v>
      </c>
      <c r="C99" s="12">
        <v>1</v>
      </c>
      <c r="D99" s="17">
        <f t="shared" ca="1" si="2"/>
        <v>0</v>
      </c>
      <c r="E99" s="18">
        <f t="shared" ca="1" si="3"/>
        <v>0</v>
      </c>
    </row>
    <row r="100" spans="1:5" x14ac:dyDescent="0.25">
      <c r="A100" s="11">
        <f ca="1">INDEX(Stations,INT((ROWS(A$2:A100)-1)/(DATE(YEAR(Invoer!$A$5),12,31)-DATE(YEAR(Invoer!$A$5),1,1)+1))+2,1)</f>
        <v>44</v>
      </c>
      <c r="B100" t="str">
        <f ca="1">TEXT(DATE(YEAR(Invoer!$A$5),1,1)+MOD(ROWS(B$2:B100)-1,DATE(YEAR(Invoer!$A$5),12,31)-DATE(YEAR(Invoer!$A$5),1,1)+1),"jjjjmmdd")</f>
        <v>19270409</v>
      </c>
      <c r="C100" s="12">
        <v>1</v>
      </c>
      <c r="D100" s="17">
        <f t="shared" ca="1" si="2"/>
        <v>0</v>
      </c>
      <c r="E100" s="18">
        <f t="shared" ca="1" si="3"/>
        <v>0</v>
      </c>
    </row>
    <row r="101" spans="1:5" x14ac:dyDescent="0.25">
      <c r="A101" s="11">
        <f ca="1">INDEX(Stations,INT((ROWS(A$2:A101)-1)/(DATE(YEAR(Invoer!$A$5),12,31)-DATE(YEAR(Invoer!$A$5),1,1)+1))+2,1)</f>
        <v>44</v>
      </c>
      <c r="B101" t="str">
        <f ca="1">TEXT(DATE(YEAR(Invoer!$A$5),1,1)+MOD(ROWS(B$2:B101)-1,DATE(YEAR(Invoer!$A$5),12,31)-DATE(YEAR(Invoer!$A$5),1,1)+1),"jjjjmmdd")</f>
        <v>19270410</v>
      </c>
      <c r="C101" s="12">
        <v>1</v>
      </c>
      <c r="D101" s="17">
        <f t="shared" ca="1" si="2"/>
        <v>0</v>
      </c>
      <c r="E101" s="18">
        <f t="shared" ca="1" si="3"/>
        <v>0</v>
      </c>
    </row>
    <row r="102" spans="1:5" x14ac:dyDescent="0.25">
      <c r="A102" s="11">
        <f ca="1">INDEX(Stations,INT((ROWS(A$2:A102)-1)/(DATE(YEAR(Invoer!$A$5),12,31)-DATE(YEAR(Invoer!$A$5),1,1)+1))+2,1)</f>
        <v>44</v>
      </c>
      <c r="B102" t="str">
        <f ca="1">TEXT(DATE(YEAR(Invoer!$A$5),1,1)+MOD(ROWS(B$2:B102)-1,DATE(YEAR(Invoer!$A$5),12,31)-DATE(YEAR(Invoer!$A$5),1,1)+1),"jjjjmmdd")</f>
        <v>19270411</v>
      </c>
      <c r="C102" s="12">
        <v>1</v>
      </c>
      <c r="D102" s="17">
        <f t="shared" ca="1" si="2"/>
        <v>0</v>
      </c>
      <c r="E102" s="18">
        <f t="shared" ca="1" si="3"/>
        <v>0</v>
      </c>
    </row>
    <row r="103" spans="1:5" x14ac:dyDescent="0.25">
      <c r="A103" s="11">
        <f ca="1">INDEX(Stations,INT((ROWS(A$2:A103)-1)/(DATE(YEAR(Invoer!$A$5),12,31)-DATE(YEAR(Invoer!$A$5),1,1)+1))+2,1)</f>
        <v>44</v>
      </c>
      <c r="B103" t="str">
        <f ca="1">TEXT(DATE(YEAR(Invoer!$A$5),1,1)+MOD(ROWS(B$2:B103)-1,DATE(YEAR(Invoer!$A$5),12,31)-DATE(YEAR(Invoer!$A$5),1,1)+1),"jjjjmmdd")</f>
        <v>19270412</v>
      </c>
      <c r="C103" s="12">
        <v>1</v>
      </c>
      <c r="D103" s="17">
        <f t="shared" ca="1" si="2"/>
        <v>109</v>
      </c>
      <c r="E103" s="18">
        <f t="shared" ca="1" si="3"/>
        <v>0</v>
      </c>
    </row>
    <row r="104" spans="1:5" x14ac:dyDescent="0.25">
      <c r="A104" s="11">
        <f ca="1">INDEX(Stations,INT((ROWS(A$2:A104)-1)/(DATE(YEAR(Invoer!$A$5),12,31)-DATE(YEAR(Invoer!$A$5),1,1)+1))+2,1)</f>
        <v>44</v>
      </c>
      <c r="B104" t="str">
        <f ca="1">TEXT(DATE(YEAR(Invoer!$A$5),1,1)+MOD(ROWS(B$2:B104)-1,DATE(YEAR(Invoer!$A$5),12,31)-DATE(YEAR(Invoer!$A$5),1,1)+1),"jjjjmmdd")</f>
        <v>19270413</v>
      </c>
      <c r="C104" s="12">
        <v>1</v>
      </c>
      <c r="D104" s="17">
        <f t="shared" ca="1" si="2"/>
        <v>0</v>
      </c>
      <c r="E104" s="18">
        <f t="shared" ca="1" si="3"/>
        <v>0</v>
      </c>
    </row>
    <row r="105" spans="1:5" x14ac:dyDescent="0.25">
      <c r="A105" s="11">
        <f ca="1">INDEX(Stations,INT((ROWS(A$2:A105)-1)/(DATE(YEAR(Invoer!$A$5),12,31)-DATE(YEAR(Invoer!$A$5),1,1)+1))+2,1)</f>
        <v>44</v>
      </c>
      <c r="B105" t="str">
        <f ca="1">TEXT(DATE(YEAR(Invoer!$A$5),1,1)+MOD(ROWS(B$2:B105)-1,DATE(YEAR(Invoer!$A$5),12,31)-DATE(YEAR(Invoer!$A$5),1,1)+1),"jjjjmmdd")</f>
        <v>19270414</v>
      </c>
      <c r="C105" s="12">
        <v>1</v>
      </c>
      <c r="D105" s="17">
        <f t="shared" ca="1" si="2"/>
        <v>0</v>
      </c>
      <c r="E105" s="18">
        <f t="shared" ca="1" si="3"/>
        <v>0</v>
      </c>
    </row>
    <row r="106" spans="1:5" x14ac:dyDescent="0.25">
      <c r="A106" s="11">
        <f ca="1">INDEX(Stations,INT((ROWS(A$2:A106)-1)/(DATE(YEAR(Invoer!$A$5),12,31)-DATE(YEAR(Invoer!$A$5),1,1)+1))+2,1)</f>
        <v>44</v>
      </c>
      <c r="B106" t="str">
        <f ca="1">TEXT(DATE(YEAR(Invoer!$A$5),1,1)+MOD(ROWS(B$2:B106)-1,DATE(YEAR(Invoer!$A$5),12,31)-DATE(YEAR(Invoer!$A$5),1,1)+1),"jjjjmmdd")</f>
        <v>19270415</v>
      </c>
      <c r="C106" s="12">
        <v>1</v>
      </c>
      <c r="D106" s="17">
        <f t="shared" ca="1" si="2"/>
        <v>0</v>
      </c>
      <c r="E106" s="18">
        <f t="shared" ca="1" si="3"/>
        <v>0</v>
      </c>
    </row>
    <row r="107" spans="1:5" x14ac:dyDescent="0.25">
      <c r="A107" s="11">
        <f ca="1">INDEX(Stations,INT((ROWS(A$2:A107)-1)/(DATE(YEAR(Invoer!$A$5),12,31)-DATE(YEAR(Invoer!$A$5),1,1)+1))+2,1)</f>
        <v>44</v>
      </c>
      <c r="B107" t="str">
        <f ca="1">TEXT(DATE(YEAR(Invoer!$A$5),1,1)+MOD(ROWS(B$2:B107)-1,DATE(YEAR(Invoer!$A$5),12,31)-DATE(YEAR(Invoer!$A$5),1,1)+1),"jjjjmmdd")</f>
        <v>19270416</v>
      </c>
      <c r="C107" s="12">
        <v>1</v>
      </c>
      <c r="D107" s="17">
        <f t="shared" ca="1" si="2"/>
        <v>0</v>
      </c>
      <c r="E107" s="18">
        <f t="shared" ca="1" si="3"/>
        <v>0</v>
      </c>
    </row>
    <row r="108" spans="1:5" x14ac:dyDescent="0.25">
      <c r="A108" s="11">
        <f ca="1">INDEX(Stations,INT((ROWS(A$2:A108)-1)/(DATE(YEAR(Invoer!$A$5),12,31)-DATE(YEAR(Invoer!$A$5),1,1)+1))+2,1)</f>
        <v>44</v>
      </c>
      <c r="B108" t="str">
        <f ca="1">TEXT(DATE(YEAR(Invoer!$A$5),1,1)+MOD(ROWS(B$2:B108)-1,DATE(YEAR(Invoer!$A$5),12,31)-DATE(YEAR(Invoer!$A$5),1,1)+1),"jjjjmmdd")</f>
        <v>19270417</v>
      </c>
      <c r="C108" s="12">
        <v>1</v>
      </c>
      <c r="D108" s="17">
        <f t="shared" ca="1" si="2"/>
        <v>0</v>
      </c>
      <c r="E108" s="18">
        <f t="shared" ca="1" si="3"/>
        <v>0</v>
      </c>
    </row>
    <row r="109" spans="1:5" x14ac:dyDescent="0.25">
      <c r="A109" s="11">
        <f ca="1">INDEX(Stations,INT((ROWS(A$2:A109)-1)/(DATE(YEAR(Invoer!$A$5),12,31)-DATE(YEAR(Invoer!$A$5),1,1)+1))+2,1)</f>
        <v>44</v>
      </c>
      <c r="B109" t="str">
        <f ca="1">TEXT(DATE(YEAR(Invoer!$A$5),1,1)+MOD(ROWS(B$2:B109)-1,DATE(YEAR(Invoer!$A$5),12,31)-DATE(YEAR(Invoer!$A$5),1,1)+1),"jjjjmmdd")</f>
        <v>19270418</v>
      </c>
      <c r="C109" s="12">
        <v>1</v>
      </c>
      <c r="D109" s="17">
        <f t="shared" ca="1" si="2"/>
        <v>0</v>
      </c>
      <c r="E109" s="18">
        <f t="shared" ca="1" si="3"/>
        <v>0</v>
      </c>
    </row>
    <row r="110" spans="1:5" x14ac:dyDescent="0.25">
      <c r="A110" s="11">
        <f ca="1">INDEX(Stations,INT((ROWS(A$2:A110)-1)/(DATE(YEAR(Invoer!$A$5),12,31)-DATE(YEAR(Invoer!$A$5),1,1)+1))+2,1)</f>
        <v>44</v>
      </c>
      <c r="B110" t="str">
        <f ca="1">TEXT(DATE(YEAR(Invoer!$A$5),1,1)+MOD(ROWS(B$2:B110)-1,DATE(YEAR(Invoer!$A$5),12,31)-DATE(YEAR(Invoer!$A$5),1,1)+1),"jjjjmmdd")</f>
        <v>19270419</v>
      </c>
      <c r="C110" s="12">
        <v>1</v>
      </c>
      <c r="D110" s="17">
        <f t="shared" ca="1" si="2"/>
        <v>0</v>
      </c>
      <c r="E110" s="18">
        <f t="shared" ca="1" si="3"/>
        <v>0</v>
      </c>
    </row>
    <row r="111" spans="1:5" x14ac:dyDescent="0.25">
      <c r="A111" s="11">
        <f ca="1">INDEX(Stations,INT((ROWS(A$2:A111)-1)/(DATE(YEAR(Invoer!$A$5),12,31)-DATE(YEAR(Invoer!$A$5),1,1)+1))+2,1)</f>
        <v>44</v>
      </c>
      <c r="B111" t="str">
        <f ca="1">TEXT(DATE(YEAR(Invoer!$A$5),1,1)+MOD(ROWS(B$2:B111)-1,DATE(YEAR(Invoer!$A$5),12,31)-DATE(YEAR(Invoer!$A$5),1,1)+1),"jjjjmmdd")</f>
        <v>19270420</v>
      </c>
      <c r="C111" s="12">
        <v>1</v>
      </c>
      <c r="D111" s="17">
        <f t="shared" ca="1" si="2"/>
        <v>36</v>
      </c>
      <c r="E111" s="18">
        <f t="shared" ca="1" si="3"/>
        <v>0</v>
      </c>
    </row>
    <row r="112" spans="1:5" x14ac:dyDescent="0.25">
      <c r="A112" s="11">
        <f ca="1">INDEX(Stations,INT((ROWS(A$2:A112)-1)/(DATE(YEAR(Invoer!$A$5),12,31)-DATE(YEAR(Invoer!$A$5),1,1)+1))+2,1)</f>
        <v>44</v>
      </c>
      <c r="B112" t="str">
        <f ca="1">TEXT(DATE(YEAR(Invoer!$A$5),1,1)+MOD(ROWS(B$2:B112)-1,DATE(YEAR(Invoer!$A$5),12,31)-DATE(YEAR(Invoer!$A$5),1,1)+1),"jjjjmmdd")</f>
        <v>19270421</v>
      </c>
      <c r="C112" s="12">
        <v>1</v>
      </c>
      <c r="D112" s="17">
        <f t="shared" ca="1" si="2"/>
        <v>0</v>
      </c>
      <c r="E112" s="18">
        <f t="shared" ca="1" si="3"/>
        <v>0</v>
      </c>
    </row>
    <row r="113" spans="1:5" x14ac:dyDescent="0.25">
      <c r="A113" s="11">
        <f ca="1">INDEX(Stations,INT((ROWS(A$2:A113)-1)/(DATE(YEAR(Invoer!$A$5),12,31)-DATE(YEAR(Invoer!$A$5),1,1)+1))+2,1)</f>
        <v>44</v>
      </c>
      <c r="B113" t="str">
        <f ca="1">TEXT(DATE(YEAR(Invoer!$A$5),1,1)+MOD(ROWS(B$2:B113)-1,DATE(YEAR(Invoer!$A$5),12,31)-DATE(YEAR(Invoer!$A$5),1,1)+1),"jjjjmmdd")</f>
        <v>19270422</v>
      </c>
      <c r="C113" s="12">
        <v>1</v>
      </c>
      <c r="D113" s="17">
        <f t="shared" ca="1" si="2"/>
        <v>76</v>
      </c>
      <c r="E113" s="18">
        <f t="shared" ca="1" si="3"/>
        <v>0</v>
      </c>
    </row>
    <row r="114" spans="1:5" x14ac:dyDescent="0.25">
      <c r="A114" s="11">
        <f ca="1">INDEX(Stations,INT((ROWS(A$2:A114)-1)/(DATE(YEAR(Invoer!$A$5),12,31)-DATE(YEAR(Invoer!$A$5),1,1)+1))+2,1)</f>
        <v>44</v>
      </c>
      <c r="B114" t="str">
        <f ca="1">TEXT(DATE(YEAR(Invoer!$A$5),1,1)+MOD(ROWS(B$2:B114)-1,DATE(YEAR(Invoer!$A$5),12,31)-DATE(YEAR(Invoer!$A$5),1,1)+1),"jjjjmmdd")</f>
        <v>19270423</v>
      </c>
      <c r="C114" s="12">
        <v>1</v>
      </c>
      <c r="D114" s="17">
        <f t="shared" ca="1" si="2"/>
        <v>0</v>
      </c>
      <c r="E114" s="18">
        <f t="shared" ca="1" si="3"/>
        <v>0</v>
      </c>
    </row>
    <row r="115" spans="1:5" x14ac:dyDescent="0.25">
      <c r="A115" s="11">
        <f ca="1">INDEX(Stations,INT((ROWS(A$2:A115)-1)/(DATE(YEAR(Invoer!$A$5),12,31)-DATE(YEAR(Invoer!$A$5),1,1)+1))+2,1)</f>
        <v>44</v>
      </c>
      <c r="B115" t="str">
        <f ca="1">TEXT(DATE(YEAR(Invoer!$A$5),1,1)+MOD(ROWS(B$2:B115)-1,DATE(YEAR(Invoer!$A$5),12,31)-DATE(YEAR(Invoer!$A$5),1,1)+1),"jjjjmmdd")</f>
        <v>19270424</v>
      </c>
      <c r="C115" s="12">
        <v>1</v>
      </c>
      <c r="D115" s="17">
        <f t="shared" ca="1" si="2"/>
        <v>448</v>
      </c>
      <c r="E115" s="18">
        <f t="shared" ca="1" si="3"/>
        <v>0</v>
      </c>
    </row>
    <row r="116" spans="1:5" x14ac:dyDescent="0.25">
      <c r="A116" s="11">
        <f ca="1">INDEX(Stations,INT((ROWS(A$2:A116)-1)/(DATE(YEAR(Invoer!$A$5),12,31)-DATE(YEAR(Invoer!$A$5),1,1)+1))+2,1)</f>
        <v>44</v>
      </c>
      <c r="B116" t="str">
        <f ca="1">TEXT(DATE(YEAR(Invoer!$A$5),1,1)+MOD(ROWS(B$2:B116)-1,DATE(YEAR(Invoer!$A$5),12,31)-DATE(YEAR(Invoer!$A$5),1,1)+1),"jjjjmmdd")</f>
        <v>19270425</v>
      </c>
      <c r="C116" s="12">
        <v>1</v>
      </c>
      <c r="D116" s="17">
        <f t="shared" ca="1" si="2"/>
        <v>14</v>
      </c>
      <c r="E116" s="18">
        <f t="shared" ca="1" si="3"/>
        <v>0</v>
      </c>
    </row>
    <row r="117" spans="1:5" x14ac:dyDescent="0.25">
      <c r="A117" s="11">
        <f ca="1">INDEX(Stations,INT((ROWS(A$2:A117)-1)/(DATE(YEAR(Invoer!$A$5),12,31)-DATE(YEAR(Invoer!$A$5),1,1)+1))+2,1)</f>
        <v>44</v>
      </c>
      <c r="B117" t="str">
        <f ca="1">TEXT(DATE(YEAR(Invoer!$A$5),1,1)+MOD(ROWS(B$2:B117)-1,DATE(YEAR(Invoer!$A$5),12,31)-DATE(YEAR(Invoer!$A$5),1,1)+1),"jjjjmmdd")</f>
        <v>19270426</v>
      </c>
      <c r="C117" s="12">
        <v>1</v>
      </c>
      <c r="D117" s="17">
        <f t="shared" ca="1" si="2"/>
        <v>160</v>
      </c>
      <c r="E117" s="18">
        <f t="shared" ca="1" si="3"/>
        <v>0</v>
      </c>
    </row>
    <row r="118" spans="1:5" x14ac:dyDescent="0.25">
      <c r="A118" s="11">
        <f ca="1">INDEX(Stations,INT((ROWS(A$2:A118)-1)/(DATE(YEAR(Invoer!$A$5),12,31)-DATE(YEAR(Invoer!$A$5),1,1)+1))+2,1)</f>
        <v>44</v>
      </c>
      <c r="B118" t="str">
        <f ca="1">TEXT(DATE(YEAR(Invoer!$A$5),1,1)+MOD(ROWS(B$2:B118)-1,DATE(YEAR(Invoer!$A$5),12,31)-DATE(YEAR(Invoer!$A$5),1,1)+1),"jjjjmmdd")</f>
        <v>19270427</v>
      </c>
      <c r="C118" s="12">
        <v>1</v>
      </c>
      <c r="D118" s="17">
        <f t="shared" ca="1" si="2"/>
        <v>0</v>
      </c>
      <c r="E118" s="18">
        <f t="shared" ca="1" si="3"/>
        <v>0</v>
      </c>
    </row>
    <row r="119" spans="1:5" x14ac:dyDescent="0.25">
      <c r="A119" s="11">
        <f ca="1">INDEX(Stations,INT((ROWS(A$2:A119)-1)/(DATE(YEAR(Invoer!$A$5),12,31)-DATE(YEAR(Invoer!$A$5),1,1)+1))+2,1)</f>
        <v>44</v>
      </c>
      <c r="B119" t="str">
        <f ca="1">TEXT(DATE(YEAR(Invoer!$A$5),1,1)+MOD(ROWS(B$2:B119)-1,DATE(YEAR(Invoer!$A$5),12,31)-DATE(YEAR(Invoer!$A$5),1,1)+1),"jjjjmmdd")</f>
        <v>19270428</v>
      </c>
      <c r="C119" s="12">
        <v>1</v>
      </c>
      <c r="D119" s="17">
        <f t="shared" ca="1" si="2"/>
        <v>0</v>
      </c>
      <c r="E119" s="18">
        <f t="shared" ca="1" si="3"/>
        <v>0</v>
      </c>
    </row>
    <row r="120" spans="1:5" x14ac:dyDescent="0.25">
      <c r="A120" s="11">
        <f ca="1">INDEX(Stations,INT((ROWS(A$2:A120)-1)/(DATE(YEAR(Invoer!$A$5),12,31)-DATE(YEAR(Invoer!$A$5),1,1)+1))+2,1)</f>
        <v>44</v>
      </c>
      <c r="B120" t="str">
        <f ca="1">TEXT(DATE(YEAR(Invoer!$A$5),1,1)+MOD(ROWS(B$2:B120)-1,DATE(YEAR(Invoer!$A$5),12,31)-DATE(YEAR(Invoer!$A$5),1,1)+1),"jjjjmmdd")</f>
        <v>19270429</v>
      </c>
      <c r="C120" s="12">
        <v>1</v>
      </c>
      <c r="D120" s="17">
        <f t="shared" ca="1" si="2"/>
        <v>0</v>
      </c>
      <c r="E120" s="18">
        <f t="shared" ca="1" si="3"/>
        <v>0</v>
      </c>
    </row>
    <row r="121" spans="1:5" x14ac:dyDescent="0.25">
      <c r="A121" s="11">
        <f ca="1">INDEX(Stations,INT((ROWS(A$2:A121)-1)/(DATE(YEAR(Invoer!$A$5),12,31)-DATE(YEAR(Invoer!$A$5),1,1)+1))+2,1)</f>
        <v>44</v>
      </c>
      <c r="B121" t="str">
        <f ca="1">TEXT(DATE(YEAR(Invoer!$A$5),1,1)+MOD(ROWS(B$2:B121)-1,DATE(YEAR(Invoer!$A$5),12,31)-DATE(YEAR(Invoer!$A$5),1,1)+1),"jjjjmmdd")</f>
        <v>19270430</v>
      </c>
      <c r="C121" s="12">
        <v>1</v>
      </c>
      <c r="D121" s="17">
        <f t="shared" ca="1" si="2"/>
        <v>0</v>
      </c>
      <c r="E121" s="18">
        <f t="shared" ca="1" si="3"/>
        <v>0</v>
      </c>
    </row>
    <row r="122" spans="1:5" x14ac:dyDescent="0.25">
      <c r="A122" s="11">
        <f ca="1">INDEX(Stations,INT((ROWS(A$2:A122)-1)/(DATE(YEAR(Invoer!$A$5),12,31)-DATE(YEAR(Invoer!$A$5),1,1)+1))+2,1)</f>
        <v>44</v>
      </c>
      <c r="B122" t="str">
        <f ca="1">TEXT(DATE(YEAR(Invoer!$A$5),1,1)+MOD(ROWS(B$2:B122)-1,DATE(YEAR(Invoer!$A$5),12,31)-DATE(YEAR(Invoer!$A$5),1,1)+1),"jjjjmmdd")</f>
        <v>19270501</v>
      </c>
      <c r="C122" s="12">
        <v>1</v>
      </c>
      <c r="D122" s="17">
        <f t="shared" ca="1" si="2"/>
        <v>0</v>
      </c>
      <c r="E122" s="18">
        <f t="shared" ca="1" si="3"/>
        <v>0</v>
      </c>
    </row>
    <row r="123" spans="1:5" x14ac:dyDescent="0.25">
      <c r="A123" s="11">
        <f ca="1">INDEX(Stations,INT((ROWS(A$2:A123)-1)/(DATE(YEAR(Invoer!$A$5),12,31)-DATE(YEAR(Invoer!$A$5),1,1)+1))+2,1)</f>
        <v>44</v>
      </c>
      <c r="B123" t="str">
        <f ca="1">TEXT(DATE(YEAR(Invoer!$A$5),1,1)+MOD(ROWS(B$2:B123)-1,DATE(YEAR(Invoer!$A$5),12,31)-DATE(YEAR(Invoer!$A$5),1,1)+1),"jjjjmmdd")</f>
        <v>19270502</v>
      </c>
      <c r="C123" s="12">
        <v>1</v>
      </c>
      <c r="D123" s="17">
        <f t="shared" ca="1" si="2"/>
        <v>0</v>
      </c>
      <c r="E123" s="18">
        <f t="shared" ca="1" si="3"/>
        <v>0</v>
      </c>
    </row>
    <row r="124" spans="1:5" x14ac:dyDescent="0.25">
      <c r="A124" s="11">
        <f ca="1">INDEX(Stations,INT((ROWS(A$2:A124)-1)/(DATE(YEAR(Invoer!$A$5),12,31)-DATE(YEAR(Invoer!$A$5),1,1)+1))+2,1)</f>
        <v>44</v>
      </c>
      <c r="B124" t="str">
        <f ca="1">TEXT(DATE(YEAR(Invoer!$A$5),1,1)+MOD(ROWS(B$2:B124)-1,DATE(YEAR(Invoer!$A$5),12,31)-DATE(YEAR(Invoer!$A$5),1,1)+1),"jjjjmmdd")</f>
        <v>19270503</v>
      </c>
      <c r="C124" s="12">
        <v>1</v>
      </c>
      <c r="D124" s="17">
        <f t="shared" ca="1" si="2"/>
        <v>0</v>
      </c>
      <c r="E124" s="18">
        <f t="shared" ca="1" si="3"/>
        <v>0</v>
      </c>
    </row>
    <row r="125" spans="1:5" x14ac:dyDescent="0.25">
      <c r="A125" s="11">
        <f ca="1">INDEX(Stations,INT((ROWS(A$2:A125)-1)/(DATE(YEAR(Invoer!$A$5),12,31)-DATE(YEAR(Invoer!$A$5),1,1)+1))+2,1)</f>
        <v>44</v>
      </c>
      <c r="B125" t="str">
        <f ca="1">TEXT(DATE(YEAR(Invoer!$A$5),1,1)+MOD(ROWS(B$2:B125)-1,DATE(YEAR(Invoer!$A$5),12,31)-DATE(YEAR(Invoer!$A$5),1,1)+1),"jjjjmmdd")</f>
        <v>19270504</v>
      </c>
      <c r="C125" s="12">
        <v>1</v>
      </c>
      <c r="D125" s="17">
        <f t="shared" ca="1" si="2"/>
        <v>0</v>
      </c>
      <c r="E125" s="18">
        <f t="shared" ca="1" si="3"/>
        <v>0</v>
      </c>
    </row>
    <row r="126" spans="1:5" x14ac:dyDescent="0.25">
      <c r="A126" s="11">
        <f ca="1">INDEX(Stations,INT((ROWS(A$2:A126)-1)/(DATE(YEAR(Invoer!$A$5),12,31)-DATE(YEAR(Invoer!$A$5),1,1)+1))+2,1)</f>
        <v>44</v>
      </c>
      <c r="B126" t="str">
        <f ca="1">TEXT(DATE(YEAR(Invoer!$A$5),1,1)+MOD(ROWS(B$2:B126)-1,DATE(YEAR(Invoer!$A$5),12,31)-DATE(YEAR(Invoer!$A$5),1,1)+1),"jjjjmmdd")</f>
        <v>19270505</v>
      </c>
      <c r="C126" s="12">
        <v>1</v>
      </c>
      <c r="D126" s="17">
        <f t="shared" ca="1" si="2"/>
        <v>0</v>
      </c>
      <c r="E126" s="18">
        <f t="shared" ca="1" si="3"/>
        <v>0</v>
      </c>
    </row>
    <row r="127" spans="1:5" x14ac:dyDescent="0.25">
      <c r="A127" s="11">
        <f ca="1">INDEX(Stations,INT((ROWS(A$2:A127)-1)/(DATE(YEAR(Invoer!$A$5),12,31)-DATE(YEAR(Invoer!$A$5),1,1)+1))+2,1)</f>
        <v>44</v>
      </c>
      <c r="B127" t="str">
        <f ca="1">TEXT(DATE(YEAR(Invoer!$A$5),1,1)+MOD(ROWS(B$2:B127)-1,DATE(YEAR(Invoer!$A$5),12,31)-DATE(YEAR(Invoer!$A$5),1,1)+1),"jjjjmmdd")</f>
        <v>19270506</v>
      </c>
      <c r="C127" s="12">
        <v>1</v>
      </c>
      <c r="D127" s="17">
        <f t="shared" ca="1" si="2"/>
        <v>0</v>
      </c>
      <c r="E127" s="18">
        <f t="shared" ca="1" si="3"/>
        <v>0</v>
      </c>
    </row>
    <row r="128" spans="1:5" x14ac:dyDescent="0.25">
      <c r="A128" s="11">
        <f ca="1">INDEX(Stations,INT((ROWS(A$2:A128)-1)/(DATE(YEAR(Invoer!$A$5),12,31)-DATE(YEAR(Invoer!$A$5),1,1)+1))+2,1)</f>
        <v>44</v>
      </c>
      <c r="B128" t="str">
        <f ca="1">TEXT(DATE(YEAR(Invoer!$A$5),1,1)+MOD(ROWS(B$2:B128)-1,DATE(YEAR(Invoer!$A$5),12,31)-DATE(YEAR(Invoer!$A$5),1,1)+1),"jjjjmmdd")</f>
        <v>19270507</v>
      </c>
      <c r="C128" s="12">
        <v>1</v>
      </c>
      <c r="D128" s="17">
        <f t="shared" ca="1" si="2"/>
        <v>0</v>
      </c>
      <c r="E128" s="18">
        <f t="shared" ca="1" si="3"/>
        <v>0</v>
      </c>
    </row>
    <row r="129" spans="1:5" x14ac:dyDescent="0.25">
      <c r="A129" s="11">
        <f ca="1">INDEX(Stations,INT((ROWS(A$2:A129)-1)/(DATE(YEAR(Invoer!$A$5),12,31)-DATE(YEAR(Invoer!$A$5),1,1)+1))+2,1)</f>
        <v>44</v>
      </c>
      <c r="B129" t="str">
        <f ca="1">TEXT(DATE(YEAR(Invoer!$A$5),1,1)+MOD(ROWS(B$2:B129)-1,DATE(YEAR(Invoer!$A$5),12,31)-DATE(YEAR(Invoer!$A$5),1,1)+1),"jjjjmmdd")</f>
        <v>19270508</v>
      </c>
      <c r="C129" s="12">
        <v>1</v>
      </c>
      <c r="D129" s="17">
        <f t="shared" ca="1" si="2"/>
        <v>0</v>
      </c>
      <c r="E129" s="18">
        <f t="shared" ca="1" si="3"/>
        <v>0</v>
      </c>
    </row>
    <row r="130" spans="1:5" x14ac:dyDescent="0.25">
      <c r="A130" s="11">
        <f ca="1">INDEX(Stations,INT((ROWS(A$2:A130)-1)/(DATE(YEAR(Invoer!$A$5),12,31)-DATE(YEAR(Invoer!$A$5),1,1)+1))+2,1)</f>
        <v>44</v>
      </c>
      <c r="B130" t="str">
        <f ca="1">TEXT(DATE(YEAR(Invoer!$A$5),1,1)+MOD(ROWS(B$2:B130)-1,DATE(YEAR(Invoer!$A$5),12,31)-DATE(YEAR(Invoer!$A$5),1,1)+1),"jjjjmmdd")</f>
        <v>19270509</v>
      </c>
      <c r="C130" s="12">
        <v>1</v>
      </c>
      <c r="D130" s="17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18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1">
        <f ca="1">INDEX(Stations,INT((ROWS(A$2:A131)-1)/(DATE(YEAR(Invoer!$A$5),12,31)-DATE(YEAR(Invoer!$A$5),1,1)+1))+2,1)</f>
        <v>44</v>
      </c>
      <c r="B131" t="str">
        <f ca="1">TEXT(DATE(YEAR(Invoer!$A$5),1,1)+MOD(ROWS(B$2:B131)-1,DATE(YEAR(Invoer!$A$5),12,31)-DATE(YEAR(Invoer!$A$5),1,1)+1),"jjjjmmdd")</f>
        <v>19270510</v>
      </c>
      <c r="C131" s="12">
        <v>1</v>
      </c>
      <c r="D131" s="17">
        <f t="shared" ca="1" si="4"/>
        <v>0</v>
      </c>
      <c r="E131" s="18">
        <f t="shared" ca="1" si="5"/>
        <v>0</v>
      </c>
    </row>
    <row r="132" spans="1:5" x14ac:dyDescent="0.25">
      <c r="A132" s="11">
        <f ca="1">INDEX(Stations,INT((ROWS(A$2:A132)-1)/(DATE(YEAR(Invoer!$A$5),12,31)-DATE(YEAR(Invoer!$A$5),1,1)+1))+2,1)</f>
        <v>44</v>
      </c>
      <c r="B132" t="str">
        <f ca="1">TEXT(DATE(YEAR(Invoer!$A$5),1,1)+MOD(ROWS(B$2:B132)-1,DATE(YEAR(Invoer!$A$5),12,31)-DATE(YEAR(Invoer!$A$5),1,1)+1),"jjjjmmdd")</f>
        <v>19270511</v>
      </c>
      <c r="C132" s="12">
        <v>1</v>
      </c>
      <c r="D132" s="17">
        <f t="shared" ca="1" si="4"/>
        <v>0</v>
      </c>
      <c r="E132" s="18">
        <f t="shared" ca="1" si="5"/>
        <v>0</v>
      </c>
    </row>
    <row r="133" spans="1:5" x14ac:dyDescent="0.25">
      <c r="A133" s="11">
        <f ca="1">INDEX(Stations,INT((ROWS(A$2:A133)-1)/(DATE(YEAR(Invoer!$A$5),12,31)-DATE(YEAR(Invoer!$A$5),1,1)+1))+2,1)</f>
        <v>44</v>
      </c>
      <c r="B133" t="str">
        <f ca="1">TEXT(DATE(YEAR(Invoer!$A$5),1,1)+MOD(ROWS(B$2:B133)-1,DATE(YEAR(Invoer!$A$5),12,31)-DATE(YEAR(Invoer!$A$5),1,1)+1),"jjjjmmdd")</f>
        <v>19270512</v>
      </c>
      <c r="C133" s="12">
        <v>1</v>
      </c>
      <c r="D133" s="17">
        <f t="shared" ca="1" si="4"/>
        <v>0</v>
      </c>
      <c r="E133" s="18">
        <f t="shared" ca="1" si="5"/>
        <v>0</v>
      </c>
    </row>
    <row r="134" spans="1:5" x14ac:dyDescent="0.25">
      <c r="A134" s="11">
        <f ca="1">INDEX(Stations,INT((ROWS(A$2:A134)-1)/(DATE(YEAR(Invoer!$A$5),12,31)-DATE(YEAR(Invoer!$A$5),1,1)+1))+2,1)</f>
        <v>44</v>
      </c>
      <c r="B134" t="str">
        <f ca="1">TEXT(DATE(YEAR(Invoer!$A$5),1,1)+MOD(ROWS(B$2:B134)-1,DATE(YEAR(Invoer!$A$5),12,31)-DATE(YEAR(Invoer!$A$5),1,1)+1),"jjjjmmdd")</f>
        <v>19270513</v>
      </c>
      <c r="C134" s="12">
        <v>1</v>
      </c>
      <c r="D134" s="17">
        <f t="shared" ca="1" si="4"/>
        <v>0</v>
      </c>
      <c r="E134" s="18">
        <f t="shared" ca="1" si="5"/>
        <v>0</v>
      </c>
    </row>
    <row r="135" spans="1:5" x14ac:dyDescent="0.25">
      <c r="A135" s="11">
        <f ca="1">INDEX(Stations,INT((ROWS(A$2:A135)-1)/(DATE(YEAR(Invoer!$A$5),12,31)-DATE(YEAR(Invoer!$A$5),1,1)+1))+2,1)</f>
        <v>44</v>
      </c>
      <c r="B135" t="str">
        <f ca="1">TEXT(DATE(YEAR(Invoer!$A$5),1,1)+MOD(ROWS(B$2:B135)-1,DATE(YEAR(Invoer!$A$5),12,31)-DATE(YEAR(Invoer!$A$5),1,1)+1),"jjjjmmdd")</f>
        <v>19270514</v>
      </c>
      <c r="C135" s="12">
        <v>1</v>
      </c>
      <c r="D135" s="17">
        <f t="shared" ca="1" si="4"/>
        <v>0</v>
      </c>
      <c r="E135" s="18">
        <f t="shared" ca="1" si="5"/>
        <v>0</v>
      </c>
    </row>
    <row r="136" spans="1:5" x14ac:dyDescent="0.25">
      <c r="A136" s="11">
        <f ca="1">INDEX(Stations,INT((ROWS(A$2:A136)-1)/(DATE(YEAR(Invoer!$A$5),12,31)-DATE(YEAR(Invoer!$A$5),1,1)+1))+2,1)</f>
        <v>44</v>
      </c>
      <c r="B136" t="str">
        <f ca="1">TEXT(DATE(YEAR(Invoer!$A$5),1,1)+MOD(ROWS(B$2:B136)-1,DATE(YEAR(Invoer!$A$5),12,31)-DATE(YEAR(Invoer!$A$5),1,1)+1),"jjjjmmdd")</f>
        <v>19270515</v>
      </c>
      <c r="C136" s="12">
        <v>1</v>
      </c>
      <c r="D136" s="17">
        <f t="shared" ca="1" si="4"/>
        <v>0</v>
      </c>
      <c r="E136" s="18">
        <f t="shared" ca="1" si="5"/>
        <v>0</v>
      </c>
    </row>
    <row r="137" spans="1:5" x14ac:dyDescent="0.25">
      <c r="A137" s="11">
        <f ca="1">INDEX(Stations,INT((ROWS(A$2:A137)-1)/(DATE(YEAR(Invoer!$A$5),12,31)-DATE(YEAR(Invoer!$A$5),1,1)+1))+2,1)</f>
        <v>44</v>
      </c>
      <c r="B137" t="str">
        <f ca="1">TEXT(DATE(YEAR(Invoer!$A$5),1,1)+MOD(ROWS(B$2:B137)-1,DATE(YEAR(Invoer!$A$5),12,31)-DATE(YEAR(Invoer!$A$5),1,1)+1),"jjjjmmdd")</f>
        <v>19270516</v>
      </c>
      <c r="C137" s="12">
        <v>1</v>
      </c>
      <c r="D137" s="17">
        <f t="shared" ca="1" si="4"/>
        <v>0</v>
      </c>
      <c r="E137" s="18">
        <f t="shared" ca="1" si="5"/>
        <v>0</v>
      </c>
    </row>
    <row r="138" spans="1:5" x14ac:dyDescent="0.25">
      <c r="A138" s="11">
        <f ca="1">INDEX(Stations,INT((ROWS(A$2:A138)-1)/(DATE(YEAR(Invoer!$A$5),12,31)-DATE(YEAR(Invoer!$A$5),1,1)+1))+2,1)</f>
        <v>44</v>
      </c>
      <c r="B138" t="str">
        <f ca="1">TEXT(DATE(YEAR(Invoer!$A$5),1,1)+MOD(ROWS(B$2:B138)-1,DATE(YEAR(Invoer!$A$5),12,31)-DATE(YEAR(Invoer!$A$5),1,1)+1),"jjjjmmdd")</f>
        <v>19270517</v>
      </c>
      <c r="C138" s="12">
        <v>1</v>
      </c>
      <c r="D138" s="17">
        <f t="shared" ca="1" si="4"/>
        <v>0</v>
      </c>
      <c r="E138" s="18">
        <f t="shared" ca="1" si="5"/>
        <v>0</v>
      </c>
    </row>
    <row r="139" spans="1:5" x14ac:dyDescent="0.25">
      <c r="A139" s="11">
        <f ca="1">INDEX(Stations,INT((ROWS(A$2:A139)-1)/(DATE(YEAR(Invoer!$A$5),12,31)-DATE(YEAR(Invoer!$A$5),1,1)+1))+2,1)</f>
        <v>44</v>
      </c>
      <c r="B139" t="str">
        <f ca="1">TEXT(DATE(YEAR(Invoer!$A$5),1,1)+MOD(ROWS(B$2:B139)-1,DATE(YEAR(Invoer!$A$5),12,31)-DATE(YEAR(Invoer!$A$5),1,1)+1),"jjjjmmdd")</f>
        <v>19270518</v>
      </c>
      <c r="C139" s="12">
        <v>1</v>
      </c>
      <c r="D139" s="17">
        <f t="shared" ca="1" si="4"/>
        <v>0</v>
      </c>
      <c r="E139" s="18">
        <f t="shared" ca="1" si="5"/>
        <v>0</v>
      </c>
    </row>
    <row r="140" spans="1:5" x14ac:dyDescent="0.25">
      <c r="A140" s="11">
        <f ca="1">INDEX(Stations,INT((ROWS(A$2:A140)-1)/(DATE(YEAR(Invoer!$A$5),12,31)-DATE(YEAR(Invoer!$A$5),1,1)+1))+2,1)</f>
        <v>44</v>
      </c>
      <c r="B140" t="str">
        <f ca="1">TEXT(DATE(YEAR(Invoer!$A$5),1,1)+MOD(ROWS(B$2:B140)-1,DATE(YEAR(Invoer!$A$5),12,31)-DATE(YEAR(Invoer!$A$5),1,1)+1),"jjjjmmdd")</f>
        <v>19270519</v>
      </c>
      <c r="C140" s="12">
        <v>1</v>
      </c>
      <c r="D140" s="17">
        <f t="shared" ca="1" si="4"/>
        <v>0</v>
      </c>
      <c r="E140" s="18">
        <f t="shared" ca="1" si="5"/>
        <v>0</v>
      </c>
    </row>
    <row r="141" spans="1:5" x14ac:dyDescent="0.25">
      <c r="A141" s="11">
        <f ca="1">INDEX(Stations,INT((ROWS(A$2:A141)-1)/(DATE(YEAR(Invoer!$A$5),12,31)-DATE(YEAR(Invoer!$A$5),1,1)+1))+2,1)</f>
        <v>44</v>
      </c>
      <c r="B141" t="str">
        <f ca="1">TEXT(DATE(YEAR(Invoer!$A$5),1,1)+MOD(ROWS(B$2:B141)-1,DATE(YEAR(Invoer!$A$5),12,31)-DATE(YEAR(Invoer!$A$5),1,1)+1),"jjjjmmdd")</f>
        <v>19270520</v>
      </c>
      <c r="C141" s="12">
        <v>1</v>
      </c>
      <c r="D141" s="17">
        <f t="shared" ca="1" si="4"/>
        <v>0</v>
      </c>
      <c r="E141" s="18">
        <f t="shared" ca="1" si="5"/>
        <v>0</v>
      </c>
    </row>
    <row r="142" spans="1:5" x14ac:dyDescent="0.25">
      <c r="A142" s="11">
        <f ca="1">INDEX(Stations,INT((ROWS(A$2:A142)-1)/(DATE(YEAR(Invoer!$A$5),12,31)-DATE(YEAR(Invoer!$A$5),1,1)+1))+2,1)</f>
        <v>44</v>
      </c>
      <c r="B142" t="str">
        <f ca="1">TEXT(DATE(YEAR(Invoer!$A$5),1,1)+MOD(ROWS(B$2:B142)-1,DATE(YEAR(Invoer!$A$5),12,31)-DATE(YEAR(Invoer!$A$5),1,1)+1),"jjjjmmdd")</f>
        <v>19270521</v>
      </c>
      <c r="C142" s="12">
        <v>1</v>
      </c>
      <c r="D142" s="17">
        <f t="shared" ca="1" si="4"/>
        <v>0</v>
      </c>
      <c r="E142" s="18">
        <f t="shared" ca="1" si="5"/>
        <v>0</v>
      </c>
    </row>
    <row r="143" spans="1:5" x14ac:dyDescent="0.25">
      <c r="A143" s="11">
        <f ca="1">INDEX(Stations,INT((ROWS(A$2:A143)-1)/(DATE(YEAR(Invoer!$A$5),12,31)-DATE(YEAR(Invoer!$A$5),1,1)+1))+2,1)</f>
        <v>44</v>
      </c>
      <c r="B143" t="str">
        <f ca="1">TEXT(DATE(YEAR(Invoer!$A$5),1,1)+MOD(ROWS(B$2:B143)-1,DATE(YEAR(Invoer!$A$5),12,31)-DATE(YEAR(Invoer!$A$5),1,1)+1),"jjjjmmdd")</f>
        <v>19270522</v>
      </c>
      <c r="C143" s="12">
        <v>1</v>
      </c>
      <c r="D143" s="17">
        <f t="shared" ca="1" si="4"/>
        <v>0</v>
      </c>
      <c r="E143" s="18">
        <f t="shared" ca="1" si="5"/>
        <v>0</v>
      </c>
    </row>
    <row r="144" spans="1:5" x14ac:dyDescent="0.25">
      <c r="A144" s="11">
        <f ca="1">INDEX(Stations,INT((ROWS(A$2:A144)-1)/(DATE(YEAR(Invoer!$A$5),12,31)-DATE(YEAR(Invoer!$A$5),1,1)+1))+2,1)</f>
        <v>44</v>
      </c>
      <c r="B144" t="str">
        <f ca="1">TEXT(DATE(YEAR(Invoer!$A$5),1,1)+MOD(ROWS(B$2:B144)-1,DATE(YEAR(Invoer!$A$5),12,31)-DATE(YEAR(Invoer!$A$5),1,1)+1),"jjjjmmdd")</f>
        <v>19270523</v>
      </c>
      <c r="C144" s="12">
        <v>1</v>
      </c>
      <c r="D144" s="17">
        <f t="shared" ca="1" si="4"/>
        <v>0</v>
      </c>
      <c r="E144" s="18">
        <f t="shared" ca="1" si="5"/>
        <v>0</v>
      </c>
    </row>
    <row r="145" spans="1:5" x14ac:dyDescent="0.25">
      <c r="A145" s="11">
        <f ca="1">INDEX(Stations,INT((ROWS(A$2:A145)-1)/(DATE(YEAR(Invoer!$A$5),12,31)-DATE(YEAR(Invoer!$A$5),1,1)+1))+2,1)</f>
        <v>44</v>
      </c>
      <c r="B145" t="str">
        <f ca="1">TEXT(DATE(YEAR(Invoer!$A$5),1,1)+MOD(ROWS(B$2:B145)-1,DATE(YEAR(Invoer!$A$5),12,31)-DATE(YEAR(Invoer!$A$5),1,1)+1),"jjjjmmdd")</f>
        <v>19270524</v>
      </c>
      <c r="C145" s="12">
        <v>1</v>
      </c>
      <c r="D145" s="17">
        <f t="shared" ca="1" si="4"/>
        <v>11</v>
      </c>
      <c r="E145" s="18">
        <f t="shared" ca="1" si="5"/>
        <v>0</v>
      </c>
    </row>
    <row r="146" spans="1:5" x14ac:dyDescent="0.25">
      <c r="A146" s="11">
        <f ca="1">INDEX(Stations,INT((ROWS(A$2:A146)-1)/(DATE(YEAR(Invoer!$A$5),12,31)-DATE(YEAR(Invoer!$A$5),1,1)+1))+2,1)</f>
        <v>44</v>
      </c>
      <c r="B146" t="str">
        <f ca="1">TEXT(DATE(YEAR(Invoer!$A$5),1,1)+MOD(ROWS(B$2:B146)-1,DATE(YEAR(Invoer!$A$5),12,31)-DATE(YEAR(Invoer!$A$5),1,1)+1),"jjjjmmdd")</f>
        <v>19270525</v>
      </c>
      <c r="C146" s="12">
        <v>1</v>
      </c>
      <c r="D146" s="17">
        <f t="shared" ca="1" si="4"/>
        <v>0</v>
      </c>
      <c r="E146" s="18">
        <f t="shared" ca="1" si="5"/>
        <v>0</v>
      </c>
    </row>
    <row r="147" spans="1:5" x14ac:dyDescent="0.25">
      <c r="A147" s="11">
        <f ca="1">INDEX(Stations,INT((ROWS(A$2:A147)-1)/(DATE(YEAR(Invoer!$A$5),12,31)-DATE(YEAR(Invoer!$A$5),1,1)+1))+2,1)</f>
        <v>44</v>
      </c>
      <c r="B147" t="str">
        <f ca="1">TEXT(DATE(YEAR(Invoer!$A$5),1,1)+MOD(ROWS(B$2:B147)-1,DATE(YEAR(Invoer!$A$5),12,31)-DATE(YEAR(Invoer!$A$5),1,1)+1),"jjjjmmdd")</f>
        <v>19270526</v>
      </c>
      <c r="C147" s="12">
        <v>1</v>
      </c>
      <c r="D147" s="17">
        <f t="shared" ca="1" si="4"/>
        <v>0</v>
      </c>
      <c r="E147" s="18">
        <f t="shared" ca="1" si="5"/>
        <v>0</v>
      </c>
    </row>
    <row r="148" spans="1:5" x14ac:dyDescent="0.25">
      <c r="A148" s="11">
        <f ca="1">INDEX(Stations,INT((ROWS(A$2:A148)-1)/(DATE(YEAR(Invoer!$A$5),12,31)-DATE(YEAR(Invoer!$A$5),1,1)+1))+2,1)</f>
        <v>44</v>
      </c>
      <c r="B148" t="str">
        <f ca="1">TEXT(DATE(YEAR(Invoer!$A$5),1,1)+MOD(ROWS(B$2:B148)-1,DATE(YEAR(Invoer!$A$5),12,31)-DATE(YEAR(Invoer!$A$5),1,1)+1),"jjjjmmdd")</f>
        <v>19270527</v>
      </c>
      <c r="C148" s="12">
        <v>1</v>
      </c>
      <c r="D148" s="17">
        <f t="shared" ca="1" si="4"/>
        <v>0</v>
      </c>
      <c r="E148" s="18">
        <f t="shared" ca="1" si="5"/>
        <v>0</v>
      </c>
    </row>
    <row r="149" spans="1:5" x14ac:dyDescent="0.25">
      <c r="A149" s="11">
        <f ca="1">INDEX(Stations,INT((ROWS(A$2:A149)-1)/(DATE(YEAR(Invoer!$A$5),12,31)-DATE(YEAR(Invoer!$A$5),1,1)+1))+2,1)</f>
        <v>44</v>
      </c>
      <c r="B149" t="str">
        <f ca="1">TEXT(DATE(YEAR(Invoer!$A$5),1,1)+MOD(ROWS(B$2:B149)-1,DATE(YEAR(Invoer!$A$5),12,31)-DATE(YEAR(Invoer!$A$5),1,1)+1),"jjjjmmdd")</f>
        <v>19270528</v>
      </c>
      <c r="C149" s="12">
        <v>1</v>
      </c>
      <c r="D149" s="17">
        <f t="shared" ca="1" si="4"/>
        <v>0</v>
      </c>
      <c r="E149" s="18">
        <f t="shared" ca="1" si="5"/>
        <v>0</v>
      </c>
    </row>
    <row r="150" spans="1:5" x14ac:dyDescent="0.25">
      <c r="A150" s="11">
        <f ca="1">INDEX(Stations,INT((ROWS(A$2:A150)-1)/(DATE(YEAR(Invoer!$A$5),12,31)-DATE(YEAR(Invoer!$A$5),1,1)+1))+2,1)</f>
        <v>44</v>
      </c>
      <c r="B150" t="str">
        <f ca="1">TEXT(DATE(YEAR(Invoer!$A$5),1,1)+MOD(ROWS(B$2:B150)-1,DATE(YEAR(Invoer!$A$5),12,31)-DATE(YEAR(Invoer!$A$5),1,1)+1),"jjjjmmdd")</f>
        <v>19270529</v>
      </c>
      <c r="C150" s="12">
        <v>1</v>
      </c>
      <c r="D150" s="17">
        <f t="shared" ca="1" si="4"/>
        <v>0</v>
      </c>
      <c r="E150" s="18">
        <f t="shared" ca="1" si="5"/>
        <v>0</v>
      </c>
    </row>
    <row r="151" spans="1:5" x14ac:dyDescent="0.25">
      <c r="A151" s="11">
        <f ca="1">INDEX(Stations,INT((ROWS(A$2:A151)-1)/(DATE(YEAR(Invoer!$A$5),12,31)-DATE(YEAR(Invoer!$A$5),1,1)+1))+2,1)</f>
        <v>44</v>
      </c>
      <c r="B151" t="str">
        <f ca="1">TEXT(DATE(YEAR(Invoer!$A$5),1,1)+MOD(ROWS(B$2:B151)-1,DATE(YEAR(Invoer!$A$5),12,31)-DATE(YEAR(Invoer!$A$5),1,1)+1),"jjjjmmdd")</f>
        <v>19270530</v>
      </c>
      <c r="C151" s="12">
        <v>1</v>
      </c>
      <c r="D151" s="17">
        <f t="shared" ca="1" si="4"/>
        <v>0</v>
      </c>
      <c r="E151" s="18">
        <f t="shared" ca="1" si="5"/>
        <v>0</v>
      </c>
    </row>
    <row r="152" spans="1:5" x14ac:dyDescent="0.25">
      <c r="A152" s="11">
        <f ca="1">INDEX(Stations,INT((ROWS(A$2:A152)-1)/(DATE(YEAR(Invoer!$A$5),12,31)-DATE(YEAR(Invoer!$A$5),1,1)+1))+2,1)</f>
        <v>44</v>
      </c>
      <c r="B152" t="str">
        <f ca="1">TEXT(DATE(YEAR(Invoer!$A$5),1,1)+MOD(ROWS(B$2:B152)-1,DATE(YEAR(Invoer!$A$5),12,31)-DATE(YEAR(Invoer!$A$5),1,1)+1),"jjjjmmdd")</f>
        <v>19270531</v>
      </c>
      <c r="C152" s="12">
        <v>1</v>
      </c>
      <c r="D152" s="17">
        <f t="shared" ca="1" si="4"/>
        <v>0</v>
      </c>
      <c r="E152" s="18">
        <f t="shared" ca="1" si="5"/>
        <v>0</v>
      </c>
    </row>
    <row r="153" spans="1:5" x14ac:dyDescent="0.25">
      <c r="A153" s="11">
        <f ca="1">INDEX(Stations,INT((ROWS(A$2:A153)-1)/(DATE(YEAR(Invoer!$A$5),12,31)-DATE(YEAR(Invoer!$A$5),1,1)+1))+2,1)</f>
        <v>44</v>
      </c>
      <c r="B153" t="str">
        <f ca="1">TEXT(DATE(YEAR(Invoer!$A$5),1,1)+MOD(ROWS(B$2:B153)-1,DATE(YEAR(Invoer!$A$5),12,31)-DATE(YEAR(Invoer!$A$5),1,1)+1),"jjjjmmdd")</f>
        <v>19270601</v>
      </c>
      <c r="C153" s="12">
        <v>1</v>
      </c>
      <c r="D153" s="17">
        <f t="shared" ca="1" si="4"/>
        <v>0</v>
      </c>
      <c r="E153" s="18">
        <f t="shared" ca="1" si="5"/>
        <v>0</v>
      </c>
    </row>
    <row r="154" spans="1:5" x14ac:dyDescent="0.25">
      <c r="A154" s="11">
        <f ca="1">INDEX(Stations,INT((ROWS(A$2:A154)-1)/(DATE(YEAR(Invoer!$A$5),12,31)-DATE(YEAR(Invoer!$A$5),1,1)+1))+2,1)</f>
        <v>44</v>
      </c>
      <c r="B154" t="str">
        <f ca="1">TEXT(DATE(YEAR(Invoer!$A$5),1,1)+MOD(ROWS(B$2:B154)-1,DATE(YEAR(Invoer!$A$5),12,31)-DATE(YEAR(Invoer!$A$5),1,1)+1),"jjjjmmdd")</f>
        <v>19270602</v>
      </c>
      <c r="C154" s="12">
        <v>1</v>
      </c>
      <c r="D154" s="17">
        <f t="shared" ca="1" si="4"/>
        <v>0</v>
      </c>
      <c r="E154" s="18">
        <f t="shared" ca="1" si="5"/>
        <v>0</v>
      </c>
    </row>
    <row r="155" spans="1:5" x14ac:dyDescent="0.25">
      <c r="A155" s="11">
        <f ca="1">INDEX(Stations,INT((ROWS(A$2:A155)-1)/(DATE(YEAR(Invoer!$A$5),12,31)-DATE(YEAR(Invoer!$A$5),1,1)+1))+2,1)</f>
        <v>44</v>
      </c>
      <c r="B155" t="str">
        <f ca="1">TEXT(DATE(YEAR(Invoer!$A$5),1,1)+MOD(ROWS(B$2:B155)-1,DATE(YEAR(Invoer!$A$5),12,31)-DATE(YEAR(Invoer!$A$5),1,1)+1),"jjjjmmdd")</f>
        <v>19270603</v>
      </c>
      <c r="C155" s="12">
        <v>1</v>
      </c>
      <c r="D155" s="17">
        <f t="shared" ca="1" si="4"/>
        <v>0</v>
      </c>
      <c r="E155" s="18">
        <f t="shared" ca="1" si="5"/>
        <v>0</v>
      </c>
    </row>
    <row r="156" spans="1:5" x14ac:dyDescent="0.25">
      <c r="A156" s="11">
        <f ca="1">INDEX(Stations,INT((ROWS(A$2:A156)-1)/(DATE(YEAR(Invoer!$A$5),12,31)-DATE(YEAR(Invoer!$A$5),1,1)+1))+2,1)</f>
        <v>44</v>
      </c>
      <c r="B156" t="str">
        <f ca="1">TEXT(DATE(YEAR(Invoer!$A$5),1,1)+MOD(ROWS(B$2:B156)-1,DATE(YEAR(Invoer!$A$5),12,31)-DATE(YEAR(Invoer!$A$5),1,1)+1),"jjjjmmdd")</f>
        <v>19270604</v>
      </c>
      <c r="C156" s="12">
        <v>1</v>
      </c>
      <c r="D156" s="17">
        <f t="shared" ca="1" si="4"/>
        <v>0</v>
      </c>
      <c r="E156" s="18">
        <f t="shared" ca="1" si="5"/>
        <v>0</v>
      </c>
    </row>
    <row r="157" spans="1:5" x14ac:dyDescent="0.25">
      <c r="A157" s="11">
        <f ca="1">INDEX(Stations,INT((ROWS(A$2:A157)-1)/(DATE(YEAR(Invoer!$A$5),12,31)-DATE(YEAR(Invoer!$A$5),1,1)+1))+2,1)</f>
        <v>44</v>
      </c>
      <c r="B157" t="str">
        <f ca="1">TEXT(DATE(YEAR(Invoer!$A$5),1,1)+MOD(ROWS(B$2:B157)-1,DATE(YEAR(Invoer!$A$5),12,31)-DATE(YEAR(Invoer!$A$5),1,1)+1),"jjjjmmdd")</f>
        <v>19270605</v>
      </c>
      <c r="C157" s="12">
        <v>1</v>
      </c>
      <c r="D157" s="17">
        <f t="shared" ca="1" si="4"/>
        <v>0</v>
      </c>
      <c r="E157" s="18">
        <f t="shared" ca="1" si="5"/>
        <v>0</v>
      </c>
    </row>
    <row r="158" spans="1:5" x14ac:dyDescent="0.25">
      <c r="A158" s="11">
        <f ca="1">INDEX(Stations,INT((ROWS(A$2:A158)-1)/(DATE(YEAR(Invoer!$A$5),12,31)-DATE(YEAR(Invoer!$A$5),1,1)+1))+2,1)</f>
        <v>44</v>
      </c>
      <c r="B158" t="str">
        <f ca="1">TEXT(DATE(YEAR(Invoer!$A$5),1,1)+MOD(ROWS(B$2:B158)-1,DATE(YEAR(Invoer!$A$5),12,31)-DATE(YEAR(Invoer!$A$5),1,1)+1),"jjjjmmdd")</f>
        <v>19270606</v>
      </c>
      <c r="C158" s="12">
        <v>1</v>
      </c>
      <c r="D158" s="17">
        <f t="shared" ca="1" si="4"/>
        <v>0</v>
      </c>
      <c r="E158" s="18">
        <f t="shared" ca="1" si="5"/>
        <v>0</v>
      </c>
    </row>
    <row r="159" spans="1:5" x14ac:dyDescent="0.25">
      <c r="A159" s="11">
        <f ca="1">INDEX(Stations,INT((ROWS(A$2:A159)-1)/(DATE(YEAR(Invoer!$A$5),12,31)-DATE(YEAR(Invoer!$A$5),1,1)+1))+2,1)</f>
        <v>44</v>
      </c>
      <c r="B159" t="str">
        <f ca="1">TEXT(DATE(YEAR(Invoer!$A$5),1,1)+MOD(ROWS(B$2:B159)-1,DATE(YEAR(Invoer!$A$5),12,31)-DATE(YEAR(Invoer!$A$5),1,1)+1),"jjjjmmdd")</f>
        <v>19270607</v>
      </c>
      <c r="C159" s="12">
        <v>1</v>
      </c>
      <c r="D159" s="17">
        <f t="shared" ca="1" si="4"/>
        <v>0</v>
      </c>
      <c r="E159" s="18">
        <f t="shared" ca="1" si="5"/>
        <v>0</v>
      </c>
    </row>
    <row r="160" spans="1:5" x14ac:dyDescent="0.25">
      <c r="A160" s="11">
        <f ca="1">INDEX(Stations,INT((ROWS(A$2:A160)-1)/(DATE(YEAR(Invoer!$A$5),12,31)-DATE(YEAR(Invoer!$A$5),1,1)+1))+2,1)</f>
        <v>44</v>
      </c>
      <c r="B160" t="str">
        <f ca="1">TEXT(DATE(YEAR(Invoer!$A$5),1,1)+MOD(ROWS(B$2:B160)-1,DATE(YEAR(Invoer!$A$5),12,31)-DATE(YEAR(Invoer!$A$5),1,1)+1),"jjjjmmdd")</f>
        <v>19270608</v>
      </c>
      <c r="C160" s="12">
        <v>1</v>
      </c>
      <c r="D160" s="17">
        <f t="shared" ca="1" si="4"/>
        <v>0</v>
      </c>
      <c r="E160" s="18">
        <f t="shared" ca="1" si="5"/>
        <v>0</v>
      </c>
    </row>
    <row r="161" spans="1:5" x14ac:dyDescent="0.25">
      <c r="A161" s="11">
        <f ca="1">INDEX(Stations,INT((ROWS(A$2:A161)-1)/(DATE(YEAR(Invoer!$A$5),12,31)-DATE(YEAR(Invoer!$A$5),1,1)+1))+2,1)</f>
        <v>44</v>
      </c>
      <c r="B161" t="str">
        <f ca="1">TEXT(DATE(YEAR(Invoer!$A$5),1,1)+MOD(ROWS(B$2:B161)-1,DATE(YEAR(Invoer!$A$5),12,31)-DATE(YEAR(Invoer!$A$5),1,1)+1),"jjjjmmdd")</f>
        <v>19270609</v>
      </c>
      <c r="C161" s="12">
        <v>1</v>
      </c>
      <c r="D161" s="17">
        <f t="shared" ca="1" si="4"/>
        <v>0</v>
      </c>
      <c r="E161" s="18">
        <f t="shared" ca="1" si="5"/>
        <v>0</v>
      </c>
    </row>
    <row r="162" spans="1:5" x14ac:dyDescent="0.25">
      <c r="A162" s="11">
        <f ca="1">INDEX(Stations,INT((ROWS(A$2:A162)-1)/(DATE(YEAR(Invoer!$A$5),12,31)-DATE(YEAR(Invoer!$A$5),1,1)+1))+2,1)</f>
        <v>44</v>
      </c>
      <c r="B162" t="str">
        <f ca="1">TEXT(DATE(YEAR(Invoer!$A$5),1,1)+MOD(ROWS(B$2:B162)-1,DATE(YEAR(Invoer!$A$5),12,31)-DATE(YEAR(Invoer!$A$5),1,1)+1),"jjjjmmdd")</f>
        <v>19270610</v>
      </c>
      <c r="C162" s="12">
        <v>1</v>
      </c>
      <c r="D162" s="17">
        <f t="shared" ca="1" si="4"/>
        <v>0</v>
      </c>
      <c r="E162" s="18">
        <f t="shared" ca="1" si="5"/>
        <v>0</v>
      </c>
    </row>
    <row r="163" spans="1:5" x14ac:dyDescent="0.25">
      <c r="A163" s="11">
        <f ca="1">INDEX(Stations,INT((ROWS(A$2:A163)-1)/(DATE(YEAR(Invoer!$A$5),12,31)-DATE(YEAR(Invoer!$A$5),1,1)+1))+2,1)</f>
        <v>44</v>
      </c>
      <c r="B163" t="str">
        <f ca="1">TEXT(DATE(YEAR(Invoer!$A$5),1,1)+MOD(ROWS(B$2:B163)-1,DATE(YEAR(Invoer!$A$5),12,31)-DATE(YEAR(Invoer!$A$5),1,1)+1),"jjjjmmdd")</f>
        <v>19270611</v>
      </c>
      <c r="C163" s="12">
        <v>1</v>
      </c>
      <c r="D163" s="17">
        <f t="shared" ca="1" si="4"/>
        <v>0</v>
      </c>
      <c r="E163" s="18">
        <f t="shared" ca="1" si="5"/>
        <v>0</v>
      </c>
    </row>
    <row r="164" spans="1:5" x14ac:dyDescent="0.25">
      <c r="A164" s="11">
        <f ca="1">INDEX(Stations,INT((ROWS(A$2:A164)-1)/(DATE(YEAR(Invoer!$A$5),12,31)-DATE(YEAR(Invoer!$A$5),1,1)+1))+2,1)</f>
        <v>44</v>
      </c>
      <c r="B164" t="str">
        <f ca="1">TEXT(DATE(YEAR(Invoer!$A$5),1,1)+MOD(ROWS(B$2:B164)-1,DATE(YEAR(Invoer!$A$5),12,31)-DATE(YEAR(Invoer!$A$5),1,1)+1),"jjjjmmdd")</f>
        <v>19270612</v>
      </c>
      <c r="C164" s="12">
        <v>1</v>
      </c>
      <c r="D164" s="17">
        <f t="shared" ca="1" si="4"/>
        <v>0</v>
      </c>
      <c r="E164" s="18">
        <f t="shared" ca="1" si="5"/>
        <v>0</v>
      </c>
    </row>
    <row r="165" spans="1:5" x14ac:dyDescent="0.25">
      <c r="A165" s="11">
        <f ca="1">INDEX(Stations,INT((ROWS(A$2:A165)-1)/(DATE(YEAR(Invoer!$A$5),12,31)-DATE(YEAR(Invoer!$A$5),1,1)+1))+2,1)</f>
        <v>44</v>
      </c>
      <c r="B165" t="str">
        <f ca="1">TEXT(DATE(YEAR(Invoer!$A$5),1,1)+MOD(ROWS(B$2:B165)-1,DATE(YEAR(Invoer!$A$5),12,31)-DATE(YEAR(Invoer!$A$5),1,1)+1),"jjjjmmdd")</f>
        <v>19270613</v>
      </c>
      <c r="C165" s="12">
        <v>1</v>
      </c>
      <c r="D165" s="17">
        <f t="shared" ca="1" si="4"/>
        <v>0</v>
      </c>
      <c r="E165" s="18">
        <f t="shared" ca="1" si="5"/>
        <v>0</v>
      </c>
    </row>
    <row r="166" spans="1:5" x14ac:dyDescent="0.25">
      <c r="A166" s="11">
        <f ca="1">INDEX(Stations,INT((ROWS(A$2:A166)-1)/(DATE(YEAR(Invoer!$A$5),12,31)-DATE(YEAR(Invoer!$A$5),1,1)+1))+2,1)</f>
        <v>44</v>
      </c>
      <c r="B166" t="str">
        <f ca="1">TEXT(DATE(YEAR(Invoer!$A$5),1,1)+MOD(ROWS(B$2:B166)-1,DATE(YEAR(Invoer!$A$5),12,31)-DATE(YEAR(Invoer!$A$5),1,1)+1),"jjjjmmdd")</f>
        <v>19270614</v>
      </c>
      <c r="C166" s="12">
        <v>1</v>
      </c>
      <c r="D166" s="17">
        <f t="shared" ca="1" si="4"/>
        <v>0</v>
      </c>
      <c r="E166" s="18">
        <f t="shared" ca="1" si="5"/>
        <v>0</v>
      </c>
    </row>
    <row r="167" spans="1:5" x14ac:dyDescent="0.25">
      <c r="A167" s="11">
        <f ca="1">INDEX(Stations,INT((ROWS(A$2:A167)-1)/(DATE(YEAR(Invoer!$A$5),12,31)-DATE(YEAR(Invoer!$A$5),1,1)+1))+2,1)</f>
        <v>44</v>
      </c>
      <c r="B167" t="str">
        <f ca="1">TEXT(DATE(YEAR(Invoer!$A$5),1,1)+MOD(ROWS(B$2:B167)-1,DATE(YEAR(Invoer!$A$5),12,31)-DATE(YEAR(Invoer!$A$5),1,1)+1),"jjjjmmdd")</f>
        <v>19270615</v>
      </c>
      <c r="C167" s="12">
        <v>1</v>
      </c>
      <c r="D167" s="17">
        <f t="shared" ca="1" si="4"/>
        <v>0</v>
      </c>
      <c r="E167" s="18">
        <f t="shared" ca="1" si="5"/>
        <v>0</v>
      </c>
    </row>
    <row r="168" spans="1:5" x14ac:dyDescent="0.25">
      <c r="A168" s="11">
        <f ca="1">INDEX(Stations,INT((ROWS(A$2:A168)-1)/(DATE(YEAR(Invoer!$A$5),12,31)-DATE(YEAR(Invoer!$A$5),1,1)+1))+2,1)</f>
        <v>44</v>
      </c>
      <c r="B168" t="str">
        <f ca="1">TEXT(DATE(YEAR(Invoer!$A$5),1,1)+MOD(ROWS(B$2:B168)-1,DATE(YEAR(Invoer!$A$5),12,31)-DATE(YEAR(Invoer!$A$5),1,1)+1),"jjjjmmdd")</f>
        <v>19270616</v>
      </c>
      <c r="C168" s="12">
        <v>1</v>
      </c>
      <c r="D168" s="17">
        <f t="shared" ca="1" si="4"/>
        <v>4</v>
      </c>
      <c r="E168" s="18">
        <f t="shared" ca="1" si="5"/>
        <v>0</v>
      </c>
    </row>
    <row r="169" spans="1:5" x14ac:dyDescent="0.25">
      <c r="A169" s="11">
        <f ca="1">INDEX(Stations,INT((ROWS(A$2:A169)-1)/(DATE(YEAR(Invoer!$A$5),12,31)-DATE(YEAR(Invoer!$A$5),1,1)+1))+2,1)</f>
        <v>44</v>
      </c>
      <c r="B169" t="str">
        <f ca="1">TEXT(DATE(YEAR(Invoer!$A$5),1,1)+MOD(ROWS(B$2:B169)-1,DATE(YEAR(Invoer!$A$5),12,31)-DATE(YEAR(Invoer!$A$5),1,1)+1),"jjjjmmdd")</f>
        <v>19270617</v>
      </c>
      <c r="C169" s="12">
        <v>1</v>
      </c>
      <c r="D169" s="17">
        <f t="shared" ca="1" si="4"/>
        <v>0</v>
      </c>
      <c r="E169" s="18">
        <f t="shared" ca="1" si="5"/>
        <v>0</v>
      </c>
    </row>
    <row r="170" spans="1:5" x14ac:dyDescent="0.25">
      <c r="A170" s="11">
        <f ca="1">INDEX(Stations,INT((ROWS(A$2:A170)-1)/(DATE(YEAR(Invoer!$A$5),12,31)-DATE(YEAR(Invoer!$A$5),1,1)+1))+2,1)</f>
        <v>44</v>
      </c>
      <c r="B170" t="str">
        <f ca="1">TEXT(DATE(YEAR(Invoer!$A$5),1,1)+MOD(ROWS(B$2:B170)-1,DATE(YEAR(Invoer!$A$5),12,31)-DATE(YEAR(Invoer!$A$5),1,1)+1),"jjjjmmdd")</f>
        <v>19270618</v>
      </c>
      <c r="C170" s="12">
        <v>1</v>
      </c>
      <c r="D170" s="17">
        <f t="shared" ca="1" si="4"/>
        <v>25</v>
      </c>
      <c r="E170" s="18">
        <f t="shared" ca="1" si="5"/>
        <v>0</v>
      </c>
    </row>
    <row r="171" spans="1:5" x14ac:dyDescent="0.25">
      <c r="A171" s="11">
        <f ca="1">INDEX(Stations,INT((ROWS(A$2:A171)-1)/(DATE(YEAR(Invoer!$A$5),12,31)-DATE(YEAR(Invoer!$A$5),1,1)+1))+2,1)</f>
        <v>44</v>
      </c>
      <c r="B171" t="str">
        <f ca="1">TEXT(DATE(YEAR(Invoer!$A$5),1,1)+MOD(ROWS(B$2:B171)-1,DATE(YEAR(Invoer!$A$5),12,31)-DATE(YEAR(Invoer!$A$5),1,1)+1),"jjjjmmdd")</f>
        <v>19270619</v>
      </c>
      <c r="C171" s="12">
        <v>1</v>
      </c>
      <c r="D171" s="17">
        <f t="shared" ca="1" si="4"/>
        <v>0</v>
      </c>
      <c r="E171" s="18">
        <f t="shared" ca="1" si="5"/>
        <v>0</v>
      </c>
    </row>
    <row r="172" spans="1:5" x14ac:dyDescent="0.25">
      <c r="A172" s="11">
        <f ca="1">INDEX(Stations,INT((ROWS(A$2:A172)-1)/(DATE(YEAR(Invoer!$A$5),12,31)-DATE(YEAR(Invoer!$A$5),1,1)+1))+2,1)</f>
        <v>44</v>
      </c>
      <c r="B172" t="str">
        <f ca="1">TEXT(DATE(YEAR(Invoer!$A$5),1,1)+MOD(ROWS(B$2:B172)-1,DATE(YEAR(Invoer!$A$5),12,31)-DATE(YEAR(Invoer!$A$5),1,1)+1),"jjjjmmdd")</f>
        <v>19270620</v>
      </c>
      <c r="C172" s="12">
        <v>1</v>
      </c>
      <c r="D172" s="17">
        <f t="shared" ca="1" si="4"/>
        <v>306</v>
      </c>
      <c r="E172" s="18">
        <f t="shared" ca="1" si="5"/>
        <v>0</v>
      </c>
    </row>
    <row r="173" spans="1:5" x14ac:dyDescent="0.25">
      <c r="A173" s="11">
        <f ca="1">INDEX(Stations,INT((ROWS(A$2:A173)-1)/(DATE(YEAR(Invoer!$A$5),12,31)-DATE(YEAR(Invoer!$A$5),1,1)+1))+2,1)</f>
        <v>44</v>
      </c>
      <c r="B173" t="str">
        <f ca="1">TEXT(DATE(YEAR(Invoer!$A$5),1,1)+MOD(ROWS(B$2:B173)-1,DATE(YEAR(Invoer!$A$5),12,31)-DATE(YEAR(Invoer!$A$5),1,1)+1),"jjjjmmdd")</f>
        <v>19270621</v>
      </c>
      <c r="C173" s="12">
        <v>1</v>
      </c>
      <c r="D173" s="17">
        <f t="shared" ca="1" si="4"/>
        <v>0</v>
      </c>
      <c r="E173" s="18">
        <f t="shared" ca="1" si="5"/>
        <v>0</v>
      </c>
    </row>
    <row r="174" spans="1:5" x14ac:dyDescent="0.25">
      <c r="A174" s="11">
        <f ca="1">INDEX(Stations,INT((ROWS(A$2:A174)-1)/(DATE(YEAR(Invoer!$A$5),12,31)-DATE(YEAR(Invoer!$A$5),1,1)+1))+2,1)</f>
        <v>44</v>
      </c>
      <c r="B174" t="str">
        <f ca="1">TEXT(DATE(YEAR(Invoer!$A$5),1,1)+MOD(ROWS(B$2:B174)-1,DATE(YEAR(Invoer!$A$5),12,31)-DATE(YEAR(Invoer!$A$5),1,1)+1),"jjjjmmdd")</f>
        <v>19270622</v>
      </c>
      <c r="C174" s="12">
        <v>1</v>
      </c>
      <c r="D174" s="17">
        <f t="shared" ca="1" si="4"/>
        <v>0</v>
      </c>
      <c r="E174" s="18">
        <f t="shared" ca="1" si="5"/>
        <v>0</v>
      </c>
    </row>
    <row r="175" spans="1:5" x14ac:dyDescent="0.25">
      <c r="A175" s="11">
        <f ca="1">INDEX(Stations,INT((ROWS(A$2:A175)-1)/(DATE(YEAR(Invoer!$A$5),12,31)-DATE(YEAR(Invoer!$A$5),1,1)+1))+2,1)</f>
        <v>44</v>
      </c>
      <c r="B175" t="str">
        <f ca="1">TEXT(DATE(YEAR(Invoer!$A$5),1,1)+MOD(ROWS(B$2:B175)-1,DATE(YEAR(Invoer!$A$5),12,31)-DATE(YEAR(Invoer!$A$5),1,1)+1),"jjjjmmdd")</f>
        <v>19270623</v>
      </c>
      <c r="C175" s="12">
        <v>1</v>
      </c>
      <c r="D175" s="17">
        <f t="shared" ca="1" si="4"/>
        <v>113</v>
      </c>
      <c r="E175" s="18">
        <f t="shared" ca="1" si="5"/>
        <v>0</v>
      </c>
    </row>
    <row r="176" spans="1:5" x14ac:dyDescent="0.25">
      <c r="A176" s="11">
        <f ca="1">INDEX(Stations,INT((ROWS(A$2:A176)-1)/(DATE(YEAR(Invoer!$A$5),12,31)-DATE(YEAR(Invoer!$A$5),1,1)+1))+2,1)</f>
        <v>44</v>
      </c>
      <c r="B176" t="str">
        <f ca="1">TEXT(DATE(YEAR(Invoer!$A$5),1,1)+MOD(ROWS(B$2:B176)-1,DATE(YEAR(Invoer!$A$5),12,31)-DATE(YEAR(Invoer!$A$5),1,1)+1),"jjjjmmdd")</f>
        <v>19270624</v>
      </c>
      <c r="C176" s="12">
        <v>1</v>
      </c>
      <c r="D176" s="17">
        <f t="shared" ca="1" si="4"/>
        <v>5</v>
      </c>
      <c r="E176" s="18">
        <f t="shared" ca="1" si="5"/>
        <v>0</v>
      </c>
    </row>
    <row r="177" spans="1:5" x14ac:dyDescent="0.25">
      <c r="A177" s="11">
        <f ca="1">INDEX(Stations,INT((ROWS(A$2:A177)-1)/(DATE(YEAR(Invoer!$A$5),12,31)-DATE(YEAR(Invoer!$A$5),1,1)+1))+2,1)</f>
        <v>44</v>
      </c>
      <c r="B177" t="str">
        <f ca="1">TEXT(DATE(YEAR(Invoer!$A$5),1,1)+MOD(ROWS(B$2:B177)-1,DATE(YEAR(Invoer!$A$5),12,31)-DATE(YEAR(Invoer!$A$5),1,1)+1),"jjjjmmdd")</f>
        <v>19270625</v>
      </c>
      <c r="C177" s="12">
        <v>1</v>
      </c>
      <c r="D177" s="17">
        <f t="shared" ca="1" si="4"/>
        <v>0</v>
      </c>
      <c r="E177" s="18">
        <f t="shared" ca="1" si="5"/>
        <v>0</v>
      </c>
    </row>
    <row r="178" spans="1:5" x14ac:dyDescent="0.25">
      <c r="A178" s="11">
        <f ca="1">INDEX(Stations,INT((ROWS(A$2:A178)-1)/(DATE(YEAR(Invoer!$A$5),12,31)-DATE(YEAR(Invoer!$A$5),1,1)+1))+2,1)</f>
        <v>44</v>
      </c>
      <c r="B178" t="str">
        <f ca="1">TEXT(DATE(YEAR(Invoer!$A$5),1,1)+MOD(ROWS(B$2:B178)-1,DATE(YEAR(Invoer!$A$5),12,31)-DATE(YEAR(Invoer!$A$5),1,1)+1),"jjjjmmdd")</f>
        <v>19270626</v>
      </c>
      <c r="C178" s="12">
        <v>1</v>
      </c>
      <c r="D178" s="17">
        <f t="shared" ca="1" si="4"/>
        <v>0</v>
      </c>
      <c r="E178" s="18">
        <f t="shared" ca="1" si="5"/>
        <v>0</v>
      </c>
    </row>
    <row r="179" spans="1:5" x14ac:dyDescent="0.25">
      <c r="A179" s="11">
        <f ca="1">INDEX(Stations,INT((ROWS(A$2:A179)-1)/(DATE(YEAR(Invoer!$A$5),12,31)-DATE(YEAR(Invoer!$A$5),1,1)+1))+2,1)</f>
        <v>44</v>
      </c>
      <c r="B179" t="str">
        <f ca="1">TEXT(DATE(YEAR(Invoer!$A$5),1,1)+MOD(ROWS(B$2:B179)-1,DATE(YEAR(Invoer!$A$5),12,31)-DATE(YEAR(Invoer!$A$5),1,1)+1),"jjjjmmdd")</f>
        <v>19270627</v>
      </c>
      <c r="C179" s="12">
        <v>1</v>
      </c>
      <c r="D179" s="17">
        <f t="shared" ca="1" si="4"/>
        <v>0</v>
      </c>
      <c r="E179" s="18">
        <f t="shared" ca="1" si="5"/>
        <v>0</v>
      </c>
    </row>
    <row r="180" spans="1:5" x14ac:dyDescent="0.25">
      <c r="A180" s="11">
        <f ca="1">INDEX(Stations,INT((ROWS(A$2:A180)-1)/(DATE(YEAR(Invoer!$A$5),12,31)-DATE(YEAR(Invoer!$A$5),1,1)+1))+2,1)</f>
        <v>44</v>
      </c>
      <c r="B180" t="str">
        <f ca="1">TEXT(DATE(YEAR(Invoer!$A$5),1,1)+MOD(ROWS(B$2:B180)-1,DATE(YEAR(Invoer!$A$5),12,31)-DATE(YEAR(Invoer!$A$5),1,1)+1),"jjjjmmdd")</f>
        <v>19270628</v>
      </c>
      <c r="C180" s="12">
        <v>1</v>
      </c>
      <c r="D180" s="17">
        <f t="shared" ca="1" si="4"/>
        <v>17</v>
      </c>
      <c r="E180" s="18">
        <f t="shared" ca="1" si="5"/>
        <v>0</v>
      </c>
    </row>
    <row r="181" spans="1:5" x14ac:dyDescent="0.25">
      <c r="A181" s="11">
        <f ca="1">INDEX(Stations,INT((ROWS(A$2:A181)-1)/(DATE(YEAR(Invoer!$A$5),12,31)-DATE(YEAR(Invoer!$A$5),1,1)+1))+2,1)</f>
        <v>44</v>
      </c>
      <c r="B181" t="str">
        <f ca="1">TEXT(DATE(YEAR(Invoer!$A$5),1,1)+MOD(ROWS(B$2:B181)-1,DATE(YEAR(Invoer!$A$5),12,31)-DATE(YEAR(Invoer!$A$5),1,1)+1),"jjjjmmdd")</f>
        <v>19270629</v>
      </c>
      <c r="C181" s="12">
        <v>1</v>
      </c>
      <c r="D181" s="17">
        <f t="shared" ca="1" si="4"/>
        <v>105</v>
      </c>
      <c r="E181" s="18">
        <f t="shared" ca="1" si="5"/>
        <v>0</v>
      </c>
    </row>
    <row r="182" spans="1:5" x14ac:dyDescent="0.25">
      <c r="A182" s="11">
        <f ca="1">INDEX(Stations,INT((ROWS(A$2:A182)-1)/(DATE(YEAR(Invoer!$A$5),12,31)-DATE(YEAR(Invoer!$A$5),1,1)+1))+2,1)</f>
        <v>44</v>
      </c>
      <c r="B182" t="str">
        <f ca="1">TEXT(DATE(YEAR(Invoer!$A$5),1,1)+MOD(ROWS(B$2:B182)-1,DATE(YEAR(Invoer!$A$5),12,31)-DATE(YEAR(Invoer!$A$5),1,1)+1),"jjjjmmdd")</f>
        <v>19270630</v>
      </c>
      <c r="C182" s="12">
        <v>1</v>
      </c>
      <c r="D182" s="17">
        <f t="shared" ca="1" si="4"/>
        <v>0</v>
      </c>
      <c r="E182" s="18">
        <f t="shared" ca="1" si="5"/>
        <v>0</v>
      </c>
    </row>
    <row r="183" spans="1:5" x14ac:dyDescent="0.25">
      <c r="A183" s="11">
        <f ca="1">INDEX(Stations,INT((ROWS(A$2:A183)-1)/(DATE(YEAR(Invoer!$A$5),12,31)-DATE(YEAR(Invoer!$A$5),1,1)+1))+2,1)</f>
        <v>44</v>
      </c>
      <c r="B183" t="str">
        <f ca="1">TEXT(DATE(YEAR(Invoer!$A$5),1,1)+MOD(ROWS(B$2:B183)-1,DATE(YEAR(Invoer!$A$5),12,31)-DATE(YEAR(Invoer!$A$5),1,1)+1),"jjjjmmdd")</f>
        <v>19270701</v>
      </c>
      <c r="C183" s="12">
        <v>1</v>
      </c>
      <c r="D183" s="17">
        <f t="shared" ca="1" si="4"/>
        <v>0</v>
      </c>
      <c r="E183" s="18">
        <f t="shared" ca="1" si="5"/>
        <v>0</v>
      </c>
    </row>
    <row r="184" spans="1:5" x14ac:dyDescent="0.25">
      <c r="A184" s="11">
        <f ca="1">INDEX(Stations,INT((ROWS(A$2:A184)-1)/(DATE(YEAR(Invoer!$A$5),12,31)-DATE(YEAR(Invoer!$A$5),1,1)+1))+2,1)</f>
        <v>44</v>
      </c>
      <c r="B184" t="str">
        <f ca="1">TEXT(DATE(YEAR(Invoer!$A$5),1,1)+MOD(ROWS(B$2:B184)-1,DATE(YEAR(Invoer!$A$5),12,31)-DATE(YEAR(Invoer!$A$5),1,1)+1),"jjjjmmdd")</f>
        <v>19270702</v>
      </c>
      <c r="C184" s="12">
        <v>1</v>
      </c>
      <c r="D184" s="17">
        <f t="shared" ca="1" si="4"/>
        <v>0</v>
      </c>
      <c r="E184" s="18">
        <f t="shared" ca="1" si="5"/>
        <v>0</v>
      </c>
    </row>
    <row r="185" spans="1:5" x14ac:dyDescent="0.25">
      <c r="A185" s="11">
        <f ca="1">INDEX(Stations,INT((ROWS(A$2:A185)-1)/(DATE(YEAR(Invoer!$A$5),12,31)-DATE(YEAR(Invoer!$A$5),1,1)+1))+2,1)</f>
        <v>44</v>
      </c>
      <c r="B185" t="str">
        <f ca="1">TEXT(DATE(YEAR(Invoer!$A$5),1,1)+MOD(ROWS(B$2:B185)-1,DATE(YEAR(Invoer!$A$5),12,31)-DATE(YEAR(Invoer!$A$5),1,1)+1),"jjjjmmdd")</f>
        <v>19270703</v>
      </c>
      <c r="C185" s="12">
        <v>1</v>
      </c>
      <c r="D185" s="17">
        <f t="shared" ca="1" si="4"/>
        <v>0</v>
      </c>
      <c r="E185" s="18">
        <f t="shared" ca="1" si="5"/>
        <v>0</v>
      </c>
    </row>
    <row r="186" spans="1:5" x14ac:dyDescent="0.25">
      <c r="A186" s="11">
        <f ca="1">INDEX(Stations,INT((ROWS(A$2:A186)-1)/(DATE(YEAR(Invoer!$A$5),12,31)-DATE(YEAR(Invoer!$A$5),1,1)+1))+2,1)</f>
        <v>44</v>
      </c>
      <c r="B186" t="str">
        <f ca="1">TEXT(DATE(YEAR(Invoer!$A$5),1,1)+MOD(ROWS(B$2:B186)-1,DATE(YEAR(Invoer!$A$5),12,31)-DATE(YEAR(Invoer!$A$5),1,1)+1),"jjjjmmdd")</f>
        <v>19270704</v>
      </c>
      <c r="C186" s="12">
        <v>1</v>
      </c>
      <c r="D186" s="17">
        <f t="shared" ca="1" si="4"/>
        <v>0</v>
      </c>
      <c r="E186" s="18">
        <f t="shared" ca="1" si="5"/>
        <v>0</v>
      </c>
    </row>
    <row r="187" spans="1:5" x14ac:dyDescent="0.25">
      <c r="A187" s="11">
        <f ca="1">INDEX(Stations,INT((ROWS(A$2:A187)-1)/(DATE(YEAR(Invoer!$A$5),12,31)-DATE(YEAR(Invoer!$A$5),1,1)+1))+2,1)</f>
        <v>44</v>
      </c>
      <c r="B187" t="str">
        <f ca="1">TEXT(DATE(YEAR(Invoer!$A$5),1,1)+MOD(ROWS(B$2:B187)-1,DATE(YEAR(Invoer!$A$5),12,31)-DATE(YEAR(Invoer!$A$5),1,1)+1),"jjjjmmdd")</f>
        <v>19270705</v>
      </c>
      <c r="C187" s="12">
        <v>1</v>
      </c>
      <c r="D187" s="17">
        <f t="shared" ca="1" si="4"/>
        <v>0</v>
      </c>
      <c r="E187" s="18">
        <f t="shared" ca="1" si="5"/>
        <v>0</v>
      </c>
    </row>
    <row r="188" spans="1:5" x14ac:dyDescent="0.25">
      <c r="A188" s="11">
        <f ca="1">INDEX(Stations,INT((ROWS(A$2:A188)-1)/(DATE(YEAR(Invoer!$A$5),12,31)-DATE(YEAR(Invoer!$A$5),1,1)+1))+2,1)</f>
        <v>44</v>
      </c>
      <c r="B188" t="str">
        <f ca="1">TEXT(DATE(YEAR(Invoer!$A$5),1,1)+MOD(ROWS(B$2:B188)-1,DATE(YEAR(Invoer!$A$5),12,31)-DATE(YEAR(Invoer!$A$5),1,1)+1),"jjjjmmdd")</f>
        <v>19270706</v>
      </c>
      <c r="C188" s="12">
        <v>1</v>
      </c>
      <c r="D188" s="17">
        <f t="shared" ca="1" si="4"/>
        <v>0</v>
      </c>
      <c r="E188" s="18">
        <f t="shared" ca="1" si="5"/>
        <v>0</v>
      </c>
    </row>
    <row r="189" spans="1:5" x14ac:dyDescent="0.25">
      <c r="A189" s="11">
        <f ca="1">INDEX(Stations,INT((ROWS(A$2:A189)-1)/(DATE(YEAR(Invoer!$A$5),12,31)-DATE(YEAR(Invoer!$A$5),1,1)+1))+2,1)</f>
        <v>44</v>
      </c>
      <c r="B189" t="str">
        <f ca="1">TEXT(DATE(YEAR(Invoer!$A$5),1,1)+MOD(ROWS(B$2:B189)-1,DATE(YEAR(Invoer!$A$5),12,31)-DATE(YEAR(Invoer!$A$5),1,1)+1),"jjjjmmdd")</f>
        <v>19270707</v>
      </c>
      <c r="C189" s="12">
        <v>1</v>
      </c>
      <c r="D189" s="17">
        <f t="shared" ca="1" si="4"/>
        <v>123</v>
      </c>
      <c r="E189" s="18">
        <f t="shared" ca="1" si="5"/>
        <v>0</v>
      </c>
    </row>
    <row r="190" spans="1:5" x14ac:dyDescent="0.25">
      <c r="A190" s="11">
        <f ca="1">INDEX(Stations,INT((ROWS(A$2:A190)-1)/(DATE(YEAR(Invoer!$A$5),12,31)-DATE(YEAR(Invoer!$A$5),1,1)+1))+2,1)</f>
        <v>44</v>
      </c>
      <c r="B190" t="str">
        <f ca="1">TEXT(DATE(YEAR(Invoer!$A$5),1,1)+MOD(ROWS(B$2:B190)-1,DATE(YEAR(Invoer!$A$5),12,31)-DATE(YEAR(Invoer!$A$5),1,1)+1),"jjjjmmdd")</f>
        <v>19270708</v>
      </c>
      <c r="C190" s="12">
        <v>1</v>
      </c>
      <c r="D190" s="17">
        <f t="shared" ca="1" si="4"/>
        <v>0</v>
      </c>
      <c r="E190" s="18">
        <f t="shared" ca="1" si="5"/>
        <v>0</v>
      </c>
    </row>
    <row r="191" spans="1:5" x14ac:dyDescent="0.25">
      <c r="A191" s="11">
        <f ca="1">INDEX(Stations,INT((ROWS(A$2:A191)-1)/(DATE(YEAR(Invoer!$A$5),12,31)-DATE(YEAR(Invoer!$A$5),1,1)+1))+2,1)</f>
        <v>44</v>
      </c>
      <c r="B191" t="str">
        <f ca="1">TEXT(DATE(YEAR(Invoer!$A$5),1,1)+MOD(ROWS(B$2:B191)-1,DATE(YEAR(Invoer!$A$5),12,31)-DATE(YEAR(Invoer!$A$5),1,1)+1),"jjjjmmdd")</f>
        <v>19270709</v>
      </c>
      <c r="C191" s="12">
        <v>1</v>
      </c>
      <c r="D191" s="17">
        <f t="shared" ca="1" si="4"/>
        <v>0</v>
      </c>
      <c r="E191" s="18">
        <f t="shared" ca="1" si="5"/>
        <v>0</v>
      </c>
    </row>
    <row r="192" spans="1:5" x14ac:dyDescent="0.25">
      <c r="A192" s="11">
        <f ca="1">INDEX(Stations,INT((ROWS(A$2:A192)-1)/(DATE(YEAR(Invoer!$A$5),12,31)-DATE(YEAR(Invoer!$A$5),1,1)+1))+2,1)</f>
        <v>44</v>
      </c>
      <c r="B192" t="str">
        <f ca="1">TEXT(DATE(YEAR(Invoer!$A$5),1,1)+MOD(ROWS(B$2:B192)-1,DATE(YEAR(Invoer!$A$5),12,31)-DATE(YEAR(Invoer!$A$5),1,1)+1),"jjjjmmdd")</f>
        <v>19270710</v>
      </c>
      <c r="C192" s="12">
        <v>1</v>
      </c>
      <c r="D192" s="17">
        <f t="shared" ca="1" si="4"/>
        <v>0</v>
      </c>
      <c r="E192" s="18">
        <f t="shared" ca="1" si="5"/>
        <v>0</v>
      </c>
    </row>
    <row r="193" spans="1:5" x14ac:dyDescent="0.25">
      <c r="A193" s="11">
        <f ca="1">INDEX(Stations,INT((ROWS(A$2:A193)-1)/(DATE(YEAR(Invoer!$A$5),12,31)-DATE(YEAR(Invoer!$A$5),1,1)+1))+2,1)</f>
        <v>44</v>
      </c>
      <c r="B193" t="str">
        <f ca="1">TEXT(DATE(YEAR(Invoer!$A$5),1,1)+MOD(ROWS(B$2:B193)-1,DATE(YEAR(Invoer!$A$5),12,31)-DATE(YEAR(Invoer!$A$5),1,1)+1),"jjjjmmdd")</f>
        <v>19270711</v>
      </c>
      <c r="C193" s="12">
        <v>1</v>
      </c>
      <c r="D193" s="17">
        <f t="shared" ca="1" si="4"/>
        <v>0</v>
      </c>
      <c r="E193" s="18">
        <f t="shared" ca="1" si="5"/>
        <v>0</v>
      </c>
    </row>
    <row r="194" spans="1:5" x14ac:dyDescent="0.25">
      <c r="A194" s="11">
        <f ca="1">INDEX(Stations,INT((ROWS(A$2:A194)-1)/(DATE(YEAR(Invoer!$A$5),12,31)-DATE(YEAR(Invoer!$A$5),1,1)+1))+2,1)</f>
        <v>44</v>
      </c>
      <c r="B194" t="str">
        <f ca="1">TEXT(DATE(YEAR(Invoer!$A$5),1,1)+MOD(ROWS(B$2:B194)-1,DATE(YEAR(Invoer!$A$5),12,31)-DATE(YEAR(Invoer!$A$5),1,1)+1),"jjjjmmdd")</f>
        <v>19270712</v>
      </c>
      <c r="C194" s="12">
        <v>1</v>
      </c>
      <c r="D194" s="17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18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1">
        <f ca="1">INDEX(Stations,INT((ROWS(A$2:A195)-1)/(DATE(YEAR(Invoer!$A$5),12,31)-DATE(YEAR(Invoer!$A$5),1,1)+1))+2,1)</f>
        <v>44</v>
      </c>
      <c r="B195" t="str">
        <f ca="1">TEXT(DATE(YEAR(Invoer!$A$5),1,1)+MOD(ROWS(B$2:B195)-1,DATE(YEAR(Invoer!$A$5),12,31)-DATE(YEAR(Invoer!$A$5),1,1)+1),"jjjjmmdd")</f>
        <v>19270713</v>
      </c>
      <c r="C195" s="12">
        <v>1</v>
      </c>
      <c r="D195" s="17">
        <f t="shared" ca="1" si="6"/>
        <v>0</v>
      </c>
      <c r="E195" s="18">
        <f t="shared" ca="1" si="7"/>
        <v>0</v>
      </c>
    </row>
    <row r="196" spans="1:5" x14ac:dyDescent="0.25">
      <c r="A196" s="11">
        <f ca="1">INDEX(Stations,INT((ROWS(A$2:A196)-1)/(DATE(YEAR(Invoer!$A$5),12,31)-DATE(YEAR(Invoer!$A$5),1,1)+1))+2,1)</f>
        <v>44</v>
      </c>
      <c r="B196" t="str">
        <f ca="1">TEXT(DATE(YEAR(Invoer!$A$5),1,1)+MOD(ROWS(B$2:B196)-1,DATE(YEAR(Invoer!$A$5),12,31)-DATE(YEAR(Invoer!$A$5),1,1)+1),"jjjjmmdd")</f>
        <v>19270714</v>
      </c>
      <c r="C196" s="12">
        <v>1</v>
      </c>
      <c r="D196" s="17">
        <f t="shared" ca="1" si="6"/>
        <v>0</v>
      </c>
      <c r="E196" s="18">
        <f t="shared" ca="1" si="7"/>
        <v>0</v>
      </c>
    </row>
    <row r="197" spans="1:5" x14ac:dyDescent="0.25">
      <c r="A197" s="11">
        <f ca="1">INDEX(Stations,INT((ROWS(A$2:A197)-1)/(DATE(YEAR(Invoer!$A$5),12,31)-DATE(YEAR(Invoer!$A$5),1,1)+1))+2,1)</f>
        <v>44</v>
      </c>
      <c r="B197" t="str">
        <f ca="1">TEXT(DATE(YEAR(Invoer!$A$5),1,1)+MOD(ROWS(B$2:B197)-1,DATE(YEAR(Invoer!$A$5),12,31)-DATE(YEAR(Invoer!$A$5),1,1)+1),"jjjjmmdd")</f>
        <v>19270715</v>
      </c>
      <c r="C197" s="12">
        <v>1</v>
      </c>
      <c r="D197" s="17">
        <f t="shared" ca="1" si="6"/>
        <v>0</v>
      </c>
      <c r="E197" s="18">
        <f t="shared" ca="1" si="7"/>
        <v>0</v>
      </c>
    </row>
    <row r="198" spans="1:5" x14ac:dyDescent="0.25">
      <c r="A198" s="11">
        <f ca="1">INDEX(Stations,INT((ROWS(A$2:A198)-1)/(DATE(YEAR(Invoer!$A$5),12,31)-DATE(YEAR(Invoer!$A$5),1,1)+1))+2,1)</f>
        <v>44</v>
      </c>
      <c r="B198" t="str">
        <f ca="1">TEXT(DATE(YEAR(Invoer!$A$5),1,1)+MOD(ROWS(B$2:B198)-1,DATE(YEAR(Invoer!$A$5),12,31)-DATE(YEAR(Invoer!$A$5),1,1)+1),"jjjjmmdd")</f>
        <v>19270716</v>
      </c>
      <c r="C198" s="12">
        <v>1</v>
      </c>
      <c r="D198" s="17">
        <f t="shared" ca="1" si="6"/>
        <v>0</v>
      </c>
      <c r="E198" s="18">
        <f t="shared" ca="1" si="7"/>
        <v>0</v>
      </c>
    </row>
    <row r="199" spans="1:5" x14ac:dyDescent="0.25">
      <c r="A199" s="11">
        <f ca="1">INDEX(Stations,INT((ROWS(A$2:A199)-1)/(DATE(YEAR(Invoer!$A$5),12,31)-DATE(YEAR(Invoer!$A$5),1,1)+1))+2,1)</f>
        <v>44</v>
      </c>
      <c r="B199" t="str">
        <f ca="1">TEXT(DATE(YEAR(Invoer!$A$5),1,1)+MOD(ROWS(B$2:B199)-1,DATE(YEAR(Invoer!$A$5),12,31)-DATE(YEAR(Invoer!$A$5),1,1)+1),"jjjjmmdd")</f>
        <v>19270717</v>
      </c>
      <c r="C199" s="12">
        <v>1</v>
      </c>
      <c r="D199" s="17">
        <f t="shared" ca="1" si="6"/>
        <v>0</v>
      </c>
      <c r="E199" s="18">
        <f t="shared" ca="1" si="7"/>
        <v>0</v>
      </c>
    </row>
    <row r="200" spans="1:5" x14ac:dyDescent="0.25">
      <c r="A200" s="11">
        <f ca="1">INDEX(Stations,INT((ROWS(A$2:A200)-1)/(DATE(YEAR(Invoer!$A$5),12,31)-DATE(YEAR(Invoer!$A$5),1,1)+1))+2,1)</f>
        <v>44</v>
      </c>
      <c r="B200" t="str">
        <f ca="1">TEXT(DATE(YEAR(Invoer!$A$5),1,1)+MOD(ROWS(B$2:B200)-1,DATE(YEAR(Invoer!$A$5),12,31)-DATE(YEAR(Invoer!$A$5),1,1)+1),"jjjjmmdd")</f>
        <v>19270718</v>
      </c>
      <c r="C200" s="12">
        <v>1</v>
      </c>
      <c r="D200" s="17">
        <f t="shared" ca="1" si="6"/>
        <v>0</v>
      </c>
      <c r="E200" s="18">
        <f t="shared" ca="1" si="7"/>
        <v>0</v>
      </c>
    </row>
    <row r="201" spans="1:5" x14ac:dyDescent="0.25">
      <c r="A201" s="11">
        <f ca="1">INDEX(Stations,INT((ROWS(A$2:A201)-1)/(DATE(YEAR(Invoer!$A$5),12,31)-DATE(YEAR(Invoer!$A$5),1,1)+1))+2,1)</f>
        <v>44</v>
      </c>
      <c r="B201" t="str">
        <f ca="1">TEXT(DATE(YEAR(Invoer!$A$5),1,1)+MOD(ROWS(B$2:B201)-1,DATE(YEAR(Invoer!$A$5),12,31)-DATE(YEAR(Invoer!$A$5),1,1)+1),"jjjjmmdd")</f>
        <v>19270719</v>
      </c>
      <c r="C201" s="12">
        <v>1</v>
      </c>
      <c r="D201" s="17">
        <f t="shared" ca="1" si="6"/>
        <v>0</v>
      </c>
      <c r="E201" s="18">
        <f t="shared" ca="1" si="7"/>
        <v>0</v>
      </c>
    </row>
    <row r="202" spans="1:5" x14ac:dyDescent="0.25">
      <c r="A202" s="11">
        <f ca="1">INDEX(Stations,INT((ROWS(A$2:A202)-1)/(DATE(YEAR(Invoer!$A$5),12,31)-DATE(YEAR(Invoer!$A$5),1,1)+1))+2,1)</f>
        <v>44</v>
      </c>
      <c r="B202" t="str">
        <f ca="1">TEXT(DATE(YEAR(Invoer!$A$5),1,1)+MOD(ROWS(B$2:B202)-1,DATE(YEAR(Invoer!$A$5),12,31)-DATE(YEAR(Invoer!$A$5),1,1)+1),"jjjjmmdd")</f>
        <v>19270720</v>
      </c>
      <c r="C202" s="12">
        <v>1</v>
      </c>
      <c r="D202" s="17">
        <f t="shared" ca="1" si="6"/>
        <v>0</v>
      </c>
      <c r="E202" s="18">
        <f t="shared" ca="1" si="7"/>
        <v>0</v>
      </c>
    </row>
    <row r="203" spans="1:5" x14ac:dyDescent="0.25">
      <c r="A203" s="11">
        <f ca="1">INDEX(Stations,INT((ROWS(A$2:A203)-1)/(DATE(YEAR(Invoer!$A$5),12,31)-DATE(YEAR(Invoer!$A$5),1,1)+1))+2,1)</f>
        <v>44</v>
      </c>
      <c r="B203" t="str">
        <f ca="1">TEXT(DATE(YEAR(Invoer!$A$5),1,1)+MOD(ROWS(B$2:B203)-1,DATE(YEAR(Invoer!$A$5),12,31)-DATE(YEAR(Invoer!$A$5),1,1)+1),"jjjjmmdd")</f>
        <v>19270721</v>
      </c>
      <c r="C203" s="12">
        <v>1</v>
      </c>
      <c r="D203" s="17">
        <f t="shared" ca="1" si="6"/>
        <v>0</v>
      </c>
      <c r="E203" s="18">
        <f t="shared" ca="1" si="7"/>
        <v>0</v>
      </c>
    </row>
    <row r="204" spans="1:5" x14ac:dyDescent="0.25">
      <c r="A204" s="11">
        <f ca="1">INDEX(Stations,INT((ROWS(A$2:A204)-1)/(DATE(YEAR(Invoer!$A$5),12,31)-DATE(YEAR(Invoer!$A$5),1,1)+1))+2,1)</f>
        <v>44</v>
      </c>
      <c r="B204" t="str">
        <f ca="1">TEXT(DATE(YEAR(Invoer!$A$5),1,1)+MOD(ROWS(B$2:B204)-1,DATE(YEAR(Invoer!$A$5),12,31)-DATE(YEAR(Invoer!$A$5),1,1)+1),"jjjjmmdd")</f>
        <v>19270722</v>
      </c>
      <c r="C204" s="12">
        <v>1</v>
      </c>
      <c r="D204" s="17">
        <f t="shared" ca="1" si="6"/>
        <v>0</v>
      </c>
      <c r="E204" s="18">
        <f t="shared" ca="1" si="7"/>
        <v>0</v>
      </c>
    </row>
    <row r="205" spans="1:5" x14ac:dyDescent="0.25">
      <c r="A205" s="11">
        <f ca="1">INDEX(Stations,INT((ROWS(A$2:A205)-1)/(DATE(YEAR(Invoer!$A$5),12,31)-DATE(YEAR(Invoer!$A$5),1,1)+1))+2,1)</f>
        <v>44</v>
      </c>
      <c r="B205" t="str">
        <f ca="1">TEXT(DATE(YEAR(Invoer!$A$5),1,1)+MOD(ROWS(B$2:B205)-1,DATE(YEAR(Invoer!$A$5),12,31)-DATE(YEAR(Invoer!$A$5),1,1)+1),"jjjjmmdd")</f>
        <v>19270723</v>
      </c>
      <c r="C205" s="12">
        <v>1</v>
      </c>
      <c r="D205" s="17">
        <f t="shared" ca="1" si="6"/>
        <v>0</v>
      </c>
      <c r="E205" s="18">
        <f t="shared" ca="1" si="7"/>
        <v>0</v>
      </c>
    </row>
    <row r="206" spans="1:5" x14ac:dyDescent="0.25">
      <c r="A206" s="11">
        <f ca="1">INDEX(Stations,INT((ROWS(A$2:A206)-1)/(DATE(YEAR(Invoer!$A$5),12,31)-DATE(YEAR(Invoer!$A$5),1,1)+1))+2,1)</f>
        <v>44</v>
      </c>
      <c r="B206" t="str">
        <f ca="1">TEXT(DATE(YEAR(Invoer!$A$5),1,1)+MOD(ROWS(B$2:B206)-1,DATE(YEAR(Invoer!$A$5),12,31)-DATE(YEAR(Invoer!$A$5),1,1)+1),"jjjjmmdd")</f>
        <v>19270724</v>
      </c>
      <c r="C206" s="12">
        <v>1</v>
      </c>
      <c r="D206" s="17">
        <f t="shared" ca="1" si="6"/>
        <v>0</v>
      </c>
      <c r="E206" s="18">
        <f t="shared" ca="1" si="7"/>
        <v>0</v>
      </c>
    </row>
    <row r="207" spans="1:5" x14ac:dyDescent="0.25">
      <c r="A207" s="11">
        <f ca="1">INDEX(Stations,INT((ROWS(A$2:A207)-1)/(DATE(YEAR(Invoer!$A$5),12,31)-DATE(YEAR(Invoer!$A$5),1,1)+1))+2,1)</f>
        <v>44</v>
      </c>
      <c r="B207" t="str">
        <f ca="1">TEXT(DATE(YEAR(Invoer!$A$5),1,1)+MOD(ROWS(B$2:B207)-1,DATE(YEAR(Invoer!$A$5),12,31)-DATE(YEAR(Invoer!$A$5),1,1)+1),"jjjjmmdd")</f>
        <v>19270725</v>
      </c>
      <c r="C207" s="12">
        <v>1</v>
      </c>
      <c r="D207" s="17">
        <f t="shared" ca="1" si="6"/>
        <v>0</v>
      </c>
      <c r="E207" s="18">
        <f t="shared" ca="1" si="7"/>
        <v>0</v>
      </c>
    </row>
    <row r="208" spans="1:5" x14ac:dyDescent="0.25">
      <c r="A208" s="11">
        <f ca="1">INDEX(Stations,INT((ROWS(A$2:A208)-1)/(DATE(YEAR(Invoer!$A$5),12,31)-DATE(YEAR(Invoer!$A$5),1,1)+1))+2,1)</f>
        <v>44</v>
      </c>
      <c r="B208" t="str">
        <f ca="1">TEXT(DATE(YEAR(Invoer!$A$5),1,1)+MOD(ROWS(B$2:B208)-1,DATE(YEAR(Invoer!$A$5),12,31)-DATE(YEAR(Invoer!$A$5),1,1)+1),"jjjjmmdd")</f>
        <v>19270726</v>
      </c>
      <c r="C208" s="12">
        <v>1</v>
      </c>
      <c r="D208" s="17">
        <f t="shared" ca="1" si="6"/>
        <v>0</v>
      </c>
      <c r="E208" s="18">
        <f t="shared" ca="1" si="7"/>
        <v>0</v>
      </c>
    </row>
    <row r="209" spans="1:5" x14ac:dyDescent="0.25">
      <c r="A209" s="11">
        <f ca="1">INDEX(Stations,INT((ROWS(A$2:A209)-1)/(DATE(YEAR(Invoer!$A$5),12,31)-DATE(YEAR(Invoer!$A$5),1,1)+1))+2,1)</f>
        <v>44</v>
      </c>
      <c r="B209" t="str">
        <f ca="1">TEXT(DATE(YEAR(Invoer!$A$5),1,1)+MOD(ROWS(B$2:B209)-1,DATE(YEAR(Invoer!$A$5),12,31)-DATE(YEAR(Invoer!$A$5),1,1)+1),"jjjjmmdd")</f>
        <v>19270727</v>
      </c>
      <c r="C209" s="12">
        <v>1</v>
      </c>
      <c r="D209" s="17">
        <f t="shared" ca="1" si="6"/>
        <v>0</v>
      </c>
      <c r="E209" s="18">
        <f t="shared" ca="1" si="7"/>
        <v>0</v>
      </c>
    </row>
    <row r="210" spans="1:5" x14ac:dyDescent="0.25">
      <c r="A210" s="11">
        <f ca="1">INDEX(Stations,INT((ROWS(A$2:A210)-1)/(DATE(YEAR(Invoer!$A$5),12,31)-DATE(YEAR(Invoer!$A$5),1,1)+1))+2,1)</f>
        <v>44</v>
      </c>
      <c r="B210" t="str">
        <f ca="1">TEXT(DATE(YEAR(Invoer!$A$5),1,1)+MOD(ROWS(B$2:B210)-1,DATE(YEAR(Invoer!$A$5),12,31)-DATE(YEAR(Invoer!$A$5),1,1)+1),"jjjjmmdd")</f>
        <v>19270728</v>
      </c>
      <c r="C210" s="12">
        <v>1</v>
      </c>
      <c r="D210" s="17">
        <f t="shared" ca="1" si="6"/>
        <v>0</v>
      </c>
      <c r="E210" s="18">
        <f t="shared" ca="1" si="7"/>
        <v>0</v>
      </c>
    </row>
    <row r="211" spans="1:5" x14ac:dyDescent="0.25">
      <c r="A211" s="11">
        <f ca="1">INDEX(Stations,INT((ROWS(A$2:A211)-1)/(DATE(YEAR(Invoer!$A$5),12,31)-DATE(YEAR(Invoer!$A$5),1,1)+1))+2,1)</f>
        <v>44</v>
      </c>
      <c r="B211" t="str">
        <f ca="1">TEXT(DATE(YEAR(Invoer!$A$5),1,1)+MOD(ROWS(B$2:B211)-1,DATE(YEAR(Invoer!$A$5),12,31)-DATE(YEAR(Invoer!$A$5),1,1)+1),"jjjjmmdd")</f>
        <v>19270729</v>
      </c>
      <c r="C211" s="12">
        <v>1</v>
      </c>
      <c r="D211" s="17">
        <f t="shared" ca="1" si="6"/>
        <v>0</v>
      </c>
      <c r="E211" s="18">
        <f t="shared" ca="1" si="7"/>
        <v>0</v>
      </c>
    </row>
    <row r="212" spans="1:5" x14ac:dyDescent="0.25">
      <c r="A212" s="11">
        <f ca="1">INDEX(Stations,INT((ROWS(A$2:A212)-1)/(DATE(YEAR(Invoer!$A$5),12,31)-DATE(YEAR(Invoer!$A$5),1,1)+1))+2,1)</f>
        <v>44</v>
      </c>
      <c r="B212" t="str">
        <f ca="1">TEXT(DATE(YEAR(Invoer!$A$5),1,1)+MOD(ROWS(B$2:B212)-1,DATE(YEAR(Invoer!$A$5),12,31)-DATE(YEAR(Invoer!$A$5),1,1)+1),"jjjjmmdd")</f>
        <v>19270730</v>
      </c>
      <c r="C212" s="12">
        <v>1</v>
      </c>
      <c r="D212" s="17">
        <f t="shared" ca="1" si="6"/>
        <v>0</v>
      </c>
      <c r="E212" s="18">
        <f t="shared" ca="1" si="7"/>
        <v>0</v>
      </c>
    </row>
    <row r="213" spans="1:5" x14ac:dyDescent="0.25">
      <c r="A213" s="11">
        <f ca="1">INDEX(Stations,INT((ROWS(A$2:A213)-1)/(DATE(YEAR(Invoer!$A$5),12,31)-DATE(YEAR(Invoer!$A$5),1,1)+1))+2,1)</f>
        <v>44</v>
      </c>
      <c r="B213" t="str">
        <f ca="1">TEXT(DATE(YEAR(Invoer!$A$5),1,1)+MOD(ROWS(B$2:B213)-1,DATE(YEAR(Invoer!$A$5),12,31)-DATE(YEAR(Invoer!$A$5),1,1)+1),"jjjjmmdd")</f>
        <v>19270731</v>
      </c>
      <c r="C213" s="12">
        <v>1</v>
      </c>
      <c r="D213" s="17">
        <f t="shared" ca="1" si="6"/>
        <v>0</v>
      </c>
      <c r="E213" s="18">
        <f t="shared" ca="1" si="7"/>
        <v>0</v>
      </c>
    </row>
    <row r="214" spans="1:5" x14ac:dyDescent="0.25">
      <c r="A214" s="11">
        <f ca="1">INDEX(Stations,INT((ROWS(A$2:A214)-1)/(DATE(YEAR(Invoer!$A$5),12,31)-DATE(YEAR(Invoer!$A$5),1,1)+1))+2,1)</f>
        <v>44</v>
      </c>
      <c r="B214" t="str">
        <f ca="1">TEXT(DATE(YEAR(Invoer!$A$5),1,1)+MOD(ROWS(B$2:B214)-1,DATE(YEAR(Invoer!$A$5),12,31)-DATE(YEAR(Invoer!$A$5),1,1)+1),"jjjjmmdd")</f>
        <v>19270801</v>
      </c>
      <c r="C214" s="12">
        <v>1</v>
      </c>
      <c r="D214" s="17">
        <f t="shared" ca="1" si="6"/>
        <v>0</v>
      </c>
      <c r="E214" s="18">
        <f t="shared" ca="1" si="7"/>
        <v>0</v>
      </c>
    </row>
    <row r="215" spans="1:5" x14ac:dyDescent="0.25">
      <c r="A215" s="11">
        <f ca="1">INDEX(Stations,INT((ROWS(A$2:A215)-1)/(DATE(YEAR(Invoer!$A$5),12,31)-DATE(YEAR(Invoer!$A$5),1,1)+1))+2,1)</f>
        <v>44</v>
      </c>
      <c r="B215" t="str">
        <f ca="1">TEXT(DATE(YEAR(Invoer!$A$5),1,1)+MOD(ROWS(B$2:B215)-1,DATE(YEAR(Invoer!$A$5),12,31)-DATE(YEAR(Invoer!$A$5),1,1)+1),"jjjjmmdd")</f>
        <v>19270802</v>
      </c>
      <c r="C215" s="12">
        <v>1</v>
      </c>
      <c r="D215" s="17">
        <f t="shared" ca="1" si="6"/>
        <v>0</v>
      </c>
      <c r="E215" s="18">
        <f t="shared" ca="1" si="7"/>
        <v>0</v>
      </c>
    </row>
    <row r="216" spans="1:5" x14ac:dyDescent="0.25">
      <c r="A216" s="11">
        <f ca="1">INDEX(Stations,INT((ROWS(A$2:A216)-1)/(DATE(YEAR(Invoer!$A$5),12,31)-DATE(YEAR(Invoer!$A$5),1,1)+1))+2,1)</f>
        <v>44</v>
      </c>
      <c r="B216" t="str">
        <f ca="1">TEXT(DATE(YEAR(Invoer!$A$5),1,1)+MOD(ROWS(B$2:B216)-1,DATE(YEAR(Invoer!$A$5),12,31)-DATE(YEAR(Invoer!$A$5),1,1)+1),"jjjjmmdd")</f>
        <v>19270803</v>
      </c>
      <c r="C216" s="12">
        <v>1</v>
      </c>
      <c r="D216" s="17">
        <f t="shared" ca="1" si="6"/>
        <v>25</v>
      </c>
      <c r="E216" s="18">
        <f t="shared" ca="1" si="7"/>
        <v>0</v>
      </c>
    </row>
    <row r="217" spans="1:5" x14ac:dyDescent="0.25">
      <c r="A217" s="11">
        <f ca="1">INDEX(Stations,INT((ROWS(A$2:A217)-1)/(DATE(YEAR(Invoer!$A$5),12,31)-DATE(YEAR(Invoer!$A$5),1,1)+1))+2,1)</f>
        <v>44</v>
      </c>
      <c r="B217" t="str">
        <f ca="1">TEXT(DATE(YEAR(Invoer!$A$5),1,1)+MOD(ROWS(B$2:B217)-1,DATE(YEAR(Invoer!$A$5),12,31)-DATE(YEAR(Invoer!$A$5),1,1)+1),"jjjjmmdd")</f>
        <v>19270804</v>
      </c>
      <c r="C217" s="12">
        <v>1</v>
      </c>
      <c r="D217" s="17">
        <f t="shared" ca="1" si="6"/>
        <v>0</v>
      </c>
      <c r="E217" s="18">
        <f t="shared" ca="1" si="7"/>
        <v>0</v>
      </c>
    </row>
    <row r="218" spans="1:5" x14ac:dyDescent="0.25">
      <c r="A218" s="11">
        <f ca="1">INDEX(Stations,INT((ROWS(A$2:A218)-1)/(DATE(YEAR(Invoer!$A$5),12,31)-DATE(YEAR(Invoer!$A$5),1,1)+1))+2,1)</f>
        <v>44</v>
      </c>
      <c r="B218" t="str">
        <f ca="1">TEXT(DATE(YEAR(Invoer!$A$5),1,1)+MOD(ROWS(B$2:B218)-1,DATE(YEAR(Invoer!$A$5),12,31)-DATE(YEAR(Invoer!$A$5),1,1)+1),"jjjjmmdd")</f>
        <v>19270805</v>
      </c>
      <c r="C218" s="12">
        <v>1</v>
      </c>
      <c r="D218" s="17">
        <f t="shared" ca="1" si="6"/>
        <v>0</v>
      </c>
      <c r="E218" s="18">
        <f t="shared" ca="1" si="7"/>
        <v>0</v>
      </c>
    </row>
    <row r="219" spans="1:5" x14ac:dyDescent="0.25">
      <c r="A219" s="11">
        <f ca="1">INDEX(Stations,INT((ROWS(A$2:A219)-1)/(DATE(YEAR(Invoer!$A$5),12,31)-DATE(YEAR(Invoer!$A$5),1,1)+1))+2,1)</f>
        <v>44</v>
      </c>
      <c r="B219" t="str">
        <f ca="1">TEXT(DATE(YEAR(Invoer!$A$5),1,1)+MOD(ROWS(B$2:B219)-1,DATE(YEAR(Invoer!$A$5),12,31)-DATE(YEAR(Invoer!$A$5),1,1)+1),"jjjjmmdd")</f>
        <v>19270806</v>
      </c>
      <c r="C219" s="12">
        <v>1</v>
      </c>
      <c r="D219" s="17">
        <f t="shared" ca="1" si="6"/>
        <v>0</v>
      </c>
      <c r="E219" s="18">
        <f t="shared" ca="1" si="7"/>
        <v>0</v>
      </c>
    </row>
    <row r="220" spans="1:5" x14ac:dyDescent="0.25">
      <c r="A220" s="11">
        <f ca="1">INDEX(Stations,INT((ROWS(A$2:A220)-1)/(DATE(YEAR(Invoer!$A$5),12,31)-DATE(YEAR(Invoer!$A$5),1,1)+1))+2,1)</f>
        <v>44</v>
      </c>
      <c r="B220" t="str">
        <f ca="1">TEXT(DATE(YEAR(Invoer!$A$5),1,1)+MOD(ROWS(B$2:B220)-1,DATE(YEAR(Invoer!$A$5),12,31)-DATE(YEAR(Invoer!$A$5),1,1)+1),"jjjjmmdd")</f>
        <v>19270807</v>
      </c>
      <c r="C220" s="12">
        <v>1</v>
      </c>
      <c r="D220" s="17">
        <f t="shared" ca="1" si="6"/>
        <v>0</v>
      </c>
      <c r="E220" s="18">
        <f t="shared" ca="1" si="7"/>
        <v>0</v>
      </c>
    </row>
    <row r="221" spans="1:5" x14ac:dyDescent="0.25">
      <c r="A221" s="11">
        <f ca="1">INDEX(Stations,INT((ROWS(A$2:A221)-1)/(DATE(YEAR(Invoer!$A$5),12,31)-DATE(YEAR(Invoer!$A$5),1,1)+1))+2,1)</f>
        <v>44</v>
      </c>
      <c r="B221" t="str">
        <f ca="1">TEXT(DATE(YEAR(Invoer!$A$5),1,1)+MOD(ROWS(B$2:B221)-1,DATE(YEAR(Invoer!$A$5),12,31)-DATE(YEAR(Invoer!$A$5),1,1)+1),"jjjjmmdd")</f>
        <v>19270808</v>
      </c>
      <c r="C221" s="12">
        <v>1</v>
      </c>
      <c r="D221" s="17">
        <f t="shared" ca="1" si="6"/>
        <v>0</v>
      </c>
      <c r="E221" s="18">
        <f t="shared" ca="1" si="7"/>
        <v>0</v>
      </c>
    </row>
    <row r="222" spans="1:5" x14ac:dyDescent="0.25">
      <c r="A222" s="11">
        <f ca="1">INDEX(Stations,INT((ROWS(A$2:A222)-1)/(DATE(YEAR(Invoer!$A$5),12,31)-DATE(YEAR(Invoer!$A$5),1,1)+1))+2,1)</f>
        <v>44</v>
      </c>
      <c r="B222" t="str">
        <f ca="1">TEXT(DATE(YEAR(Invoer!$A$5),1,1)+MOD(ROWS(B$2:B222)-1,DATE(YEAR(Invoer!$A$5),12,31)-DATE(YEAR(Invoer!$A$5),1,1)+1),"jjjjmmdd")</f>
        <v>19270809</v>
      </c>
      <c r="C222" s="12">
        <v>1</v>
      </c>
      <c r="D222" s="17">
        <f t="shared" ca="1" si="6"/>
        <v>0</v>
      </c>
      <c r="E222" s="18">
        <f t="shared" ca="1" si="7"/>
        <v>0</v>
      </c>
    </row>
    <row r="223" spans="1:5" x14ac:dyDescent="0.25">
      <c r="A223" s="11">
        <f ca="1">INDEX(Stations,INT((ROWS(A$2:A223)-1)/(DATE(YEAR(Invoer!$A$5),12,31)-DATE(YEAR(Invoer!$A$5),1,1)+1))+2,1)</f>
        <v>44</v>
      </c>
      <c r="B223" t="str">
        <f ca="1">TEXT(DATE(YEAR(Invoer!$A$5),1,1)+MOD(ROWS(B$2:B223)-1,DATE(YEAR(Invoer!$A$5),12,31)-DATE(YEAR(Invoer!$A$5),1,1)+1),"jjjjmmdd")</f>
        <v>19270810</v>
      </c>
      <c r="C223" s="12">
        <v>1</v>
      </c>
      <c r="D223" s="17">
        <f t="shared" ca="1" si="6"/>
        <v>0</v>
      </c>
      <c r="E223" s="18">
        <f t="shared" ca="1" si="7"/>
        <v>0</v>
      </c>
    </row>
    <row r="224" spans="1:5" x14ac:dyDescent="0.25">
      <c r="A224" s="11">
        <f ca="1">INDEX(Stations,INT((ROWS(A$2:A224)-1)/(DATE(YEAR(Invoer!$A$5),12,31)-DATE(YEAR(Invoer!$A$5),1,1)+1))+2,1)</f>
        <v>44</v>
      </c>
      <c r="B224" t="str">
        <f ca="1">TEXT(DATE(YEAR(Invoer!$A$5),1,1)+MOD(ROWS(B$2:B224)-1,DATE(YEAR(Invoer!$A$5),12,31)-DATE(YEAR(Invoer!$A$5),1,1)+1),"jjjjmmdd")</f>
        <v>19270811</v>
      </c>
      <c r="C224" s="12">
        <v>1</v>
      </c>
      <c r="D224" s="17">
        <f t="shared" ca="1" si="6"/>
        <v>0</v>
      </c>
      <c r="E224" s="18">
        <f t="shared" ca="1" si="7"/>
        <v>0</v>
      </c>
    </row>
    <row r="225" spans="1:5" x14ac:dyDescent="0.25">
      <c r="A225" s="11">
        <f ca="1">INDEX(Stations,INT((ROWS(A$2:A225)-1)/(DATE(YEAR(Invoer!$A$5),12,31)-DATE(YEAR(Invoer!$A$5),1,1)+1))+2,1)</f>
        <v>44</v>
      </c>
      <c r="B225" t="str">
        <f ca="1">TEXT(DATE(YEAR(Invoer!$A$5),1,1)+MOD(ROWS(B$2:B225)-1,DATE(YEAR(Invoer!$A$5),12,31)-DATE(YEAR(Invoer!$A$5),1,1)+1),"jjjjmmdd")</f>
        <v>19270812</v>
      </c>
      <c r="C225" s="12">
        <v>1</v>
      </c>
      <c r="D225" s="17">
        <f t="shared" ca="1" si="6"/>
        <v>0</v>
      </c>
      <c r="E225" s="18">
        <f t="shared" ca="1" si="7"/>
        <v>0</v>
      </c>
    </row>
    <row r="226" spans="1:5" x14ac:dyDescent="0.25">
      <c r="A226" s="11">
        <f ca="1">INDEX(Stations,INT((ROWS(A$2:A226)-1)/(DATE(YEAR(Invoer!$A$5),12,31)-DATE(YEAR(Invoer!$A$5),1,1)+1))+2,1)</f>
        <v>44</v>
      </c>
      <c r="B226" t="str">
        <f ca="1">TEXT(DATE(YEAR(Invoer!$A$5),1,1)+MOD(ROWS(B$2:B226)-1,DATE(YEAR(Invoer!$A$5),12,31)-DATE(YEAR(Invoer!$A$5),1,1)+1),"jjjjmmdd")</f>
        <v>19270813</v>
      </c>
      <c r="C226" s="12">
        <v>1</v>
      </c>
      <c r="D226" s="17">
        <f t="shared" ca="1" si="6"/>
        <v>0</v>
      </c>
      <c r="E226" s="18">
        <f t="shared" ca="1" si="7"/>
        <v>0</v>
      </c>
    </row>
    <row r="227" spans="1:5" x14ac:dyDescent="0.25">
      <c r="A227" s="11">
        <f ca="1">INDEX(Stations,INT((ROWS(A$2:A227)-1)/(DATE(YEAR(Invoer!$A$5),12,31)-DATE(YEAR(Invoer!$A$5),1,1)+1))+2,1)</f>
        <v>44</v>
      </c>
      <c r="B227" t="str">
        <f ca="1">TEXT(DATE(YEAR(Invoer!$A$5),1,1)+MOD(ROWS(B$2:B227)-1,DATE(YEAR(Invoer!$A$5),12,31)-DATE(YEAR(Invoer!$A$5),1,1)+1),"jjjjmmdd")</f>
        <v>19270814</v>
      </c>
      <c r="C227" s="12">
        <v>1</v>
      </c>
      <c r="D227" s="17">
        <f t="shared" ca="1" si="6"/>
        <v>0</v>
      </c>
      <c r="E227" s="18">
        <f t="shared" ca="1" si="7"/>
        <v>0</v>
      </c>
    </row>
    <row r="228" spans="1:5" x14ac:dyDescent="0.25">
      <c r="A228" s="11">
        <f ca="1">INDEX(Stations,INT((ROWS(A$2:A228)-1)/(DATE(YEAR(Invoer!$A$5),12,31)-DATE(YEAR(Invoer!$A$5),1,1)+1))+2,1)</f>
        <v>44</v>
      </c>
      <c r="B228" t="str">
        <f ca="1">TEXT(DATE(YEAR(Invoer!$A$5),1,1)+MOD(ROWS(B$2:B228)-1,DATE(YEAR(Invoer!$A$5),12,31)-DATE(YEAR(Invoer!$A$5),1,1)+1),"jjjjmmdd")</f>
        <v>19270815</v>
      </c>
      <c r="C228" s="12">
        <v>1</v>
      </c>
      <c r="D228" s="17">
        <f t="shared" ca="1" si="6"/>
        <v>0</v>
      </c>
      <c r="E228" s="18">
        <f t="shared" ca="1" si="7"/>
        <v>0</v>
      </c>
    </row>
    <row r="229" spans="1:5" x14ac:dyDescent="0.25">
      <c r="A229" s="11">
        <f ca="1">INDEX(Stations,INT((ROWS(A$2:A229)-1)/(DATE(YEAR(Invoer!$A$5),12,31)-DATE(YEAR(Invoer!$A$5),1,1)+1))+2,1)</f>
        <v>44</v>
      </c>
      <c r="B229" t="str">
        <f ca="1">TEXT(DATE(YEAR(Invoer!$A$5),1,1)+MOD(ROWS(B$2:B229)-1,DATE(YEAR(Invoer!$A$5),12,31)-DATE(YEAR(Invoer!$A$5),1,1)+1),"jjjjmmdd")</f>
        <v>19270816</v>
      </c>
      <c r="C229" s="12">
        <v>1</v>
      </c>
      <c r="D229" s="17">
        <f t="shared" ca="1" si="6"/>
        <v>0</v>
      </c>
      <c r="E229" s="18">
        <f t="shared" ca="1" si="7"/>
        <v>0</v>
      </c>
    </row>
    <row r="230" spans="1:5" x14ac:dyDescent="0.25">
      <c r="A230" s="11">
        <f ca="1">INDEX(Stations,INT((ROWS(A$2:A230)-1)/(DATE(YEAR(Invoer!$A$5),12,31)-DATE(YEAR(Invoer!$A$5),1,1)+1))+2,1)</f>
        <v>44</v>
      </c>
      <c r="B230" t="str">
        <f ca="1">TEXT(DATE(YEAR(Invoer!$A$5),1,1)+MOD(ROWS(B$2:B230)-1,DATE(YEAR(Invoer!$A$5),12,31)-DATE(YEAR(Invoer!$A$5),1,1)+1),"jjjjmmdd")</f>
        <v>19270817</v>
      </c>
      <c r="C230" s="12">
        <v>1</v>
      </c>
      <c r="D230" s="17">
        <f t="shared" ca="1" si="6"/>
        <v>0</v>
      </c>
      <c r="E230" s="18">
        <f t="shared" ca="1" si="7"/>
        <v>0</v>
      </c>
    </row>
    <row r="231" spans="1:5" x14ac:dyDescent="0.25">
      <c r="A231" s="11">
        <f ca="1">INDEX(Stations,INT((ROWS(A$2:A231)-1)/(DATE(YEAR(Invoer!$A$5),12,31)-DATE(YEAR(Invoer!$A$5),1,1)+1))+2,1)</f>
        <v>44</v>
      </c>
      <c r="B231" t="str">
        <f ca="1">TEXT(DATE(YEAR(Invoer!$A$5),1,1)+MOD(ROWS(B$2:B231)-1,DATE(YEAR(Invoer!$A$5),12,31)-DATE(YEAR(Invoer!$A$5),1,1)+1),"jjjjmmdd")</f>
        <v>19270818</v>
      </c>
      <c r="C231" s="12">
        <v>1</v>
      </c>
      <c r="D231" s="17">
        <f t="shared" ca="1" si="6"/>
        <v>0</v>
      </c>
      <c r="E231" s="18">
        <f t="shared" ca="1" si="7"/>
        <v>0</v>
      </c>
    </row>
    <row r="232" spans="1:5" x14ac:dyDescent="0.25">
      <c r="A232" s="11">
        <f ca="1">INDEX(Stations,INT((ROWS(A$2:A232)-1)/(DATE(YEAR(Invoer!$A$5),12,31)-DATE(YEAR(Invoer!$A$5),1,1)+1))+2,1)</f>
        <v>44</v>
      </c>
      <c r="B232" t="str">
        <f ca="1">TEXT(DATE(YEAR(Invoer!$A$5),1,1)+MOD(ROWS(B$2:B232)-1,DATE(YEAR(Invoer!$A$5),12,31)-DATE(YEAR(Invoer!$A$5),1,1)+1),"jjjjmmdd")</f>
        <v>19270819</v>
      </c>
      <c r="C232" s="12">
        <v>1</v>
      </c>
      <c r="D232" s="17">
        <f t="shared" ca="1" si="6"/>
        <v>0</v>
      </c>
      <c r="E232" s="18">
        <f t="shared" ca="1" si="7"/>
        <v>0</v>
      </c>
    </row>
    <row r="233" spans="1:5" x14ac:dyDescent="0.25">
      <c r="A233" s="11">
        <f ca="1">INDEX(Stations,INT((ROWS(A$2:A233)-1)/(DATE(YEAR(Invoer!$A$5),12,31)-DATE(YEAR(Invoer!$A$5),1,1)+1))+2,1)</f>
        <v>44</v>
      </c>
      <c r="B233" t="str">
        <f ca="1">TEXT(DATE(YEAR(Invoer!$A$5),1,1)+MOD(ROWS(B$2:B233)-1,DATE(YEAR(Invoer!$A$5),12,31)-DATE(YEAR(Invoer!$A$5),1,1)+1),"jjjjmmdd")</f>
        <v>19270820</v>
      </c>
      <c r="C233" s="12">
        <v>1</v>
      </c>
      <c r="D233" s="17">
        <f t="shared" ca="1" si="6"/>
        <v>0</v>
      </c>
      <c r="E233" s="18">
        <f t="shared" ca="1" si="7"/>
        <v>0</v>
      </c>
    </row>
    <row r="234" spans="1:5" x14ac:dyDescent="0.25">
      <c r="A234" s="11">
        <f ca="1">INDEX(Stations,INT((ROWS(A$2:A234)-1)/(DATE(YEAR(Invoer!$A$5),12,31)-DATE(YEAR(Invoer!$A$5),1,1)+1))+2,1)</f>
        <v>44</v>
      </c>
      <c r="B234" t="str">
        <f ca="1">TEXT(DATE(YEAR(Invoer!$A$5),1,1)+MOD(ROWS(B$2:B234)-1,DATE(YEAR(Invoer!$A$5),12,31)-DATE(YEAR(Invoer!$A$5),1,1)+1),"jjjjmmdd")</f>
        <v>19270821</v>
      </c>
      <c r="C234" s="12">
        <v>1</v>
      </c>
      <c r="D234" s="17">
        <f t="shared" ca="1" si="6"/>
        <v>0</v>
      </c>
      <c r="E234" s="18">
        <f t="shared" ca="1" si="7"/>
        <v>0</v>
      </c>
    </row>
    <row r="235" spans="1:5" x14ac:dyDescent="0.25">
      <c r="A235" s="11">
        <f ca="1">INDEX(Stations,INT((ROWS(A$2:A235)-1)/(DATE(YEAR(Invoer!$A$5),12,31)-DATE(YEAR(Invoer!$A$5),1,1)+1))+2,1)</f>
        <v>44</v>
      </c>
      <c r="B235" t="str">
        <f ca="1">TEXT(DATE(YEAR(Invoer!$A$5),1,1)+MOD(ROWS(B$2:B235)-1,DATE(YEAR(Invoer!$A$5),12,31)-DATE(YEAR(Invoer!$A$5),1,1)+1),"jjjjmmdd")</f>
        <v>19270822</v>
      </c>
      <c r="C235" s="12">
        <v>1</v>
      </c>
      <c r="D235" s="17">
        <f t="shared" ca="1" si="6"/>
        <v>0</v>
      </c>
      <c r="E235" s="18">
        <f t="shared" ca="1" si="7"/>
        <v>0</v>
      </c>
    </row>
    <row r="236" spans="1:5" x14ac:dyDescent="0.25">
      <c r="A236" s="11">
        <f ca="1">INDEX(Stations,INT((ROWS(A$2:A236)-1)/(DATE(YEAR(Invoer!$A$5),12,31)-DATE(YEAR(Invoer!$A$5),1,1)+1))+2,1)</f>
        <v>44</v>
      </c>
      <c r="B236" t="str">
        <f ca="1">TEXT(DATE(YEAR(Invoer!$A$5),1,1)+MOD(ROWS(B$2:B236)-1,DATE(YEAR(Invoer!$A$5),12,31)-DATE(YEAR(Invoer!$A$5),1,1)+1),"jjjjmmdd")</f>
        <v>19270823</v>
      </c>
      <c r="C236" s="12">
        <v>1</v>
      </c>
      <c r="D236" s="17">
        <f t="shared" ca="1" si="6"/>
        <v>0</v>
      </c>
      <c r="E236" s="18">
        <f t="shared" ca="1" si="7"/>
        <v>0</v>
      </c>
    </row>
    <row r="237" spans="1:5" x14ac:dyDescent="0.25">
      <c r="A237" s="11">
        <f ca="1">INDEX(Stations,INT((ROWS(A$2:A237)-1)/(DATE(YEAR(Invoer!$A$5),12,31)-DATE(YEAR(Invoer!$A$5),1,1)+1))+2,1)</f>
        <v>44</v>
      </c>
      <c r="B237" t="str">
        <f ca="1">TEXT(DATE(YEAR(Invoer!$A$5),1,1)+MOD(ROWS(B$2:B237)-1,DATE(YEAR(Invoer!$A$5),12,31)-DATE(YEAR(Invoer!$A$5),1,1)+1),"jjjjmmdd")</f>
        <v>19270824</v>
      </c>
      <c r="C237" s="12">
        <v>1</v>
      </c>
      <c r="D237" s="17">
        <f t="shared" ca="1" si="6"/>
        <v>0</v>
      </c>
      <c r="E237" s="18">
        <f t="shared" ca="1" si="7"/>
        <v>0</v>
      </c>
    </row>
    <row r="238" spans="1:5" x14ac:dyDescent="0.25">
      <c r="A238" s="11">
        <f ca="1">INDEX(Stations,INT((ROWS(A$2:A238)-1)/(DATE(YEAR(Invoer!$A$5),12,31)-DATE(YEAR(Invoer!$A$5),1,1)+1))+2,1)</f>
        <v>44</v>
      </c>
      <c r="B238" t="str">
        <f ca="1">TEXT(DATE(YEAR(Invoer!$A$5),1,1)+MOD(ROWS(B$2:B238)-1,DATE(YEAR(Invoer!$A$5),12,31)-DATE(YEAR(Invoer!$A$5),1,1)+1),"jjjjmmdd")</f>
        <v>19270825</v>
      </c>
      <c r="C238" s="12">
        <v>1</v>
      </c>
      <c r="D238" s="17">
        <f t="shared" ca="1" si="6"/>
        <v>0</v>
      </c>
      <c r="E238" s="18">
        <f t="shared" ca="1" si="7"/>
        <v>0</v>
      </c>
    </row>
    <row r="239" spans="1:5" x14ac:dyDescent="0.25">
      <c r="A239" s="11">
        <f ca="1">INDEX(Stations,INT((ROWS(A$2:A239)-1)/(DATE(YEAR(Invoer!$A$5),12,31)-DATE(YEAR(Invoer!$A$5),1,1)+1))+2,1)</f>
        <v>44</v>
      </c>
      <c r="B239" t="str">
        <f ca="1">TEXT(DATE(YEAR(Invoer!$A$5),1,1)+MOD(ROWS(B$2:B239)-1,DATE(YEAR(Invoer!$A$5),12,31)-DATE(YEAR(Invoer!$A$5),1,1)+1),"jjjjmmdd")</f>
        <v>19270826</v>
      </c>
      <c r="C239" s="12">
        <v>1</v>
      </c>
      <c r="D239" s="17">
        <f t="shared" ca="1" si="6"/>
        <v>0</v>
      </c>
      <c r="E239" s="18">
        <f t="shared" ca="1" si="7"/>
        <v>0</v>
      </c>
    </row>
    <row r="240" spans="1:5" x14ac:dyDescent="0.25">
      <c r="A240" s="11">
        <f ca="1">INDEX(Stations,INT((ROWS(A$2:A240)-1)/(DATE(YEAR(Invoer!$A$5),12,31)-DATE(YEAR(Invoer!$A$5),1,1)+1))+2,1)</f>
        <v>44</v>
      </c>
      <c r="B240" t="str">
        <f ca="1">TEXT(DATE(YEAR(Invoer!$A$5),1,1)+MOD(ROWS(B$2:B240)-1,DATE(YEAR(Invoer!$A$5),12,31)-DATE(YEAR(Invoer!$A$5),1,1)+1),"jjjjmmdd")</f>
        <v>19270827</v>
      </c>
      <c r="C240" s="12">
        <v>1</v>
      </c>
      <c r="D240" s="17">
        <f t="shared" ca="1" si="6"/>
        <v>0</v>
      </c>
      <c r="E240" s="18">
        <f t="shared" ca="1" si="7"/>
        <v>0</v>
      </c>
    </row>
    <row r="241" spans="1:5" x14ac:dyDescent="0.25">
      <c r="A241" s="11">
        <f ca="1">INDEX(Stations,INT((ROWS(A$2:A241)-1)/(DATE(YEAR(Invoer!$A$5),12,31)-DATE(YEAR(Invoer!$A$5),1,1)+1))+2,1)</f>
        <v>44</v>
      </c>
      <c r="B241" t="str">
        <f ca="1">TEXT(DATE(YEAR(Invoer!$A$5),1,1)+MOD(ROWS(B$2:B241)-1,DATE(YEAR(Invoer!$A$5),12,31)-DATE(YEAR(Invoer!$A$5),1,1)+1),"jjjjmmdd")</f>
        <v>19270828</v>
      </c>
      <c r="C241" s="12">
        <v>1</v>
      </c>
      <c r="D241" s="17">
        <f t="shared" ca="1" si="6"/>
        <v>52</v>
      </c>
      <c r="E241" s="18">
        <f t="shared" ca="1" si="7"/>
        <v>0</v>
      </c>
    </row>
    <row r="242" spans="1:5" x14ac:dyDescent="0.25">
      <c r="A242" s="11">
        <f ca="1">INDEX(Stations,INT((ROWS(A$2:A242)-1)/(DATE(YEAR(Invoer!$A$5),12,31)-DATE(YEAR(Invoer!$A$5),1,1)+1))+2,1)</f>
        <v>44</v>
      </c>
      <c r="B242" t="str">
        <f ca="1">TEXT(DATE(YEAR(Invoer!$A$5),1,1)+MOD(ROWS(B$2:B242)-1,DATE(YEAR(Invoer!$A$5),12,31)-DATE(YEAR(Invoer!$A$5),1,1)+1),"jjjjmmdd")</f>
        <v>19270829</v>
      </c>
      <c r="C242" s="12">
        <v>1</v>
      </c>
      <c r="D242" s="17">
        <f t="shared" ca="1" si="6"/>
        <v>0</v>
      </c>
      <c r="E242" s="18">
        <f t="shared" ca="1" si="7"/>
        <v>0</v>
      </c>
    </row>
    <row r="243" spans="1:5" x14ac:dyDescent="0.25">
      <c r="A243" s="11">
        <f ca="1">INDEX(Stations,INT((ROWS(A$2:A243)-1)/(DATE(YEAR(Invoer!$A$5),12,31)-DATE(YEAR(Invoer!$A$5),1,1)+1))+2,1)</f>
        <v>44</v>
      </c>
      <c r="B243" t="str">
        <f ca="1">TEXT(DATE(YEAR(Invoer!$A$5),1,1)+MOD(ROWS(B$2:B243)-1,DATE(YEAR(Invoer!$A$5),12,31)-DATE(YEAR(Invoer!$A$5),1,1)+1),"jjjjmmdd")</f>
        <v>19270830</v>
      </c>
      <c r="C243" s="12">
        <v>1</v>
      </c>
      <c r="D243" s="17">
        <f t="shared" ca="1" si="6"/>
        <v>0</v>
      </c>
      <c r="E243" s="18">
        <f t="shared" ca="1" si="7"/>
        <v>0</v>
      </c>
    </row>
    <row r="244" spans="1:5" x14ac:dyDescent="0.25">
      <c r="A244" s="11">
        <f ca="1">INDEX(Stations,INT((ROWS(A$2:A244)-1)/(DATE(YEAR(Invoer!$A$5),12,31)-DATE(YEAR(Invoer!$A$5),1,1)+1))+2,1)</f>
        <v>44</v>
      </c>
      <c r="B244" t="str">
        <f ca="1">TEXT(DATE(YEAR(Invoer!$A$5),1,1)+MOD(ROWS(B$2:B244)-1,DATE(YEAR(Invoer!$A$5),12,31)-DATE(YEAR(Invoer!$A$5),1,1)+1),"jjjjmmdd")</f>
        <v>19270831</v>
      </c>
      <c r="C244" s="12">
        <v>1</v>
      </c>
      <c r="D244" s="17">
        <f t="shared" ca="1" si="6"/>
        <v>0</v>
      </c>
      <c r="E244" s="18">
        <f t="shared" ca="1" si="7"/>
        <v>0</v>
      </c>
    </row>
    <row r="245" spans="1:5" x14ac:dyDescent="0.25">
      <c r="A245" s="11">
        <f ca="1">INDEX(Stations,INT((ROWS(A$2:A245)-1)/(DATE(YEAR(Invoer!$A$5),12,31)-DATE(YEAR(Invoer!$A$5),1,1)+1))+2,1)</f>
        <v>44</v>
      </c>
      <c r="B245" t="str">
        <f ca="1">TEXT(DATE(YEAR(Invoer!$A$5),1,1)+MOD(ROWS(B$2:B245)-1,DATE(YEAR(Invoer!$A$5),12,31)-DATE(YEAR(Invoer!$A$5),1,1)+1),"jjjjmmdd")</f>
        <v>19270901</v>
      </c>
      <c r="C245" s="12">
        <v>1</v>
      </c>
      <c r="D245" s="17">
        <f t="shared" ca="1" si="6"/>
        <v>0</v>
      </c>
      <c r="E245" s="18">
        <f t="shared" ca="1" si="7"/>
        <v>0</v>
      </c>
    </row>
    <row r="246" spans="1:5" x14ac:dyDescent="0.25">
      <c r="A246" s="11">
        <f ca="1">INDEX(Stations,INT((ROWS(A$2:A246)-1)/(DATE(YEAR(Invoer!$A$5),12,31)-DATE(YEAR(Invoer!$A$5),1,1)+1))+2,1)</f>
        <v>44</v>
      </c>
      <c r="B246" t="str">
        <f ca="1">TEXT(DATE(YEAR(Invoer!$A$5),1,1)+MOD(ROWS(B$2:B246)-1,DATE(YEAR(Invoer!$A$5),12,31)-DATE(YEAR(Invoer!$A$5),1,1)+1),"jjjjmmdd")</f>
        <v>19270902</v>
      </c>
      <c r="C246" s="12">
        <v>1</v>
      </c>
      <c r="D246" s="17">
        <f t="shared" ca="1" si="6"/>
        <v>0</v>
      </c>
      <c r="E246" s="18">
        <f t="shared" ca="1" si="7"/>
        <v>0</v>
      </c>
    </row>
    <row r="247" spans="1:5" x14ac:dyDescent="0.25">
      <c r="A247" s="11">
        <f ca="1">INDEX(Stations,INT((ROWS(A$2:A247)-1)/(DATE(YEAR(Invoer!$A$5),12,31)-DATE(YEAR(Invoer!$A$5),1,1)+1))+2,1)</f>
        <v>44</v>
      </c>
      <c r="B247" t="str">
        <f ca="1">TEXT(DATE(YEAR(Invoer!$A$5),1,1)+MOD(ROWS(B$2:B247)-1,DATE(YEAR(Invoer!$A$5),12,31)-DATE(YEAR(Invoer!$A$5),1,1)+1),"jjjjmmdd")</f>
        <v>19270903</v>
      </c>
      <c r="C247" s="12">
        <v>1</v>
      </c>
      <c r="D247" s="17">
        <f t="shared" ca="1" si="6"/>
        <v>0</v>
      </c>
      <c r="E247" s="18">
        <f t="shared" ca="1" si="7"/>
        <v>0</v>
      </c>
    </row>
    <row r="248" spans="1:5" x14ac:dyDescent="0.25">
      <c r="A248" s="11">
        <f ca="1">INDEX(Stations,INT((ROWS(A$2:A248)-1)/(DATE(YEAR(Invoer!$A$5),12,31)-DATE(YEAR(Invoer!$A$5),1,1)+1))+2,1)</f>
        <v>44</v>
      </c>
      <c r="B248" t="str">
        <f ca="1">TEXT(DATE(YEAR(Invoer!$A$5),1,1)+MOD(ROWS(B$2:B248)-1,DATE(YEAR(Invoer!$A$5),12,31)-DATE(YEAR(Invoer!$A$5),1,1)+1),"jjjjmmdd")</f>
        <v>19270904</v>
      </c>
      <c r="C248" s="12">
        <v>1</v>
      </c>
      <c r="D248" s="17">
        <f t="shared" ca="1" si="6"/>
        <v>30</v>
      </c>
      <c r="E248" s="18">
        <f t="shared" ca="1" si="7"/>
        <v>0</v>
      </c>
    </row>
    <row r="249" spans="1:5" x14ac:dyDescent="0.25">
      <c r="A249" s="11">
        <f ca="1">INDEX(Stations,INT((ROWS(A$2:A249)-1)/(DATE(YEAR(Invoer!$A$5),12,31)-DATE(YEAR(Invoer!$A$5),1,1)+1))+2,1)</f>
        <v>44</v>
      </c>
      <c r="B249" t="str">
        <f ca="1">TEXT(DATE(YEAR(Invoer!$A$5),1,1)+MOD(ROWS(B$2:B249)-1,DATE(YEAR(Invoer!$A$5),12,31)-DATE(YEAR(Invoer!$A$5),1,1)+1),"jjjjmmdd")</f>
        <v>19270905</v>
      </c>
      <c r="C249" s="12">
        <v>1</v>
      </c>
      <c r="D249" s="17">
        <f t="shared" ca="1" si="6"/>
        <v>0</v>
      </c>
      <c r="E249" s="18">
        <f t="shared" ca="1" si="7"/>
        <v>0</v>
      </c>
    </row>
    <row r="250" spans="1:5" x14ac:dyDescent="0.25">
      <c r="A250" s="11">
        <f ca="1">INDEX(Stations,INT((ROWS(A$2:A250)-1)/(DATE(YEAR(Invoer!$A$5),12,31)-DATE(YEAR(Invoer!$A$5),1,1)+1))+2,1)</f>
        <v>44</v>
      </c>
      <c r="B250" t="str">
        <f ca="1">TEXT(DATE(YEAR(Invoer!$A$5),1,1)+MOD(ROWS(B$2:B250)-1,DATE(YEAR(Invoer!$A$5),12,31)-DATE(YEAR(Invoer!$A$5),1,1)+1),"jjjjmmdd")</f>
        <v>19270906</v>
      </c>
      <c r="C250" s="12">
        <v>1</v>
      </c>
      <c r="D250" s="17">
        <f t="shared" ca="1" si="6"/>
        <v>0</v>
      </c>
      <c r="E250" s="18">
        <f t="shared" ca="1" si="7"/>
        <v>0</v>
      </c>
    </row>
    <row r="251" spans="1:5" x14ac:dyDescent="0.25">
      <c r="A251" s="11">
        <f ca="1">INDEX(Stations,INT((ROWS(A$2:A251)-1)/(DATE(YEAR(Invoer!$A$5),12,31)-DATE(YEAR(Invoer!$A$5),1,1)+1))+2,1)</f>
        <v>44</v>
      </c>
      <c r="B251" t="str">
        <f ca="1">TEXT(DATE(YEAR(Invoer!$A$5),1,1)+MOD(ROWS(B$2:B251)-1,DATE(YEAR(Invoer!$A$5),12,31)-DATE(YEAR(Invoer!$A$5),1,1)+1),"jjjjmmdd")</f>
        <v>19270907</v>
      </c>
      <c r="C251" s="12">
        <v>1</v>
      </c>
      <c r="D251" s="17">
        <f t="shared" ca="1" si="6"/>
        <v>0</v>
      </c>
      <c r="E251" s="18">
        <f t="shared" ca="1" si="7"/>
        <v>0</v>
      </c>
    </row>
    <row r="252" spans="1:5" x14ac:dyDescent="0.25">
      <c r="A252" s="11">
        <f ca="1">INDEX(Stations,INT((ROWS(A$2:A252)-1)/(DATE(YEAR(Invoer!$A$5),12,31)-DATE(YEAR(Invoer!$A$5),1,1)+1))+2,1)</f>
        <v>44</v>
      </c>
      <c r="B252" t="str">
        <f ca="1">TEXT(DATE(YEAR(Invoer!$A$5),1,1)+MOD(ROWS(B$2:B252)-1,DATE(YEAR(Invoer!$A$5),12,31)-DATE(YEAR(Invoer!$A$5),1,1)+1),"jjjjmmdd")</f>
        <v>19270908</v>
      </c>
      <c r="C252" s="12">
        <v>1</v>
      </c>
      <c r="D252" s="17">
        <f t="shared" ca="1" si="6"/>
        <v>0</v>
      </c>
      <c r="E252" s="18">
        <f t="shared" ca="1" si="7"/>
        <v>0</v>
      </c>
    </row>
    <row r="253" spans="1:5" x14ac:dyDescent="0.25">
      <c r="A253" s="11">
        <f ca="1">INDEX(Stations,INT((ROWS(A$2:A253)-1)/(DATE(YEAR(Invoer!$A$5),12,31)-DATE(YEAR(Invoer!$A$5),1,1)+1))+2,1)</f>
        <v>44</v>
      </c>
      <c r="B253" t="str">
        <f ca="1">TEXT(DATE(YEAR(Invoer!$A$5),1,1)+MOD(ROWS(B$2:B253)-1,DATE(YEAR(Invoer!$A$5),12,31)-DATE(YEAR(Invoer!$A$5),1,1)+1),"jjjjmmdd")</f>
        <v>19270909</v>
      </c>
      <c r="C253" s="12">
        <v>1</v>
      </c>
      <c r="D253" s="17">
        <f t="shared" ca="1" si="6"/>
        <v>0</v>
      </c>
      <c r="E253" s="18">
        <f t="shared" ca="1" si="7"/>
        <v>0</v>
      </c>
    </row>
    <row r="254" spans="1:5" x14ac:dyDescent="0.25">
      <c r="A254" s="11">
        <f ca="1">INDEX(Stations,INT((ROWS(A$2:A254)-1)/(DATE(YEAR(Invoer!$A$5),12,31)-DATE(YEAR(Invoer!$A$5),1,1)+1))+2,1)</f>
        <v>44</v>
      </c>
      <c r="B254" t="str">
        <f ca="1">TEXT(DATE(YEAR(Invoer!$A$5),1,1)+MOD(ROWS(B$2:B254)-1,DATE(YEAR(Invoer!$A$5),12,31)-DATE(YEAR(Invoer!$A$5),1,1)+1),"jjjjmmdd")</f>
        <v>19270910</v>
      </c>
      <c r="C254" s="12">
        <v>1</v>
      </c>
      <c r="D254" s="17">
        <f t="shared" ca="1" si="6"/>
        <v>0</v>
      </c>
      <c r="E254" s="18">
        <f t="shared" ca="1" si="7"/>
        <v>0</v>
      </c>
    </row>
    <row r="255" spans="1:5" x14ac:dyDescent="0.25">
      <c r="A255" s="11">
        <f ca="1">INDEX(Stations,INT((ROWS(A$2:A255)-1)/(DATE(YEAR(Invoer!$A$5),12,31)-DATE(YEAR(Invoer!$A$5),1,1)+1))+2,1)</f>
        <v>44</v>
      </c>
      <c r="B255" t="str">
        <f ca="1">TEXT(DATE(YEAR(Invoer!$A$5),1,1)+MOD(ROWS(B$2:B255)-1,DATE(YEAR(Invoer!$A$5),12,31)-DATE(YEAR(Invoer!$A$5),1,1)+1),"jjjjmmdd")</f>
        <v>19270911</v>
      </c>
      <c r="C255" s="12">
        <v>1</v>
      </c>
      <c r="D255" s="17">
        <f t="shared" ca="1" si="6"/>
        <v>0</v>
      </c>
      <c r="E255" s="18">
        <f t="shared" ca="1" si="7"/>
        <v>0</v>
      </c>
    </row>
    <row r="256" spans="1:5" x14ac:dyDescent="0.25">
      <c r="A256" s="11">
        <f ca="1">INDEX(Stations,INT((ROWS(A$2:A256)-1)/(DATE(YEAR(Invoer!$A$5),12,31)-DATE(YEAR(Invoer!$A$5),1,1)+1))+2,1)</f>
        <v>44</v>
      </c>
      <c r="B256" t="str">
        <f ca="1">TEXT(DATE(YEAR(Invoer!$A$5),1,1)+MOD(ROWS(B$2:B256)-1,DATE(YEAR(Invoer!$A$5),12,31)-DATE(YEAR(Invoer!$A$5),1,1)+1),"jjjjmmdd")</f>
        <v>19270912</v>
      </c>
      <c r="C256" s="12">
        <v>1</v>
      </c>
      <c r="D256" s="17">
        <f t="shared" ca="1" si="6"/>
        <v>0</v>
      </c>
      <c r="E256" s="18">
        <f t="shared" ca="1" si="7"/>
        <v>0</v>
      </c>
    </row>
    <row r="257" spans="1:5" x14ac:dyDescent="0.25">
      <c r="A257" s="11">
        <f ca="1">INDEX(Stations,INT((ROWS(A$2:A257)-1)/(DATE(YEAR(Invoer!$A$5),12,31)-DATE(YEAR(Invoer!$A$5),1,1)+1))+2,1)</f>
        <v>44</v>
      </c>
      <c r="B257" t="str">
        <f ca="1">TEXT(DATE(YEAR(Invoer!$A$5),1,1)+MOD(ROWS(B$2:B257)-1,DATE(YEAR(Invoer!$A$5),12,31)-DATE(YEAR(Invoer!$A$5),1,1)+1),"jjjjmmdd")</f>
        <v>19270913</v>
      </c>
      <c r="C257" s="12">
        <v>1</v>
      </c>
      <c r="D257" s="17">
        <f t="shared" ca="1" si="6"/>
        <v>0</v>
      </c>
      <c r="E257" s="18">
        <f t="shared" ca="1" si="7"/>
        <v>0</v>
      </c>
    </row>
    <row r="258" spans="1:5" x14ac:dyDescent="0.25">
      <c r="A258" s="11">
        <f ca="1">INDEX(Stations,INT((ROWS(A$2:A258)-1)/(DATE(YEAR(Invoer!$A$5),12,31)-DATE(YEAR(Invoer!$A$5),1,1)+1))+2,1)</f>
        <v>44</v>
      </c>
      <c r="B258" t="str">
        <f ca="1">TEXT(DATE(YEAR(Invoer!$A$5),1,1)+MOD(ROWS(B$2:B258)-1,DATE(YEAR(Invoer!$A$5),12,31)-DATE(YEAR(Invoer!$A$5),1,1)+1),"jjjjmmdd")</f>
        <v>19270914</v>
      </c>
      <c r="C258" s="12">
        <v>1</v>
      </c>
      <c r="D258" s="17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43</v>
      </c>
      <c r="E258" s="18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11">
        <f ca="1">INDEX(Stations,INT((ROWS(A$2:A259)-1)/(DATE(YEAR(Invoer!$A$5),12,31)-DATE(YEAR(Invoer!$A$5),1,1)+1))+2,1)</f>
        <v>44</v>
      </c>
      <c r="B259" t="str">
        <f ca="1">TEXT(DATE(YEAR(Invoer!$A$5),1,1)+MOD(ROWS(B$2:B259)-1,DATE(YEAR(Invoer!$A$5),12,31)-DATE(YEAR(Invoer!$A$5),1,1)+1),"jjjjmmdd")</f>
        <v>19270915</v>
      </c>
      <c r="C259" s="12">
        <v>1</v>
      </c>
      <c r="D259" s="17">
        <f t="shared" ca="1" si="8"/>
        <v>0</v>
      </c>
      <c r="E259" s="18">
        <f t="shared" ca="1" si="9"/>
        <v>0</v>
      </c>
    </row>
    <row r="260" spans="1:5" x14ac:dyDescent="0.25">
      <c r="A260" s="11">
        <f ca="1">INDEX(Stations,INT((ROWS(A$2:A260)-1)/(DATE(YEAR(Invoer!$A$5),12,31)-DATE(YEAR(Invoer!$A$5),1,1)+1))+2,1)</f>
        <v>44</v>
      </c>
      <c r="B260" t="str">
        <f ca="1">TEXT(DATE(YEAR(Invoer!$A$5),1,1)+MOD(ROWS(B$2:B260)-1,DATE(YEAR(Invoer!$A$5),12,31)-DATE(YEAR(Invoer!$A$5),1,1)+1),"jjjjmmdd")</f>
        <v>19270916</v>
      </c>
      <c r="C260" s="12">
        <v>1</v>
      </c>
      <c r="D260" s="17">
        <f t="shared" ca="1" si="8"/>
        <v>0</v>
      </c>
      <c r="E260" s="18">
        <f t="shared" ca="1" si="9"/>
        <v>0</v>
      </c>
    </row>
    <row r="261" spans="1:5" x14ac:dyDescent="0.25">
      <c r="A261" s="11">
        <f ca="1">INDEX(Stations,INT((ROWS(A$2:A261)-1)/(DATE(YEAR(Invoer!$A$5),12,31)-DATE(YEAR(Invoer!$A$5),1,1)+1))+2,1)</f>
        <v>44</v>
      </c>
      <c r="B261" t="str">
        <f ca="1">TEXT(DATE(YEAR(Invoer!$A$5),1,1)+MOD(ROWS(B$2:B261)-1,DATE(YEAR(Invoer!$A$5),12,31)-DATE(YEAR(Invoer!$A$5),1,1)+1),"jjjjmmdd")</f>
        <v>19270917</v>
      </c>
      <c r="C261" s="12">
        <v>1</v>
      </c>
      <c r="D261" s="17">
        <f t="shared" ca="1" si="8"/>
        <v>0</v>
      </c>
      <c r="E261" s="18">
        <f t="shared" ca="1" si="9"/>
        <v>0</v>
      </c>
    </row>
    <row r="262" spans="1:5" x14ac:dyDescent="0.25">
      <c r="A262" s="11">
        <f ca="1">INDEX(Stations,INT((ROWS(A$2:A262)-1)/(DATE(YEAR(Invoer!$A$5),12,31)-DATE(YEAR(Invoer!$A$5),1,1)+1))+2,1)</f>
        <v>44</v>
      </c>
      <c r="B262" t="str">
        <f ca="1">TEXT(DATE(YEAR(Invoer!$A$5),1,1)+MOD(ROWS(B$2:B262)-1,DATE(YEAR(Invoer!$A$5),12,31)-DATE(YEAR(Invoer!$A$5),1,1)+1),"jjjjmmdd")</f>
        <v>19270918</v>
      </c>
      <c r="C262" s="12">
        <v>1</v>
      </c>
      <c r="D262" s="17">
        <f t="shared" ca="1" si="8"/>
        <v>0</v>
      </c>
      <c r="E262" s="18">
        <f t="shared" ca="1" si="9"/>
        <v>0</v>
      </c>
    </row>
    <row r="263" spans="1:5" x14ac:dyDescent="0.25">
      <c r="A263" s="11">
        <f ca="1">INDEX(Stations,INT((ROWS(A$2:A263)-1)/(DATE(YEAR(Invoer!$A$5),12,31)-DATE(YEAR(Invoer!$A$5),1,1)+1))+2,1)</f>
        <v>44</v>
      </c>
      <c r="B263" t="str">
        <f ca="1">TEXT(DATE(YEAR(Invoer!$A$5),1,1)+MOD(ROWS(B$2:B263)-1,DATE(YEAR(Invoer!$A$5),12,31)-DATE(YEAR(Invoer!$A$5),1,1)+1),"jjjjmmdd")</f>
        <v>19270919</v>
      </c>
      <c r="C263" s="12">
        <v>1</v>
      </c>
      <c r="D263" s="17">
        <f t="shared" ca="1" si="8"/>
        <v>0</v>
      </c>
      <c r="E263" s="18">
        <f t="shared" ca="1" si="9"/>
        <v>0</v>
      </c>
    </row>
    <row r="264" spans="1:5" x14ac:dyDescent="0.25">
      <c r="A264" s="11">
        <f ca="1">INDEX(Stations,INT((ROWS(A$2:A264)-1)/(DATE(YEAR(Invoer!$A$5),12,31)-DATE(YEAR(Invoer!$A$5),1,1)+1))+2,1)</f>
        <v>44</v>
      </c>
      <c r="B264" t="str">
        <f ca="1">TEXT(DATE(YEAR(Invoer!$A$5),1,1)+MOD(ROWS(B$2:B264)-1,DATE(YEAR(Invoer!$A$5),12,31)-DATE(YEAR(Invoer!$A$5),1,1)+1),"jjjjmmdd")</f>
        <v>19270920</v>
      </c>
      <c r="C264" s="12">
        <v>1</v>
      </c>
      <c r="D264" s="17">
        <f t="shared" ca="1" si="8"/>
        <v>85</v>
      </c>
      <c r="E264" s="18">
        <f t="shared" ca="1" si="9"/>
        <v>0</v>
      </c>
    </row>
    <row r="265" spans="1:5" x14ac:dyDescent="0.25">
      <c r="A265" s="11">
        <f ca="1">INDEX(Stations,INT((ROWS(A$2:A265)-1)/(DATE(YEAR(Invoer!$A$5),12,31)-DATE(YEAR(Invoer!$A$5),1,1)+1))+2,1)</f>
        <v>44</v>
      </c>
      <c r="B265" t="str">
        <f ca="1">TEXT(DATE(YEAR(Invoer!$A$5),1,1)+MOD(ROWS(B$2:B265)-1,DATE(YEAR(Invoer!$A$5),12,31)-DATE(YEAR(Invoer!$A$5),1,1)+1),"jjjjmmdd")</f>
        <v>19270921</v>
      </c>
      <c r="C265" s="12">
        <v>1</v>
      </c>
      <c r="D265" s="17">
        <f t="shared" ca="1" si="8"/>
        <v>0</v>
      </c>
      <c r="E265" s="18">
        <f t="shared" ca="1" si="9"/>
        <v>0</v>
      </c>
    </row>
    <row r="266" spans="1:5" x14ac:dyDescent="0.25">
      <c r="A266" s="11">
        <f ca="1">INDEX(Stations,INT((ROWS(A$2:A266)-1)/(DATE(YEAR(Invoer!$A$5),12,31)-DATE(YEAR(Invoer!$A$5),1,1)+1))+2,1)</f>
        <v>44</v>
      </c>
      <c r="B266" t="str">
        <f ca="1">TEXT(DATE(YEAR(Invoer!$A$5),1,1)+MOD(ROWS(B$2:B266)-1,DATE(YEAR(Invoer!$A$5),12,31)-DATE(YEAR(Invoer!$A$5),1,1)+1),"jjjjmmdd")</f>
        <v>19270922</v>
      </c>
      <c r="C266" s="12">
        <v>1</v>
      </c>
      <c r="D266" s="17">
        <f t="shared" ca="1" si="8"/>
        <v>0</v>
      </c>
      <c r="E266" s="18">
        <f t="shared" ca="1" si="9"/>
        <v>0</v>
      </c>
    </row>
    <row r="267" spans="1:5" x14ac:dyDescent="0.25">
      <c r="A267" s="11">
        <f ca="1">INDEX(Stations,INT((ROWS(A$2:A267)-1)/(DATE(YEAR(Invoer!$A$5),12,31)-DATE(YEAR(Invoer!$A$5),1,1)+1))+2,1)</f>
        <v>44</v>
      </c>
      <c r="B267" t="str">
        <f ca="1">TEXT(DATE(YEAR(Invoer!$A$5),1,1)+MOD(ROWS(B$2:B267)-1,DATE(YEAR(Invoer!$A$5),12,31)-DATE(YEAR(Invoer!$A$5),1,1)+1),"jjjjmmdd")</f>
        <v>19270923</v>
      </c>
      <c r="C267" s="12">
        <v>1</v>
      </c>
      <c r="D267" s="17">
        <f t="shared" ca="1" si="8"/>
        <v>0</v>
      </c>
      <c r="E267" s="18">
        <f t="shared" ca="1" si="9"/>
        <v>0</v>
      </c>
    </row>
    <row r="268" spans="1:5" x14ac:dyDescent="0.25">
      <c r="A268" s="11">
        <f ca="1">INDEX(Stations,INT((ROWS(A$2:A268)-1)/(DATE(YEAR(Invoer!$A$5),12,31)-DATE(YEAR(Invoer!$A$5),1,1)+1))+2,1)</f>
        <v>44</v>
      </c>
      <c r="B268" t="str">
        <f ca="1">TEXT(DATE(YEAR(Invoer!$A$5),1,1)+MOD(ROWS(B$2:B268)-1,DATE(YEAR(Invoer!$A$5),12,31)-DATE(YEAR(Invoer!$A$5),1,1)+1),"jjjjmmdd")</f>
        <v>19270924</v>
      </c>
      <c r="C268" s="12">
        <v>1</v>
      </c>
      <c r="D268" s="17">
        <f t="shared" ca="1" si="8"/>
        <v>0</v>
      </c>
      <c r="E268" s="18">
        <f t="shared" ca="1" si="9"/>
        <v>0</v>
      </c>
    </row>
    <row r="269" spans="1:5" x14ac:dyDescent="0.25">
      <c r="A269" s="11">
        <f ca="1">INDEX(Stations,INT((ROWS(A$2:A269)-1)/(DATE(YEAR(Invoer!$A$5),12,31)-DATE(YEAR(Invoer!$A$5),1,1)+1))+2,1)</f>
        <v>44</v>
      </c>
      <c r="B269" t="str">
        <f ca="1">TEXT(DATE(YEAR(Invoer!$A$5),1,1)+MOD(ROWS(B$2:B269)-1,DATE(YEAR(Invoer!$A$5),12,31)-DATE(YEAR(Invoer!$A$5),1,1)+1),"jjjjmmdd")</f>
        <v>19270925</v>
      </c>
      <c r="C269" s="12">
        <v>1</v>
      </c>
      <c r="D269" s="17">
        <f t="shared" ca="1" si="8"/>
        <v>0</v>
      </c>
      <c r="E269" s="18">
        <f t="shared" ca="1" si="9"/>
        <v>0</v>
      </c>
    </row>
    <row r="270" spans="1:5" x14ac:dyDescent="0.25">
      <c r="A270" s="11">
        <f ca="1">INDEX(Stations,INT((ROWS(A$2:A270)-1)/(DATE(YEAR(Invoer!$A$5),12,31)-DATE(YEAR(Invoer!$A$5),1,1)+1))+2,1)</f>
        <v>44</v>
      </c>
      <c r="B270" t="str">
        <f ca="1">TEXT(DATE(YEAR(Invoer!$A$5),1,1)+MOD(ROWS(B$2:B270)-1,DATE(YEAR(Invoer!$A$5),12,31)-DATE(YEAR(Invoer!$A$5),1,1)+1),"jjjjmmdd")</f>
        <v>19270926</v>
      </c>
      <c r="C270" s="12">
        <v>1</v>
      </c>
      <c r="D270" s="17">
        <f t="shared" ca="1" si="8"/>
        <v>56</v>
      </c>
      <c r="E270" s="18">
        <f t="shared" ca="1" si="9"/>
        <v>0</v>
      </c>
    </row>
    <row r="271" spans="1:5" x14ac:dyDescent="0.25">
      <c r="A271" s="11">
        <f ca="1">INDEX(Stations,INT((ROWS(A$2:A271)-1)/(DATE(YEAR(Invoer!$A$5),12,31)-DATE(YEAR(Invoer!$A$5),1,1)+1))+2,1)</f>
        <v>44</v>
      </c>
      <c r="B271" t="str">
        <f ca="1">TEXT(DATE(YEAR(Invoer!$A$5),1,1)+MOD(ROWS(B$2:B271)-1,DATE(YEAR(Invoer!$A$5),12,31)-DATE(YEAR(Invoer!$A$5),1,1)+1),"jjjjmmdd")</f>
        <v>19270927</v>
      </c>
      <c r="C271" s="12">
        <v>1</v>
      </c>
      <c r="D271" s="17">
        <f t="shared" ca="1" si="8"/>
        <v>16</v>
      </c>
      <c r="E271" s="18">
        <f t="shared" ca="1" si="9"/>
        <v>0</v>
      </c>
    </row>
    <row r="272" spans="1:5" x14ac:dyDescent="0.25">
      <c r="A272" s="11">
        <f ca="1">INDEX(Stations,INT((ROWS(A$2:A272)-1)/(DATE(YEAR(Invoer!$A$5),12,31)-DATE(YEAR(Invoer!$A$5),1,1)+1))+2,1)</f>
        <v>44</v>
      </c>
      <c r="B272" t="str">
        <f ca="1">TEXT(DATE(YEAR(Invoer!$A$5),1,1)+MOD(ROWS(B$2:B272)-1,DATE(YEAR(Invoer!$A$5),12,31)-DATE(YEAR(Invoer!$A$5),1,1)+1),"jjjjmmdd")</f>
        <v>19270928</v>
      </c>
      <c r="C272" s="12">
        <v>1</v>
      </c>
      <c r="D272" s="17">
        <f t="shared" ca="1" si="8"/>
        <v>34</v>
      </c>
      <c r="E272" s="18">
        <f t="shared" ca="1" si="9"/>
        <v>0</v>
      </c>
    </row>
    <row r="273" spans="1:5" x14ac:dyDescent="0.25">
      <c r="A273" s="11">
        <f ca="1">INDEX(Stations,INT((ROWS(A$2:A273)-1)/(DATE(YEAR(Invoer!$A$5),12,31)-DATE(YEAR(Invoer!$A$5),1,1)+1))+2,1)</f>
        <v>44</v>
      </c>
      <c r="B273" t="str">
        <f ca="1">TEXT(DATE(YEAR(Invoer!$A$5),1,1)+MOD(ROWS(B$2:B273)-1,DATE(YEAR(Invoer!$A$5),12,31)-DATE(YEAR(Invoer!$A$5),1,1)+1),"jjjjmmdd")</f>
        <v>19270929</v>
      </c>
      <c r="C273" s="12">
        <v>1</v>
      </c>
      <c r="D273" s="17">
        <f t="shared" ca="1" si="8"/>
        <v>0</v>
      </c>
      <c r="E273" s="18">
        <f t="shared" ca="1" si="9"/>
        <v>0</v>
      </c>
    </row>
    <row r="274" spans="1:5" x14ac:dyDescent="0.25">
      <c r="A274" s="11">
        <f ca="1">INDEX(Stations,INT((ROWS(A$2:A274)-1)/(DATE(YEAR(Invoer!$A$5),12,31)-DATE(YEAR(Invoer!$A$5),1,1)+1))+2,1)</f>
        <v>44</v>
      </c>
      <c r="B274" t="str">
        <f ca="1">TEXT(DATE(YEAR(Invoer!$A$5),1,1)+MOD(ROWS(B$2:B274)-1,DATE(YEAR(Invoer!$A$5),12,31)-DATE(YEAR(Invoer!$A$5),1,1)+1),"jjjjmmdd")</f>
        <v>19270930</v>
      </c>
      <c r="C274" s="12">
        <v>1</v>
      </c>
      <c r="D274" s="17">
        <f t="shared" ca="1" si="8"/>
        <v>0</v>
      </c>
      <c r="E274" s="18">
        <f t="shared" ca="1" si="9"/>
        <v>0</v>
      </c>
    </row>
    <row r="275" spans="1:5" x14ac:dyDescent="0.25">
      <c r="A275" s="11">
        <f ca="1">INDEX(Stations,INT((ROWS(A$2:A275)-1)/(DATE(YEAR(Invoer!$A$5),12,31)-DATE(YEAR(Invoer!$A$5),1,1)+1))+2,1)</f>
        <v>44</v>
      </c>
      <c r="B275" t="str">
        <f ca="1">TEXT(DATE(YEAR(Invoer!$A$5),1,1)+MOD(ROWS(B$2:B275)-1,DATE(YEAR(Invoer!$A$5),12,31)-DATE(YEAR(Invoer!$A$5),1,1)+1),"jjjjmmdd")</f>
        <v>19271001</v>
      </c>
      <c r="C275" s="12">
        <v>1</v>
      </c>
      <c r="D275" s="17">
        <f t="shared" ca="1" si="8"/>
        <v>0</v>
      </c>
      <c r="E275" s="18">
        <f t="shared" ca="1" si="9"/>
        <v>0</v>
      </c>
    </row>
    <row r="276" spans="1:5" x14ac:dyDescent="0.25">
      <c r="A276" s="11">
        <f ca="1">INDEX(Stations,INT((ROWS(A$2:A276)-1)/(DATE(YEAR(Invoer!$A$5),12,31)-DATE(YEAR(Invoer!$A$5),1,1)+1))+2,1)</f>
        <v>44</v>
      </c>
      <c r="B276" t="str">
        <f ca="1">TEXT(DATE(YEAR(Invoer!$A$5),1,1)+MOD(ROWS(B$2:B276)-1,DATE(YEAR(Invoer!$A$5),12,31)-DATE(YEAR(Invoer!$A$5),1,1)+1),"jjjjmmdd")</f>
        <v>19271002</v>
      </c>
      <c r="C276" s="12">
        <v>1</v>
      </c>
      <c r="D276" s="17">
        <f t="shared" ca="1" si="8"/>
        <v>0</v>
      </c>
      <c r="E276" s="18">
        <f t="shared" ca="1" si="9"/>
        <v>0</v>
      </c>
    </row>
    <row r="277" spans="1:5" x14ac:dyDescent="0.25">
      <c r="A277" s="11">
        <f ca="1">INDEX(Stations,INT((ROWS(A$2:A277)-1)/(DATE(YEAR(Invoer!$A$5),12,31)-DATE(YEAR(Invoer!$A$5),1,1)+1))+2,1)</f>
        <v>44</v>
      </c>
      <c r="B277" t="str">
        <f ca="1">TEXT(DATE(YEAR(Invoer!$A$5),1,1)+MOD(ROWS(B$2:B277)-1,DATE(YEAR(Invoer!$A$5),12,31)-DATE(YEAR(Invoer!$A$5),1,1)+1),"jjjjmmdd")</f>
        <v>19271003</v>
      </c>
      <c r="C277" s="12">
        <v>1</v>
      </c>
      <c r="D277" s="17">
        <f t="shared" ca="1" si="8"/>
        <v>8</v>
      </c>
      <c r="E277" s="18">
        <f t="shared" ca="1" si="9"/>
        <v>0</v>
      </c>
    </row>
    <row r="278" spans="1:5" x14ac:dyDescent="0.25">
      <c r="A278" s="11">
        <f ca="1">INDEX(Stations,INT((ROWS(A$2:A278)-1)/(DATE(YEAR(Invoer!$A$5),12,31)-DATE(YEAR(Invoer!$A$5),1,1)+1))+2,1)</f>
        <v>44</v>
      </c>
      <c r="B278" t="str">
        <f ca="1">TEXT(DATE(YEAR(Invoer!$A$5),1,1)+MOD(ROWS(B$2:B278)-1,DATE(YEAR(Invoer!$A$5),12,31)-DATE(YEAR(Invoer!$A$5),1,1)+1),"jjjjmmdd")</f>
        <v>19271004</v>
      </c>
      <c r="C278" s="12">
        <v>1</v>
      </c>
      <c r="D278" s="17">
        <f t="shared" ca="1" si="8"/>
        <v>0</v>
      </c>
      <c r="E278" s="18">
        <f t="shared" ca="1" si="9"/>
        <v>0</v>
      </c>
    </row>
    <row r="279" spans="1:5" x14ac:dyDescent="0.25">
      <c r="A279" s="11">
        <f ca="1">INDEX(Stations,INT((ROWS(A$2:A279)-1)/(DATE(YEAR(Invoer!$A$5),12,31)-DATE(YEAR(Invoer!$A$5),1,1)+1))+2,1)</f>
        <v>44</v>
      </c>
      <c r="B279" t="str">
        <f ca="1">TEXT(DATE(YEAR(Invoer!$A$5),1,1)+MOD(ROWS(B$2:B279)-1,DATE(YEAR(Invoer!$A$5),12,31)-DATE(YEAR(Invoer!$A$5),1,1)+1),"jjjjmmdd")</f>
        <v>19271005</v>
      </c>
      <c r="C279" s="12">
        <v>1</v>
      </c>
      <c r="D279" s="17">
        <f t="shared" ca="1" si="8"/>
        <v>0</v>
      </c>
      <c r="E279" s="18">
        <f t="shared" ca="1" si="9"/>
        <v>0</v>
      </c>
    </row>
    <row r="280" spans="1:5" x14ac:dyDescent="0.25">
      <c r="A280" s="11">
        <f ca="1">INDEX(Stations,INT((ROWS(A$2:A280)-1)/(DATE(YEAR(Invoer!$A$5),12,31)-DATE(YEAR(Invoer!$A$5),1,1)+1))+2,1)</f>
        <v>44</v>
      </c>
      <c r="B280" t="str">
        <f ca="1">TEXT(DATE(YEAR(Invoer!$A$5),1,1)+MOD(ROWS(B$2:B280)-1,DATE(YEAR(Invoer!$A$5),12,31)-DATE(YEAR(Invoer!$A$5),1,1)+1),"jjjjmmdd")</f>
        <v>19271006</v>
      </c>
      <c r="C280" s="12">
        <v>1</v>
      </c>
      <c r="D280" s="17">
        <f t="shared" ca="1" si="8"/>
        <v>0</v>
      </c>
      <c r="E280" s="18">
        <f t="shared" ca="1" si="9"/>
        <v>0</v>
      </c>
    </row>
    <row r="281" spans="1:5" x14ac:dyDescent="0.25">
      <c r="A281" s="11">
        <f ca="1">INDEX(Stations,INT((ROWS(A$2:A281)-1)/(DATE(YEAR(Invoer!$A$5),12,31)-DATE(YEAR(Invoer!$A$5),1,1)+1))+2,1)</f>
        <v>44</v>
      </c>
      <c r="B281" t="str">
        <f ca="1">TEXT(DATE(YEAR(Invoer!$A$5),1,1)+MOD(ROWS(B$2:B281)-1,DATE(YEAR(Invoer!$A$5),12,31)-DATE(YEAR(Invoer!$A$5),1,1)+1),"jjjjmmdd")</f>
        <v>19271007</v>
      </c>
      <c r="C281" s="12">
        <v>1</v>
      </c>
      <c r="D281" s="17">
        <f t="shared" ca="1" si="8"/>
        <v>0</v>
      </c>
      <c r="E281" s="18">
        <f t="shared" ca="1" si="9"/>
        <v>0</v>
      </c>
    </row>
    <row r="282" spans="1:5" x14ac:dyDescent="0.25">
      <c r="A282" s="11">
        <f ca="1">INDEX(Stations,INT((ROWS(A$2:A282)-1)/(DATE(YEAR(Invoer!$A$5),12,31)-DATE(YEAR(Invoer!$A$5),1,1)+1))+2,1)</f>
        <v>44</v>
      </c>
      <c r="B282" t="str">
        <f ca="1">TEXT(DATE(YEAR(Invoer!$A$5),1,1)+MOD(ROWS(B$2:B282)-1,DATE(YEAR(Invoer!$A$5),12,31)-DATE(YEAR(Invoer!$A$5),1,1)+1),"jjjjmmdd")</f>
        <v>19271008</v>
      </c>
      <c r="C282" s="12">
        <v>1</v>
      </c>
      <c r="D282" s="17">
        <f t="shared" ca="1" si="8"/>
        <v>0</v>
      </c>
      <c r="E282" s="18">
        <f t="shared" ca="1" si="9"/>
        <v>0</v>
      </c>
    </row>
    <row r="283" spans="1:5" x14ac:dyDescent="0.25">
      <c r="A283" s="11">
        <f ca="1">INDEX(Stations,INT((ROWS(A$2:A283)-1)/(DATE(YEAR(Invoer!$A$5),12,31)-DATE(YEAR(Invoer!$A$5),1,1)+1))+2,1)</f>
        <v>44</v>
      </c>
      <c r="B283" t="str">
        <f ca="1">TEXT(DATE(YEAR(Invoer!$A$5),1,1)+MOD(ROWS(B$2:B283)-1,DATE(YEAR(Invoer!$A$5),12,31)-DATE(YEAR(Invoer!$A$5),1,1)+1),"jjjjmmdd")</f>
        <v>19271009</v>
      </c>
      <c r="C283" s="12">
        <v>1</v>
      </c>
      <c r="D283" s="17">
        <f t="shared" ca="1" si="8"/>
        <v>0</v>
      </c>
      <c r="E283" s="18">
        <f t="shared" ca="1" si="9"/>
        <v>0</v>
      </c>
    </row>
    <row r="284" spans="1:5" x14ac:dyDescent="0.25">
      <c r="A284" s="11">
        <f ca="1">INDEX(Stations,INT((ROWS(A$2:A284)-1)/(DATE(YEAR(Invoer!$A$5),12,31)-DATE(YEAR(Invoer!$A$5),1,1)+1))+2,1)</f>
        <v>44</v>
      </c>
      <c r="B284" t="str">
        <f ca="1">TEXT(DATE(YEAR(Invoer!$A$5),1,1)+MOD(ROWS(B$2:B284)-1,DATE(YEAR(Invoer!$A$5),12,31)-DATE(YEAR(Invoer!$A$5),1,1)+1),"jjjjmmdd")</f>
        <v>19271010</v>
      </c>
      <c r="C284" s="12">
        <v>1</v>
      </c>
      <c r="D284" s="17">
        <f t="shared" ca="1" si="8"/>
        <v>10</v>
      </c>
      <c r="E284" s="18">
        <f t="shared" ca="1" si="9"/>
        <v>0</v>
      </c>
    </row>
    <row r="285" spans="1:5" x14ac:dyDescent="0.25">
      <c r="A285" s="11">
        <f ca="1">INDEX(Stations,INT((ROWS(A$2:A285)-1)/(DATE(YEAR(Invoer!$A$5),12,31)-DATE(YEAR(Invoer!$A$5),1,1)+1))+2,1)</f>
        <v>44</v>
      </c>
      <c r="B285" t="str">
        <f ca="1">TEXT(DATE(YEAR(Invoer!$A$5),1,1)+MOD(ROWS(B$2:B285)-1,DATE(YEAR(Invoer!$A$5),12,31)-DATE(YEAR(Invoer!$A$5),1,1)+1),"jjjjmmdd")</f>
        <v>19271011</v>
      </c>
      <c r="C285" s="12">
        <v>1</v>
      </c>
      <c r="D285" s="17">
        <f t="shared" ca="1" si="8"/>
        <v>0</v>
      </c>
      <c r="E285" s="18">
        <f t="shared" ca="1" si="9"/>
        <v>0</v>
      </c>
    </row>
    <row r="286" spans="1:5" x14ac:dyDescent="0.25">
      <c r="A286" s="11">
        <f ca="1">INDEX(Stations,INT((ROWS(A$2:A286)-1)/(DATE(YEAR(Invoer!$A$5),12,31)-DATE(YEAR(Invoer!$A$5),1,1)+1))+2,1)</f>
        <v>44</v>
      </c>
      <c r="B286" t="str">
        <f ca="1">TEXT(DATE(YEAR(Invoer!$A$5),1,1)+MOD(ROWS(B$2:B286)-1,DATE(YEAR(Invoer!$A$5),12,31)-DATE(YEAR(Invoer!$A$5),1,1)+1),"jjjjmmdd")</f>
        <v>19271012</v>
      </c>
      <c r="C286" s="12">
        <v>1</v>
      </c>
      <c r="D286" s="17">
        <f t="shared" ca="1" si="8"/>
        <v>0</v>
      </c>
      <c r="E286" s="18">
        <f t="shared" ca="1" si="9"/>
        <v>0</v>
      </c>
    </row>
    <row r="287" spans="1:5" x14ac:dyDescent="0.25">
      <c r="A287" s="11">
        <f ca="1">INDEX(Stations,INT((ROWS(A$2:A287)-1)/(DATE(YEAR(Invoer!$A$5),12,31)-DATE(YEAR(Invoer!$A$5),1,1)+1))+2,1)</f>
        <v>44</v>
      </c>
      <c r="B287" t="str">
        <f ca="1">TEXT(DATE(YEAR(Invoer!$A$5),1,1)+MOD(ROWS(B$2:B287)-1,DATE(YEAR(Invoer!$A$5),12,31)-DATE(YEAR(Invoer!$A$5),1,1)+1),"jjjjmmdd")</f>
        <v>19271013</v>
      </c>
      <c r="C287" s="12">
        <v>1</v>
      </c>
      <c r="D287" s="17">
        <f t="shared" ca="1" si="8"/>
        <v>0</v>
      </c>
      <c r="E287" s="18">
        <f t="shared" ca="1" si="9"/>
        <v>0</v>
      </c>
    </row>
    <row r="288" spans="1:5" x14ac:dyDescent="0.25">
      <c r="A288" s="11">
        <f ca="1">INDEX(Stations,INT((ROWS(A$2:A288)-1)/(DATE(YEAR(Invoer!$A$5),12,31)-DATE(YEAR(Invoer!$A$5),1,1)+1))+2,1)</f>
        <v>44</v>
      </c>
      <c r="B288" t="str">
        <f ca="1">TEXT(DATE(YEAR(Invoer!$A$5),1,1)+MOD(ROWS(B$2:B288)-1,DATE(YEAR(Invoer!$A$5),12,31)-DATE(YEAR(Invoer!$A$5),1,1)+1),"jjjjmmdd")</f>
        <v>19271014</v>
      </c>
      <c r="C288" s="12">
        <v>1</v>
      </c>
      <c r="D288" s="17">
        <f t="shared" ca="1" si="8"/>
        <v>0</v>
      </c>
      <c r="E288" s="18">
        <f t="shared" ca="1" si="9"/>
        <v>0</v>
      </c>
    </row>
    <row r="289" spans="1:5" x14ac:dyDescent="0.25">
      <c r="A289" s="11">
        <f ca="1">INDEX(Stations,INT((ROWS(A$2:A289)-1)/(DATE(YEAR(Invoer!$A$5),12,31)-DATE(YEAR(Invoer!$A$5),1,1)+1))+2,1)</f>
        <v>44</v>
      </c>
      <c r="B289" t="str">
        <f ca="1">TEXT(DATE(YEAR(Invoer!$A$5),1,1)+MOD(ROWS(B$2:B289)-1,DATE(YEAR(Invoer!$A$5),12,31)-DATE(YEAR(Invoer!$A$5),1,1)+1),"jjjjmmdd")</f>
        <v>19271015</v>
      </c>
      <c r="C289" s="12">
        <v>1</v>
      </c>
      <c r="D289" s="17">
        <f t="shared" ca="1" si="8"/>
        <v>0</v>
      </c>
      <c r="E289" s="18">
        <f t="shared" ca="1" si="9"/>
        <v>0</v>
      </c>
    </row>
    <row r="290" spans="1:5" x14ac:dyDescent="0.25">
      <c r="A290" s="11">
        <f ca="1">INDEX(Stations,INT((ROWS(A$2:A290)-1)/(DATE(YEAR(Invoer!$A$5),12,31)-DATE(YEAR(Invoer!$A$5),1,1)+1))+2,1)</f>
        <v>44</v>
      </c>
      <c r="B290" t="str">
        <f ca="1">TEXT(DATE(YEAR(Invoer!$A$5),1,1)+MOD(ROWS(B$2:B290)-1,DATE(YEAR(Invoer!$A$5),12,31)-DATE(YEAR(Invoer!$A$5),1,1)+1),"jjjjmmdd")</f>
        <v>19271016</v>
      </c>
      <c r="C290" s="12">
        <v>1</v>
      </c>
      <c r="D290" s="17">
        <f t="shared" ca="1" si="8"/>
        <v>543</v>
      </c>
      <c r="E290" s="18">
        <f t="shared" ca="1" si="9"/>
        <v>0</v>
      </c>
    </row>
    <row r="291" spans="1:5" x14ac:dyDescent="0.25">
      <c r="A291" s="11">
        <f ca="1">INDEX(Stations,INT((ROWS(A$2:A291)-1)/(DATE(YEAR(Invoer!$A$5),12,31)-DATE(YEAR(Invoer!$A$5),1,1)+1))+2,1)</f>
        <v>44</v>
      </c>
      <c r="B291" t="str">
        <f ca="1">TEXT(DATE(YEAR(Invoer!$A$5),1,1)+MOD(ROWS(B$2:B291)-1,DATE(YEAR(Invoer!$A$5),12,31)-DATE(YEAR(Invoer!$A$5),1,1)+1),"jjjjmmdd")</f>
        <v>19271017</v>
      </c>
      <c r="C291" s="12">
        <v>1</v>
      </c>
      <c r="D291" s="17">
        <f t="shared" ca="1" si="8"/>
        <v>10</v>
      </c>
      <c r="E291" s="18">
        <f t="shared" ca="1" si="9"/>
        <v>0</v>
      </c>
    </row>
    <row r="292" spans="1:5" x14ac:dyDescent="0.25">
      <c r="A292" s="11">
        <f ca="1">INDEX(Stations,INT((ROWS(A$2:A292)-1)/(DATE(YEAR(Invoer!$A$5),12,31)-DATE(YEAR(Invoer!$A$5),1,1)+1))+2,1)</f>
        <v>44</v>
      </c>
      <c r="B292" t="str">
        <f ca="1">TEXT(DATE(YEAR(Invoer!$A$5),1,1)+MOD(ROWS(B$2:B292)-1,DATE(YEAR(Invoer!$A$5),12,31)-DATE(YEAR(Invoer!$A$5),1,1)+1),"jjjjmmdd")</f>
        <v>19271018</v>
      </c>
      <c r="C292" s="12">
        <v>1</v>
      </c>
      <c r="D292" s="17">
        <f t="shared" ca="1" si="8"/>
        <v>0</v>
      </c>
      <c r="E292" s="18">
        <f t="shared" ca="1" si="9"/>
        <v>0</v>
      </c>
    </row>
    <row r="293" spans="1:5" x14ac:dyDescent="0.25">
      <c r="A293" s="11">
        <f ca="1">INDEX(Stations,INT((ROWS(A$2:A293)-1)/(DATE(YEAR(Invoer!$A$5),12,31)-DATE(YEAR(Invoer!$A$5),1,1)+1))+2,1)</f>
        <v>44</v>
      </c>
      <c r="B293" t="str">
        <f ca="1">TEXT(DATE(YEAR(Invoer!$A$5),1,1)+MOD(ROWS(B$2:B293)-1,DATE(YEAR(Invoer!$A$5),12,31)-DATE(YEAR(Invoer!$A$5),1,1)+1),"jjjjmmdd")</f>
        <v>19271019</v>
      </c>
      <c r="C293" s="12">
        <v>1</v>
      </c>
      <c r="D293" s="17">
        <f t="shared" ca="1" si="8"/>
        <v>330</v>
      </c>
      <c r="E293" s="18">
        <f t="shared" ca="1" si="9"/>
        <v>0</v>
      </c>
    </row>
    <row r="294" spans="1:5" x14ac:dyDescent="0.25">
      <c r="A294" s="11">
        <f ca="1">INDEX(Stations,INT((ROWS(A$2:A294)-1)/(DATE(YEAR(Invoer!$A$5),12,31)-DATE(YEAR(Invoer!$A$5),1,1)+1))+2,1)</f>
        <v>44</v>
      </c>
      <c r="B294" t="str">
        <f ca="1">TEXT(DATE(YEAR(Invoer!$A$5),1,1)+MOD(ROWS(B$2:B294)-1,DATE(YEAR(Invoer!$A$5),12,31)-DATE(YEAR(Invoer!$A$5),1,1)+1),"jjjjmmdd")</f>
        <v>19271020</v>
      </c>
      <c r="C294" s="12">
        <v>1</v>
      </c>
      <c r="D294" s="17">
        <f t="shared" ca="1" si="8"/>
        <v>0</v>
      </c>
      <c r="E294" s="18">
        <f t="shared" ca="1" si="9"/>
        <v>0</v>
      </c>
    </row>
    <row r="295" spans="1:5" x14ac:dyDescent="0.25">
      <c r="A295" s="11">
        <f ca="1">INDEX(Stations,INT((ROWS(A$2:A295)-1)/(DATE(YEAR(Invoer!$A$5),12,31)-DATE(YEAR(Invoer!$A$5),1,1)+1))+2,1)</f>
        <v>44</v>
      </c>
      <c r="B295" t="str">
        <f ca="1">TEXT(DATE(YEAR(Invoer!$A$5),1,1)+MOD(ROWS(B$2:B295)-1,DATE(YEAR(Invoer!$A$5),12,31)-DATE(YEAR(Invoer!$A$5),1,1)+1),"jjjjmmdd")</f>
        <v>19271021</v>
      </c>
      <c r="C295" s="12">
        <v>1</v>
      </c>
      <c r="D295" s="17">
        <f t="shared" ca="1" si="8"/>
        <v>0</v>
      </c>
      <c r="E295" s="18">
        <f t="shared" ca="1" si="9"/>
        <v>0</v>
      </c>
    </row>
    <row r="296" spans="1:5" x14ac:dyDescent="0.25">
      <c r="A296" s="11">
        <f ca="1">INDEX(Stations,INT((ROWS(A$2:A296)-1)/(DATE(YEAR(Invoer!$A$5),12,31)-DATE(YEAR(Invoer!$A$5),1,1)+1))+2,1)</f>
        <v>44</v>
      </c>
      <c r="B296" t="str">
        <f ca="1">TEXT(DATE(YEAR(Invoer!$A$5),1,1)+MOD(ROWS(B$2:B296)-1,DATE(YEAR(Invoer!$A$5),12,31)-DATE(YEAR(Invoer!$A$5),1,1)+1),"jjjjmmdd")</f>
        <v>19271022</v>
      </c>
      <c r="C296" s="12">
        <v>1</v>
      </c>
      <c r="D296" s="17">
        <f t="shared" ca="1" si="8"/>
        <v>0</v>
      </c>
      <c r="E296" s="18">
        <f t="shared" ca="1" si="9"/>
        <v>0</v>
      </c>
    </row>
    <row r="297" spans="1:5" x14ac:dyDescent="0.25">
      <c r="A297" s="11">
        <f ca="1">INDEX(Stations,INT((ROWS(A$2:A297)-1)/(DATE(YEAR(Invoer!$A$5),12,31)-DATE(YEAR(Invoer!$A$5),1,1)+1))+2,1)</f>
        <v>44</v>
      </c>
      <c r="B297" t="str">
        <f ca="1">TEXT(DATE(YEAR(Invoer!$A$5),1,1)+MOD(ROWS(B$2:B297)-1,DATE(YEAR(Invoer!$A$5),12,31)-DATE(YEAR(Invoer!$A$5),1,1)+1),"jjjjmmdd")</f>
        <v>19271023</v>
      </c>
      <c r="C297" s="12">
        <v>1</v>
      </c>
      <c r="D297" s="17">
        <f t="shared" ca="1" si="8"/>
        <v>381</v>
      </c>
      <c r="E297" s="18">
        <f t="shared" ca="1" si="9"/>
        <v>0</v>
      </c>
    </row>
    <row r="298" spans="1:5" x14ac:dyDescent="0.25">
      <c r="A298" s="11">
        <f ca="1">INDEX(Stations,INT((ROWS(A$2:A298)-1)/(DATE(YEAR(Invoer!$A$5),12,31)-DATE(YEAR(Invoer!$A$5),1,1)+1))+2,1)</f>
        <v>44</v>
      </c>
      <c r="B298" t="str">
        <f ca="1">TEXT(DATE(YEAR(Invoer!$A$5),1,1)+MOD(ROWS(B$2:B298)-1,DATE(YEAR(Invoer!$A$5),12,31)-DATE(YEAR(Invoer!$A$5),1,1)+1),"jjjjmmdd")</f>
        <v>19271024</v>
      </c>
      <c r="C298" s="12">
        <v>1</v>
      </c>
      <c r="D298" s="17">
        <f t="shared" ca="1" si="8"/>
        <v>0</v>
      </c>
      <c r="E298" s="18">
        <f t="shared" ca="1" si="9"/>
        <v>0</v>
      </c>
    </row>
    <row r="299" spans="1:5" x14ac:dyDescent="0.25">
      <c r="A299" s="11">
        <f ca="1">INDEX(Stations,INT((ROWS(A$2:A299)-1)/(DATE(YEAR(Invoer!$A$5),12,31)-DATE(YEAR(Invoer!$A$5),1,1)+1))+2,1)</f>
        <v>44</v>
      </c>
      <c r="B299" t="str">
        <f ca="1">TEXT(DATE(YEAR(Invoer!$A$5),1,1)+MOD(ROWS(B$2:B299)-1,DATE(YEAR(Invoer!$A$5),12,31)-DATE(YEAR(Invoer!$A$5),1,1)+1),"jjjjmmdd")</f>
        <v>19271025</v>
      </c>
      <c r="C299" s="12">
        <v>1</v>
      </c>
      <c r="D299" s="17">
        <f t="shared" ca="1" si="8"/>
        <v>0</v>
      </c>
      <c r="E299" s="18">
        <f t="shared" ca="1" si="9"/>
        <v>0</v>
      </c>
    </row>
    <row r="300" spans="1:5" x14ac:dyDescent="0.25">
      <c r="A300" s="11">
        <f ca="1">INDEX(Stations,INT((ROWS(A$2:A300)-1)/(DATE(YEAR(Invoer!$A$5),12,31)-DATE(YEAR(Invoer!$A$5),1,1)+1))+2,1)</f>
        <v>44</v>
      </c>
      <c r="B300" t="str">
        <f ca="1">TEXT(DATE(YEAR(Invoer!$A$5),1,1)+MOD(ROWS(B$2:B300)-1,DATE(YEAR(Invoer!$A$5),12,31)-DATE(YEAR(Invoer!$A$5),1,1)+1),"jjjjmmdd")</f>
        <v>19271026</v>
      </c>
      <c r="C300" s="12">
        <v>1</v>
      </c>
      <c r="D300" s="17">
        <f t="shared" ca="1" si="8"/>
        <v>0</v>
      </c>
      <c r="E300" s="18">
        <f t="shared" ca="1" si="9"/>
        <v>0</v>
      </c>
    </row>
    <row r="301" spans="1:5" x14ac:dyDescent="0.25">
      <c r="A301" s="11">
        <f ca="1">INDEX(Stations,INT((ROWS(A$2:A301)-1)/(DATE(YEAR(Invoer!$A$5),12,31)-DATE(YEAR(Invoer!$A$5),1,1)+1))+2,1)</f>
        <v>44</v>
      </c>
      <c r="B301" t="str">
        <f ca="1">TEXT(DATE(YEAR(Invoer!$A$5),1,1)+MOD(ROWS(B$2:B301)-1,DATE(YEAR(Invoer!$A$5),12,31)-DATE(YEAR(Invoer!$A$5),1,1)+1),"jjjjmmdd")</f>
        <v>19271027</v>
      </c>
      <c r="C301" s="12">
        <v>1</v>
      </c>
      <c r="D301" s="17">
        <f t="shared" ca="1" si="8"/>
        <v>0</v>
      </c>
      <c r="E301" s="18">
        <f t="shared" ca="1" si="9"/>
        <v>0</v>
      </c>
    </row>
    <row r="302" spans="1:5" x14ac:dyDescent="0.25">
      <c r="A302" s="11">
        <f ca="1">INDEX(Stations,INT((ROWS(A$2:A302)-1)/(DATE(YEAR(Invoer!$A$5),12,31)-DATE(YEAR(Invoer!$A$5),1,1)+1))+2,1)</f>
        <v>44</v>
      </c>
      <c r="B302" t="str">
        <f ca="1">TEXT(DATE(YEAR(Invoer!$A$5),1,1)+MOD(ROWS(B$2:B302)-1,DATE(YEAR(Invoer!$A$5),12,31)-DATE(YEAR(Invoer!$A$5),1,1)+1),"jjjjmmdd")</f>
        <v>19271028</v>
      </c>
      <c r="C302" s="12">
        <v>1</v>
      </c>
      <c r="D302" s="17">
        <f t="shared" ca="1" si="8"/>
        <v>0</v>
      </c>
      <c r="E302" s="18">
        <f t="shared" ca="1" si="9"/>
        <v>0</v>
      </c>
    </row>
    <row r="303" spans="1:5" x14ac:dyDescent="0.25">
      <c r="A303" s="11">
        <f ca="1">INDEX(Stations,INT((ROWS(A$2:A303)-1)/(DATE(YEAR(Invoer!$A$5),12,31)-DATE(YEAR(Invoer!$A$5),1,1)+1))+2,1)</f>
        <v>44</v>
      </c>
      <c r="B303" t="str">
        <f ca="1">TEXT(DATE(YEAR(Invoer!$A$5),1,1)+MOD(ROWS(B$2:B303)-1,DATE(YEAR(Invoer!$A$5),12,31)-DATE(YEAR(Invoer!$A$5),1,1)+1),"jjjjmmdd")</f>
        <v>19271029</v>
      </c>
      <c r="C303" s="12">
        <v>1</v>
      </c>
      <c r="D303" s="17">
        <f t="shared" ca="1" si="8"/>
        <v>0</v>
      </c>
      <c r="E303" s="18">
        <f t="shared" ca="1" si="9"/>
        <v>0</v>
      </c>
    </row>
    <row r="304" spans="1:5" x14ac:dyDescent="0.25">
      <c r="A304" s="11">
        <f ca="1">INDEX(Stations,INT((ROWS(A$2:A304)-1)/(DATE(YEAR(Invoer!$A$5),12,31)-DATE(YEAR(Invoer!$A$5),1,1)+1))+2,1)</f>
        <v>44</v>
      </c>
      <c r="B304" t="str">
        <f ca="1">TEXT(DATE(YEAR(Invoer!$A$5),1,1)+MOD(ROWS(B$2:B304)-1,DATE(YEAR(Invoer!$A$5),12,31)-DATE(YEAR(Invoer!$A$5),1,1)+1),"jjjjmmdd")</f>
        <v>19271030</v>
      </c>
      <c r="C304" s="12">
        <v>1</v>
      </c>
      <c r="D304" s="17">
        <f t="shared" ca="1" si="8"/>
        <v>0</v>
      </c>
      <c r="E304" s="18">
        <f t="shared" ca="1" si="9"/>
        <v>0</v>
      </c>
    </row>
    <row r="305" spans="1:5" x14ac:dyDescent="0.25">
      <c r="A305" s="11">
        <f ca="1">INDEX(Stations,INT((ROWS(A$2:A305)-1)/(DATE(YEAR(Invoer!$A$5),12,31)-DATE(YEAR(Invoer!$A$5),1,1)+1))+2,1)</f>
        <v>44</v>
      </c>
      <c r="B305" t="str">
        <f ca="1">TEXT(DATE(YEAR(Invoer!$A$5),1,1)+MOD(ROWS(B$2:B305)-1,DATE(YEAR(Invoer!$A$5),12,31)-DATE(YEAR(Invoer!$A$5),1,1)+1),"jjjjmmdd")</f>
        <v>19271031</v>
      </c>
      <c r="C305" s="12">
        <v>1</v>
      </c>
      <c r="D305" s="17">
        <f t="shared" ca="1" si="8"/>
        <v>50</v>
      </c>
      <c r="E305" s="18">
        <f t="shared" ca="1" si="9"/>
        <v>0</v>
      </c>
    </row>
    <row r="306" spans="1:5" x14ac:dyDescent="0.25">
      <c r="A306" s="11">
        <f ca="1">INDEX(Stations,INT((ROWS(A$2:A306)-1)/(DATE(YEAR(Invoer!$A$5),12,31)-DATE(YEAR(Invoer!$A$5),1,1)+1))+2,1)</f>
        <v>44</v>
      </c>
      <c r="B306" t="str">
        <f ca="1">TEXT(DATE(YEAR(Invoer!$A$5),1,1)+MOD(ROWS(B$2:B306)-1,DATE(YEAR(Invoer!$A$5),12,31)-DATE(YEAR(Invoer!$A$5),1,1)+1),"jjjjmmdd")</f>
        <v>19271101</v>
      </c>
      <c r="C306" s="12">
        <v>1</v>
      </c>
      <c r="D306" s="17">
        <f t="shared" ca="1" si="8"/>
        <v>10</v>
      </c>
      <c r="E306" s="18">
        <f t="shared" ca="1" si="9"/>
        <v>0</v>
      </c>
    </row>
    <row r="307" spans="1:5" x14ac:dyDescent="0.25">
      <c r="A307" s="11">
        <f ca="1">INDEX(Stations,INT((ROWS(A$2:A307)-1)/(DATE(YEAR(Invoer!$A$5),12,31)-DATE(YEAR(Invoer!$A$5),1,1)+1))+2,1)</f>
        <v>44</v>
      </c>
      <c r="B307" t="str">
        <f ca="1">TEXT(DATE(YEAR(Invoer!$A$5),1,1)+MOD(ROWS(B$2:B307)-1,DATE(YEAR(Invoer!$A$5),12,31)-DATE(YEAR(Invoer!$A$5),1,1)+1),"jjjjmmdd")</f>
        <v>19271102</v>
      </c>
      <c r="C307" s="12">
        <v>1</v>
      </c>
      <c r="D307" s="17">
        <f t="shared" ca="1" si="8"/>
        <v>0</v>
      </c>
      <c r="E307" s="18">
        <f t="shared" ca="1" si="9"/>
        <v>0</v>
      </c>
    </row>
    <row r="308" spans="1:5" x14ac:dyDescent="0.25">
      <c r="A308" s="11">
        <f ca="1">INDEX(Stations,INT((ROWS(A$2:A308)-1)/(DATE(YEAR(Invoer!$A$5),12,31)-DATE(YEAR(Invoer!$A$5),1,1)+1))+2,1)</f>
        <v>44</v>
      </c>
      <c r="B308" t="str">
        <f ca="1">TEXT(DATE(YEAR(Invoer!$A$5),1,1)+MOD(ROWS(B$2:B308)-1,DATE(YEAR(Invoer!$A$5),12,31)-DATE(YEAR(Invoer!$A$5),1,1)+1),"jjjjmmdd")</f>
        <v>19271103</v>
      </c>
      <c r="C308" s="12">
        <v>1</v>
      </c>
      <c r="D308" s="17">
        <f t="shared" ca="1" si="8"/>
        <v>0</v>
      </c>
      <c r="E308" s="18">
        <f t="shared" ca="1" si="9"/>
        <v>0</v>
      </c>
    </row>
    <row r="309" spans="1:5" x14ac:dyDescent="0.25">
      <c r="A309" s="11">
        <f ca="1">INDEX(Stations,INT((ROWS(A$2:A309)-1)/(DATE(YEAR(Invoer!$A$5),12,31)-DATE(YEAR(Invoer!$A$5),1,1)+1))+2,1)</f>
        <v>44</v>
      </c>
      <c r="B309" t="str">
        <f ca="1">TEXT(DATE(YEAR(Invoer!$A$5),1,1)+MOD(ROWS(B$2:B309)-1,DATE(YEAR(Invoer!$A$5),12,31)-DATE(YEAR(Invoer!$A$5),1,1)+1),"jjjjmmdd")</f>
        <v>19271104</v>
      </c>
      <c r="C309" s="12">
        <v>1</v>
      </c>
      <c r="D309" s="17">
        <f t="shared" ca="1" si="8"/>
        <v>0</v>
      </c>
      <c r="E309" s="18">
        <f t="shared" ca="1" si="9"/>
        <v>0</v>
      </c>
    </row>
    <row r="310" spans="1:5" x14ac:dyDescent="0.25">
      <c r="A310" s="11">
        <f ca="1">INDEX(Stations,INT((ROWS(A$2:A310)-1)/(DATE(YEAR(Invoer!$A$5),12,31)-DATE(YEAR(Invoer!$A$5),1,1)+1))+2,1)</f>
        <v>44</v>
      </c>
      <c r="B310" t="str">
        <f ca="1">TEXT(DATE(YEAR(Invoer!$A$5),1,1)+MOD(ROWS(B$2:B310)-1,DATE(YEAR(Invoer!$A$5),12,31)-DATE(YEAR(Invoer!$A$5),1,1)+1),"jjjjmmdd")</f>
        <v>19271105</v>
      </c>
      <c r="C310" s="12">
        <v>1</v>
      </c>
      <c r="D310" s="17">
        <f t="shared" ca="1" si="8"/>
        <v>0</v>
      </c>
      <c r="E310" s="18">
        <f t="shared" ca="1" si="9"/>
        <v>0</v>
      </c>
    </row>
    <row r="311" spans="1:5" x14ac:dyDescent="0.25">
      <c r="A311" s="11">
        <f ca="1">INDEX(Stations,INT((ROWS(A$2:A311)-1)/(DATE(YEAR(Invoer!$A$5),12,31)-DATE(YEAR(Invoer!$A$5),1,1)+1))+2,1)</f>
        <v>44</v>
      </c>
      <c r="B311" t="str">
        <f ca="1">TEXT(DATE(YEAR(Invoer!$A$5),1,1)+MOD(ROWS(B$2:B311)-1,DATE(YEAR(Invoer!$A$5),12,31)-DATE(YEAR(Invoer!$A$5),1,1)+1),"jjjjmmdd")</f>
        <v>19271106</v>
      </c>
      <c r="C311" s="12">
        <v>1</v>
      </c>
      <c r="D311" s="17">
        <f t="shared" ca="1" si="8"/>
        <v>0</v>
      </c>
      <c r="E311" s="18">
        <f t="shared" ca="1" si="9"/>
        <v>0</v>
      </c>
    </row>
    <row r="312" spans="1:5" x14ac:dyDescent="0.25">
      <c r="A312" s="11">
        <f ca="1">INDEX(Stations,INT((ROWS(A$2:A312)-1)/(DATE(YEAR(Invoer!$A$5),12,31)-DATE(YEAR(Invoer!$A$5),1,1)+1))+2,1)</f>
        <v>44</v>
      </c>
      <c r="B312" t="str">
        <f ca="1">TEXT(DATE(YEAR(Invoer!$A$5),1,1)+MOD(ROWS(B$2:B312)-1,DATE(YEAR(Invoer!$A$5),12,31)-DATE(YEAR(Invoer!$A$5),1,1)+1),"jjjjmmdd")</f>
        <v>19271107</v>
      </c>
      <c r="C312" s="12">
        <v>1</v>
      </c>
      <c r="D312" s="17">
        <f t="shared" ca="1" si="8"/>
        <v>26</v>
      </c>
      <c r="E312" s="18">
        <f t="shared" ca="1" si="9"/>
        <v>0</v>
      </c>
    </row>
    <row r="313" spans="1:5" x14ac:dyDescent="0.25">
      <c r="A313" s="11">
        <f ca="1">INDEX(Stations,INT((ROWS(A$2:A313)-1)/(DATE(YEAR(Invoer!$A$5),12,31)-DATE(YEAR(Invoer!$A$5),1,1)+1))+2,1)</f>
        <v>44</v>
      </c>
      <c r="B313" t="str">
        <f ca="1">TEXT(DATE(YEAR(Invoer!$A$5),1,1)+MOD(ROWS(B$2:B313)-1,DATE(YEAR(Invoer!$A$5),12,31)-DATE(YEAR(Invoer!$A$5),1,1)+1),"jjjjmmdd")</f>
        <v>19271108</v>
      </c>
      <c r="C313" s="12">
        <v>1</v>
      </c>
      <c r="D313" s="17">
        <f t="shared" ca="1" si="8"/>
        <v>22</v>
      </c>
      <c r="E313" s="18">
        <f t="shared" ca="1" si="9"/>
        <v>0</v>
      </c>
    </row>
    <row r="314" spans="1:5" x14ac:dyDescent="0.25">
      <c r="A314" s="11">
        <f ca="1">INDEX(Stations,INT((ROWS(A$2:A314)-1)/(DATE(YEAR(Invoer!$A$5),12,31)-DATE(YEAR(Invoer!$A$5),1,1)+1))+2,1)</f>
        <v>44</v>
      </c>
      <c r="B314" t="str">
        <f ca="1">TEXT(DATE(YEAR(Invoer!$A$5),1,1)+MOD(ROWS(B$2:B314)-1,DATE(YEAR(Invoer!$A$5),12,31)-DATE(YEAR(Invoer!$A$5),1,1)+1),"jjjjmmdd")</f>
        <v>19271109</v>
      </c>
      <c r="C314" s="12">
        <v>1</v>
      </c>
      <c r="D314" s="17">
        <f t="shared" ca="1" si="8"/>
        <v>0</v>
      </c>
      <c r="E314" s="18">
        <f t="shared" ca="1" si="9"/>
        <v>0</v>
      </c>
    </row>
    <row r="315" spans="1:5" x14ac:dyDescent="0.25">
      <c r="A315" s="11">
        <f ca="1">INDEX(Stations,INT((ROWS(A$2:A315)-1)/(DATE(YEAR(Invoer!$A$5),12,31)-DATE(YEAR(Invoer!$A$5),1,1)+1))+2,1)</f>
        <v>44</v>
      </c>
      <c r="B315" t="str">
        <f ca="1">TEXT(DATE(YEAR(Invoer!$A$5),1,1)+MOD(ROWS(B$2:B315)-1,DATE(YEAR(Invoer!$A$5),12,31)-DATE(YEAR(Invoer!$A$5),1,1)+1),"jjjjmmdd")</f>
        <v>19271110</v>
      </c>
      <c r="C315" s="12">
        <v>1</v>
      </c>
      <c r="D315" s="17">
        <f t="shared" ca="1" si="8"/>
        <v>0</v>
      </c>
      <c r="E315" s="18">
        <f t="shared" ca="1" si="9"/>
        <v>0</v>
      </c>
    </row>
    <row r="316" spans="1:5" x14ac:dyDescent="0.25">
      <c r="A316" s="11">
        <f ca="1">INDEX(Stations,INT((ROWS(A$2:A316)-1)/(DATE(YEAR(Invoer!$A$5),12,31)-DATE(YEAR(Invoer!$A$5),1,1)+1))+2,1)</f>
        <v>44</v>
      </c>
      <c r="B316" t="str">
        <f ca="1">TEXT(DATE(YEAR(Invoer!$A$5),1,1)+MOD(ROWS(B$2:B316)-1,DATE(YEAR(Invoer!$A$5),12,31)-DATE(YEAR(Invoer!$A$5),1,1)+1),"jjjjmmdd")</f>
        <v>19271111</v>
      </c>
      <c r="C316" s="12">
        <v>1</v>
      </c>
      <c r="D316" s="17">
        <f t="shared" ca="1" si="8"/>
        <v>0</v>
      </c>
      <c r="E316" s="18">
        <f t="shared" ca="1" si="9"/>
        <v>0</v>
      </c>
    </row>
    <row r="317" spans="1:5" x14ac:dyDescent="0.25">
      <c r="A317" s="11">
        <f ca="1">INDEX(Stations,INT((ROWS(A$2:A317)-1)/(DATE(YEAR(Invoer!$A$5),12,31)-DATE(YEAR(Invoer!$A$5),1,1)+1))+2,1)</f>
        <v>44</v>
      </c>
      <c r="B317" t="str">
        <f ca="1">TEXT(DATE(YEAR(Invoer!$A$5),1,1)+MOD(ROWS(B$2:B317)-1,DATE(YEAR(Invoer!$A$5),12,31)-DATE(YEAR(Invoer!$A$5),1,1)+1),"jjjjmmdd")</f>
        <v>19271112</v>
      </c>
      <c r="C317" s="12">
        <v>1</v>
      </c>
      <c r="D317" s="17">
        <f t="shared" ca="1" si="8"/>
        <v>0</v>
      </c>
      <c r="E317" s="18">
        <f t="shared" ca="1" si="9"/>
        <v>0</v>
      </c>
    </row>
    <row r="318" spans="1:5" x14ac:dyDescent="0.25">
      <c r="A318" s="11">
        <f ca="1">INDEX(Stations,INT((ROWS(A$2:A318)-1)/(DATE(YEAR(Invoer!$A$5),12,31)-DATE(YEAR(Invoer!$A$5),1,1)+1))+2,1)</f>
        <v>44</v>
      </c>
      <c r="B318" t="str">
        <f ca="1">TEXT(DATE(YEAR(Invoer!$A$5),1,1)+MOD(ROWS(B$2:B318)-1,DATE(YEAR(Invoer!$A$5),12,31)-DATE(YEAR(Invoer!$A$5),1,1)+1),"jjjjmmdd")</f>
        <v>19271113</v>
      </c>
      <c r="C318" s="12">
        <v>1</v>
      </c>
      <c r="D318" s="17">
        <f t="shared" ca="1" si="8"/>
        <v>100</v>
      </c>
      <c r="E318" s="18">
        <f t="shared" ca="1" si="9"/>
        <v>0</v>
      </c>
    </row>
    <row r="319" spans="1:5" x14ac:dyDescent="0.25">
      <c r="A319" s="11">
        <f ca="1">INDEX(Stations,INT((ROWS(A$2:A319)-1)/(DATE(YEAR(Invoer!$A$5),12,31)-DATE(YEAR(Invoer!$A$5),1,1)+1))+2,1)</f>
        <v>44</v>
      </c>
      <c r="B319" t="str">
        <f ca="1">TEXT(DATE(YEAR(Invoer!$A$5),1,1)+MOD(ROWS(B$2:B319)-1,DATE(YEAR(Invoer!$A$5),12,31)-DATE(YEAR(Invoer!$A$5),1,1)+1),"jjjjmmdd")</f>
        <v>19271114</v>
      </c>
      <c r="C319" s="12">
        <v>1</v>
      </c>
      <c r="D319" s="17">
        <f t="shared" ca="1" si="8"/>
        <v>210</v>
      </c>
      <c r="E319" s="18">
        <f t="shared" ca="1" si="9"/>
        <v>0</v>
      </c>
    </row>
    <row r="320" spans="1:5" x14ac:dyDescent="0.25">
      <c r="A320" s="11">
        <f ca="1">INDEX(Stations,INT((ROWS(A$2:A320)-1)/(DATE(YEAR(Invoer!$A$5),12,31)-DATE(YEAR(Invoer!$A$5),1,1)+1))+2,1)</f>
        <v>44</v>
      </c>
      <c r="B320" t="str">
        <f ca="1">TEXT(DATE(YEAR(Invoer!$A$5),1,1)+MOD(ROWS(B$2:B320)-1,DATE(YEAR(Invoer!$A$5),12,31)-DATE(YEAR(Invoer!$A$5),1,1)+1),"jjjjmmdd")</f>
        <v>19271115</v>
      </c>
      <c r="C320" s="12">
        <v>1</v>
      </c>
      <c r="D320" s="17">
        <f t="shared" ca="1" si="8"/>
        <v>0</v>
      </c>
      <c r="E320" s="18">
        <f t="shared" ca="1" si="9"/>
        <v>0</v>
      </c>
    </row>
    <row r="321" spans="1:5" x14ac:dyDescent="0.25">
      <c r="A321" s="11">
        <f ca="1">INDEX(Stations,INT((ROWS(A$2:A321)-1)/(DATE(YEAR(Invoer!$A$5),12,31)-DATE(YEAR(Invoer!$A$5),1,1)+1))+2,1)</f>
        <v>44</v>
      </c>
      <c r="B321" t="str">
        <f ca="1">TEXT(DATE(YEAR(Invoer!$A$5),1,1)+MOD(ROWS(B$2:B321)-1,DATE(YEAR(Invoer!$A$5),12,31)-DATE(YEAR(Invoer!$A$5),1,1)+1),"jjjjmmdd")</f>
        <v>19271116</v>
      </c>
      <c r="C321" s="12">
        <v>1</v>
      </c>
      <c r="D321" s="17">
        <f t="shared" ca="1" si="8"/>
        <v>0</v>
      </c>
      <c r="E321" s="18">
        <f t="shared" ca="1" si="9"/>
        <v>0</v>
      </c>
    </row>
    <row r="322" spans="1:5" x14ac:dyDescent="0.25">
      <c r="A322" s="11">
        <f ca="1">INDEX(Stations,INT((ROWS(A$2:A322)-1)/(DATE(YEAR(Invoer!$A$5),12,31)-DATE(YEAR(Invoer!$A$5),1,1)+1))+2,1)</f>
        <v>44</v>
      </c>
      <c r="B322" t="str">
        <f ca="1">TEXT(DATE(YEAR(Invoer!$A$5),1,1)+MOD(ROWS(B$2:B322)-1,DATE(YEAR(Invoer!$A$5),12,31)-DATE(YEAR(Invoer!$A$5),1,1)+1),"jjjjmmdd")</f>
        <v>19271117</v>
      </c>
      <c r="C322" s="12">
        <v>1</v>
      </c>
      <c r="D322" s="17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0</v>
      </c>
      <c r="E322" s="18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11">
        <f ca="1">INDEX(Stations,INT((ROWS(A$2:A323)-1)/(DATE(YEAR(Invoer!$A$5),12,31)-DATE(YEAR(Invoer!$A$5),1,1)+1))+2,1)</f>
        <v>44</v>
      </c>
      <c r="B323" t="str">
        <f ca="1">TEXT(DATE(YEAR(Invoer!$A$5),1,1)+MOD(ROWS(B$2:B323)-1,DATE(YEAR(Invoer!$A$5),12,31)-DATE(YEAR(Invoer!$A$5),1,1)+1),"jjjjmmdd")</f>
        <v>19271118</v>
      </c>
      <c r="C323" s="12">
        <v>1</v>
      </c>
      <c r="D323" s="17">
        <f t="shared" ca="1" si="10"/>
        <v>0</v>
      </c>
      <c r="E323" s="18">
        <f t="shared" ca="1" si="11"/>
        <v>0</v>
      </c>
    </row>
    <row r="324" spans="1:5" x14ac:dyDescent="0.25">
      <c r="A324" s="11">
        <f ca="1">INDEX(Stations,INT((ROWS(A$2:A324)-1)/(DATE(YEAR(Invoer!$A$5),12,31)-DATE(YEAR(Invoer!$A$5),1,1)+1))+2,1)</f>
        <v>44</v>
      </c>
      <c r="B324" t="str">
        <f ca="1">TEXT(DATE(YEAR(Invoer!$A$5),1,1)+MOD(ROWS(B$2:B324)-1,DATE(YEAR(Invoer!$A$5),12,31)-DATE(YEAR(Invoer!$A$5),1,1)+1),"jjjjmmdd")</f>
        <v>19271119</v>
      </c>
      <c r="C324" s="12">
        <v>1</v>
      </c>
      <c r="D324" s="17">
        <f t="shared" ca="1" si="10"/>
        <v>115</v>
      </c>
      <c r="E324" s="18">
        <f t="shared" ca="1" si="11"/>
        <v>0</v>
      </c>
    </row>
    <row r="325" spans="1:5" x14ac:dyDescent="0.25">
      <c r="A325" s="11">
        <f ca="1">INDEX(Stations,INT((ROWS(A$2:A325)-1)/(DATE(YEAR(Invoer!$A$5),12,31)-DATE(YEAR(Invoer!$A$5),1,1)+1))+2,1)</f>
        <v>44</v>
      </c>
      <c r="B325" t="str">
        <f ca="1">TEXT(DATE(YEAR(Invoer!$A$5),1,1)+MOD(ROWS(B$2:B325)-1,DATE(YEAR(Invoer!$A$5),12,31)-DATE(YEAR(Invoer!$A$5),1,1)+1),"jjjjmmdd")</f>
        <v>19271120</v>
      </c>
      <c r="C325" s="12">
        <v>1</v>
      </c>
      <c r="D325" s="17">
        <f t="shared" ca="1" si="10"/>
        <v>191</v>
      </c>
      <c r="E325" s="18">
        <f t="shared" ca="1" si="11"/>
        <v>0</v>
      </c>
    </row>
    <row r="326" spans="1:5" x14ac:dyDescent="0.25">
      <c r="A326" s="11">
        <f ca="1">INDEX(Stations,INT((ROWS(A$2:A326)-1)/(DATE(YEAR(Invoer!$A$5),12,31)-DATE(YEAR(Invoer!$A$5),1,1)+1))+2,1)</f>
        <v>44</v>
      </c>
      <c r="B326" t="str">
        <f ca="1">TEXT(DATE(YEAR(Invoer!$A$5),1,1)+MOD(ROWS(B$2:B326)-1,DATE(YEAR(Invoer!$A$5),12,31)-DATE(YEAR(Invoer!$A$5),1,1)+1),"jjjjmmdd")</f>
        <v>19271121</v>
      </c>
      <c r="C326" s="12">
        <v>1</v>
      </c>
      <c r="D326" s="17">
        <f t="shared" ca="1" si="10"/>
        <v>72</v>
      </c>
      <c r="E326" s="18">
        <f t="shared" ca="1" si="11"/>
        <v>0</v>
      </c>
    </row>
    <row r="327" spans="1:5" x14ac:dyDescent="0.25">
      <c r="A327" s="11">
        <f ca="1">INDEX(Stations,INT((ROWS(A$2:A327)-1)/(DATE(YEAR(Invoer!$A$5),12,31)-DATE(YEAR(Invoer!$A$5),1,1)+1))+2,1)</f>
        <v>44</v>
      </c>
      <c r="B327" t="str">
        <f ca="1">TEXT(DATE(YEAR(Invoer!$A$5),1,1)+MOD(ROWS(B$2:B327)-1,DATE(YEAR(Invoer!$A$5),12,31)-DATE(YEAR(Invoer!$A$5),1,1)+1),"jjjjmmdd")</f>
        <v>19271122</v>
      </c>
      <c r="C327" s="12">
        <v>1</v>
      </c>
      <c r="D327" s="17">
        <f t="shared" ca="1" si="10"/>
        <v>283</v>
      </c>
      <c r="E327" s="18">
        <f t="shared" ca="1" si="11"/>
        <v>0</v>
      </c>
    </row>
    <row r="328" spans="1:5" x14ac:dyDescent="0.25">
      <c r="A328" s="11">
        <f ca="1">INDEX(Stations,INT((ROWS(A$2:A328)-1)/(DATE(YEAR(Invoer!$A$5),12,31)-DATE(YEAR(Invoer!$A$5),1,1)+1))+2,1)</f>
        <v>44</v>
      </c>
      <c r="B328" t="str">
        <f ca="1">TEXT(DATE(YEAR(Invoer!$A$5),1,1)+MOD(ROWS(B$2:B328)-1,DATE(YEAR(Invoer!$A$5),12,31)-DATE(YEAR(Invoer!$A$5),1,1)+1),"jjjjmmdd")</f>
        <v>19271123</v>
      </c>
      <c r="C328" s="12">
        <v>1</v>
      </c>
      <c r="D328" s="17">
        <f t="shared" ca="1" si="10"/>
        <v>1000</v>
      </c>
      <c r="E328" s="18">
        <f t="shared" ca="1" si="11"/>
        <v>0</v>
      </c>
    </row>
    <row r="329" spans="1:5" x14ac:dyDescent="0.25">
      <c r="A329" s="11">
        <f ca="1">INDEX(Stations,INT((ROWS(A$2:A329)-1)/(DATE(YEAR(Invoer!$A$5),12,31)-DATE(YEAR(Invoer!$A$5),1,1)+1))+2,1)</f>
        <v>44</v>
      </c>
      <c r="B329" t="str">
        <f ca="1">TEXT(DATE(YEAR(Invoer!$A$5),1,1)+MOD(ROWS(B$2:B329)-1,DATE(YEAR(Invoer!$A$5),12,31)-DATE(YEAR(Invoer!$A$5),1,1)+1),"jjjjmmdd")</f>
        <v>19271124</v>
      </c>
      <c r="C329" s="12">
        <v>1</v>
      </c>
      <c r="D329" s="17">
        <f t="shared" ca="1" si="10"/>
        <v>0</v>
      </c>
      <c r="E329" s="18">
        <f t="shared" ca="1" si="11"/>
        <v>0</v>
      </c>
    </row>
    <row r="330" spans="1:5" x14ac:dyDescent="0.25">
      <c r="A330" s="11">
        <f ca="1">INDEX(Stations,INT((ROWS(A$2:A330)-1)/(DATE(YEAR(Invoer!$A$5),12,31)-DATE(YEAR(Invoer!$A$5),1,1)+1))+2,1)</f>
        <v>44</v>
      </c>
      <c r="B330" t="str">
        <f ca="1">TEXT(DATE(YEAR(Invoer!$A$5),1,1)+MOD(ROWS(B$2:B330)-1,DATE(YEAR(Invoer!$A$5),12,31)-DATE(YEAR(Invoer!$A$5),1,1)+1),"jjjjmmdd")</f>
        <v>19271125</v>
      </c>
      <c r="C330" s="12">
        <v>1</v>
      </c>
      <c r="D330" s="17">
        <f t="shared" ca="1" si="10"/>
        <v>0</v>
      </c>
      <c r="E330" s="18">
        <f t="shared" ca="1" si="11"/>
        <v>0</v>
      </c>
    </row>
    <row r="331" spans="1:5" x14ac:dyDescent="0.25">
      <c r="A331" s="11">
        <f ca="1">INDEX(Stations,INT((ROWS(A$2:A331)-1)/(DATE(YEAR(Invoer!$A$5),12,31)-DATE(YEAR(Invoer!$A$5),1,1)+1))+2,1)</f>
        <v>44</v>
      </c>
      <c r="B331" t="str">
        <f ca="1">TEXT(DATE(YEAR(Invoer!$A$5),1,1)+MOD(ROWS(B$2:B331)-1,DATE(YEAR(Invoer!$A$5),12,31)-DATE(YEAR(Invoer!$A$5),1,1)+1),"jjjjmmdd")</f>
        <v>19271126</v>
      </c>
      <c r="C331" s="12">
        <v>1</v>
      </c>
      <c r="D331" s="17">
        <f t="shared" ca="1" si="10"/>
        <v>32</v>
      </c>
      <c r="E331" s="18">
        <f t="shared" ca="1" si="11"/>
        <v>0</v>
      </c>
    </row>
    <row r="332" spans="1:5" x14ac:dyDescent="0.25">
      <c r="A332" s="11">
        <f ca="1">INDEX(Stations,INT((ROWS(A$2:A332)-1)/(DATE(YEAR(Invoer!$A$5),12,31)-DATE(YEAR(Invoer!$A$5),1,1)+1))+2,1)</f>
        <v>44</v>
      </c>
      <c r="B332" t="str">
        <f ca="1">TEXT(DATE(YEAR(Invoer!$A$5),1,1)+MOD(ROWS(B$2:B332)-1,DATE(YEAR(Invoer!$A$5),12,31)-DATE(YEAR(Invoer!$A$5),1,1)+1),"jjjjmmdd")</f>
        <v>19271127</v>
      </c>
      <c r="C332" s="12">
        <v>1</v>
      </c>
      <c r="D332" s="17">
        <f t="shared" ca="1" si="10"/>
        <v>0</v>
      </c>
      <c r="E332" s="18">
        <f t="shared" ca="1" si="11"/>
        <v>0</v>
      </c>
    </row>
    <row r="333" spans="1:5" x14ac:dyDescent="0.25">
      <c r="A333" s="11">
        <f ca="1">INDEX(Stations,INT((ROWS(A$2:A333)-1)/(DATE(YEAR(Invoer!$A$5),12,31)-DATE(YEAR(Invoer!$A$5),1,1)+1))+2,1)</f>
        <v>44</v>
      </c>
      <c r="B333" t="str">
        <f ca="1">TEXT(DATE(YEAR(Invoer!$A$5),1,1)+MOD(ROWS(B$2:B333)-1,DATE(YEAR(Invoer!$A$5),12,31)-DATE(YEAR(Invoer!$A$5),1,1)+1),"jjjjmmdd")</f>
        <v>19271128</v>
      </c>
      <c r="C333" s="12">
        <v>1</v>
      </c>
      <c r="D333" s="17">
        <f t="shared" ca="1" si="10"/>
        <v>103</v>
      </c>
      <c r="E333" s="18">
        <f t="shared" ca="1" si="11"/>
        <v>0</v>
      </c>
    </row>
    <row r="334" spans="1:5" x14ac:dyDescent="0.25">
      <c r="A334" s="11">
        <f ca="1">INDEX(Stations,INT((ROWS(A$2:A334)-1)/(DATE(YEAR(Invoer!$A$5),12,31)-DATE(YEAR(Invoer!$A$5),1,1)+1))+2,1)</f>
        <v>44</v>
      </c>
      <c r="B334" t="str">
        <f ca="1">TEXT(DATE(YEAR(Invoer!$A$5),1,1)+MOD(ROWS(B$2:B334)-1,DATE(YEAR(Invoer!$A$5),12,31)-DATE(YEAR(Invoer!$A$5),1,1)+1),"jjjjmmdd")</f>
        <v>19271129</v>
      </c>
      <c r="C334" s="12">
        <v>1</v>
      </c>
      <c r="D334" s="17">
        <f t="shared" ca="1" si="10"/>
        <v>85</v>
      </c>
      <c r="E334" s="18">
        <f t="shared" ca="1" si="11"/>
        <v>0</v>
      </c>
    </row>
    <row r="335" spans="1:5" x14ac:dyDescent="0.25">
      <c r="A335" s="11">
        <f ca="1">INDEX(Stations,INT((ROWS(A$2:A335)-1)/(DATE(YEAR(Invoer!$A$5),12,31)-DATE(YEAR(Invoer!$A$5),1,1)+1))+2,1)</f>
        <v>44</v>
      </c>
      <c r="B335" t="str">
        <f ca="1">TEXT(DATE(YEAR(Invoer!$A$5),1,1)+MOD(ROWS(B$2:B335)-1,DATE(YEAR(Invoer!$A$5),12,31)-DATE(YEAR(Invoer!$A$5),1,1)+1),"jjjjmmdd")</f>
        <v>19271130</v>
      </c>
      <c r="C335" s="12">
        <v>1</v>
      </c>
      <c r="D335" s="17">
        <f t="shared" ca="1" si="10"/>
        <v>0</v>
      </c>
      <c r="E335" s="18">
        <f t="shared" ca="1" si="11"/>
        <v>0</v>
      </c>
    </row>
    <row r="336" spans="1:5" x14ac:dyDescent="0.25">
      <c r="A336" s="11">
        <f ca="1">INDEX(Stations,INT((ROWS(A$2:A336)-1)/(DATE(YEAR(Invoer!$A$5),12,31)-DATE(YEAR(Invoer!$A$5),1,1)+1))+2,1)</f>
        <v>44</v>
      </c>
      <c r="B336" t="str">
        <f ca="1">TEXT(DATE(YEAR(Invoer!$A$5),1,1)+MOD(ROWS(B$2:B336)-1,DATE(YEAR(Invoer!$A$5),12,31)-DATE(YEAR(Invoer!$A$5),1,1)+1),"jjjjmmdd")</f>
        <v>19271201</v>
      </c>
      <c r="C336" s="12">
        <v>1</v>
      </c>
      <c r="D336" s="17">
        <f t="shared" ca="1" si="10"/>
        <v>136</v>
      </c>
      <c r="E336" s="18">
        <f t="shared" ca="1" si="11"/>
        <v>0</v>
      </c>
    </row>
    <row r="337" spans="1:5" x14ac:dyDescent="0.25">
      <c r="A337" s="11">
        <f ca="1">INDEX(Stations,INT((ROWS(A$2:A337)-1)/(DATE(YEAR(Invoer!$A$5),12,31)-DATE(YEAR(Invoer!$A$5),1,1)+1))+2,1)</f>
        <v>44</v>
      </c>
      <c r="B337" t="str">
        <f ca="1">TEXT(DATE(YEAR(Invoer!$A$5),1,1)+MOD(ROWS(B$2:B337)-1,DATE(YEAR(Invoer!$A$5),12,31)-DATE(YEAR(Invoer!$A$5),1,1)+1),"jjjjmmdd")</f>
        <v>19271202</v>
      </c>
      <c r="C337" s="12">
        <v>1</v>
      </c>
      <c r="D337" s="17">
        <f t="shared" ca="1" si="10"/>
        <v>0</v>
      </c>
      <c r="E337" s="18">
        <f t="shared" ca="1" si="11"/>
        <v>0</v>
      </c>
    </row>
    <row r="338" spans="1:5" x14ac:dyDescent="0.25">
      <c r="A338" s="11">
        <f ca="1">INDEX(Stations,INT((ROWS(A$2:A338)-1)/(DATE(YEAR(Invoer!$A$5),12,31)-DATE(YEAR(Invoer!$A$5),1,1)+1))+2,1)</f>
        <v>44</v>
      </c>
      <c r="B338" t="str">
        <f ca="1">TEXT(DATE(YEAR(Invoer!$A$5),1,1)+MOD(ROWS(B$2:B338)-1,DATE(YEAR(Invoer!$A$5),12,31)-DATE(YEAR(Invoer!$A$5),1,1)+1),"jjjjmmdd")</f>
        <v>19271203</v>
      </c>
      <c r="C338" s="12">
        <v>1</v>
      </c>
      <c r="D338" s="17">
        <f t="shared" ca="1" si="10"/>
        <v>86</v>
      </c>
      <c r="E338" s="18">
        <f t="shared" ca="1" si="11"/>
        <v>0</v>
      </c>
    </row>
    <row r="339" spans="1:5" x14ac:dyDescent="0.25">
      <c r="A339" s="11">
        <f ca="1">INDEX(Stations,INT((ROWS(A$2:A339)-1)/(DATE(YEAR(Invoer!$A$5),12,31)-DATE(YEAR(Invoer!$A$5),1,1)+1))+2,1)</f>
        <v>44</v>
      </c>
      <c r="B339" t="str">
        <f ca="1">TEXT(DATE(YEAR(Invoer!$A$5),1,1)+MOD(ROWS(B$2:B339)-1,DATE(YEAR(Invoer!$A$5),12,31)-DATE(YEAR(Invoer!$A$5),1,1)+1),"jjjjmmdd")</f>
        <v>19271204</v>
      </c>
      <c r="C339" s="12">
        <v>1</v>
      </c>
      <c r="D339" s="17">
        <f t="shared" ca="1" si="10"/>
        <v>0</v>
      </c>
      <c r="E339" s="18">
        <f t="shared" ca="1" si="11"/>
        <v>0</v>
      </c>
    </row>
    <row r="340" spans="1:5" x14ac:dyDescent="0.25">
      <c r="A340" s="11">
        <f ca="1">INDEX(Stations,INT((ROWS(A$2:A340)-1)/(DATE(YEAR(Invoer!$A$5),12,31)-DATE(YEAR(Invoer!$A$5),1,1)+1))+2,1)</f>
        <v>44</v>
      </c>
      <c r="B340" t="str">
        <f ca="1">TEXT(DATE(YEAR(Invoer!$A$5),1,1)+MOD(ROWS(B$2:B340)-1,DATE(YEAR(Invoer!$A$5),12,31)-DATE(YEAR(Invoer!$A$5),1,1)+1),"jjjjmmdd")</f>
        <v>19271205</v>
      </c>
      <c r="C340" s="12">
        <v>1</v>
      </c>
      <c r="D340" s="17">
        <f t="shared" ca="1" si="10"/>
        <v>0</v>
      </c>
      <c r="E340" s="18">
        <f t="shared" ca="1" si="11"/>
        <v>0</v>
      </c>
    </row>
    <row r="341" spans="1:5" x14ac:dyDescent="0.25">
      <c r="A341" s="11">
        <f ca="1">INDEX(Stations,INT((ROWS(A$2:A341)-1)/(DATE(YEAR(Invoer!$A$5),12,31)-DATE(YEAR(Invoer!$A$5),1,1)+1))+2,1)</f>
        <v>44</v>
      </c>
      <c r="B341" t="str">
        <f ca="1">TEXT(DATE(YEAR(Invoer!$A$5),1,1)+MOD(ROWS(B$2:B341)-1,DATE(YEAR(Invoer!$A$5),12,31)-DATE(YEAR(Invoer!$A$5),1,1)+1),"jjjjmmdd")</f>
        <v>19271206</v>
      </c>
      <c r="C341" s="12">
        <v>1</v>
      </c>
      <c r="D341" s="17">
        <f t="shared" ca="1" si="10"/>
        <v>0</v>
      </c>
      <c r="E341" s="18">
        <f t="shared" ca="1" si="11"/>
        <v>0</v>
      </c>
    </row>
    <row r="342" spans="1:5" x14ac:dyDescent="0.25">
      <c r="A342" s="11">
        <f ca="1">INDEX(Stations,INT((ROWS(A$2:A342)-1)/(DATE(YEAR(Invoer!$A$5),12,31)-DATE(YEAR(Invoer!$A$5),1,1)+1))+2,1)</f>
        <v>44</v>
      </c>
      <c r="B342" t="str">
        <f ca="1">TEXT(DATE(YEAR(Invoer!$A$5),1,1)+MOD(ROWS(B$2:B342)-1,DATE(YEAR(Invoer!$A$5),12,31)-DATE(YEAR(Invoer!$A$5),1,1)+1),"jjjjmmdd")</f>
        <v>19271207</v>
      </c>
      <c r="C342" s="12">
        <v>1</v>
      </c>
      <c r="D342" s="17">
        <f t="shared" ca="1" si="10"/>
        <v>941</v>
      </c>
      <c r="E342" s="18">
        <f t="shared" ca="1" si="11"/>
        <v>0</v>
      </c>
    </row>
    <row r="343" spans="1:5" x14ac:dyDescent="0.25">
      <c r="A343" s="11">
        <f ca="1">INDEX(Stations,INT((ROWS(A$2:A343)-1)/(DATE(YEAR(Invoer!$A$5),12,31)-DATE(YEAR(Invoer!$A$5),1,1)+1))+2,1)</f>
        <v>44</v>
      </c>
      <c r="B343" t="str">
        <f ca="1">TEXT(DATE(YEAR(Invoer!$A$5),1,1)+MOD(ROWS(B$2:B343)-1,DATE(YEAR(Invoer!$A$5),12,31)-DATE(YEAR(Invoer!$A$5),1,1)+1),"jjjjmmdd")</f>
        <v>19271208</v>
      </c>
      <c r="C343" s="12">
        <v>1</v>
      </c>
      <c r="D343" s="17">
        <f t="shared" ca="1" si="10"/>
        <v>18</v>
      </c>
      <c r="E343" s="18">
        <f t="shared" ca="1" si="11"/>
        <v>0</v>
      </c>
    </row>
    <row r="344" spans="1:5" x14ac:dyDescent="0.25">
      <c r="A344" s="11">
        <f ca="1">INDEX(Stations,INT((ROWS(A$2:A344)-1)/(DATE(YEAR(Invoer!$A$5),12,31)-DATE(YEAR(Invoer!$A$5),1,1)+1))+2,1)</f>
        <v>44</v>
      </c>
      <c r="B344" t="str">
        <f ca="1">TEXT(DATE(YEAR(Invoer!$A$5),1,1)+MOD(ROWS(B$2:B344)-1,DATE(YEAR(Invoer!$A$5),12,31)-DATE(YEAR(Invoer!$A$5),1,1)+1),"jjjjmmdd")</f>
        <v>19271209</v>
      </c>
      <c r="C344" s="12">
        <v>1</v>
      </c>
      <c r="D344" s="17">
        <f t="shared" ca="1" si="10"/>
        <v>0</v>
      </c>
      <c r="E344" s="18">
        <f t="shared" ca="1" si="11"/>
        <v>0</v>
      </c>
    </row>
    <row r="345" spans="1:5" x14ac:dyDescent="0.25">
      <c r="A345" s="11">
        <f ca="1">INDEX(Stations,INT((ROWS(A$2:A345)-1)/(DATE(YEAR(Invoer!$A$5),12,31)-DATE(YEAR(Invoer!$A$5),1,1)+1))+2,1)</f>
        <v>44</v>
      </c>
      <c r="B345" t="str">
        <f ca="1">TEXT(DATE(YEAR(Invoer!$A$5),1,1)+MOD(ROWS(B$2:B345)-1,DATE(YEAR(Invoer!$A$5),12,31)-DATE(YEAR(Invoer!$A$5),1,1)+1),"jjjjmmdd")</f>
        <v>19271210</v>
      </c>
      <c r="C345" s="12">
        <v>1</v>
      </c>
      <c r="D345" s="17">
        <f t="shared" ca="1" si="10"/>
        <v>33</v>
      </c>
      <c r="E345" s="18">
        <f t="shared" ca="1" si="11"/>
        <v>0</v>
      </c>
    </row>
    <row r="346" spans="1:5" x14ac:dyDescent="0.25">
      <c r="A346" s="11">
        <f ca="1">INDEX(Stations,INT((ROWS(A$2:A346)-1)/(DATE(YEAR(Invoer!$A$5),12,31)-DATE(YEAR(Invoer!$A$5),1,1)+1))+2,1)</f>
        <v>44</v>
      </c>
      <c r="B346" t="str">
        <f ca="1">TEXT(DATE(YEAR(Invoer!$A$5),1,1)+MOD(ROWS(B$2:B346)-1,DATE(YEAR(Invoer!$A$5),12,31)-DATE(YEAR(Invoer!$A$5),1,1)+1),"jjjjmmdd")</f>
        <v>19271211</v>
      </c>
      <c r="C346" s="12">
        <v>1</v>
      </c>
      <c r="D346" s="17">
        <f t="shared" ca="1" si="10"/>
        <v>0</v>
      </c>
      <c r="E346" s="18">
        <f t="shared" ca="1" si="11"/>
        <v>0</v>
      </c>
    </row>
    <row r="347" spans="1:5" x14ac:dyDescent="0.25">
      <c r="A347" s="11">
        <f ca="1">INDEX(Stations,INT((ROWS(A$2:A347)-1)/(DATE(YEAR(Invoer!$A$5),12,31)-DATE(YEAR(Invoer!$A$5),1,1)+1))+2,1)</f>
        <v>44</v>
      </c>
      <c r="B347" t="str">
        <f ca="1">TEXT(DATE(YEAR(Invoer!$A$5),1,1)+MOD(ROWS(B$2:B347)-1,DATE(YEAR(Invoer!$A$5),12,31)-DATE(YEAR(Invoer!$A$5),1,1)+1),"jjjjmmdd")</f>
        <v>19271212</v>
      </c>
      <c r="C347" s="12">
        <v>1</v>
      </c>
      <c r="D347" s="17">
        <f t="shared" ca="1" si="10"/>
        <v>0</v>
      </c>
      <c r="E347" s="18">
        <f t="shared" ca="1" si="11"/>
        <v>0</v>
      </c>
    </row>
    <row r="348" spans="1:5" x14ac:dyDescent="0.25">
      <c r="A348" s="11">
        <f ca="1">INDEX(Stations,INT((ROWS(A$2:A348)-1)/(DATE(YEAR(Invoer!$A$5),12,31)-DATE(YEAR(Invoer!$A$5),1,1)+1))+2,1)</f>
        <v>44</v>
      </c>
      <c r="B348" t="str">
        <f ca="1">TEXT(DATE(YEAR(Invoer!$A$5),1,1)+MOD(ROWS(B$2:B348)-1,DATE(YEAR(Invoer!$A$5),12,31)-DATE(YEAR(Invoer!$A$5),1,1)+1),"jjjjmmdd")</f>
        <v>19271213</v>
      </c>
      <c r="C348" s="12">
        <v>1</v>
      </c>
      <c r="D348" s="17">
        <f t="shared" ca="1" si="10"/>
        <v>21</v>
      </c>
      <c r="E348" s="18">
        <f t="shared" ca="1" si="11"/>
        <v>0</v>
      </c>
    </row>
    <row r="349" spans="1:5" x14ac:dyDescent="0.25">
      <c r="A349" s="11">
        <f ca="1">INDEX(Stations,INT((ROWS(A$2:A349)-1)/(DATE(YEAR(Invoer!$A$5),12,31)-DATE(YEAR(Invoer!$A$5),1,1)+1))+2,1)</f>
        <v>44</v>
      </c>
      <c r="B349" t="str">
        <f ca="1">TEXT(DATE(YEAR(Invoer!$A$5),1,1)+MOD(ROWS(B$2:B349)-1,DATE(YEAR(Invoer!$A$5),12,31)-DATE(YEAR(Invoer!$A$5),1,1)+1),"jjjjmmdd")</f>
        <v>19271214</v>
      </c>
      <c r="C349" s="12">
        <v>1</v>
      </c>
      <c r="D349" s="17">
        <f t="shared" ca="1" si="10"/>
        <v>0</v>
      </c>
      <c r="E349" s="18">
        <f t="shared" ca="1" si="11"/>
        <v>0</v>
      </c>
    </row>
    <row r="350" spans="1:5" x14ac:dyDescent="0.25">
      <c r="A350" s="11">
        <f ca="1">INDEX(Stations,INT((ROWS(A$2:A350)-1)/(DATE(YEAR(Invoer!$A$5),12,31)-DATE(YEAR(Invoer!$A$5),1,1)+1))+2,1)</f>
        <v>44</v>
      </c>
      <c r="B350" t="str">
        <f ca="1">TEXT(DATE(YEAR(Invoer!$A$5),1,1)+MOD(ROWS(B$2:B350)-1,DATE(YEAR(Invoer!$A$5),12,31)-DATE(YEAR(Invoer!$A$5),1,1)+1),"jjjjmmdd")</f>
        <v>19271215</v>
      </c>
      <c r="C350" s="12">
        <v>1</v>
      </c>
      <c r="D350" s="17">
        <f t="shared" ca="1" si="10"/>
        <v>64</v>
      </c>
      <c r="E350" s="18">
        <f t="shared" ca="1" si="11"/>
        <v>0</v>
      </c>
    </row>
    <row r="351" spans="1:5" x14ac:dyDescent="0.25">
      <c r="A351" s="11">
        <f ca="1">INDEX(Stations,INT((ROWS(A$2:A351)-1)/(DATE(YEAR(Invoer!$A$5),12,31)-DATE(YEAR(Invoer!$A$5),1,1)+1))+2,1)</f>
        <v>44</v>
      </c>
      <c r="B351" t="str">
        <f ca="1">TEXT(DATE(YEAR(Invoer!$A$5),1,1)+MOD(ROWS(B$2:B351)-1,DATE(YEAR(Invoer!$A$5),12,31)-DATE(YEAR(Invoer!$A$5),1,1)+1),"jjjjmmdd")</f>
        <v>19271216</v>
      </c>
      <c r="C351" s="12">
        <v>1</v>
      </c>
      <c r="D351" s="17">
        <f t="shared" ca="1" si="10"/>
        <v>264</v>
      </c>
      <c r="E351" s="18">
        <f t="shared" ca="1" si="11"/>
        <v>0</v>
      </c>
    </row>
    <row r="352" spans="1:5" x14ac:dyDescent="0.25">
      <c r="A352" s="11">
        <f ca="1">INDEX(Stations,INT((ROWS(A$2:A352)-1)/(DATE(YEAR(Invoer!$A$5),12,31)-DATE(YEAR(Invoer!$A$5),1,1)+1))+2,1)</f>
        <v>44</v>
      </c>
      <c r="B352" t="str">
        <f ca="1">TEXT(DATE(YEAR(Invoer!$A$5),1,1)+MOD(ROWS(B$2:B352)-1,DATE(YEAR(Invoer!$A$5),12,31)-DATE(YEAR(Invoer!$A$5),1,1)+1),"jjjjmmdd")</f>
        <v>19271217</v>
      </c>
      <c r="C352" s="12">
        <v>1</v>
      </c>
      <c r="D352" s="17">
        <f t="shared" ca="1" si="10"/>
        <v>34</v>
      </c>
      <c r="E352" s="18">
        <f t="shared" ca="1" si="11"/>
        <v>0</v>
      </c>
    </row>
    <row r="353" spans="1:5" x14ac:dyDescent="0.25">
      <c r="A353" s="11">
        <f ca="1">INDEX(Stations,INT((ROWS(A$2:A353)-1)/(DATE(YEAR(Invoer!$A$5),12,31)-DATE(YEAR(Invoer!$A$5),1,1)+1))+2,1)</f>
        <v>44</v>
      </c>
      <c r="B353" t="str">
        <f ca="1">TEXT(DATE(YEAR(Invoer!$A$5),1,1)+MOD(ROWS(B$2:B353)-1,DATE(YEAR(Invoer!$A$5),12,31)-DATE(YEAR(Invoer!$A$5),1,1)+1),"jjjjmmdd")</f>
        <v>19271218</v>
      </c>
      <c r="C353" s="12">
        <v>1</v>
      </c>
      <c r="D353" s="17">
        <f t="shared" ca="1" si="10"/>
        <v>0</v>
      </c>
      <c r="E353" s="18">
        <f t="shared" ca="1" si="11"/>
        <v>0</v>
      </c>
    </row>
    <row r="354" spans="1:5" x14ac:dyDescent="0.25">
      <c r="A354" s="11">
        <f ca="1">INDEX(Stations,INT((ROWS(A$2:A354)-1)/(DATE(YEAR(Invoer!$A$5),12,31)-DATE(YEAR(Invoer!$A$5),1,1)+1))+2,1)</f>
        <v>44</v>
      </c>
      <c r="B354" t="str">
        <f ca="1">TEXT(DATE(YEAR(Invoer!$A$5),1,1)+MOD(ROWS(B$2:B354)-1,DATE(YEAR(Invoer!$A$5),12,31)-DATE(YEAR(Invoer!$A$5),1,1)+1),"jjjjmmdd")</f>
        <v>19271219</v>
      </c>
      <c r="C354" s="12">
        <v>1</v>
      </c>
      <c r="D354" s="17">
        <f t="shared" ca="1" si="10"/>
        <v>237</v>
      </c>
      <c r="E354" s="18">
        <f t="shared" ca="1" si="11"/>
        <v>0</v>
      </c>
    </row>
    <row r="355" spans="1:5" x14ac:dyDescent="0.25">
      <c r="A355" s="11">
        <f ca="1">INDEX(Stations,INT((ROWS(A$2:A355)-1)/(DATE(YEAR(Invoer!$A$5),12,31)-DATE(YEAR(Invoer!$A$5),1,1)+1))+2,1)</f>
        <v>44</v>
      </c>
      <c r="B355" t="str">
        <f ca="1">TEXT(DATE(YEAR(Invoer!$A$5),1,1)+MOD(ROWS(B$2:B355)-1,DATE(YEAR(Invoer!$A$5),12,31)-DATE(YEAR(Invoer!$A$5),1,1)+1),"jjjjmmdd")</f>
        <v>19271220</v>
      </c>
      <c r="C355" s="12">
        <v>1</v>
      </c>
      <c r="D355" s="17">
        <f t="shared" ca="1" si="10"/>
        <v>0</v>
      </c>
      <c r="E355" s="18">
        <f t="shared" ca="1" si="11"/>
        <v>0</v>
      </c>
    </row>
    <row r="356" spans="1:5" x14ac:dyDescent="0.25">
      <c r="A356" s="11">
        <f ca="1">INDEX(Stations,INT((ROWS(A$2:A356)-1)/(DATE(YEAR(Invoer!$A$5),12,31)-DATE(YEAR(Invoer!$A$5),1,1)+1))+2,1)</f>
        <v>44</v>
      </c>
      <c r="B356" t="str">
        <f ca="1">TEXT(DATE(YEAR(Invoer!$A$5),1,1)+MOD(ROWS(B$2:B356)-1,DATE(YEAR(Invoer!$A$5),12,31)-DATE(YEAR(Invoer!$A$5),1,1)+1),"jjjjmmdd")</f>
        <v>19271221</v>
      </c>
      <c r="C356" s="12">
        <v>1</v>
      </c>
      <c r="D356" s="17">
        <f t="shared" ca="1" si="10"/>
        <v>0</v>
      </c>
      <c r="E356" s="18">
        <f t="shared" ca="1" si="11"/>
        <v>0</v>
      </c>
    </row>
    <row r="357" spans="1:5" x14ac:dyDescent="0.25">
      <c r="A357" s="11">
        <f ca="1">INDEX(Stations,INT((ROWS(A$2:A357)-1)/(DATE(YEAR(Invoer!$A$5),12,31)-DATE(YEAR(Invoer!$A$5),1,1)+1))+2,1)</f>
        <v>44</v>
      </c>
      <c r="B357" t="str">
        <f ca="1">TEXT(DATE(YEAR(Invoer!$A$5),1,1)+MOD(ROWS(B$2:B357)-1,DATE(YEAR(Invoer!$A$5),12,31)-DATE(YEAR(Invoer!$A$5),1,1)+1),"jjjjmmdd")</f>
        <v>19271222</v>
      </c>
      <c r="C357" s="12">
        <v>1</v>
      </c>
      <c r="D357" s="17">
        <f t="shared" ca="1" si="10"/>
        <v>0</v>
      </c>
      <c r="E357" s="18">
        <f t="shared" ca="1" si="11"/>
        <v>0</v>
      </c>
    </row>
    <row r="358" spans="1:5" x14ac:dyDescent="0.25">
      <c r="A358" s="11">
        <f ca="1">INDEX(Stations,INT((ROWS(A$2:A358)-1)/(DATE(YEAR(Invoer!$A$5),12,31)-DATE(YEAR(Invoer!$A$5),1,1)+1))+2,1)</f>
        <v>44</v>
      </c>
      <c r="B358" t="str">
        <f ca="1">TEXT(DATE(YEAR(Invoer!$A$5),1,1)+MOD(ROWS(B$2:B358)-1,DATE(YEAR(Invoer!$A$5),12,31)-DATE(YEAR(Invoer!$A$5),1,1)+1),"jjjjmmdd")</f>
        <v>19271223</v>
      </c>
      <c r="C358" s="12">
        <v>1</v>
      </c>
      <c r="D358" s="17">
        <f t="shared" ca="1" si="10"/>
        <v>0</v>
      </c>
      <c r="E358" s="18">
        <f t="shared" ca="1" si="11"/>
        <v>0</v>
      </c>
    </row>
    <row r="359" spans="1:5" x14ac:dyDescent="0.25">
      <c r="A359" s="11">
        <f ca="1">INDEX(Stations,INT((ROWS(A$2:A359)-1)/(DATE(YEAR(Invoer!$A$5),12,31)-DATE(YEAR(Invoer!$A$5),1,1)+1))+2,1)</f>
        <v>44</v>
      </c>
      <c r="B359" t="str">
        <f ca="1">TEXT(DATE(YEAR(Invoer!$A$5),1,1)+MOD(ROWS(B$2:B359)-1,DATE(YEAR(Invoer!$A$5),12,31)-DATE(YEAR(Invoer!$A$5),1,1)+1),"jjjjmmdd")</f>
        <v>19271224</v>
      </c>
      <c r="C359" s="12">
        <v>1</v>
      </c>
      <c r="D359" s="17">
        <f t="shared" ca="1" si="10"/>
        <v>0</v>
      </c>
      <c r="E359" s="18">
        <f t="shared" ca="1" si="11"/>
        <v>0</v>
      </c>
    </row>
    <row r="360" spans="1:5" x14ac:dyDescent="0.25">
      <c r="A360" s="11">
        <f ca="1">INDEX(Stations,INT((ROWS(A$2:A360)-1)/(DATE(YEAR(Invoer!$A$5),12,31)-DATE(YEAR(Invoer!$A$5),1,1)+1))+2,1)</f>
        <v>44</v>
      </c>
      <c r="B360" t="str">
        <f ca="1">TEXT(DATE(YEAR(Invoer!$A$5),1,1)+MOD(ROWS(B$2:B360)-1,DATE(YEAR(Invoer!$A$5),12,31)-DATE(YEAR(Invoer!$A$5),1,1)+1),"jjjjmmdd")</f>
        <v>19271225</v>
      </c>
      <c r="C360" s="12">
        <v>1</v>
      </c>
      <c r="D360" s="17">
        <f t="shared" ca="1" si="10"/>
        <v>0</v>
      </c>
      <c r="E360" s="18">
        <f t="shared" ca="1" si="11"/>
        <v>0</v>
      </c>
    </row>
    <row r="361" spans="1:5" x14ac:dyDescent="0.25">
      <c r="A361" s="11">
        <f ca="1">INDEX(Stations,INT((ROWS(A$2:A361)-1)/(DATE(YEAR(Invoer!$A$5),12,31)-DATE(YEAR(Invoer!$A$5),1,1)+1))+2,1)</f>
        <v>44</v>
      </c>
      <c r="B361" t="str">
        <f ca="1">TEXT(DATE(YEAR(Invoer!$A$5),1,1)+MOD(ROWS(B$2:B361)-1,DATE(YEAR(Invoer!$A$5),12,31)-DATE(YEAR(Invoer!$A$5),1,1)+1),"jjjjmmdd")</f>
        <v>19271226</v>
      </c>
      <c r="C361" s="12">
        <v>1</v>
      </c>
      <c r="D361" s="17">
        <f t="shared" ca="1" si="10"/>
        <v>90</v>
      </c>
      <c r="E361" s="18">
        <f t="shared" ca="1" si="11"/>
        <v>0</v>
      </c>
    </row>
    <row r="362" spans="1:5" x14ac:dyDescent="0.25">
      <c r="A362" s="11">
        <f ca="1">INDEX(Stations,INT((ROWS(A$2:A362)-1)/(DATE(YEAR(Invoer!$A$5),12,31)-DATE(YEAR(Invoer!$A$5),1,1)+1))+2,1)</f>
        <v>44</v>
      </c>
      <c r="B362" t="str">
        <f ca="1">TEXT(DATE(YEAR(Invoer!$A$5),1,1)+MOD(ROWS(B$2:B362)-1,DATE(YEAR(Invoer!$A$5),12,31)-DATE(YEAR(Invoer!$A$5),1,1)+1),"jjjjmmdd")</f>
        <v>19271227</v>
      </c>
      <c r="C362" s="12">
        <v>1</v>
      </c>
      <c r="D362" s="17">
        <f t="shared" ca="1" si="10"/>
        <v>0</v>
      </c>
      <c r="E362" s="18">
        <f t="shared" ca="1" si="11"/>
        <v>0</v>
      </c>
    </row>
    <row r="363" spans="1:5" x14ac:dyDescent="0.25">
      <c r="A363" s="11">
        <f ca="1">INDEX(Stations,INT((ROWS(A$2:A363)-1)/(DATE(YEAR(Invoer!$A$5),12,31)-DATE(YEAR(Invoer!$A$5),1,1)+1))+2,1)</f>
        <v>44</v>
      </c>
      <c r="B363" t="str">
        <f ca="1">TEXT(DATE(YEAR(Invoer!$A$5),1,1)+MOD(ROWS(B$2:B363)-1,DATE(YEAR(Invoer!$A$5),12,31)-DATE(YEAR(Invoer!$A$5),1,1)+1),"jjjjmmdd")</f>
        <v>19271228</v>
      </c>
      <c r="C363" s="12">
        <v>1</v>
      </c>
      <c r="D363" s="17">
        <f t="shared" ca="1" si="10"/>
        <v>52</v>
      </c>
      <c r="E363" s="18">
        <f t="shared" ca="1" si="11"/>
        <v>0</v>
      </c>
    </row>
    <row r="364" spans="1:5" x14ac:dyDescent="0.25">
      <c r="A364" s="11">
        <f ca="1">INDEX(Stations,INT((ROWS(A$2:A364)-1)/(DATE(YEAR(Invoer!$A$5),12,31)-DATE(YEAR(Invoer!$A$5),1,1)+1))+2,1)</f>
        <v>44</v>
      </c>
      <c r="B364" t="str">
        <f ca="1">TEXT(DATE(YEAR(Invoer!$A$5),1,1)+MOD(ROWS(B$2:B364)-1,DATE(YEAR(Invoer!$A$5),12,31)-DATE(YEAR(Invoer!$A$5),1,1)+1),"jjjjmmdd")</f>
        <v>19271229</v>
      </c>
      <c r="C364" s="12">
        <v>1</v>
      </c>
      <c r="D364" s="17">
        <f t="shared" ca="1" si="10"/>
        <v>26</v>
      </c>
      <c r="E364" s="18">
        <f t="shared" ca="1" si="11"/>
        <v>0</v>
      </c>
    </row>
    <row r="365" spans="1:5" x14ac:dyDescent="0.25">
      <c r="A365" s="11">
        <f ca="1">INDEX(Stations,INT((ROWS(A$2:A365)-1)/(DATE(YEAR(Invoer!$A$5),12,31)-DATE(YEAR(Invoer!$A$5),1,1)+1))+2,1)</f>
        <v>44</v>
      </c>
      <c r="B365" t="str">
        <f ca="1">TEXT(DATE(YEAR(Invoer!$A$5),1,1)+MOD(ROWS(B$2:B365)-1,DATE(YEAR(Invoer!$A$5),12,31)-DATE(YEAR(Invoer!$A$5),1,1)+1),"jjjjmmdd")</f>
        <v>19271230</v>
      </c>
      <c r="C365" s="12">
        <v>1</v>
      </c>
      <c r="D365" s="17">
        <f t="shared" ca="1" si="10"/>
        <v>0</v>
      </c>
      <c r="E365" s="18">
        <f t="shared" ca="1" si="11"/>
        <v>0</v>
      </c>
    </row>
    <row r="366" spans="1:5" x14ac:dyDescent="0.25">
      <c r="A366" s="11">
        <f ca="1">INDEX(Stations,INT((ROWS(A$2:A366)-1)/(DATE(YEAR(Invoer!$A$5),12,31)-DATE(YEAR(Invoer!$A$5),1,1)+1))+2,1)</f>
        <v>44</v>
      </c>
      <c r="B366" t="str">
        <f ca="1">TEXT(DATE(YEAR(Invoer!$A$5),1,1)+MOD(ROWS(B$2:B366)-1,DATE(YEAR(Invoer!$A$5),12,31)-DATE(YEAR(Invoer!$A$5),1,1)+1),"jjjjmmdd")</f>
        <v>19271231</v>
      </c>
      <c r="C366" s="12">
        <v>1</v>
      </c>
      <c r="D366" s="17">
        <f t="shared" ca="1" si="10"/>
        <v>9</v>
      </c>
      <c r="E366" s="18">
        <f t="shared" ca="1" si="11"/>
        <v>0</v>
      </c>
    </row>
    <row r="367" spans="1:5" x14ac:dyDescent="0.25">
      <c r="A367" s="11">
        <f ca="1">INDEX(Stations,INT((ROWS(A$2:A367)-1)/(DATE(YEAR(Invoer!$A$5),12,31)-DATE(YEAR(Invoer!$A$5),1,1)+1))+2,1)</f>
        <v>42</v>
      </c>
      <c r="B367" t="str">
        <f ca="1">TEXT(DATE(YEAR(Invoer!$A$5),1,1)+MOD(ROWS(B$2:B367)-1,DATE(YEAR(Invoer!$A$5),12,31)-DATE(YEAR(Invoer!$A$5),1,1)+1),"jjjjmmdd")</f>
        <v>19270101</v>
      </c>
      <c r="C367" s="12">
        <v>1</v>
      </c>
      <c r="D367" s="17">
        <f t="shared" ca="1" si="10"/>
        <v>0</v>
      </c>
      <c r="E367" s="18">
        <f t="shared" ca="1" si="11"/>
        <v>0</v>
      </c>
    </row>
    <row r="368" spans="1:5" x14ac:dyDescent="0.25">
      <c r="A368" s="11">
        <f ca="1">INDEX(Stations,INT((ROWS(A$2:A368)-1)/(DATE(YEAR(Invoer!$A$5),12,31)-DATE(YEAR(Invoer!$A$5),1,1)+1))+2,1)</f>
        <v>42</v>
      </c>
      <c r="B368" t="str">
        <f ca="1">TEXT(DATE(YEAR(Invoer!$A$5),1,1)+MOD(ROWS(B$2:B368)-1,DATE(YEAR(Invoer!$A$5),12,31)-DATE(YEAR(Invoer!$A$5),1,1)+1),"jjjjmmdd")</f>
        <v>19270102</v>
      </c>
      <c r="C368" s="12">
        <v>1</v>
      </c>
      <c r="D368" s="17">
        <f t="shared" ca="1" si="10"/>
        <v>0</v>
      </c>
      <c r="E368" s="18">
        <f t="shared" ca="1" si="11"/>
        <v>0</v>
      </c>
    </row>
    <row r="369" spans="1:5" x14ac:dyDescent="0.25">
      <c r="A369" s="11">
        <f ca="1">INDEX(Stations,INT((ROWS(A$2:A369)-1)/(DATE(YEAR(Invoer!$A$5),12,31)-DATE(YEAR(Invoer!$A$5),1,1)+1))+2,1)</f>
        <v>42</v>
      </c>
      <c r="B369" t="str">
        <f ca="1">TEXT(DATE(YEAR(Invoer!$A$5),1,1)+MOD(ROWS(B$2:B369)-1,DATE(YEAR(Invoer!$A$5),12,31)-DATE(YEAR(Invoer!$A$5),1,1)+1),"jjjjmmdd")</f>
        <v>19270103</v>
      </c>
      <c r="C369" s="12">
        <v>1</v>
      </c>
      <c r="D369" s="17">
        <f t="shared" ca="1" si="10"/>
        <v>0</v>
      </c>
      <c r="E369" s="18">
        <f t="shared" ca="1" si="11"/>
        <v>0</v>
      </c>
    </row>
    <row r="370" spans="1:5" x14ac:dyDescent="0.25">
      <c r="A370" s="11">
        <f ca="1">INDEX(Stations,INT((ROWS(A$2:A370)-1)/(DATE(YEAR(Invoer!$A$5),12,31)-DATE(YEAR(Invoer!$A$5),1,1)+1))+2,1)</f>
        <v>42</v>
      </c>
      <c r="B370" t="str">
        <f ca="1">TEXT(DATE(YEAR(Invoer!$A$5),1,1)+MOD(ROWS(B$2:B370)-1,DATE(YEAR(Invoer!$A$5),12,31)-DATE(YEAR(Invoer!$A$5),1,1)+1),"jjjjmmdd")</f>
        <v>19270104</v>
      </c>
      <c r="C370" s="12">
        <v>1</v>
      </c>
      <c r="D370" s="17">
        <f t="shared" ca="1" si="10"/>
        <v>0</v>
      </c>
      <c r="E370" s="18">
        <f t="shared" ca="1" si="11"/>
        <v>0</v>
      </c>
    </row>
    <row r="371" spans="1:5" x14ac:dyDescent="0.25">
      <c r="A371" s="11">
        <f ca="1">INDEX(Stations,INT((ROWS(A$2:A371)-1)/(DATE(YEAR(Invoer!$A$5),12,31)-DATE(YEAR(Invoer!$A$5),1,1)+1))+2,1)</f>
        <v>42</v>
      </c>
      <c r="B371" t="str">
        <f ca="1">TEXT(DATE(YEAR(Invoer!$A$5),1,1)+MOD(ROWS(B$2:B371)-1,DATE(YEAR(Invoer!$A$5),12,31)-DATE(YEAR(Invoer!$A$5),1,1)+1),"jjjjmmdd")</f>
        <v>19270105</v>
      </c>
      <c r="C371" s="12">
        <v>1</v>
      </c>
      <c r="D371" s="17">
        <f t="shared" ca="1" si="10"/>
        <v>9</v>
      </c>
      <c r="E371" s="18">
        <f t="shared" ca="1" si="11"/>
        <v>0</v>
      </c>
    </row>
    <row r="372" spans="1:5" x14ac:dyDescent="0.25">
      <c r="A372" s="11">
        <f ca="1">INDEX(Stations,INT((ROWS(A$2:A372)-1)/(DATE(YEAR(Invoer!$A$5),12,31)-DATE(YEAR(Invoer!$A$5),1,1)+1))+2,1)</f>
        <v>42</v>
      </c>
      <c r="B372" t="str">
        <f ca="1">TEXT(DATE(YEAR(Invoer!$A$5),1,1)+MOD(ROWS(B$2:B372)-1,DATE(YEAR(Invoer!$A$5),12,31)-DATE(YEAR(Invoer!$A$5),1,1)+1),"jjjjmmdd")</f>
        <v>19270106</v>
      </c>
      <c r="C372" s="12">
        <v>1</v>
      </c>
      <c r="D372" s="17">
        <f t="shared" ca="1" si="10"/>
        <v>0</v>
      </c>
      <c r="E372" s="18">
        <f t="shared" ca="1" si="11"/>
        <v>0</v>
      </c>
    </row>
    <row r="373" spans="1:5" x14ac:dyDescent="0.25">
      <c r="A373" s="11">
        <f ca="1">INDEX(Stations,INT((ROWS(A$2:A373)-1)/(DATE(YEAR(Invoer!$A$5),12,31)-DATE(YEAR(Invoer!$A$5),1,1)+1))+2,1)</f>
        <v>42</v>
      </c>
      <c r="B373" t="str">
        <f ca="1">TEXT(DATE(YEAR(Invoer!$A$5),1,1)+MOD(ROWS(B$2:B373)-1,DATE(YEAR(Invoer!$A$5),12,31)-DATE(YEAR(Invoer!$A$5),1,1)+1),"jjjjmmdd")</f>
        <v>19270107</v>
      </c>
      <c r="C373" s="12">
        <v>1</v>
      </c>
      <c r="D373" s="17">
        <f t="shared" ca="1" si="10"/>
        <v>45</v>
      </c>
      <c r="E373" s="18">
        <f t="shared" ca="1" si="11"/>
        <v>0</v>
      </c>
    </row>
    <row r="374" spans="1:5" x14ac:dyDescent="0.25">
      <c r="A374" s="11">
        <f ca="1">INDEX(Stations,INT((ROWS(A$2:A374)-1)/(DATE(YEAR(Invoer!$A$5),12,31)-DATE(YEAR(Invoer!$A$5),1,1)+1))+2,1)</f>
        <v>42</v>
      </c>
      <c r="B374" t="str">
        <f ca="1">TEXT(DATE(YEAR(Invoer!$A$5),1,1)+MOD(ROWS(B$2:B374)-1,DATE(YEAR(Invoer!$A$5),12,31)-DATE(YEAR(Invoer!$A$5),1,1)+1),"jjjjmmdd")</f>
        <v>19270108</v>
      </c>
      <c r="C374" s="12">
        <v>1</v>
      </c>
      <c r="D374" s="17">
        <f t="shared" ca="1" si="10"/>
        <v>46</v>
      </c>
      <c r="E374" s="18">
        <f t="shared" ca="1" si="11"/>
        <v>0</v>
      </c>
    </row>
    <row r="375" spans="1:5" x14ac:dyDescent="0.25">
      <c r="A375" s="11">
        <f ca="1">INDEX(Stations,INT((ROWS(A$2:A375)-1)/(DATE(YEAR(Invoer!$A$5),12,31)-DATE(YEAR(Invoer!$A$5),1,1)+1))+2,1)</f>
        <v>42</v>
      </c>
      <c r="B375" t="str">
        <f ca="1">TEXT(DATE(YEAR(Invoer!$A$5),1,1)+MOD(ROWS(B$2:B375)-1,DATE(YEAR(Invoer!$A$5),12,31)-DATE(YEAR(Invoer!$A$5),1,1)+1),"jjjjmmdd")</f>
        <v>19270109</v>
      </c>
      <c r="C375" s="12">
        <v>1</v>
      </c>
      <c r="D375" s="17">
        <f t="shared" ca="1" si="10"/>
        <v>30</v>
      </c>
      <c r="E375" s="18">
        <f t="shared" ca="1" si="11"/>
        <v>0</v>
      </c>
    </row>
    <row r="376" spans="1:5" x14ac:dyDescent="0.25">
      <c r="A376" s="11">
        <f ca="1">INDEX(Stations,INT((ROWS(A$2:A376)-1)/(DATE(YEAR(Invoer!$A$5),12,31)-DATE(YEAR(Invoer!$A$5),1,1)+1))+2,1)</f>
        <v>42</v>
      </c>
      <c r="B376" t="str">
        <f ca="1">TEXT(DATE(YEAR(Invoer!$A$5),1,1)+MOD(ROWS(B$2:B376)-1,DATE(YEAR(Invoer!$A$5),12,31)-DATE(YEAR(Invoer!$A$5),1,1)+1),"jjjjmmdd")</f>
        <v>19270110</v>
      </c>
      <c r="C376" s="12">
        <v>1</v>
      </c>
      <c r="D376" s="17">
        <f t="shared" ca="1" si="10"/>
        <v>0</v>
      </c>
      <c r="E376" s="18">
        <f t="shared" ca="1" si="11"/>
        <v>0</v>
      </c>
    </row>
    <row r="377" spans="1:5" x14ac:dyDescent="0.25">
      <c r="A377" s="11">
        <f ca="1">INDEX(Stations,INT((ROWS(A$2:A377)-1)/(DATE(YEAR(Invoer!$A$5),12,31)-DATE(YEAR(Invoer!$A$5),1,1)+1))+2,1)</f>
        <v>42</v>
      </c>
      <c r="B377" t="str">
        <f ca="1">TEXT(DATE(YEAR(Invoer!$A$5),1,1)+MOD(ROWS(B$2:B377)-1,DATE(YEAR(Invoer!$A$5),12,31)-DATE(YEAR(Invoer!$A$5),1,1)+1),"jjjjmmdd")</f>
        <v>19270111</v>
      </c>
      <c r="C377" s="12">
        <v>1</v>
      </c>
      <c r="D377" s="17">
        <f t="shared" ca="1" si="10"/>
        <v>0</v>
      </c>
      <c r="E377" s="18">
        <f t="shared" ca="1" si="11"/>
        <v>0</v>
      </c>
    </row>
    <row r="378" spans="1:5" x14ac:dyDescent="0.25">
      <c r="A378" s="11">
        <f ca="1">INDEX(Stations,INT((ROWS(A$2:A378)-1)/(DATE(YEAR(Invoer!$A$5),12,31)-DATE(YEAR(Invoer!$A$5),1,1)+1))+2,1)</f>
        <v>42</v>
      </c>
      <c r="B378" t="str">
        <f ca="1">TEXT(DATE(YEAR(Invoer!$A$5),1,1)+MOD(ROWS(B$2:B378)-1,DATE(YEAR(Invoer!$A$5),12,31)-DATE(YEAR(Invoer!$A$5),1,1)+1),"jjjjmmdd")</f>
        <v>19270112</v>
      </c>
      <c r="C378" s="12">
        <v>1</v>
      </c>
      <c r="D378" s="17">
        <f t="shared" ca="1" si="10"/>
        <v>0</v>
      </c>
      <c r="E378" s="18">
        <f t="shared" ca="1" si="11"/>
        <v>0</v>
      </c>
    </row>
    <row r="379" spans="1:5" x14ac:dyDescent="0.25">
      <c r="A379" s="11">
        <f ca="1">INDEX(Stations,INT((ROWS(A$2:A379)-1)/(DATE(YEAR(Invoer!$A$5),12,31)-DATE(YEAR(Invoer!$A$5),1,1)+1))+2,1)</f>
        <v>42</v>
      </c>
      <c r="B379" t="str">
        <f ca="1">TEXT(DATE(YEAR(Invoer!$A$5),1,1)+MOD(ROWS(B$2:B379)-1,DATE(YEAR(Invoer!$A$5),12,31)-DATE(YEAR(Invoer!$A$5),1,1)+1),"jjjjmmdd")</f>
        <v>19270113</v>
      </c>
      <c r="C379" s="12">
        <v>1</v>
      </c>
      <c r="D379" s="17">
        <f t="shared" ca="1" si="10"/>
        <v>135</v>
      </c>
      <c r="E379" s="18">
        <f t="shared" ca="1" si="11"/>
        <v>0</v>
      </c>
    </row>
    <row r="380" spans="1:5" x14ac:dyDescent="0.25">
      <c r="A380" s="11">
        <f ca="1">INDEX(Stations,INT((ROWS(A$2:A380)-1)/(DATE(YEAR(Invoer!$A$5),12,31)-DATE(YEAR(Invoer!$A$5),1,1)+1))+2,1)</f>
        <v>42</v>
      </c>
      <c r="B380" t="str">
        <f ca="1">TEXT(DATE(YEAR(Invoer!$A$5),1,1)+MOD(ROWS(B$2:B380)-1,DATE(YEAR(Invoer!$A$5),12,31)-DATE(YEAR(Invoer!$A$5),1,1)+1),"jjjjmmdd")</f>
        <v>19270114</v>
      </c>
      <c r="C380" s="12">
        <v>1</v>
      </c>
      <c r="D380" s="17">
        <f t="shared" ca="1" si="10"/>
        <v>162</v>
      </c>
      <c r="E380" s="18">
        <f t="shared" ca="1" si="11"/>
        <v>0</v>
      </c>
    </row>
    <row r="381" spans="1:5" x14ac:dyDescent="0.25">
      <c r="A381" s="11">
        <f ca="1">INDEX(Stations,INT((ROWS(A$2:A381)-1)/(DATE(YEAR(Invoer!$A$5),12,31)-DATE(YEAR(Invoer!$A$5),1,1)+1))+2,1)</f>
        <v>42</v>
      </c>
      <c r="B381" t="str">
        <f ca="1">TEXT(DATE(YEAR(Invoer!$A$5),1,1)+MOD(ROWS(B$2:B381)-1,DATE(YEAR(Invoer!$A$5),12,31)-DATE(YEAR(Invoer!$A$5),1,1)+1),"jjjjmmdd")</f>
        <v>19270115</v>
      </c>
      <c r="C381" s="12">
        <v>1</v>
      </c>
      <c r="D381" s="17">
        <f t="shared" ca="1" si="10"/>
        <v>0</v>
      </c>
      <c r="E381" s="18">
        <f t="shared" ca="1" si="11"/>
        <v>0</v>
      </c>
    </row>
    <row r="382" spans="1:5" x14ac:dyDescent="0.25">
      <c r="A382" s="11">
        <f ca="1">INDEX(Stations,INT((ROWS(A$2:A382)-1)/(DATE(YEAR(Invoer!$A$5),12,31)-DATE(YEAR(Invoer!$A$5),1,1)+1))+2,1)</f>
        <v>42</v>
      </c>
      <c r="B382" t="str">
        <f ca="1">TEXT(DATE(YEAR(Invoer!$A$5),1,1)+MOD(ROWS(B$2:B382)-1,DATE(YEAR(Invoer!$A$5),12,31)-DATE(YEAR(Invoer!$A$5),1,1)+1),"jjjjmmdd")</f>
        <v>19270116</v>
      </c>
      <c r="C382" s="12">
        <v>1</v>
      </c>
      <c r="D382" s="17">
        <f t="shared" ca="1" si="10"/>
        <v>11</v>
      </c>
      <c r="E382" s="18">
        <f t="shared" ca="1" si="11"/>
        <v>0</v>
      </c>
    </row>
    <row r="383" spans="1:5" x14ac:dyDescent="0.25">
      <c r="A383" s="11">
        <f ca="1">INDEX(Stations,INT((ROWS(A$2:A383)-1)/(DATE(YEAR(Invoer!$A$5),12,31)-DATE(YEAR(Invoer!$A$5),1,1)+1))+2,1)</f>
        <v>42</v>
      </c>
      <c r="B383" t="str">
        <f ca="1">TEXT(DATE(YEAR(Invoer!$A$5),1,1)+MOD(ROWS(B$2:B383)-1,DATE(YEAR(Invoer!$A$5),12,31)-DATE(YEAR(Invoer!$A$5),1,1)+1),"jjjjmmdd")</f>
        <v>19270117</v>
      </c>
      <c r="C383" s="12">
        <v>1</v>
      </c>
      <c r="D383" s="17">
        <f t="shared" ca="1" si="10"/>
        <v>15</v>
      </c>
      <c r="E383" s="18">
        <f t="shared" ca="1" si="11"/>
        <v>0</v>
      </c>
    </row>
    <row r="384" spans="1:5" x14ac:dyDescent="0.25">
      <c r="A384" s="11">
        <f ca="1">INDEX(Stations,INT((ROWS(A$2:A384)-1)/(DATE(YEAR(Invoer!$A$5),12,31)-DATE(YEAR(Invoer!$A$5),1,1)+1))+2,1)</f>
        <v>42</v>
      </c>
      <c r="B384" t="str">
        <f ca="1">TEXT(DATE(YEAR(Invoer!$A$5),1,1)+MOD(ROWS(B$2:B384)-1,DATE(YEAR(Invoer!$A$5),12,31)-DATE(YEAR(Invoer!$A$5),1,1)+1),"jjjjmmdd")</f>
        <v>19270118</v>
      </c>
      <c r="C384" s="12">
        <v>1</v>
      </c>
      <c r="D384" s="17">
        <f t="shared" ca="1" si="10"/>
        <v>0</v>
      </c>
      <c r="E384" s="18">
        <f t="shared" ca="1" si="11"/>
        <v>0</v>
      </c>
    </row>
    <row r="385" spans="1:5" x14ac:dyDescent="0.25">
      <c r="A385" s="11">
        <f ca="1">INDEX(Stations,INT((ROWS(A$2:A385)-1)/(DATE(YEAR(Invoer!$A$5),12,31)-DATE(YEAR(Invoer!$A$5),1,1)+1))+2,1)</f>
        <v>42</v>
      </c>
      <c r="B385" t="str">
        <f ca="1">TEXT(DATE(YEAR(Invoer!$A$5),1,1)+MOD(ROWS(B$2:B385)-1,DATE(YEAR(Invoer!$A$5),12,31)-DATE(YEAR(Invoer!$A$5),1,1)+1),"jjjjmmdd")</f>
        <v>19270119</v>
      </c>
      <c r="C385" s="12">
        <v>1</v>
      </c>
      <c r="D385" s="17">
        <f t="shared" ca="1" si="10"/>
        <v>10</v>
      </c>
      <c r="E385" s="18">
        <f t="shared" ca="1" si="11"/>
        <v>0</v>
      </c>
    </row>
    <row r="386" spans="1:5" x14ac:dyDescent="0.25">
      <c r="A386" s="11">
        <f ca="1">INDEX(Stations,INT((ROWS(A$2:A386)-1)/(DATE(YEAR(Invoer!$A$5),12,31)-DATE(YEAR(Invoer!$A$5),1,1)+1))+2,1)</f>
        <v>42</v>
      </c>
      <c r="B386" t="str">
        <f ca="1">TEXT(DATE(YEAR(Invoer!$A$5),1,1)+MOD(ROWS(B$2:B386)-1,DATE(YEAR(Invoer!$A$5),12,31)-DATE(YEAR(Invoer!$A$5),1,1)+1),"jjjjmmdd")</f>
        <v>19270120</v>
      </c>
      <c r="C386" s="12">
        <v>1</v>
      </c>
      <c r="D386" s="17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18</v>
      </c>
      <c r="E386" s="18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0</v>
      </c>
    </row>
    <row r="387" spans="1:5" x14ac:dyDescent="0.25">
      <c r="A387" s="11">
        <f ca="1">INDEX(Stations,INT((ROWS(A$2:A387)-1)/(DATE(YEAR(Invoer!$A$5),12,31)-DATE(YEAR(Invoer!$A$5),1,1)+1))+2,1)</f>
        <v>42</v>
      </c>
      <c r="B387" t="str">
        <f ca="1">TEXT(DATE(YEAR(Invoer!$A$5),1,1)+MOD(ROWS(B$2:B387)-1,DATE(YEAR(Invoer!$A$5),12,31)-DATE(YEAR(Invoer!$A$5),1,1)+1),"jjjjmmdd")</f>
        <v>19270121</v>
      </c>
      <c r="C387" s="12">
        <v>1</v>
      </c>
      <c r="D387" s="17">
        <f t="shared" ca="1" si="12"/>
        <v>45</v>
      </c>
      <c r="E387" s="18">
        <f t="shared" ca="1" si="13"/>
        <v>0</v>
      </c>
    </row>
    <row r="388" spans="1:5" x14ac:dyDescent="0.25">
      <c r="A388" s="11">
        <f ca="1">INDEX(Stations,INT((ROWS(A$2:A388)-1)/(DATE(YEAR(Invoer!$A$5),12,31)-DATE(YEAR(Invoer!$A$5),1,1)+1))+2,1)</f>
        <v>42</v>
      </c>
      <c r="B388" t="str">
        <f ca="1">TEXT(DATE(YEAR(Invoer!$A$5),1,1)+MOD(ROWS(B$2:B388)-1,DATE(YEAR(Invoer!$A$5),12,31)-DATE(YEAR(Invoer!$A$5),1,1)+1),"jjjjmmdd")</f>
        <v>19270122</v>
      </c>
      <c r="C388" s="12">
        <v>1</v>
      </c>
      <c r="D388" s="17">
        <f t="shared" ca="1" si="12"/>
        <v>62</v>
      </c>
      <c r="E388" s="18">
        <f t="shared" ca="1" si="13"/>
        <v>0</v>
      </c>
    </row>
    <row r="389" spans="1:5" x14ac:dyDescent="0.25">
      <c r="A389" s="11">
        <f ca="1">INDEX(Stations,INT((ROWS(A$2:A389)-1)/(DATE(YEAR(Invoer!$A$5),12,31)-DATE(YEAR(Invoer!$A$5),1,1)+1))+2,1)</f>
        <v>42</v>
      </c>
      <c r="B389" t="str">
        <f ca="1">TEXT(DATE(YEAR(Invoer!$A$5),1,1)+MOD(ROWS(B$2:B389)-1,DATE(YEAR(Invoer!$A$5),12,31)-DATE(YEAR(Invoer!$A$5),1,1)+1),"jjjjmmdd")</f>
        <v>19270123</v>
      </c>
      <c r="C389" s="12">
        <v>1</v>
      </c>
      <c r="D389" s="17">
        <f t="shared" ca="1" si="12"/>
        <v>8</v>
      </c>
      <c r="E389" s="18">
        <f t="shared" ca="1" si="13"/>
        <v>0</v>
      </c>
    </row>
    <row r="390" spans="1:5" x14ac:dyDescent="0.25">
      <c r="A390" s="11">
        <f ca="1">INDEX(Stations,INT((ROWS(A$2:A390)-1)/(DATE(YEAR(Invoer!$A$5),12,31)-DATE(YEAR(Invoer!$A$5),1,1)+1))+2,1)</f>
        <v>42</v>
      </c>
      <c r="B390" t="str">
        <f ca="1">TEXT(DATE(YEAR(Invoer!$A$5),1,1)+MOD(ROWS(B$2:B390)-1,DATE(YEAR(Invoer!$A$5),12,31)-DATE(YEAR(Invoer!$A$5),1,1)+1),"jjjjmmdd")</f>
        <v>19270124</v>
      </c>
      <c r="C390" s="12">
        <v>1</v>
      </c>
      <c r="D390" s="17">
        <f t="shared" ca="1" si="12"/>
        <v>70</v>
      </c>
      <c r="E390" s="18">
        <f t="shared" ca="1" si="13"/>
        <v>0</v>
      </c>
    </row>
    <row r="391" spans="1:5" x14ac:dyDescent="0.25">
      <c r="A391" s="11">
        <f ca="1">INDEX(Stations,INT((ROWS(A$2:A391)-1)/(DATE(YEAR(Invoer!$A$5),12,31)-DATE(YEAR(Invoer!$A$5),1,1)+1))+2,1)</f>
        <v>42</v>
      </c>
      <c r="B391" t="str">
        <f ca="1">TEXT(DATE(YEAR(Invoer!$A$5),1,1)+MOD(ROWS(B$2:B391)-1,DATE(YEAR(Invoer!$A$5),12,31)-DATE(YEAR(Invoer!$A$5),1,1)+1),"jjjjmmdd")</f>
        <v>19270125</v>
      </c>
      <c r="C391" s="12">
        <v>1</v>
      </c>
      <c r="D391" s="17">
        <f t="shared" ca="1" si="12"/>
        <v>34</v>
      </c>
      <c r="E391" s="18">
        <f t="shared" ca="1" si="13"/>
        <v>0</v>
      </c>
    </row>
    <row r="392" spans="1:5" x14ac:dyDescent="0.25">
      <c r="A392" s="11">
        <f ca="1">INDEX(Stations,INT((ROWS(A$2:A392)-1)/(DATE(YEAR(Invoer!$A$5),12,31)-DATE(YEAR(Invoer!$A$5),1,1)+1))+2,1)</f>
        <v>42</v>
      </c>
      <c r="B392" t="str">
        <f ca="1">TEXT(DATE(YEAR(Invoer!$A$5),1,1)+MOD(ROWS(B$2:B392)-1,DATE(YEAR(Invoer!$A$5),12,31)-DATE(YEAR(Invoer!$A$5),1,1)+1),"jjjjmmdd")</f>
        <v>19270126</v>
      </c>
      <c r="C392" s="12">
        <v>1</v>
      </c>
      <c r="D392" s="17">
        <f t="shared" ca="1" si="12"/>
        <v>0</v>
      </c>
      <c r="E392" s="18">
        <f t="shared" ca="1" si="13"/>
        <v>0</v>
      </c>
    </row>
    <row r="393" spans="1:5" x14ac:dyDescent="0.25">
      <c r="A393" s="11">
        <f ca="1">INDEX(Stations,INT((ROWS(A$2:A393)-1)/(DATE(YEAR(Invoer!$A$5),12,31)-DATE(YEAR(Invoer!$A$5),1,1)+1))+2,1)</f>
        <v>42</v>
      </c>
      <c r="B393" t="str">
        <f ca="1">TEXT(DATE(YEAR(Invoer!$A$5),1,1)+MOD(ROWS(B$2:B393)-1,DATE(YEAR(Invoer!$A$5),12,31)-DATE(YEAR(Invoer!$A$5),1,1)+1),"jjjjmmdd")</f>
        <v>19270127</v>
      </c>
      <c r="C393" s="12">
        <v>1</v>
      </c>
      <c r="D393" s="17">
        <f t="shared" ca="1" si="12"/>
        <v>0</v>
      </c>
      <c r="E393" s="18">
        <f t="shared" ca="1" si="13"/>
        <v>0</v>
      </c>
    </row>
    <row r="394" spans="1:5" x14ac:dyDescent="0.25">
      <c r="A394" s="11">
        <f ca="1">INDEX(Stations,INT((ROWS(A$2:A394)-1)/(DATE(YEAR(Invoer!$A$5),12,31)-DATE(YEAR(Invoer!$A$5),1,1)+1))+2,1)</f>
        <v>42</v>
      </c>
      <c r="B394" t="str">
        <f ca="1">TEXT(DATE(YEAR(Invoer!$A$5),1,1)+MOD(ROWS(B$2:B394)-1,DATE(YEAR(Invoer!$A$5),12,31)-DATE(YEAR(Invoer!$A$5),1,1)+1),"jjjjmmdd")</f>
        <v>19270128</v>
      </c>
      <c r="C394" s="12">
        <v>1</v>
      </c>
      <c r="D394" s="17">
        <f t="shared" ca="1" si="12"/>
        <v>0</v>
      </c>
      <c r="E394" s="18">
        <f t="shared" ca="1" si="13"/>
        <v>0</v>
      </c>
    </row>
    <row r="395" spans="1:5" x14ac:dyDescent="0.25">
      <c r="A395" s="11">
        <f ca="1">INDEX(Stations,INT((ROWS(A$2:A395)-1)/(DATE(YEAR(Invoer!$A$5),12,31)-DATE(YEAR(Invoer!$A$5),1,1)+1))+2,1)</f>
        <v>42</v>
      </c>
      <c r="B395" t="str">
        <f ca="1">TEXT(DATE(YEAR(Invoer!$A$5),1,1)+MOD(ROWS(B$2:B395)-1,DATE(YEAR(Invoer!$A$5),12,31)-DATE(YEAR(Invoer!$A$5),1,1)+1),"jjjjmmdd")</f>
        <v>19270129</v>
      </c>
      <c r="C395" s="12">
        <v>1</v>
      </c>
      <c r="D395" s="17">
        <f t="shared" ca="1" si="12"/>
        <v>85</v>
      </c>
      <c r="E395" s="18">
        <f t="shared" ca="1" si="13"/>
        <v>0</v>
      </c>
    </row>
    <row r="396" spans="1:5" x14ac:dyDescent="0.25">
      <c r="A396" s="11">
        <f ca="1">INDEX(Stations,INT((ROWS(A$2:A396)-1)/(DATE(YEAR(Invoer!$A$5),12,31)-DATE(YEAR(Invoer!$A$5),1,1)+1))+2,1)</f>
        <v>42</v>
      </c>
      <c r="B396" t="str">
        <f ca="1">TEXT(DATE(YEAR(Invoer!$A$5),1,1)+MOD(ROWS(B$2:B396)-1,DATE(YEAR(Invoer!$A$5),12,31)-DATE(YEAR(Invoer!$A$5),1,1)+1),"jjjjmmdd")</f>
        <v>19270130</v>
      </c>
      <c r="C396" s="12">
        <v>1</v>
      </c>
      <c r="D396" s="17">
        <f t="shared" ca="1" si="12"/>
        <v>0</v>
      </c>
      <c r="E396" s="18">
        <f t="shared" ca="1" si="13"/>
        <v>0</v>
      </c>
    </row>
    <row r="397" spans="1:5" x14ac:dyDescent="0.25">
      <c r="A397" s="11">
        <f ca="1">INDEX(Stations,INT((ROWS(A$2:A397)-1)/(DATE(YEAR(Invoer!$A$5),12,31)-DATE(YEAR(Invoer!$A$5),1,1)+1))+2,1)</f>
        <v>42</v>
      </c>
      <c r="B397" t="str">
        <f ca="1">TEXT(DATE(YEAR(Invoer!$A$5),1,1)+MOD(ROWS(B$2:B397)-1,DATE(YEAR(Invoer!$A$5),12,31)-DATE(YEAR(Invoer!$A$5),1,1)+1),"jjjjmmdd")</f>
        <v>19270131</v>
      </c>
      <c r="C397" s="12">
        <v>1</v>
      </c>
      <c r="D397" s="17">
        <f t="shared" ca="1" si="12"/>
        <v>33</v>
      </c>
      <c r="E397" s="18">
        <f t="shared" ca="1" si="13"/>
        <v>0</v>
      </c>
    </row>
    <row r="398" spans="1:5" x14ac:dyDescent="0.25">
      <c r="A398" s="11">
        <f ca="1">INDEX(Stations,INT((ROWS(A$2:A398)-1)/(DATE(YEAR(Invoer!$A$5),12,31)-DATE(YEAR(Invoer!$A$5),1,1)+1))+2,1)</f>
        <v>42</v>
      </c>
      <c r="B398" t="str">
        <f ca="1">TEXT(DATE(YEAR(Invoer!$A$5),1,1)+MOD(ROWS(B$2:B398)-1,DATE(YEAR(Invoer!$A$5),12,31)-DATE(YEAR(Invoer!$A$5),1,1)+1),"jjjjmmdd")</f>
        <v>19270201</v>
      </c>
      <c r="C398" s="12">
        <v>1</v>
      </c>
      <c r="D398" s="17">
        <f t="shared" ca="1" si="12"/>
        <v>0</v>
      </c>
      <c r="E398" s="18">
        <f t="shared" ca="1" si="13"/>
        <v>0</v>
      </c>
    </row>
    <row r="399" spans="1:5" x14ac:dyDescent="0.25">
      <c r="A399" s="11">
        <f ca="1">INDEX(Stations,INT((ROWS(A$2:A399)-1)/(DATE(YEAR(Invoer!$A$5),12,31)-DATE(YEAR(Invoer!$A$5),1,1)+1))+2,1)</f>
        <v>42</v>
      </c>
      <c r="B399" t="str">
        <f ca="1">TEXT(DATE(YEAR(Invoer!$A$5),1,1)+MOD(ROWS(B$2:B399)-1,DATE(YEAR(Invoer!$A$5),12,31)-DATE(YEAR(Invoer!$A$5),1,1)+1),"jjjjmmdd")</f>
        <v>19270202</v>
      </c>
      <c r="C399" s="12">
        <v>1</v>
      </c>
      <c r="D399" s="17">
        <f t="shared" ca="1" si="12"/>
        <v>26</v>
      </c>
      <c r="E399" s="18">
        <f t="shared" ca="1" si="13"/>
        <v>0</v>
      </c>
    </row>
    <row r="400" spans="1:5" x14ac:dyDescent="0.25">
      <c r="A400" s="11">
        <f ca="1">INDEX(Stations,INT((ROWS(A$2:A400)-1)/(DATE(YEAR(Invoer!$A$5),12,31)-DATE(YEAR(Invoer!$A$5),1,1)+1))+2,1)</f>
        <v>42</v>
      </c>
      <c r="B400" t="str">
        <f ca="1">TEXT(DATE(YEAR(Invoer!$A$5),1,1)+MOD(ROWS(B$2:B400)-1,DATE(YEAR(Invoer!$A$5),12,31)-DATE(YEAR(Invoer!$A$5),1,1)+1),"jjjjmmdd")</f>
        <v>19270203</v>
      </c>
      <c r="C400" s="12">
        <v>1</v>
      </c>
      <c r="D400" s="17">
        <f t="shared" ca="1" si="12"/>
        <v>0</v>
      </c>
      <c r="E400" s="18">
        <f t="shared" ca="1" si="13"/>
        <v>0</v>
      </c>
    </row>
    <row r="401" spans="1:5" x14ac:dyDescent="0.25">
      <c r="A401" s="11">
        <f ca="1">INDEX(Stations,INT((ROWS(A$2:A401)-1)/(DATE(YEAR(Invoer!$A$5),12,31)-DATE(YEAR(Invoer!$A$5),1,1)+1))+2,1)</f>
        <v>42</v>
      </c>
      <c r="B401" t="str">
        <f ca="1">TEXT(DATE(YEAR(Invoer!$A$5),1,1)+MOD(ROWS(B$2:B401)-1,DATE(YEAR(Invoer!$A$5),12,31)-DATE(YEAR(Invoer!$A$5),1,1)+1),"jjjjmmdd")</f>
        <v>19270204</v>
      </c>
      <c r="C401" s="12">
        <v>1</v>
      </c>
      <c r="D401" s="17">
        <f t="shared" ca="1" si="12"/>
        <v>0</v>
      </c>
      <c r="E401" s="18">
        <f t="shared" ca="1" si="13"/>
        <v>0</v>
      </c>
    </row>
    <row r="402" spans="1:5" x14ac:dyDescent="0.25">
      <c r="A402" s="11">
        <f ca="1">INDEX(Stations,INT((ROWS(A$2:A402)-1)/(DATE(YEAR(Invoer!$A$5),12,31)-DATE(YEAR(Invoer!$A$5),1,1)+1))+2,1)</f>
        <v>42</v>
      </c>
      <c r="B402" t="str">
        <f ca="1">TEXT(DATE(YEAR(Invoer!$A$5),1,1)+MOD(ROWS(B$2:B402)-1,DATE(YEAR(Invoer!$A$5),12,31)-DATE(YEAR(Invoer!$A$5),1,1)+1),"jjjjmmdd")</f>
        <v>19270205</v>
      </c>
      <c r="C402" s="12">
        <v>1</v>
      </c>
      <c r="D402" s="17">
        <f t="shared" ca="1" si="12"/>
        <v>0</v>
      </c>
      <c r="E402" s="18">
        <f t="shared" ca="1" si="13"/>
        <v>0</v>
      </c>
    </row>
    <row r="403" spans="1:5" x14ac:dyDescent="0.25">
      <c r="A403" s="11">
        <f ca="1">INDEX(Stations,INT((ROWS(A$2:A403)-1)/(DATE(YEAR(Invoer!$A$5),12,31)-DATE(YEAR(Invoer!$A$5),1,1)+1))+2,1)</f>
        <v>42</v>
      </c>
      <c r="B403" t="str">
        <f ca="1">TEXT(DATE(YEAR(Invoer!$A$5),1,1)+MOD(ROWS(B$2:B403)-1,DATE(YEAR(Invoer!$A$5),12,31)-DATE(YEAR(Invoer!$A$5),1,1)+1),"jjjjmmdd")</f>
        <v>19270206</v>
      </c>
      <c r="C403" s="12">
        <v>1</v>
      </c>
      <c r="D403" s="17">
        <f t="shared" ca="1" si="12"/>
        <v>20</v>
      </c>
      <c r="E403" s="18">
        <f t="shared" ca="1" si="13"/>
        <v>0</v>
      </c>
    </row>
    <row r="404" spans="1:5" x14ac:dyDescent="0.25">
      <c r="A404" s="11">
        <f ca="1">INDEX(Stations,INT((ROWS(A$2:A404)-1)/(DATE(YEAR(Invoer!$A$5),12,31)-DATE(YEAR(Invoer!$A$5),1,1)+1))+2,1)</f>
        <v>42</v>
      </c>
      <c r="B404" t="str">
        <f ca="1">TEXT(DATE(YEAR(Invoer!$A$5),1,1)+MOD(ROWS(B$2:B404)-1,DATE(YEAR(Invoer!$A$5),12,31)-DATE(YEAR(Invoer!$A$5),1,1)+1),"jjjjmmdd")</f>
        <v>19270207</v>
      </c>
      <c r="C404" s="12">
        <v>1</v>
      </c>
      <c r="D404" s="17">
        <f t="shared" ca="1" si="12"/>
        <v>0</v>
      </c>
      <c r="E404" s="18">
        <f t="shared" ca="1" si="13"/>
        <v>0</v>
      </c>
    </row>
    <row r="405" spans="1:5" x14ac:dyDescent="0.25">
      <c r="A405" s="11">
        <f ca="1">INDEX(Stations,INT((ROWS(A$2:A405)-1)/(DATE(YEAR(Invoer!$A$5),12,31)-DATE(YEAR(Invoer!$A$5),1,1)+1))+2,1)</f>
        <v>42</v>
      </c>
      <c r="B405" t="str">
        <f ca="1">TEXT(DATE(YEAR(Invoer!$A$5),1,1)+MOD(ROWS(B$2:B405)-1,DATE(YEAR(Invoer!$A$5),12,31)-DATE(YEAR(Invoer!$A$5),1,1)+1),"jjjjmmdd")</f>
        <v>19270208</v>
      </c>
      <c r="C405" s="12">
        <v>1</v>
      </c>
      <c r="D405" s="17">
        <f t="shared" ca="1" si="12"/>
        <v>18</v>
      </c>
      <c r="E405" s="18">
        <f t="shared" ca="1" si="13"/>
        <v>0</v>
      </c>
    </row>
    <row r="406" spans="1:5" x14ac:dyDescent="0.25">
      <c r="A406" s="11">
        <f ca="1">INDEX(Stations,INT((ROWS(A$2:A406)-1)/(DATE(YEAR(Invoer!$A$5),12,31)-DATE(YEAR(Invoer!$A$5),1,1)+1))+2,1)</f>
        <v>42</v>
      </c>
      <c r="B406" t="str">
        <f ca="1">TEXT(DATE(YEAR(Invoer!$A$5),1,1)+MOD(ROWS(B$2:B406)-1,DATE(YEAR(Invoer!$A$5),12,31)-DATE(YEAR(Invoer!$A$5),1,1)+1),"jjjjmmdd")</f>
        <v>19270209</v>
      </c>
      <c r="C406" s="12">
        <v>1</v>
      </c>
      <c r="D406" s="17">
        <f t="shared" ca="1" si="12"/>
        <v>22</v>
      </c>
      <c r="E406" s="18">
        <f t="shared" ca="1" si="13"/>
        <v>0</v>
      </c>
    </row>
    <row r="407" spans="1:5" x14ac:dyDescent="0.25">
      <c r="A407" s="11">
        <f ca="1">INDEX(Stations,INT((ROWS(A$2:A407)-1)/(DATE(YEAR(Invoer!$A$5),12,31)-DATE(YEAR(Invoer!$A$5),1,1)+1))+2,1)</f>
        <v>42</v>
      </c>
      <c r="B407" t="str">
        <f ca="1">TEXT(DATE(YEAR(Invoer!$A$5),1,1)+MOD(ROWS(B$2:B407)-1,DATE(YEAR(Invoer!$A$5),12,31)-DATE(YEAR(Invoer!$A$5),1,1)+1),"jjjjmmdd")</f>
        <v>19270210</v>
      </c>
      <c r="C407" s="12">
        <v>1</v>
      </c>
      <c r="D407" s="17">
        <f t="shared" ca="1" si="12"/>
        <v>63</v>
      </c>
      <c r="E407" s="18">
        <f t="shared" ca="1" si="13"/>
        <v>0</v>
      </c>
    </row>
    <row r="408" spans="1:5" x14ac:dyDescent="0.25">
      <c r="A408" s="11">
        <f ca="1">INDEX(Stations,INT((ROWS(A$2:A408)-1)/(DATE(YEAR(Invoer!$A$5),12,31)-DATE(YEAR(Invoer!$A$5),1,1)+1))+2,1)</f>
        <v>42</v>
      </c>
      <c r="B408" t="str">
        <f ca="1">TEXT(DATE(YEAR(Invoer!$A$5),1,1)+MOD(ROWS(B$2:B408)-1,DATE(YEAR(Invoer!$A$5),12,31)-DATE(YEAR(Invoer!$A$5),1,1)+1),"jjjjmmdd")</f>
        <v>19270211</v>
      </c>
      <c r="C408" s="12">
        <v>1</v>
      </c>
      <c r="D408" s="17">
        <f t="shared" ca="1" si="12"/>
        <v>0</v>
      </c>
      <c r="E408" s="18">
        <f t="shared" ca="1" si="13"/>
        <v>0</v>
      </c>
    </row>
    <row r="409" spans="1:5" x14ac:dyDescent="0.25">
      <c r="A409" s="11">
        <f ca="1">INDEX(Stations,INT((ROWS(A$2:A409)-1)/(DATE(YEAR(Invoer!$A$5),12,31)-DATE(YEAR(Invoer!$A$5),1,1)+1))+2,1)</f>
        <v>42</v>
      </c>
      <c r="B409" t="str">
        <f ca="1">TEXT(DATE(YEAR(Invoer!$A$5),1,1)+MOD(ROWS(B$2:B409)-1,DATE(YEAR(Invoer!$A$5),12,31)-DATE(YEAR(Invoer!$A$5),1,1)+1),"jjjjmmdd")</f>
        <v>19270212</v>
      </c>
      <c r="C409" s="12">
        <v>1</v>
      </c>
      <c r="D409" s="17">
        <f t="shared" ca="1" si="12"/>
        <v>86</v>
      </c>
      <c r="E409" s="18">
        <f t="shared" ca="1" si="13"/>
        <v>0</v>
      </c>
    </row>
    <row r="410" spans="1:5" x14ac:dyDescent="0.25">
      <c r="A410" s="11">
        <f ca="1">INDEX(Stations,INT((ROWS(A$2:A410)-1)/(DATE(YEAR(Invoer!$A$5),12,31)-DATE(YEAR(Invoer!$A$5),1,1)+1))+2,1)</f>
        <v>42</v>
      </c>
      <c r="B410" t="str">
        <f ca="1">TEXT(DATE(YEAR(Invoer!$A$5),1,1)+MOD(ROWS(B$2:B410)-1,DATE(YEAR(Invoer!$A$5),12,31)-DATE(YEAR(Invoer!$A$5),1,1)+1),"jjjjmmdd")</f>
        <v>19270213</v>
      </c>
      <c r="C410" s="12">
        <v>1</v>
      </c>
      <c r="D410" s="17">
        <f t="shared" ca="1" si="12"/>
        <v>8</v>
      </c>
      <c r="E410" s="18">
        <f t="shared" ca="1" si="13"/>
        <v>0</v>
      </c>
    </row>
    <row r="411" spans="1:5" x14ac:dyDescent="0.25">
      <c r="A411" s="11">
        <f ca="1">INDEX(Stations,INT((ROWS(A$2:A411)-1)/(DATE(YEAR(Invoer!$A$5),12,31)-DATE(YEAR(Invoer!$A$5),1,1)+1))+2,1)</f>
        <v>42</v>
      </c>
      <c r="B411" t="str">
        <f ca="1">TEXT(DATE(YEAR(Invoer!$A$5),1,1)+MOD(ROWS(B$2:B411)-1,DATE(YEAR(Invoer!$A$5),12,31)-DATE(YEAR(Invoer!$A$5),1,1)+1),"jjjjmmdd")</f>
        <v>19270214</v>
      </c>
      <c r="C411" s="12">
        <v>1</v>
      </c>
      <c r="D411" s="17">
        <f t="shared" ca="1" si="12"/>
        <v>55</v>
      </c>
      <c r="E411" s="18">
        <f t="shared" ca="1" si="13"/>
        <v>0</v>
      </c>
    </row>
    <row r="412" spans="1:5" x14ac:dyDescent="0.25">
      <c r="A412" s="11">
        <f ca="1">INDEX(Stations,INT((ROWS(A$2:A412)-1)/(DATE(YEAR(Invoer!$A$5),12,31)-DATE(YEAR(Invoer!$A$5),1,1)+1))+2,1)</f>
        <v>42</v>
      </c>
      <c r="B412" t="str">
        <f ca="1">TEXT(DATE(YEAR(Invoer!$A$5),1,1)+MOD(ROWS(B$2:B412)-1,DATE(YEAR(Invoer!$A$5),12,31)-DATE(YEAR(Invoer!$A$5),1,1)+1),"jjjjmmdd")</f>
        <v>19270215</v>
      </c>
      <c r="C412" s="12">
        <v>1</v>
      </c>
      <c r="D412" s="17">
        <f t="shared" ca="1" si="12"/>
        <v>10</v>
      </c>
      <c r="E412" s="18">
        <f t="shared" ca="1" si="13"/>
        <v>0</v>
      </c>
    </row>
    <row r="413" spans="1:5" x14ac:dyDescent="0.25">
      <c r="A413" s="11">
        <f ca="1">INDEX(Stations,INT((ROWS(A$2:A413)-1)/(DATE(YEAR(Invoer!$A$5),12,31)-DATE(YEAR(Invoer!$A$5),1,1)+1))+2,1)</f>
        <v>42</v>
      </c>
      <c r="B413" t="str">
        <f ca="1">TEXT(DATE(YEAR(Invoer!$A$5),1,1)+MOD(ROWS(B$2:B413)-1,DATE(YEAR(Invoer!$A$5),12,31)-DATE(YEAR(Invoer!$A$5),1,1)+1),"jjjjmmdd")</f>
        <v>19270216</v>
      </c>
      <c r="C413" s="12">
        <v>1</v>
      </c>
      <c r="D413" s="17">
        <f t="shared" ca="1" si="12"/>
        <v>0</v>
      </c>
      <c r="E413" s="18">
        <f t="shared" ca="1" si="13"/>
        <v>0</v>
      </c>
    </row>
    <row r="414" spans="1:5" x14ac:dyDescent="0.25">
      <c r="A414" s="11">
        <f ca="1">INDEX(Stations,INT((ROWS(A$2:A414)-1)/(DATE(YEAR(Invoer!$A$5),12,31)-DATE(YEAR(Invoer!$A$5),1,1)+1))+2,1)</f>
        <v>42</v>
      </c>
      <c r="B414" t="str">
        <f ca="1">TEXT(DATE(YEAR(Invoer!$A$5),1,1)+MOD(ROWS(B$2:B414)-1,DATE(YEAR(Invoer!$A$5),12,31)-DATE(YEAR(Invoer!$A$5),1,1)+1),"jjjjmmdd")</f>
        <v>19270217</v>
      </c>
      <c r="C414" s="12">
        <v>1</v>
      </c>
      <c r="D414" s="17">
        <f t="shared" ca="1" si="12"/>
        <v>0</v>
      </c>
      <c r="E414" s="18">
        <f t="shared" ca="1" si="13"/>
        <v>0</v>
      </c>
    </row>
    <row r="415" spans="1:5" x14ac:dyDescent="0.25">
      <c r="A415" s="11">
        <f ca="1">INDEX(Stations,INT((ROWS(A$2:A415)-1)/(DATE(YEAR(Invoer!$A$5),12,31)-DATE(YEAR(Invoer!$A$5),1,1)+1))+2,1)</f>
        <v>42</v>
      </c>
      <c r="B415" t="str">
        <f ca="1">TEXT(DATE(YEAR(Invoer!$A$5),1,1)+MOD(ROWS(B$2:B415)-1,DATE(YEAR(Invoer!$A$5),12,31)-DATE(YEAR(Invoer!$A$5),1,1)+1),"jjjjmmdd")</f>
        <v>19270218</v>
      </c>
      <c r="C415" s="12">
        <v>1</v>
      </c>
      <c r="D415" s="17">
        <f t="shared" ca="1" si="12"/>
        <v>7</v>
      </c>
      <c r="E415" s="18">
        <f t="shared" ca="1" si="13"/>
        <v>0</v>
      </c>
    </row>
    <row r="416" spans="1:5" x14ac:dyDescent="0.25">
      <c r="A416" s="11">
        <f ca="1">INDEX(Stations,INT((ROWS(A$2:A416)-1)/(DATE(YEAR(Invoer!$A$5),12,31)-DATE(YEAR(Invoer!$A$5),1,1)+1))+2,1)</f>
        <v>42</v>
      </c>
      <c r="B416" t="str">
        <f ca="1">TEXT(DATE(YEAR(Invoer!$A$5),1,1)+MOD(ROWS(B$2:B416)-1,DATE(YEAR(Invoer!$A$5),12,31)-DATE(YEAR(Invoer!$A$5),1,1)+1),"jjjjmmdd")</f>
        <v>19270219</v>
      </c>
      <c r="C416" s="12">
        <v>1</v>
      </c>
      <c r="D416" s="17">
        <f t="shared" ca="1" si="12"/>
        <v>0</v>
      </c>
      <c r="E416" s="18">
        <f t="shared" ca="1" si="13"/>
        <v>0</v>
      </c>
    </row>
    <row r="417" spans="1:5" x14ac:dyDescent="0.25">
      <c r="A417" s="11">
        <f ca="1">INDEX(Stations,INT((ROWS(A$2:A417)-1)/(DATE(YEAR(Invoer!$A$5),12,31)-DATE(YEAR(Invoer!$A$5),1,1)+1))+2,1)</f>
        <v>42</v>
      </c>
      <c r="B417" t="str">
        <f ca="1">TEXT(DATE(YEAR(Invoer!$A$5),1,1)+MOD(ROWS(B$2:B417)-1,DATE(YEAR(Invoer!$A$5),12,31)-DATE(YEAR(Invoer!$A$5),1,1)+1),"jjjjmmdd")</f>
        <v>19270220</v>
      </c>
      <c r="C417" s="12">
        <v>1</v>
      </c>
      <c r="D417" s="17">
        <f t="shared" ca="1" si="12"/>
        <v>0</v>
      </c>
      <c r="E417" s="18">
        <f t="shared" ca="1" si="13"/>
        <v>0</v>
      </c>
    </row>
    <row r="418" spans="1:5" x14ac:dyDescent="0.25">
      <c r="A418" s="11">
        <f ca="1">INDEX(Stations,INT((ROWS(A$2:A418)-1)/(DATE(YEAR(Invoer!$A$5),12,31)-DATE(YEAR(Invoer!$A$5),1,1)+1))+2,1)</f>
        <v>42</v>
      </c>
      <c r="B418" t="str">
        <f ca="1">TEXT(DATE(YEAR(Invoer!$A$5),1,1)+MOD(ROWS(B$2:B418)-1,DATE(YEAR(Invoer!$A$5),12,31)-DATE(YEAR(Invoer!$A$5),1,1)+1),"jjjjmmdd")</f>
        <v>19270221</v>
      </c>
      <c r="C418" s="12">
        <v>1</v>
      </c>
      <c r="D418" s="17">
        <f t="shared" ca="1" si="12"/>
        <v>1</v>
      </c>
      <c r="E418" s="18">
        <f t="shared" ca="1" si="13"/>
        <v>0</v>
      </c>
    </row>
    <row r="419" spans="1:5" x14ac:dyDescent="0.25">
      <c r="A419" s="11">
        <f ca="1">INDEX(Stations,INT((ROWS(A$2:A419)-1)/(DATE(YEAR(Invoer!$A$5),12,31)-DATE(YEAR(Invoer!$A$5),1,1)+1))+2,1)</f>
        <v>42</v>
      </c>
      <c r="B419" t="str">
        <f ca="1">TEXT(DATE(YEAR(Invoer!$A$5),1,1)+MOD(ROWS(B$2:B419)-1,DATE(YEAR(Invoer!$A$5),12,31)-DATE(YEAR(Invoer!$A$5),1,1)+1),"jjjjmmdd")</f>
        <v>19270222</v>
      </c>
      <c r="C419" s="12">
        <v>1</v>
      </c>
      <c r="D419" s="17">
        <f t="shared" ca="1" si="12"/>
        <v>0</v>
      </c>
      <c r="E419" s="18">
        <f t="shared" ca="1" si="13"/>
        <v>0</v>
      </c>
    </row>
    <row r="420" spans="1:5" x14ac:dyDescent="0.25">
      <c r="A420" s="11">
        <f ca="1">INDEX(Stations,INT((ROWS(A$2:A420)-1)/(DATE(YEAR(Invoer!$A$5),12,31)-DATE(YEAR(Invoer!$A$5),1,1)+1))+2,1)</f>
        <v>42</v>
      </c>
      <c r="B420" t="str">
        <f ca="1">TEXT(DATE(YEAR(Invoer!$A$5),1,1)+MOD(ROWS(B$2:B420)-1,DATE(YEAR(Invoer!$A$5),12,31)-DATE(YEAR(Invoer!$A$5),1,1)+1),"jjjjmmdd")</f>
        <v>19270223</v>
      </c>
      <c r="C420" s="12">
        <v>1</v>
      </c>
      <c r="D420" s="17">
        <f t="shared" ca="1" si="12"/>
        <v>0</v>
      </c>
      <c r="E420" s="18">
        <f t="shared" ca="1" si="13"/>
        <v>0</v>
      </c>
    </row>
    <row r="421" spans="1:5" x14ac:dyDescent="0.25">
      <c r="A421" s="11">
        <f ca="1">INDEX(Stations,INT((ROWS(A$2:A421)-1)/(DATE(YEAR(Invoer!$A$5),12,31)-DATE(YEAR(Invoer!$A$5),1,1)+1))+2,1)</f>
        <v>42</v>
      </c>
      <c r="B421" t="str">
        <f ca="1">TEXT(DATE(YEAR(Invoer!$A$5),1,1)+MOD(ROWS(B$2:B421)-1,DATE(YEAR(Invoer!$A$5),12,31)-DATE(YEAR(Invoer!$A$5),1,1)+1),"jjjjmmdd")</f>
        <v>19270224</v>
      </c>
      <c r="C421" s="12">
        <v>1</v>
      </c>
      <c r="D421" s="17">
        <f t="shared" ca="1" si="12"/>
        <v>22</v>
      </c>
      <c r="E421" s="18">
        <f t="shared" ca="1" si="13"/>
        <v>0</v>
      </c>
    </row>
    <row r="422" spans="1:5" x14ac:dyDescent="0.25">
      <c r="A422" s="11">
        <f ca="1">INDEX(Stations,INT((ROWS(A$2:A422)-1)/(DATE(YEAR(Invoer!$A$5),12,31)-DATE(YEAR(Invoer!$A$5),1,1)+1))+2,1)</f>
        <v>42</v>
      </c>
      <c r="B422" t="str">
        <f ca="1">TEXT(DATE(YEAR(Invoer!$A$5),1,1)+MOD(ROWS(B$2:B422)-1,DATE(YEAR(Invoer!$A$5),12,31)-DATE(YEAR(Invoer!$A$5),1,1)+1),"jjjjmmdd")</f>
        <v>19270225</v>
      </c>
      <c r="C422" s="12">
        <v>1</v>
      </c>
      <c r="D422" s="17">
        <f t="shared" ca="1" si="12"/>
        <v>0</v>
      </c>
      <c r="E422" s="18">
        <f t="shared" ca="1" si="13"/>
        <v>0</v>
      </c>
    </row>
    <row r="423" spans="1:5" x14ac:dyDescent="0.25">
      <c r="A423" s="11">
        <f ca="1">INDEX(Stations,INT((ROWS(A$2:A423)-1)/(DATE(YEAR(Invoer!$A$5),12,31)-DATE(YEAR(Invoer!$A$5),1,1)+1))+2,1)</f>
        <v>42</v>
      </c>
      <c r="B423" t="str">
        <f ca="1">TEXT(DATE(YEAR(Invoer!$A$5),1,1)+MOD(ROWS(B$2:B423)-1,DATE(YEAR(Invoer!$A$5),12,31)-DATE(YEAR(Invoer!$A$5),1,1)+1),"jjjjmmdd")</f>
        <v>19270226</v>
      </c>
      <c r="C423" s="12">
        <v>1</v>
      </c>
      <c r="D423" s="17">
        <f t="shared" ca="1" si="12"/>
        <v>0</v>
      </c>
      <c r="E423" s="18">
        <f t="shared" ca="1" si="13"/>
        <v>0</v>
      </c>
    </row>
    <row r="424" spans="1:5" x14ac:dyDescent="0.25">
      <c r="A424" s="11">
        <f ca="1">INDEX(Stations,INT((ROWS(A$2:A424)-1)/(DATE(YEAR(Invoer!$A$5),12,31)-DATE(YEAR(Invoer!$A$5),1,1)+1))+2,1)</f>
        <v>42</v>
      </c>
      <c r="B424" t="str">
        <f ca="1">TEXT(DATE(YEAR(Invoer!$A$5),1,1)+MOD(ROWS(B$2:B424)-1,DATE(YEAR(Invoer!$A$5),12,31)-DATE(YEAR(Invoer!$A$5),1,1)+1),"jjjjmmdd")</f>
        <v>19270227</v>
      </c>
      <c r="C424" s="12">
        <v>1</v>
      </c>
      <c r="D424" s="17">
        <f t="shared" ca="1" si="12"/>
        <v>0</v>
      </c>
      <c r="E424" s="18">
        <f t="shared" ca="1" si="13"/>
        <v>0</v>
      </c>
    </row>
    <row r="425" spans="1:5" x14ac:dyDescent="0.25">
      <c r="A425" s="11">
        <f ca="1">INDEX(Stations,INT((ROWS(A$2:A425)-1)/(DATE(YEAR(Invoer!$A$5),12,31)-DATE(YEAR(Invoer!$A$5),1,1)+1))+2,1)</f>
        <v>42</v>
      </c>
      <c r="B425" t="str">
        <f ca="1">TEXT(DATE(YEAR(Invoer!$A$5),1,1)+MOD(ROWS(B$2:B425)-1,DATE(YEAR(Invoer!$A$5),12,31)-DATE(YEAR(Invoer!$A$5),1,1)+1),"jjjjmmdd")</f>
        <v>19270228</v>
      </c>
      <c r="C425" s="12">
        <v>1</v>
      </c>
      <c r="D425" s="17">
        <f t="shared" ca="1" si="12"/>
        <v>6</v>
      </c>
      <c r="E425" s="18">
        <f t="shared" ca="1" si="13"/>
        <v>0</v>
      </c>
    </row>
    <row r="426" spans="1:5" x14ac:dyDescent="0.25">
      <c r="A426" s="11">
        <f ca="1">INDEX(Stations,INT((ROWS(A$2:A426)-1)/(DATE(YEAR(Invoer!$A$5),12,31)-DATE(YEAR(Invoer!$A$5),1,1)+1))+2,1)</f>
        <v>42</v>
      </c>
      <c r="B426" t="str">
        <f ca="1">TEXT(DATE(YEAR(Invoer!$A$5),1,1)+MOD(ROWS(B$2:B426)-1,DATE(YEAR(Invoer!$A$5),12,31)-DATE(YEAR(Invoer!$A$5),1,1)+1),"jjjjmmdd")</f>
        <v>19270301</v>
      </c>
      <c r="C426" s="12">
        <v>1</v>
      </c>
      <c r="D426" s="17">
        <f t="shared" ca="1" si="12"/>
        <v>0</v>
      </c>
      <c r="E426" s="18">
        <f t="shared" ca="1" si="13"/>
        <v>0</v>
      </c>
    </row>
    <row r="427" spans="1:5" x14ac:dyDescent="0.25">
      <c r="A427" s="11">
        <f ca="1">INDEX(Stations,INT((ROWS(A$2:A427)-1)/(DATE(YEAR(Invoer!$A$5),12,31)-DATE(YEAR(Invoer!$A$5),1,1)+1))+2,1)</f>
        <v>42</v>
      </c>
      <c r="B427" t="str">
        <f ca="1">TEXT(DATE(YEAR(Invoer!$A$5),1,1)+MOD(ROWS(B$2:B427)-1,DATE(YEAR(Invoer!$A$5),12,31)-DATE(YEAR(Invoer!$A$5),1,1)+1),"jjjjmmdd")</f>
        <v>19270302</v>
      </c>
      <c r="C427" s="12">
        <v>1</v>
      </c>
      <c r="D427" s="17">
        <f t="shared" ca="1" si="12"/>
        <v>0</v>
      </c>
      <c r="E427" s="18">
        <f t="shared" ca="1" si="13"/>
        <v>0</v>
      </c>
    </row>
    <row r="428" spans="1:5" x14ac:dyDescent="0.25">
      <c r="A428" s="11">
        <f ca="1">INDEX(Stations,INT((ROWS(A$2:A428)-1)/(DATE(YEAR(Invoer!$A$5),12,31)-DATE(YEAR(Invoer!$A$5),1,1)+1))+2,1)</f>
        <v>42</v>
      </c>
      <c r="B428" t="str">
        <f ca="1">TEXT(DATE(YEAR(Invoer!$A$5),1,1)+MOD(ROWS(B$2:B428)-1,DATE(YEAR(Invoer!$A$5),12,31)-DATE(YEAR(Invoer!$A$5),1,1)+1),"jjjjmmdd")</f>
        <v>19270303</v>
      </c>
      <c r="C428" s="12">
        <v>1</v>
      </c>
      <c r="D428" s="17">
        <f t="shared" ca="1" si="12"/>
        <v>15</v>
      </c>
      <c r="E428" s="18">
        <f t="shared" ca="1" si="13"/>
        <v>0</v>
      </c>
    </row>
    <row r="429" spans="1:5" x14ac:dyDescent="0.25">
      <c r="A429" s="11">
        <f ca="1">INDEX(Stations,INT((ROWS(A$2:A429)-1)/(DATE(YEAR(Invoer!$A$5),12,31)-DATE(YEAR(Invoer!$A$5),1,1)+1))+2,1)</f>
        <v>42</v>
      </c>
      <c r="B429" t="str">
        <f ca="1">TEXT(DATE(YEAR(Invoer!$A$5),1,1)+MOD(ROWS(B$2:B429)-1,DATE(YEAR(Invoer!$A$5),12,31)-DATE(YEAR(Invoer!$A$5),1,1)+1),"jjjjmmdd")</f>
        <v>19270304</v>
      </c>
      <c r="C429" s="12">
        <v>1</v>
      </c>
      <c r="D429" s="17">
        <f t="shared" ca="1" si="12"/>
        <v>0</v>
      </c>
      <c r="E429" s="18">
        <f t="shared" ca="1" si="13"/>
        <v>0</v>
      </c>
    </row>
    <row r="430" spans="1:5" x14ac:dyDescent="0.25">
      <c r="A430" s="11">
        <f ca="1">INDEX(Stations,INT((ROWS(A$2:A430)-1)/(DATE(YEAR(Invoer!$A$5),12,31)-DATE(YEAR(Invoer!$A$5),1,1)+1))+2,1)</f>
        <v>42</v>
      </c>
      <c r="B430" t="str">
        <f ca="1">TEXT(DATE(YEAR(Invoer!$A$5),1,1)+MOD(ROWS(B$2:B430)-1,DATE(YEAR(Invoer!$A$5),12,31)-DATE(YEAR(Invoer!$A$5),1,1)+1),"jjjjmmdd")</f>
        <v>19270305</v>
      </c>
      <c r="C430" s="12">
        <v>1</v>
      </c>
      <c r="D430" s="17">
        <f t="shared" ca="1" si="12"/>
        <v>0</v>
      </c>
      <c r="E430" s="18">
        <f t="shared" ca="1" si="13"/>
        <v>0</v>
      </c>
    </row>
    <row r="431" spans="1:5" x14ac:dyDescent="0.25">
      <c r="A431" s="11">
        <f ca="1">INDEX(Stations,INT((ROWS(A$2:A431)-1)/(DATE(YEAR(Invoer!$A$5),12,31)-DATE(YEAR(Invoer!$A$5),1,1)+1))+2,1)</f>
        <v>42</v>
      </c>
      <c r="B431" t="str">
        <f ca="1">TEXT(DATE(YEAR(Invoer!$A$5),1,1)+MOD(ROWS(B$2:B431)-1,DATE(YEAR(Invoer!$A$5),12,31)-DATE(YEAR(Invoer!$A$5),1,1)+1),"jjjjmmdd")</f>
        <v>19270306</v>
      </c>
      <c r="C431" s="12">
        <v>1</v>
      </c>
      <c r="D431" s="17">
        <f t="shared" ca="1" si="12"/>
        <v>21</v>
      </c>
      <c r="E431" s="18">
        <f t="shared" ca="1" si="13"/>
        <v>0</v>
      </c>
    </row>
    <row r="432" spans="1:5" x14ac:dyDescent="0.25">
      <c r="A432" s="11">
        <f ca="1">INDEX(Stations,INT((ROWS(A$2:A432)-1)/(DATE(YEAR(Invoer!$A$5),12,31)-DATE(YEAR(Invoer!$A$5),1,1)+1))+2,1)</f>
        <v>42</v>
      </c>
      <c r="B432" t="str">
        <f ca="1">TEXT(DATE(YEAR(Invoer!$A$5),1,1)+MOD(ROWS(B$2:B432)-1,DATE(YEAR(Invoer!$A$5),12,31)-DATE(YEAR(Invoer!$A$5),1,1)+1),"jjjjmmdd")</f>
        <v>19270307</v>
      </c>
      <c r="C432" s="12">
        <v>1</v>
      </c>
      <c r="D432" s="17">
        <f t="shared" ca="1" si="12"/>
        <v>0</v>
      </c>
      <c r="E432" s="18">
        <f t="shared" ca="1" si="13"/>
        <v>0</v>
      </c>
    </row>
    <row r="433" spans="1:5" x14ac:dyDescent="0.25">
      <c r="A433" s="11">
        <f ca="1">INDEX(Stations,INT((ROWS(A$2:A433)-1)/(DATE(YEAR(Invoer!$A$5),12,31)-DATE(YEAR(Invoer!$A$5),1,1)+1))+2,1)</f>
        <v>42</v>
      </c>
      <c r="B433" t="str">
        <f ca="1">TEXT(DATE(YEAR(Invoer!$A$5),1,1)+MOD(ROWS(B$2:B433)-1,DATE(YEAR(Invoer!$A$5),12,31)-DATE(YEAR(Invoer!$A$5),1,1)+1),"jjjjmmdd")</f>
        <v>19270308</v>
      </c>
      <c r="C433" s="12">
        <v>1</v>
      </c>
      <c r="D433" s="17">
        <f t="shared" ca="1" si="12"/>
        <v>25</v>
      </c>
      <c r="E433" s="18">
        <f t="shared" ca="1" si="13"/>
        <v>0</v>
      </c>
    </row>
    <row r="434" spans="1:5" x14ac:dyDescent="0.25">
      <c r="A434" s="11">
        <f ca="1">INDEX(Stations,INT((ROWS(A$2:A434)-1)/(DATE(YEAR(Invoer!$A$5),12,31)-DATE(YEAR(Invoer!$A$5),1,1)+1))+2,1)</f>
        <v>42</v>
      </c>
      <c r="B434" t="str">
        <f ca="1">TEXT(DATE(YEAR(Invoer!$A$5),1,1)+MOD(ROWS(B$2:B434)-1,DATE(YEAR(Invoer!$A$5),12,31)-DATE(YEAR(Invoer!$A$5),1,1)+1),"jjjjmmdd")</f>
        <v>19270309</v>
      </c>
      <c r="C434" s="12">
        <v>1</v>
      </c>
      <c r="D434" s="17">
        <f t="shared" ca="1" si="12"/>
        <v>25</v>
      </c>
      <c r="E434" s="18">
        <f t="shared" ca="1" si="13"/>
        <v>0</v>
      </c>
    </row>
    <row r="435" spans="1:5" x14ac:dyDescent="0.25">
      <c r="A435" s="11">
        <f ca="1">INDEX(Stations,INT((ROWS(A$2:A435)-1)/(DATE(YEAR(Invoer!$A$5),12,31)-DATE(YEAR(Invoer!$A$5),1,1)+1))+2,1)</f>
        <v>42</v>
      </c>
      <c r="B435" t="str">
        <f ca="1">TEXT(DATE(YEAR(Invoer!$A$5),1,1)+MOD(ROWS(B$2:B435)-1,DATE(YEAR(Invoer!$A$5),12,31)-DATE(YEAR(Invoer!$A$5),1,1)+1),"jjjjmmdd")</f>
        <v>19270310</v>
      </c>
      <c r="C435" s="12">
        <v>1</v>
      </c>
      <c r="D435" s="17">
        <f t="shared" ca="1" si="12"/>
        <v>1</v>
      </c>
      <c r="E435" s="18">
        <f t="shared" ca="1" si="13"/>
        <v>0</v>
      </c>
    </row>
    <row r="436" spans="1:5" x14ac:dyDescent="0.25">
      <c r="A436" s="11">
        <f ca="1">INDEX(Stations,INT((ROWS(A$2:A436)-1)/(DATE(YEAR(Invoer!$A$5),12,31)-DATE(YEAR(Invoer!$A$5),1,1)+1))+2,1)</f>
        <v>42</v>
      </c>
      <c r="B436" t="str">
        <f ca="1">TEXT(DATE(YEAR(Invoer!$A$5),1,1)+MOD(ROWS(B$2:B436)-1,DATE(YEAR(Invoer!$A$5),12,31)-DATE(YEAR(Invoer!$A$5),1,1)+1),"jjjjmmdd")</f>
        <v>19270311</v>
      </c>
      <c r="C436" s="12">
        <v>1</v>
      </c>
      <c r="D436" s="17">
        <f t="shared" ca="1" si="12"/>
        <v>0</v>
      </c>
      <c r="E436" s="18">
        <f t="shared" ca="1" si="13"/>
        <v>0</v>
      </c>
    </row>
    <row r="437" spans="1:5" x14ac:dyDescent="0.25">
      <c r="A437" s="11">
        <f ca="1">INDEX(Stations,INT((ROWS(A$2:A437)-1)/(DATE(YEAR(Invoer!$A$5),12,31)-DATE(YEAR(Invoer!$A$5),1,1)+1))+2,1)</f>
        <v>42</v>
      </c>
      <c r="B437" t="str">
        <f ca="1">TEXT(DATE(YEAR(Invoer!$A$5),1,1)+MOD(ROWS(B$2:B437)-1,DATE(YEAR(Invoer!$A$5),12,31)-DATE(YEAR(Invoer!$A$5),1,1)+1),"jjjjmmdd")</f>
        <v>19270312</v>
      </c>
      <c r="C437" s="12">
        <v>1</v>
      </c>
      <c r="D437" s="17">
        <f t="shared" ca="1" si="12"/>
        <v>19</v>
      </c>
      <c r="E437" s="18">
        <f t="shared" ca="1" si="13"/>
        <v>0</v>
      </c>
    </row>
    <row r="438" spans="1:5" x14ac:dyDescent="0.25">
      <c r="A438" s="11">
        <f ca="1">INDEX(Stations,INT((ROWS(A$2:A438)-1)/(DATE(YEAR(Invoer!$A$5),12,31)-DATE(YEAR(Invoer!$A$5),1,1)+1))+2,1)</f>
        <v>42</v>
      </c>
      <c r="B438" t="str">
        <f ca="1">TEXT(DATE(YEAR(Invoer!$A$5),1,1)+MOD(ROWS(B$2:B438)-1,DATE(YEAR(Invoer!$A$5),12,31)-DATE(YEAR(Invoer!$A$5),1,1)+1),"jjjjmmdd")</f>
        <v>19270313</v>
      </c>
      <c r="C438" s="12">
        <v>1</v>
      </c>
      <c r="D438" s="17">
        <f t="shared" ca="1" si="12"/>
        <v>0</v>
      </c>
      <c r="E438" s="18">
        <f t="shared" ca="1" si="13"/>
        <v>0</v>
      </c>
    </row>
    <row r="439" spans="1:5" x14ac:dyDescent="0.25">
      <c r="A439" s="11">
        <f ca="1">INDEX(Stations,INT((ROWS(A$2:A439)-1)/(DATE(YEAR(Invoer!$A$5),12,31)-DATE(YEAR(Invoer!$A$5),1,1)+1))+2,1)</f>
        <v>42</v>
      </c>
      <c r="B439" t="str">
        <f ca="1">TEXT(DATE(YEAR(Invoer!$A$5),1,1)+MOD(ROWS(B$2:B439)-1,DATE(YEAR(Invoer!$A$5),12,31)-DATE(YEAR(Invoer!$A$5),1,1)+1),"jjjjmmdd")</f>
        <v>19270314</v>
      </c>
      <c r="C439" s="12">
        <v>1</v>
      </c>
      <c r="D439" s="17">
        <f t="shared" ca="1" si="12"/>
        <v>0</v>
      </c>
      <c r="E439" s="18">
        <f t="shared" ca="1" si="13"/>
        <v>0</v>
      </c>
    </row>
    <row r="440" spans="1:5" x14ac:dyDescent="0.25">
      <c r="A440" s="11">
        <f ca="1">INDEX(Stations,INT((ROWS(A$2:A440)-1)/(DATE(YEAR(Invoer!$A$5),12,31)-DATE(YEAR(Invoer!$A$5),1,1)+1))+2,1)</f>
        <v>42</v>
      </c>
      <c r="B440" t="str">
        <f ca="1">TEXT(DATE(YEAR(Invoer!$A$5),1,1)+MOD(ROWS(B$2:B440)-1,DATE(YEAR(Invoer!$A$5),12,31)-DATE(YEAR(Invoer!$A$5),1,1)+1),"jjjjmmdd")</f>
        <v>19270315</v>
      </c>
      <c r="C440" s="12">
        <v>1</v>
      </c>
      <c r="D440" s="17">
        <f t="shared" ca="1" si="12"/>
        <v>0</v>
      </c>
      <c r="E440" s="18">
        <f t="shared" ca="1" si="13"/>
        <v>0</v>
      </c>
    </row>
    <row r="441" spans="1:5" x14ac:dyDescent="0.25">
      <c r="A441" s="11">
        <f ca="1">INDEX(Stations,INT((ROWS(A$2:A441)-1)/(DATE(YEAR(Invoer!$A$5),12,31)-DATE(YEAR(Invoer!$A$5),1,1)+1))+2,1)</f>
        <v>42</v>
      </c>
      <c r="B441" t="str">
        <f ca="1">TEXT(DATE(YEAR(Invoer!$A$5),1,1)+MOD(ROWS(B$2:B441)-1,DATE(YEAR(Invoer!$A$5),12,31)-DATE(YEAR(Invoer!$A$5),1,1)+1),"jjjjmmdd")</f>
        <v>19270316</v>
      </c>
      <c r="C441" s="12">
        <v>1</v>
      </c>
      <c r="D441" s="17">
        <f t="shared" ca="1" si="12"/>
        <v>0</v>
      </c>
      <c r="E441" s="18">
        <f t="shared" ca="1" si="13"/>
        <v>0</v>
      </c>
    </row>
    <row r="442" spans="1:5" x14ac:dyDescent="0.25">
      <c r="A442" s="11">
        <f ca="1">INDEX(Stations,INT((ROWS(A$2:A442)-1)/(DATE(YEAR(Invoer!$A$5),12,31)-DATE(YEAR(Invoer!$A$5),1,1)+1))+2,1)</f>
        <v>42</v>
      </c>
      <c r="B442" t="str">
        <f ca="1">TEXT(DATE(YEAR(Invoer!$A$5),1,1)+MOD(ROWS(B$2:B442)-1,DATE(YEAR(Invoer!$A$5),12,31)-DATE(YEAR(Invoer!$A$5),1,1)+1),"jjjjmmdd")</f>
        <v>19270317</v>
      </c>
      <c r="C442" s="12">
        <v>1</v>
      </c>
      <c r="D442" s="17">
        <f t="shared" ca="1" si="12"/>
        <v>0</v>
      </c>
      <c r="E442" s="18">
        <f t="shared" ca="1" si="13"/>
        <v>0</v>
      </c>
    </row>
    <row r="443" spans="1:5" x14ac:dyDescent="0.25">
      <c r="A443" s="11">
        <f ca="1">INDEX(Stations,INT((ROWS(A$2:A443)-1)/(DATE(YEAR(Invoer!$A$5),12,31)-DATE(YEAR(Invoer!$A$5),1,1)+1))+2,1)</f>
        <v>42</v>
      </c>
      <c r="B443" t="str">
        <f ca="1">TEXT(DATE(YEAR(Invoer!$A$5),1,1)+MOD(ROWS(B$2:B443)-1,DATE(YEAR(Invoer!$A$5),12,31)-DATE(YEAR(Invoer!$A$5),1,1)+1),"jjjjmmdd")</f>
        <v>19270318</v>
      </c>
      <c r="C443" s="12">
        <v>1</v>
      </c>
      <c r="D443" s="17">
        <f t="shared" ca="1" si="12"/>
        <v>0</v>
      </c>
      <c r="E443" s="18">
        <f t="shared" ca="1" si="13"/>
        <v>0</v>
      </c>
    </row>
    <row r="444" spans="1:5" x14ac:dyDescent="0.25">
      <c r="A444" s="11">
        <f ca="1">INDEX(Stations,INT((ROWS(A$2:A444)-1)/(DATE(YEAR(Invoer!$A$5),12,31)-DATE(YEAR(Invoer!$A$5),1,1)+1))+2,1)</f>
        <v>42</v>
      </c>
      <c r="B444" t="str">
        <f ca="1">TEXT(DATE(YEAR(Invoer!$A$5),1,1)+MOD(ROWS(B$2:B444)-1,DATE(YEAR(Invoer!$A$5),12,31)-DATE(YEAR(Invoer!$A$5),1,1)+1),"jjjjmmdd")</f>
        <v>19270319</v>
      </c>
      <c r="C444" s="12">
        <v>1</v>
      </c>
      <c r="D444" s="17">
        <f t="shared" ca="1" si="12"/>
        <v>0</v>
      </c>
      <c r="E444" s="18">
        <f t="shared" ca="1" si="13"/>
        <v>0</v>
      </c>
    </row>
    <row r="445" spans="1:5" x14ac:dyDescent="0.25">
      <c r="A445" s="11">
        <f ca="1">INDEX(Stations,INT((ROWS(A$2:A445)-1)/(DATE(YEAR(Invoer!$A$5),12,31)-DATE(YEAR(Invoer!$A$5),1,1)+1))+2,1)</f>
        <v>42</v>
      </c>
      <c r="B445" t="str">
        <f ca="1">TEXT(DATE(YEAR(Invoer!$A$5),1,1)+MOD(ROWS(B$2:B445)-1,DATE(YEAR(Invoer!$A$5),12,31)-DATE(YEAR(Invoer!$A$5),1,1)+1),"jjjjmmdd")</f>
        <v>19270320</v>
      </c>
      <c r="C445" s="12">
        <v>1</v>
      </c>
      <c r="D445" s="17">
        <f t="shared" ca="1" si="12"/>
        <v>0</v>
      </c>
      <c r="E445" s="18">
        <f t="shared" ca="1" si="13"/>
        <v>0</v>
      </c>
    </row>
    <row r="446" spans="1:5" x14ac:dyDescent="0.25">
      <c r="A446" s="11">
        <f ca="1">INDEX(Stations,INT((ROWS(A$2:A446)-1)/(DATE(YEAR(Invoer!$A$5),12,31)-DATE(YEAR(Invoer!$A$5),1,1)+1))+2,1)</f>
        <v>42</v>
      </c>
      <c r="B446" t="str">
        <f ca="1">TEXT(DATE(YEAR(Invoer!$A$5),1,1)+MOD(ROWS(B$2:B446)-1,DATE(YEAR(Invoer!$A$5),12,31)-DATE(YEAR(Invoer!$A$5),1,1)+1),"jjjjmmdd")</f>
        <v>19270321</v>
      </c>
      <c r="C446" s="12">
        <v>1</v>
      </c>
      <c r="D446" s="17">
        <f t="shared" ca="1" si="12"/>
        <v>0</v>
      </c>
      <c r="E446" s="18">
        <f t="shared" ca="1" si="13"/>
        <v>0</v>
      </c>
    </row>
    <row r="447" spans="1:5" x14ac:dyDescent="0.25">
      <c r="A447" s="11">
        <f ca="1">INDEX(Stations,INT((ROWS(A$2:A447)-1)/(DATE(YEAR(Invoer!$A$5),12,31)-DATE(YEAR(Invoer!$A$5),1,1)+1))+2,1)</f>
        <v>42</v>
      </c>
      <c r="B447" t="str">
        <f ca="1">TEXT(DATE(YEAR(Invoer!$A$5),1,1)+MOD(ROWS(B$2:B447)-1,DATE(YEAR(Invoer!$A$5),12,31)-DATE(YEAR(Invoer!$A$5),1,1)+1),"jjjjmmdd")</f>
        <v>19270322</v>
      </c>
      <c r="C447" s="12">
        <v>1</v>
      </c>
      <c r="D447" s="17">
        <f t="shared" ca="1" si="12"/>
        <v>0</v>
      </c>
      <c r="E447" s="18">
        <f t="shared" ca="1" si="13"/>
        <v>0</v>
      </c>
    </row>
    <row r="448" spans="1:5" x14ac:dyDescent="0.25">
      <c r="A448" s="11">
        <f ca="1">INDEX(Stations,INT((ROWS(A$2:A448)-1)/(DATE(YEAR(Invoer!$A$5),12,31)-DATE(YEAR(Invoer!$A$5),1,1)+1))+2,1)</f>
        <v>42</v>
      </c>
      <c r="B448" t="str">
        <f ca="1">TEXT(DATE(YEAR(Invoer!$A$5),1,1)+MOD(ROWS(B$2:B448)-1,DATE(YEAR(Invoer!$A$5),12,31)-DATE(YEAR(Invoer!$A$5),1,1)+1),"jjjjmmdd")</f>
        <v>19270323</v>
      </c>
      <c r="C448" s="12">
        <v>1</v>
      </c>
      <c r="D448" s="17">
        <f t="shared" ca="1" si="12"/>
        <v>0</v>
      </c>
      <c r="E448" s="18">
        <f t="shared" ca="1" si="13"/>
        <v>0</v>
      </c>
    </row>
    <row r="449" spans="1:5" x14ac:dyDescent="0.25">
      <c r="A449" s="11">
        <f ca="1">INDEX(Stations,INT((ROWS(A$2:A449)-1)/(DATE(YEAR(Invoer!$A$5),12,31)-DATE(YEAR(Invoer!$A$5),1,1)+1))+2,1)</f>
        <v>42</v>
      </c>
      <c r="B449" t="str">
        <f ca="1">TEXT(DATE(YEAR(Invoer!$A$5),1,1)+MOD(ROWS(B$2:B449)-1,DATE(YEAR(Invoer!$A$5),12,31)-DATE(YEAR(Invoer!$A$5),1,1)+1),"jjjjmmdd")</f>
        <v>19270324</v>
      </c>
      <c r="C449" s="12">
        <v>1</v>
      </c>
      <c r="D449" s="17">
        <f t="shared" ca="1" si="12"/>
        <v>0</v>
      </c>
      <c r="E449" s="18">
        <f t="shared" ca="1" si="13"/>
        <v>0</v>
      </c>
    </row>
    <row r="450" spans="1:5" x14ac:dyDescent="0.25">
      <c r="A450" s="11">
        <f ca="1">INDEX(Stations,INT((ROWS(A$2:A450)-1)/(DATE(YEAR(Invoer!$A$5),12,31)-DATE(YEAR(Invoer!$A$5),1,1)+1))+2,1)</f>
        <v>42</v>
      </c>
      <c r="B450" t="str">
        <f ca="1">TEXT(DATE(YEAR(Invoer!$A$5),1,1)+MOD(ROWS(B$2:B450)-1,DATE(YEAR(Invoer!$A$5),12,31)-DATE(YEAR(Invoer!$A$5),1,1)+1),"jjjjmmdd")</f>
        <v>19270325</v>
      </c>
      <c r="C450" s="12">
        <v>1</v>
      </c>
      <c r="D450" s="17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0</v>
      </c>
      <c r="E450" s="18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1">
        <f ca="1">INDEX(Stations,INT((ROWS(A$2:A451)-1)/(DATE(YEAR(Invoer!$A$5),12,31)-DATE(YEAR(Invoer!$A$5),1,1)+1))+2,1)</f>
        <v>42</v>
      </c>
      <c r="B451" t="str">
        <f ca="1">TEXT(DATE(YEAR(Invoer!$A$5),1,1)+MOD(ROWS(B$2:B451)-1,DATE(YEAR(Invoer!$A$5),12,31)-DATE(YEAR(Invoer!$A$5),1,1)+1),"jjjjmmdd")</f>
        <v>19270326</v>
      </c>
      <c r="C451" s="12">
        <v>1</v>
      </c>
      <c r="D451" s="17">
        <f t="shared" ca="1" si="14"/>
        <v>0</v>
      </c>
      <c r="E451" s="18">
        <f t="shared" ca="1" si="15"/>
        <v>0</v>
      </c>
    </row>
    <row r="452" spans="1:5" x14ac:dyDescent="0.25">
      <c r="A452" s="11">
        <f ca="1">INDEX(Stations,INT((ROWS(A$2:A452)-1)/(DATE(YEAR(Invoer!$A$5),12,31)-DATE(YEAR(Invoer!$A$5),1,1)+1))+2,1)</f>
        <v>42</v>
      </c>
      <c r="B452" t="str">
        <f ca="1">TEXT(DATE(YEAR(Invoer!$A$5),1,1)+MOD(ROWS(B$2:B452)-1,DATE(YEAR(Invoer!$A$5),12,31)-DATE(YEAR(Invoer!$A$5),1,1)+1),"jjjjmmdd")</f>
        <v>19270327</v>
      </c>
      <c r="C452" s="12">
        <v>1</v>
      </c>
      <c r="D452" s="17">
        <f t="shared" ca="1" si="14"/>
        <v>0</v>
      </c>
      <c r="E452" s="18">
        <f t="shared" ca="1" si="15"/>
        <v>0</v>
      </c>
    </row>
    <row r="453" spans="1:5" x14ac:dyDescent="0.25">
      <c r="A453" s="11">
        <f ca="1">INDEX(Stations,INT((ROWS(A$2:A453)-1)/(DATE(YEAR(Invoer!$A$5),12,31)-DATE(YEAR(Invoer!$A$5),1,1)+1))+2,1)</f>
        <v>42</v>
      </c>
      <c r="B453" t="str">
        <f ca="1">TEXT(DATE(YEAR(Invoer!$A$5),1,1)+MOD(ROWS(B$2:B453)-1,DATE(YEAR(Invoer!$A$5),12,31)-DATE(YEAR(Invoer!$A$5),1,1)+1),"jjjjmmdd")</f>
        <v>19270328</v>
      </c>
      <c r="C453" s="12">
        <v>1</v>
      </c>
      <c r="D453" s="17">
        <f t="shared" ca="1" si="14"/>
        <v>0</v>
      </c>
      <c r="E453" s="18">
        <f t="shared" ca="1" si="15"/>
        <v>0</v>
      </c>
    </row>
    <row r="454" spans="1:5" x14ac:dyDescent="0.25">
      <c r="A454" s="11">
        <f ca="1">INDEX(Stations,INT((ROWS(A$2:A454)-1)/(DATE(YEAR(Invoer!$A$5),12,31)-DATE(YEAR(Invoer!$A$5),1,1)+1))+2,1)</f>
        <v>42</v>
      </c>
      <c r="B454" t="str">
        <f ca="1">TEXT(DATE(YEAR(Invoer!$A$5),1,1)+MOD(ROWS(B$2:B454)-1,DATE(YEAR(Invoer!$A$5),12,31)-DATE(YEAR(Invoer!$A$5),1,1)+1),"jjjjmmdd")</f>
        <v>19270329</v>
      </c>
      <c r="C454" s="12">
        <v>1</v>
      </c>
      <c r="D454" s="17">
        <f t="shared" ca="1" si="14"/>
        <v>0</v>
      </c>
      <c r="E454" s="18">
        <f t="shared" ca="1" si="15"/>
        <v>0</v>
      </c>
    </row>
    <row r="455" spans="1:5" x14ac:dyDescent="0.25">
      <c r="A455" s="11">
        <f ca="1">INDEX(Stations,INT((ROWS(A$2:A455)-1)/(DATE(YEAR(Invoer!$A$5),12,31)-DATE(YEAR(Invoer!$A$5),1,1)+1))+2,1)</f>
        <v>42</v>
      </c>
      <c r="B455" t="str">
        <f ca="1">TEXT(DATE(YEAR(Invoer!$A$5),1,1)+MOD(ROWS(B$2:B455)-1,DATE(YEAR(Invoer!$A$5),12,31)-DATE(YEAR(Invoer!$A$5),1,1)+1),"jjjjmmdd")</f>
        <v>19270330</v>
      </c>
      <c r="C455" s="12">
        <v>1</v>
      </c>
      <c r="D455" s="17">
        <f t="shared" ca="1" si="14"/>
        <v>0</v>
      </c>
      <c r="E455" s="18">
        <f t="shared" ca="1" si="15"/>
        <v>0</v>
      </c>
    </row>
    <row r="456" spans="1:5" x14ac:dyDescent="0.25">
      <c r="A456" s="11">
        <f ca="1">INDEX(Stations,INT((ROWS(A$2:A456)-1)/(DATE(YEAR(Invoer!$A$5),12,31)-DATE(YEAR(Invoer!$A$5),1,1)+1))+2,1)</f>
        <v>42</v>
      </c>
      <c r="B456" t="str">
        <f ca="1">TEXT(DATE(YEAR(Invoer!$A$5),1,1)+MOD(ROWS(B$2:B456)-1,DATE(YEAR(Invoer!$A$5),12,31)-DATE(YEAR(Invoer!$A$5),1,1)+1),"jjjjmmdd")</f>
        <v>19270331</v>
      </c>
      <c r="C456" s="12">
        <v>1</v>
      </c>
      <c r="D456" s="17">
        <f t="shared" ca="1" si="14"/>
        <v>0</v>
      </c>
      <c r="E456" s="18">
        <f t="shared" ca="1" si="15"/>
        <v>0</v>
      </c>
    </row>
    <row r="457" spans="1:5" x14ac:dyDescent="0.25">
      <c r="A457" s="11">
        <f ca="1">INDEX(Stations,INT((ROWS(A$2:A457)-1)/(DATE(YEAR(Invoer!$A$5),12,31)-DATE(YEAR(Invoer!$A$5),1,1)+1))+2,1)</f>
        <v>42</v>
      </c>
      <c r="B457" t="str">
        <f ca="1">TEXT(DATE(YEAR(Invoer!$A$5),1,1)+MOD(ROWS(B$2:B457)-1,DATE(YEAR(Invoer!$A$5),12,31)-DATE(YEAR(Invoer!$A$5),1,1)+1),"jjjjmmdd")</f>
        <v>19270401</v>
      </c>
      <c r="C457" s="12">
        <v>1</v>
      </c>
      <c r="D457" s="17">
        <f t="shared" ca="1" si="14"/>
        <v>39</v>
      </c>
      <c r="E457" s="18">
        <f t="shared" ca="1" si="15"/>
        <v>0</v>
      </c>
    </row>
    <row r="458" spans="1:5" x14ac:dyDescent="0.25">
      <c r="A458" s="11">
        <f ca="1">INDEX(Stations,INT((ROWS(A$2:A458)-1)/(DATE(YEAR(Invoer!$A$5),12,31)-DATE(YEAR(Invoer!$A$5),1,1)+1))+2,1)</f>
        <v>42</v>
      </c>
      <c r="B458" t="str">
        <f ca="1">TEXT(DATE(YEAR(Invoer!$A$5),1,1)+MOD(ROWS(B$2:B458)-1,DATE(YEAR(Invoer!$A$5),12,31)-DATE(YEAR(Invoer!$A$5),1,1)+1),"jjjjmmdd")</f>
        <v>19270402</v>
      </c>
      <c r="C458" s="12">
        <v>1</v>
      </c>
      <c r="D458" s="17">
        <f t="shared" ca="1" si="14"/>
        <v>61</v>
      </c>
      <c r="E458" s="18">
        <f t="shared" ca="1" si="15"/>
        <v>0</v>
      </c>
    </row>
    <row r="459" spans="1:5" x14ac:dyDescent="0.25">
      <c r="A459" s="11">
        <f ca="1">INDEX(Stations,INT((ROWS(A$2:A459)-1)/(DATE(YEAR(Invoer!$A$5),12,31)-DATE(YEAR(Invoer!$A$5),1,1)+1))+2,1)</f>
        <v>42</v>
      </c>
      <c r="B459" t="str">
        <f ca="1">TEXT(DATE(YEAR(Invoer!$A$5),1,1)+MOD(ROWS(B$2:B459)-1,DATE(YEAR(Invoer!$A$5),12,31)-DATE(YEAR(Invoer!$A$5),1,1)+1),"jjjjmmdd")</f>
        <v>19270403</v>
      </c>
      <c r="C459" s="12">
        <v>1</v>
      </c>
      <c r="D459" s="17">
        <f t="shared" ca="1" si="14"/>
        <v>16</v>
      </c>
      <c r="E459" s="18">
        <f t="shared" ca="1" si="15"/>
        <v>0</v>
      </c>
    </row>
    <row r="460" spans="1:5" x14ac:dyDescent="0.25">
      <c r="A460" s="11">
        <f ca="1">INDEX(Stations,INT((ROWS(A$2:A460)-1)/(DATE(YEAR(Invoer!$A$5),12,31)-DATE(YEAR(Invoer!$A$5),1,1)+1))+2,1)</f>
        <v>42</v>
      </c>
      <c r="B460" t="str">
        <f ca="1">TEXT(DATE(YEAR(Invoer!$A$5),1,1)+MOD(ROWS(B$2:B460)-1,DATE(YEAR(Invoer!$A$5),12,31)-DATE(YEAR(Invoer!$A$5),1,1)+1),"jjjjmmdd")</f>
        <v>19270404</v>
      </c>
      <c r="C460" s="12">
        <v>1</v>
      </c>
      <c r="D460" s="17">
        <f t="shared" ca="1" si="14"/>
        <v>0</v>
      </c>
      <c r="E460" s="18">
        <f t="shared" ca="1" si="15"/>
        <v>0</v>
      </c>
    </row>
    <row r="461" spans="1:5" x14ac:dyDescent="0.25">
      <c r="A461" s="11">
        <f ca="1">INDEX(Stations,INT((ROWS(A$2:A461)-1)/(DATE(YEAR(Invoer!$A$5),12,31)-DATE(YEAR(Invoer!$A$5),1,1)+1))+2,1)</f>
        <v>42</v>
      </c>
      <c r="B461" t="str">
        <f ca="1">TEXT(DATE(YEAR(Invoer!$A$5),1,1)+MOD(ROWS(B$2:B461)-1,DATE(YEAR(Invoer!$A$5),12,31)-DATE(YEAR(Invoer!$A$5),1,1)+1),"jjjjmmdd")</f>
        <v>19270405</v>
      </c>
      <c r="C461" s="12">
        <v>1</v>
      </c>
      <c r="D461" s="17">
        <f t="shared" ca="1" si="14"/>
        <v>0</v>
      </c>
      <c r="E461" s="18">
        <f t="shared" ca="1" si="15"/>
        <v>0</v>
      </c>
    </row>
    <row r="462" spans="1:5" x14ac:dyDescent="0.25">
      <c r="A462" s="11">
        <f ca="1">INDEX(Stations,INT((ROWS(A$2:A462)-1)/(DATE(YEAR(Invoer!$A$5),12,31)-DATE(YEAR(Invoer!$A$5),1,1)+1))+2,1)</f>
        <v>42</v>
      </c>
      <c r="B462" t="str">
        <f ca="1">TEXT(DATE(YEAR(Invoer!$A$5),1,1)+MOD(ROWS(B$2:B462)-1,DATE(YEAR(Invoer!$A$5),12,31)-DATE(YEAR(Invoer!$A$5),1,1)+1),"jjjjmmdd")</f>
        <v>19270406</v>
      </c>
      <c r="C462" s="12">
        <v>1</v>
      </c>
      <c r="D462" s="17">
        <f t="shared" ca="1" si="14"/>
        <v>1</v>
      </c>
      <c r="E462" s="18">
        <f t="shared" ca="1" si="15"/>
        <v>0</v>
      </c>
    </row>
    <row r="463" spans="1:5" x14ac:dyDescent="0.25">
      <c r="A463" s="11">
        <f ca="1">INDEX(Stations,INT((ROWS(A$2:A463)-1)/(DATE(YEAR(Invoer!$A$5),12,31)-DATE(YEAR(Invoer!$A$5),1,1)+1))+2,1)</f>
        <v>42</v>
      </c>
      <c r="B463" t="str">
        <f ca="1">TEXT(DATE(YEAR(Invoer!$A$5),1,1)+MOD(ROWS(B$2:B463)-1,DATE(YEAR(Invoer!$A$5),12,31)-DATE(YEAR(Invoer!$A$5),1,1)+1),"jjjjmmdd")</f>
        <v>19270407</v>
      </c>
      <c r="C463" s="12">
        <v>1</v>
      </c>
      <c r="D463" s="17">
        <f t="shared" ca="1" si="14"/>
        <v>36</v>
      </c>
      <c r="E463" s="18">
        <f t="shared" ca="1" si="15"/>
        <v>0</v>
      </c>
    </row>
    <row r="464" spans="1:5" x14ac:dyDescent="0.25">
      <c r="A464" s="11">
        <f ca="1">INDEX(Stations,INT((ROWS(A$2:A464)-1)/(DATE(YEAR(Invoer!$A$5),12,31)-DATE(YEAR(Invoer!$A$5),1,1)+1))+2,1)</f>
        <v>42</v>
      </c>
      <c r="B464" t="str">
        <f ca="1">TEXT(DATE(YEAR(Invoer!$A$5),1,1)+MOD(ROWS(B$2:B464)-1,DATE(YEAR(Invoer!$A$5),12,31)-DATE(YEAR(Invoer!$A$5),1,1)+1),"jjjjmmdd")</f>
        <v>19270408</v>
      </c>
      <c r="C464" s="12">
        <v>1</v>
      </c>
      <c r="D464" s="17">
        <f t="shared" ca="1" si="14"/>
        <v>0</v>
      </c>
      <c r="E464" s="18">
        <f t="shared" ca="1" si="15"/>
        <v>0</v>
      </c>
    </row>
    <row r="465" spans="1:5" x14ac:dyDescent="0.25">
      <c r="A465" s="11">
        <f ca="1">INDEX(Stations,INT((ROWS(A$2:A465)-1)/(DATE(YEAR(Invoer!$A$5),12,31)-DATE(YEAR(Invoer!$A$5),1,1)+1))+2,1)</f>
        <v>42</v>
      </c>
      <c r="B465" t="str">
        <f ca="1">TEXT(DATE(YEAR(Invoer!$A$5),1,1)+MOD(ROWS(B$2:B465)-1,DATE(YEAR(Invoer!$A$5),12,31)-DATE(YEAR(Invoer!$A$5),1,1)+1),"jjjjmmdd")</f>
        <v>19270409</v>
      </c>
      <c r="C465" s="12">
        <v>1</v>
      </c>
      <c r="D465" s="17">
        <f t="shared" ca="1" si="14"/>
        <v>0</v>
      </c>
      <c r="E465" s="18">
        <f t="shared" ca="1" si="15"/>
        <v>0</v>
      </c>
    </row>
    <row r="466" spans="1:5" x14ac:dyDescent="0.25">
      <c r="A466" s="11">
        <f ca="1">INDEX(Stations,INT((ROWS(A$2:A466)-1)/(DATE(YEAR(Invoer!$A$5),12,31)-DATE(YEAR(Invoer!$A$5),1,1)+1))+2,1)</f>
        <v>42</v>
      </c>
      <c r="B466" t="str">
        <f ca="1">TEXT(DATE(YEAR(Invoer!$A$5),1,1)+MOD(ROWS(B$2:B466)-1,DATE(YEAR(Invoer!$A$5),12,31)-DATE(YEAR(Invoer!$A$5),1,1)+1),"jjjjmmdd")</f>
        <v>19270410</v>
      </c>
      <c r="C466" s="12">
        <v>1</v>
      </c>
      <c r="D466" s="17">
        <f t="shared" ca="1" si="14"/>
        <v>14</v>
      </c>
      <c r="E466" s="18">
        <f t="shared" ca="1" si="15"/>
        <v>0</v>
      </c>
    </row>
    <row r="467" spans="1:5" x14ac:dyDescent="0.25">
      <c r="A467" s="11">
        <f ca="1">INDEX(Stations,INT((ROWS(A$2:A467)-1)/(DATE(YEAR(Invoer!$A$5),12,31)-DATE(YEAR(Invoer!$A$5),1,1)+1))+2,1)</f>
        <v>42</v>
      </c>
      <c r="B467" t="str">
        <f ca="1">TEXT(DATE(YEAR(Invoer!$A$5),1,1)+MOD(ROWS(B$2:B467)-1,DATE(YEAR(Invoer!$A$5),12,31)-DATE(YEAR(Invoer!$A$5),1,1)+1),"jjjjmmdd")</f>
        <v>19270411</v>
      </c>
      <c r="C467" s="12">
        <v>1</v>
      </c>
      <c r="D467" s="17">
        <f t="shared" ca="1" si="14"/>
        <v>0</v>
      </c>
      <c r="E467" s="18">
        <f t="shared" ca="1" si="15"/>
        <v>0</v>
      </c>
    </row>
    <row r="468" spans="1:5" x14ac:dyDescent="0.25">
      <c r="A468" s="11">
        <f ca="1">INDEX(Stations,INT((ROWS(A$2:A468)-1)/(DATE(YEAR(Invoer!$A$5),12,31)-DATE(YEAR(Invoer!$A$5),1,1)+1))+2,1)</f>
        <v>42</v>
      </c>
      <c r="B468" t="str">
        <f ca="1">TEXT(DATE(YEAR(Invoer!$A$5),1,1)+MOD(ROWS(B$2:B468)-1,DATE(YEAR(Invoer!$A$5),12,31)-DATE(YEAR(Invoer!$A$5),1,1)+1),"jjjjmmdd")</f>
        <v>19270412</v>
      </c>
      <c r="C468" s="12">
        <v>1</v>
      </c>
      <c r="D468" s="17">
        <f t="shared" ca="1" si="14"/>
        <v>231</v>
      </c>
      <c r="E468" s="18">
        <f t="shared" ca="1" si="15"/>
        <v>0</v>
      </c>
    </row>
    <row r="469" spans="1:5" x14ac:dyDescent="0.25">
      <c r="A469" s="11">
        <f ca="1">INDEX(Stations,INT((ROWS(A$2:A469)-1)/(DATE(YEAR(Invoer!$A$5),12,31)-DATE(YEAR(Invoer!$A$5),1,1)+1))+2,1)</f>
        <v>42</v>
      </c>
      <c r="B469" t="str">
        <f ca="1">TEXT(DATE(YEAR(Invoer!$A$5),1,1)+MOD(ROWS(B$2:B469)-1,DATE(YEAR(Invoer!$A$5),12,31)-DATE(YEAR(Invoer!$A$5),1,1)+1),"jjjjmmdd")</f>
        <v>19270413</v>
      </c>
      <c r="C469" s="12">
        <v>1</v>
      </c>
      <c r="D469" s="17">
        <f t="shared" ca="1" si="14"/>
        <v>10</v>
      </c>
      <c r="E469" s="18">
        <f t="shared" ca="1" si="15"/>
        <v>0</v>
      </c>
    </row>
    <row r="470" spans="1:5" x14ac:dyDescent="0.25">
      <c r="A470" s="11">
        <f ca="1">INDEX(Stations,INT((ROWS(A$2:A470)-1)/(DATE(YEAR(Invoer!$A$5),12,31)-DATE(YEAR(Invoer!$A$5),1,1)+1))+2,1)</f>
        <v>42</v>
      </c>
      <c r="B470" t="str">
        <f ca="1">TEXT(DATE(YEAR(Invoer!$A$5),1,1)+MOD(ROWS(B$2:B470)-1,DATE(YEAR(Invoer!$A$5),12,31)-DATE(YEAR(Invoer!$A$5),1,1)+1),"jjjjmmdd")</f>
        <v>19270414</v>
      </c>
      <c r="C470" s="12">
        <v>1</v>
      </c>
      <c r="D470" s="17">
        <f t="shared" ca="1" si="14"/>
        <v>0</v>
      </c>
      <c r="E470" s="18">
        <f t="shared" ca="1" si="15"/>
        <v>0</v>
      </c>
    </row>
    <row r="471" spans="1:5" x14ac:dyDescent="0.25">
      <c r="A471" s="11">
        <f ca="1">INDEX(Stations,INT((ROWS(A$2:A471)-1)/(DATE(YEAR(Invoer!$A$5),12,31)-DATE(YEAR(Invoer!$A$5),1,1)+1))+2,1)</f>
        <v>42</v>
      </c>
      <c r="B471" t="str">
        <f ca="1">TEXT(DATE(YEAR(Invoer!$A$5),1,1)+MOD(ROWS(B$2:B471)-1,DATE(YEAR(Invoer!$A$5),12,31)-DATE(YEAR(Invoer!$A$5),1,1)+1),"jjjjmmdd")</f>
        <v>19270415</v>
      </c>
      <c r="C471" s="12">
        <v>1</v>
      </c>
      <c r="D471" s="17">
        <f t="shared" ca="1" si="14"/>
        <v>0</v>
      </c>
      <c r="E471" s="18">
        <f t="shared" ca="1" si="15"/>
        <v>0</v>
      </c>
    </row>
    <row r="472" spans="1:5" x14ac:dyDescent="0.25">
      <c r="A472" s="11">
        <f ca="1">INDEX(Stations,INT((ROWS(A$2:A472)-1)/(DATE(YEAR(Invoer!$A$5),12,31)-DATE(YEAR(Invoer!$A$5),1,1)+1))+2,1)</f>
        <v>42</v>
      </c>
      <c r="B472" t="str">
        <f ca="1">TEXT(DATE(YEAR(Invoer!$A$5),1,1)+MOD(ROWS(B$2:B472)-1,DATE(YEAR(Invoer!$A$5),12,31)-DATE(YEAR(Invoer!$A$5),1,1)+1),"jjjjmmdd")</f>
        <v>19270416</v>
      </c>
      <c r="C472" s="12">
        <v>1</v>
      </c>
      <c r="D472" s="17">
        <f t="shared" ca="1" si="14"/>
        <v>3</v>
      </c>
      <c r="E472" s="18">
        <f t="shared" ca="1" si="15"/>
        <v>0</v>
      </c>
    </row>
    <row r="473" spans="1:5" x14ac:dyDescent="0.25">
      <c r="A473" s="11">
        <f ca="1">INDEX(Stations,INT((ROWS(A$2:A473)-1)/(DATE(YEAR(Invoer!$A$5),12,31)-DATE(YEAR(Invoer!$A$5),1,1)+1))+2,1)</f>
        <v>42</v>
      </c>
      <c r="B473" t="str">
        <f ca="1">TEXT(DATE(YEAR(Invoer!$A$5),1,1)+MOD(ROWS(B$2:B473)-1,DATE(YEAR(Invoer!$A$5),12,31)-DATE(YEAR(Invoer!$A$5),1,1)+1),"jjjjmmdd")</f>
        <v>19270417</v>
      </c>
      <c r="C473" s="12">
        <v>1</v>
      </c>
      <c r="D473" s="17">
        <f t="shared" ca="1" si="14"/>
        <v>0</v>
      </c>
      <c r="E473" s="18">
        <f t="shared" ca="1" si="15"/>
        <v>0</v>
      </c>
    </row>
    <row r="474" spans="1:5" x14ac:dyDescent="0.25">
      <c r="A474" s="11">
        <f ca="1">INDEX(Stations,INT((ROWS(A$2:A474)-1)/(DATE(YEAR(Invoer!$A$5),12,31)-DATE(YEAR(Invoer!$A$5),1,1)+1))+2,1)</f>
        <v>42</v>
      </c>
      <c r="B474" t="str">
        <f ca="1">TEXT(DATE(YEAR(Invoer!$A$5),1,1)+MOD(ROWS(B$2:B474)-1,DATE(YEAR(Invoer!$A$5),12,31)-DATE(YEAR(Invoer!$A$5),1,1)+1),"jjjjmmdd")</f>
        <v>19270418</v>
      </c>
      <c r="C474" s="12">
        <v>1</v>
      </c>
      <c r="D474" s="17">
        <f t="shared" ca="1" si="14"/>
        <v>0</v>
      </c>
      <c r="E474" s="18">
        <f t="shared" ca="1" si="15"/>
        <v>0</v>
      </c>
    </row>
    <row r="475" spans="1:5" x14ac:dyDescent="0.25">
      <c r="A475" s="11">
        <f ca="1">INDEX(Stations,INT((ROWS(A$2:A475)-1)/(DATE(YEAR(Invoer!$A$5),12,31)-DATE(YEAR(Invoer!$A$5),1,1)+1))+2,1)</f>
        <v>42</v>
      </c>
      <c r="B475" t="str">
        <f ca="1">TEXT(DATE(YEAR(Invoer!$A$5),1,1)+MOD(ROWS(B$2:B475)-1,DATE(YEAR(Invoer!$A$5),12,31)-DATE(YEAR(Invoer!$A$5),1,1)+1),"jjjjmmdd")</f>
        <v>19270419</v>
      </c>
      <c r="C475" s="12">
        <v>1</v>
      </c>
      <c r="D475" s="17">
        <f t="shared" ca="1" si="14"/>
        <v>92</v>
      </c>
      <c r="E475" s="18">
        <f t="shared" ca="1" si="15"/>
        <v>0</v>
      </c>
    </row>
    <row r="476" spans="1:5" x14ac:dyDescent="0.25">
      <c r="A476" s="11">
        <f ca="1">INDEX(Stations,INT((ROWS(A$2:A476)-1)/(DATE(YEAR(Invoer!$A$5),12,31)-DATE(YEAR(Invoer!$A$5),1,1)+1))+2,1)</f>
        <v>42</v>
      </c>
      <c r="B476" t="str">
        <f ca="1">TEXT(DATE(YEAR(Invoer!$A$5),1,1)+MOD(ROWS(B$2:B476)-1,DATE(YEAR(Invoer!$A$5),12,31)-DATE(YEAR(Invoer!$A$5),1,1)+1),"jjjjmmdd")</f>
        <v>19270420</v>
      </c>
      <c r="C476" s="12">
        <v>1</v>
      </c>
      <c r="D476" s="17">
        <f t="shared" ca="1" si="14"/>
        <v>0</v>
      </c>
      <c r="E476" s="18">
        <f t="shared" ca="1" si="15"/>
        <v>0</v>
      </c>
    </row>
    <row r="477" spans="1:5" x14ac:dyDescent="0.25">
      <c r="A477" s="11">
        <f ca="1">INDEX(Stations,INT((ROWS(A$2:A477)-1)/(DATE(YEAR(Invoer!$A$5),12,31)-DATE(YEAR(Invoer!$A$5),1,1)+1))+2,1)</f>
        <v>42</v>
      </c>
      <c r="B477" t="str">
        <f ca="1">TEXT(DATE(YEAR(Invoer!$A$5),1,1)+MOD(ROWS(B$2:B477)-1,DATE(YEAR(Invoer!$A$5),12,31)-DATE(YEAR(Invoer!$A$5),1,1)+1),"jjjjmmdd")</f>
        <v>19270421</v>
      </c>
      <c r="C477" s="12">
        <v>1</v>
      </c>
      <c r="D477" s="17">
        <f t="shared" ca="1" si="14"/>
        <v>0</v>
      </c>
      <c r="E477" s="18">
        <f t="shared" ca="1" si="15"/>
        <v>0</v>
      </c>
    </row>
    <row r="478" spans="1:5" x14ac:dyDescent="0.25">
      <c r="A478" s="11">
        <f ca="1">INDEX(Stations,INT((ROWS(A$2:A478)-1)/(DATE(YEAR(Invoer!$A$5),12,31)-DATE(YEAR(Invoer!$A$5),1,1)+1))+2,1)</f>
        <v>42</v>
      </c>
      <c r="B478" t="str">
        <f ca="1">TEXT(DATE(YEAR(Invoer!$A$5),1,1)+MOD(ROWS(B$2:B478)-1,DATE(YEAR(Invoer!$A$5),12,31)-DATE(YEAR(Invoer!$A$5),1,1)+1),"jjjjmmdd")</f>
        <v>19270422</v>
      </c>
      <c r="C478" s="12">
        <v>1</v>
      </c>
      <c r="D478" s="17">
        <f t="shared" ca="1" si="14"/>
        <v>0</v>
      </c>
      <c r="E478" s="18">
        <f t="shared" ca="1" si="15"/>
        <v>0</v>
      </c>
    </row>
    <row r="479" spans="1:5" x14ac:dyDescent="0.25">
      <c r="A479" s="11">
        <f ca="1">INDEX(Stations,INT((ROWS(A$2:A479)-1)/(DATE(YEAR(Invoer!$A$5),12,31)-DATE(YEAR(Invoer!$A$5),1,1)+1))+2,1)</f>
        <v>42</v>
      </c>
      <c r="B479" t="str">
        <f ca="1">TEXT(DATE(YEAR(Invoer!$A$5),1,1)+MOD(ROWS(B$2:B479)-1,DATE(YEAR(Invoer!$A$5),12,31)-DATE(YEAR(Invoer!$A$5),1,1)+1),"jjjjmmdd")</f>
        <v>19270423</v>
      </c>
      <c r="C479" s="12">
        <v>1</v>
      </c>
      <c r="D479" s="17">
        <f t="shared" ca="1" si="14"/>
        <v>57</v>
      </c>
      <c r="E479" s="18">
        <f t="shared" ca="1" si="15"/>
        <v>0</v>
      </c>
    </row>
    <row r="480" spans="1:5" x14ac:dyDescent="0.25">
      <c r="A480" s="11">
        <f ca="1">INDEX(Stations,INT((ROWS(A$2:A480)-1)/(DATE(YEAR(Invoer!$A$5),12,31)-DATE(YEAR(Invoer!$A$5),1,1)+1))+2,1)</f>
        <v>42</v>
      </c>
      <c r="B480" t="str">
        <f ca="1">TEXT(DATE(YEAR(Invoer!$A$5),1,1)+MOD(ROWS(B$2:B480)-1,DATE(YEAR(Invoer!$A$5),12,31)-DATE(YEAR(Invoer!$A$5),1,1)+1),"jjjjmmdd")</f>
        <v>19270424</v>
      </c>
      <c r="C480" s="12">
        <v>1</v>
      </c>
      <c r="D480" s="17">
        <f t="shared" ca="1" si="14"/>
        <v>136</v>
      </c>
      <c r="E480" s="18">
        <f t="shared" ca="1" si="15"/>
        <v>0</v>
      </c>
    </row>
    <row r="481" spans="1:5" x14ac:dyDescent="0.25">
      <c r="A481" s="11">
        <f ca="1">INDEX(Stations,INT((ROWS(A$2:A481)-1)/(DATE(YEAR(Invoer!$A$5),12,31)-DATE(YEAR(Invoer!$A$5),1,1)+1))+2,1)</f>
        <v>42</v>
      </c>
      <c r="B481" t="str">
        <f ca="1">TEXT(DATE(YEAR(Invoer!$A$5),1,1)+MOD(ROWS(B$2:B481)-1,DATE(YEAR(Invoer!$A$5),12,31)-DATE(YEAR(Invoer!$A$5),1,1)+1),"jjjjmmdd")</f>
        <v>19270425</v>
      </c>
      <c r="C481" s="12">
        <v>1</v>
      </c>
      <c r="D481" s="17">
        <f t="shared" ca="1" si="14"/>
        <v>0</v>
      </c>
      <c r="E481" s="18">
        <f t="shared" ca="1" si="15"/>
        <v>0</v>
      </c>
    </row>
    <row r="482" spans="1:5" x14ac:dyDescent="0.25">
      <c r="A482" s="11">
        <f ca="1">INDEX(Stations,INT((ROWS(A$2:A482)-1)/(DATE(YEAR(Invoer!$A$5),12,31)-DATE(YEAR(Invoer!$A$5),1,1)+1))+2,1)</f>
        <v>42</v>
      </c>
      <c r="B482" t="str">
        <f ca="1">TEXT(DATE(YEAR(Invoer!$A$5),1,1)+MOD(ROWS(B$2:B482)-1,DATE(YEAR(Invoer!$A$5),12,31)-DATE(YEAR(Invoer!$A$5),1,1)+1),"jjjjmmdd")</f>
        <v>19270426</v>
      </c>
      <c r="C482" s="12">
        <v>1</v>
      </c>
      <c r="D482" s="17">
        <f t="shared" ca="1" si="14"/>
        <v>32</v>
      </c>
      <c r="E482" s="18">
        <f t="shared" ca="1" si="15"/>
        <v>0</v>
      </c>
    </row>
    <row r="483" spans="1:5" x14ac:dyDescent="0.25">
      <c r="A483" s="11">
        <f ca="1">INDEX(Stations,INT((ROWS(A$2:A483)-1)/(DATE(YEAR(Invoer!$A$5),12,31)-DATE(YEAR(Invoer!$A$5),1,1)+1))+2,1)</f>
        <v>42</v>
      </c>
      <c r="B483" t="str">
        <f ca="1">TEXT(DATE(YEAR(Invoer!$A$5),1,1)+MOD(ROWS(B$2:B483)-1,DATE(YEAR(Invoer!$A$5),12,31)-DATE(YEAR(Invoer!$A$5),1,1)+1),"jjjjmmdd")</f>
        <v>19270427</v>
      </c>
      <c r="C483" s="12">
        <v>1</v>
      </c>
      <c r="D483" s="17">
        <f t="shared" ca="1" si="14"/>
        <v>0</v>
      </c>
      <c r="E483" s="18">
        <f t="shared" ca="1" si="15"/>
        <v>0</v>
      </c>
    </row>
    <row r="484" spans="1:5" x14ac:dyDescent="0.25">
      <c r="A484" s="11">
        <f ca="1">INDEX(Stations,INT((ROWS(A$2:A484)-1)/(DATE(YEAR(Invoer!$A$5),12,31)-DATE(YEAR(Invoer!$A$5),1,1)+1))+2,1)</f>
        <v>42</v>
      </c>
      <c r="B484" t="str">
        <f ca="1">TEXT(DATE(YEAR(Invoer!$A$5),1,1)+MOD(ROWS(B$2:B484)-1,DATE(YEAR(Invoer!$A$5),12,31)-DATE(YEAR(Invoer!$A$5),1,1)+1),"jjjjmmdd")</f>
        <v>19270428</v>
      </c>
      <c r="C484" s="12">
        <v>1</v>
      </c>
      <c r="D484" s="17">
        <f t="shared" ca="1" si="14"/>
        <v>0</v>
      </c>
      <c r="E484" s="18">
        <f t="shared" ca="1" si="15"/>
        <v>0</v>
      </c>
    </row>
    <row r="485" spans="1:5" x14ac:dyDescent="0.25">
      <c r="A485" s="11">
        <f ca="1">INDEX(Stations,INT((ROWS(A$2:A485)-1)/(DATE(YEAR(Invoer!$A$5),12,31)-DATE(YEAR(Invoer!$A$5),1,1)+1))+2,1)</f>
        <v>42</v>
      </c>
      <c r="B485" t="str">
        <f ca="1">TEXT(DATE(YEAR(Invoer!$A$5),1,1)+MOD(ROWS(B$2:B485)-1,DATE(YEAR(Invoer!$A$5),12,31)-DATE(YEAR(Invoer!$A$5),1,1)+1),"jjjjmmdd")</f>
        <v>19270429</v>
      </c>
      <c r="C485" s="12">
        <v>1</v>
      </c>
      <c r="D485" s="17">
        <f t="shared" ca="1" si="14"/>
        <v>0</v>
      </c>
      <c r="E485" s="18">
        <f t="shared" ca="1" si="15"/>
        <v>0</v>
      </c>
    </row>
    <row r="486" spans="1:5" x14ac:dyDescent="0.25">
      <c r="A486" s="11">
        <f ca="1">INDEX(Stations,INT((ROWS(A$2:A486)-1)/(DATE(YEAR(Invoer!$A$5),12,31)-DATE(YEAR(Invoer!$A$5),1,1)+1))+2,1)</f>
        <v>42</v>
      </c>
      <c r="B486" t="str">
        <f ca="1">TEXT(DATE(YEAR(Invoer!$A$5),1,1)+MOD(ROWS(B$2:B486)-1,DATE(YEAR(Invoer!$A$5),12,31)-DATE(YEAR(Invoer!$A$5),1,1)+1),"jjjjmmdd")</f>
        <v>19270430</v>
      </c>
      <c r="C486" s="12">
        <v>1</v>
      </c>
      <c r="D486" s="17">
        <f t="shared" ca="1" si="14"/>
        <v>0</v>
      </c>
      <c r="E486" s="18">
        <f t="shared" ca="1" si="15"/>
        <v>0</v>
      </c>
    </row>
    <row r="487" spans="1:5" x14ac:dyDescent="0.25">
      <c r="A487" s="11">
        <f ca="1">INDEX(Stations,INT((ROWS(A$2:A487)-1)/(DATE(YEAR(Invoer!$A$5),12,31)-DATE(YEAR(Invoer!$A$5),1,1)+1))+2,1)</f>
        <v>42</v>
      </c>
      <c r="B487" t="str">
        <f ca="1">TEXT(DATE(YEAR(Invoer!$A$5),1,1)+MOD(ROWS(B$2:B487)-1,DATE(YEAR(Invoer!$A$5),12,31)-DATE(YEAR(Invoer!$A$5),1,1)+1),"jjjjmmdd")</f>
        <v>19270501</v>
      </c>
      <c r="C487" s="12">
        <v>1</v>
      </c>
      <c r="D487" s="17">
        <f t="shared" ca="1" si="14"/>
        <v>0</v>
      </c>
      <c r="E487" s="18">
        <f t="shared" ca="1" si="15"/>
        <v>0</v>
      </c>
    </row>
    <row r="488" spans="1:5" x14ac:dyDescent="0.25">
      <c r="A488" s="11">
        <f ca="1">INDEX(Stations,INT((ROWS(A$2:A488)-1)/(DATE(YEAR(Invoer!$A$5),12,31)-DATE(YEAR(Invoer!$A$5),1,1)+1))+2,1)</f>
        <v>42</v>
      </c>
      <c r="B488" t="str">
        <f ca="1">TEXT(DATE(YEAR(Invoer!$A$5),1,1)+MOD(ROWS(B$2:B488)-1,DATE(YEAR(Invoer!$A$5),12,31)-DATE(YEAR(Invoer!$A$5),1,1)+1),"jjjjmmdd")</f>
        <v>19270502</v>
      </c>
      <c r="C488" s="12">
        <v>1</v>
      </c>
      <c r="D488" s="17">
        <f t="shared" ca="1" si="14"/>
        <v>0</v>
      </c>
      <c r="E488" s="18">
        <f t="shared" ca="1" si="15"/>
        <v>0</v>
      </c>
    </row>
    <row r="489" spans="1:5" x14ac:dyDescent="0.25">
      <c r="A489" s="11">
        <f ca="1">INDEX(Stations,INT((ROWS(A$2:A489)-1)/(DATE(YEAR(Invoer!$A$5),12,31)-DATE(YEAR(Invoer!$A$5),1,1)+1))+2,1)</f>
        <v>42</v>
      </c>
      <c r="B489" t="str">
        <f ca="1">TEXT(DATE(YEAR(Invoer!$A$5),1,1)+MOD(ROWS(B$2:B489)-1,DATE(YEAR(Invoer!$A$5),12,31)-DATE(YEAR(Invoer!$A$5),1,1)+1),"jjjjmmdd")</f>
        <v>19270503</v>
      </c>
      <c r="C489" s="12">
        <v>1</v>
      </c>
      <c r="D489" s="17">
        <f t="shared" ca="1" si="14"/>
        <v>0</v>
      </c>
      <c r="E489" s="18">
        <f t="shared" ca="1" si="15"/>
        <v>0</v>
      </c>
    </row>
    <row r="490" spans="1:5" x14ac:dyDescent="0.25">
      <c r="A490" s="11">
        <f ca="1">INDEX(Stations,INT((ROWS(A$2:A490)-1)/(DATE(YEAR(Invoer!$A$5),12,31)-DATE(YEAR(Invoer!$A$5),1,1)+1))+2,1)</f>
        <v>42</v>
      </c>
      <c r="B490" t="str">
        <f ca="1">TEXT(DATE(YEAR(Invoer!$A$5),1,1)+MOD(ROWS(B$2:B490)-1,DATE(YEAR(Invoer!$A$5),12,31)-DATE(YEAR(Invoer!$A$5),1,1)+1),"jjjjmmdd")</f>
        <v>19270504</v>
      </c>
      <c r="C490" s="12">
        <v>1</v>
      </c>
      <c r="D490" s="17">
        <f t="shared" ca="1" si="14"/>
        <v>0</v>
      </c>
      <c r="E490" s="18">
        <f t="shared" ca="1" si="15"/>
        <v>0</v>
      </c>
    </row>
    <row r="491" spans="1:5" x14ac:dyDescent="0.25">
      <c r="A491" s="11">
        <f ca="1">INDEX(Stations,INT((ROWS(A$2:A491)-1)/(DATE(YEAR(Invoer!$A$5),12,31)-DATE(YEAR(Invoer!$A$5),1,1)+1))+2,1)</f>
        <v>42</v>
      </c>
      <c r="B491" t="str">
        <f ca="1">TEXT(DATE(YEAR(Invoer!$A$5),1,1)+MOD(ROWS(B$2:B491)-1,DATE(YEAR(Invoer!$A$5),12,31)-DATE(YEAR(Invoer!$A$5),1,1)+1),"jjjjmmdd")</f>
        <v>19270505</v>
      </c>
      <c r="C491" s="12">
        <v>1</v>
      </c>
      <c r="D491" s="17">
        <f t="shared" ca="1" si="14"/>
        <v>0</v>
      </c>
      <c r="E491" s="18">
        <f t="shared" ca="1" si="15"/>
        <v>0</v>
      </c>
    </row>
    <row r="492" spans="1:5" x14ac:dyDescent="0.25">
      <c r="A492" s="11">
        <f ca="1">INDEX(Stations,INT((ROWS(A$2:A492)-1)/(DATE(YEAR(Invoer!$A$5),12,31)-DATE(YEAR(Invoer!$A$5),1,1)+1))+2,1)</f>
        <v>42</v>
      </c>
      <c r="B492" t="str">
        <f ca="1">TEXT(DATE(YEAR(Invoer!$A$5),1,1)+MOD(ROWS(B$2:B492)-1,DATE(YEAR(Invoer!$A$5),12,31)-DATE(YEAR(Invoer!$A$5),1,1)+1),"jjjjmmdd")</f>
        <v>19270506</v>
      </c>
      <c r="C492" s="12">
        <v>1</v>
      </c>
      <c r="D492" s="17">
        <f t="shared" ca="1" si="14"/>
        <v>0</v>
      </c>
      <c r="E492" s="18">
        <f t="shared" ca="1" si="15"/>
        <v>0</v>
      </c>
    </row>
    <row r="493" spans="1:5" x14ac:dyDescent="0.25">
      <c r="A493" s="11">
        <f ca="1">INDEX(Stations,INT((ROWS(A$2:A493)-1)/(DATE(YEAR(Invoer!$A$5),12,31)-DATE(YEAR(Invoer!$A$5),1,1)+1))+2,1)</f>
        <v>42</v>
      </c>
      <c r="B493" t="str">
        <f ca="1">TEXT(DATE(YEAR(Invoer!$A$5),1,1)+MOD(ROWS(B$2:B493)-1,DATE(YEAR(Invoer!$A$5),12,31)-DATE(YEAR(Invoer!$A$5),1,1)+1),"jjjjmmdd")</f>
        <v>19270507</v>
      </c>
      <c r="C493" s="12">
        <v>1</v>
      </c>
      <c r="D493" s="17">
        <f t="shared" ca="1" si="14"/>
        <v>0</v>
      </c>
      <c r="E493" s="18">
        <f t="shared" ca="1" si="15"/>
        <v>0</v>
      </c>
    </row>
    <row r="494" spans="1:5" x14ac:dyDescent="0.25">
      <c r="A494" s="11">
        <f ca="1">INDEX(Stations,INT((ROWS(A$2:A494)-1)/(DATE(YEAR(Invoer!$A$5),12,31)-DATE(YEAR(Invoer!$A$5),1,1)+1))+2,1)</f>
        <v>42</v>
      </c>
      <c r="B494" t="str">
        <f ca="1">TEXT(DATE(YEAR(Invoer!$A$5),1,1)+MOD(ROWS(B$2:B494)-1,DATE(YEAR(Invoer!$A$5),12,31)-DATE(YEAR(Invoer!$A$5),1,1)+1),"jjjjmmdd")</f>
        <v>19270508</v>
      </c>
      <c r="C494" s="12">
        <v>1</v>
      </c>
      <c r="D494" s="17">
        <f t="shared" ca="1" si="14"/>
        <v>0</v>
      </c>
      <c r="E494" s="18">
        <f t="shared" ca="1" si="15"/>
        <v>0</v>
      </c>
    </row>
    <row r="495" spans="1:5" x14ac:dyDescent="0.25">
      <c r="A495" s="11">
        <f ca="1">INDEX(Stations,INT((ROWS(A$2:A495)-1)/(DATE(YEAR(Invoer!$A$5),12,31)-DATE(YEAR(Invoer!$A$5),1,1)+1))+2,1)</f>
        <v>42</v>
      </c>
      <c r="B495" t="str">
        <f ca="1">TEXT(DATE(YEAR(Invoer!$A$5),1,1)+MOD(ROWS(B$2:B495)-1,DATE(YEAR(Invoer!$A$5),12,31)-DATE(YEAR(Invoer!$A$5),1,1)+1),"jjjjmmdd")</f>
        <v>19270509</v>
      </c>
      <c r="C495" s="12">
        <v>1</v>
      </c>
      <c r="D495" s="17">
        <f t="shared" ca="1" si="14"/>
        <v>0</v>
      </c>
      <c r="E495" s="18">
        <f t="shared" ca="1" si="15"/>
        <v>0</v>
      </c>
    </row>
    <row r="496" spans="1:5" x14ac:dyDescent="0.25">
      <c r="A496" s="11">
        <f ca="1">INDEX(Stations,INT((ROWS(A$2:A496)-1)/(DATE(YEAR(Invoer!$A$5),12,31)-DATE(YEAR(Invoer!$A$5),1,1)+1))+2,1)</f>
        <v>42</v>
      </c>
      <c r="B496" t="str">
        <f ca="1">TEXT(DATE(YEAR(Invoer!$A$5),1,1)+MOD(ROWS(B$2:B496)-1,DATE(YEAR(Invoer!$A$5),12,31)-DATE(YEAR(Invoer!$A$5),1,1)+1),"jjjjmmdd")</f>
        <v>19270510</v>
      </c>
      <c r="C496" s="12">
        <v>1</v>
      </c>
      <c r="D496" s="17">
        <f t="shared" ca="1" si="14"/>
        <v>0</v>
      </c>
      <c r="E496" s="18">
        <f t="shared" ca="1" si="15"/>
        <v>0</v>
      </c>
    </row>
    <row r="497" spans="1:5" x14ac:dyDescent="0.25">
      <c r="A497" s="11">
        <f ca="1">INDEX(Stations,INT((ROWS(A$2:A497)-1)/(DATE(YEAR(Invoer!$A$5),12,31)-DATE(YEAR(Invoer!$A$5),1,1)+1))+2,1)</f>
        <v>42</v>
      </c>
      <c r="B497" t="str">
        <f ca="1">TEXT(DATE(YEAR(Invoer!$A$5),1,1)+MOD(ROWS(B$2:B497)-1,DATE(YEAR(Invoer!$A$5),12,31)-DATE(YEAR(Invoer!$A$5),1,1)+1),"jjjjmmdd")</f>
        <v>19270511</v>
      </c>
      <c r="C497" s="12">
        <v>1</v>
      </c>
      <c r="D497" s="17">
        <f t="shared" ca="1" si="14"/>
        <v>0</v>
      </c>
      <c r="E497" s="18">
        <f t="shared" ca="1" si="15"/>
        <v>0</v>
      </c>
    </row>
    <row r="498" spans="1:5" x14ac:dyDescent="0.25">
      <c r="A498" s="11">
        <f ca="1">INDEX(Stations,INT((ROWS(A$2:A498)-1)/(DATE(YEAR(Invoer!$A$5),12,31)-DATE(YEAR(Invoer!$A$5),1,1)+1))+2,1)</f>
        <v>42</v>
      </c>
      <c r="B498" t="str">
        <f ca="1">TEXT(DATE(YEAR(Invoer!$A$5),1,1)+MOD(ROWS(B$2:B498)-1,DATE(YEAR(Invoer!$A$5),12,31)-DATE(YEAR(Invoer!$A$5),1,1)+1),"jjjjmmdd")</f>
        <v>19270512</v>
      </c>
      <c r="C498" s="12">
        <v>1</v>
      </c>
      <c r="D498" s="17">
        <f t="shared" ca="1" si="14"/>
        <v>0</v>
      </c>
      <c r="E498" s="18">
        <f t="shared" ca="1" si="15"/>
        <v>0</v>
      </c>
    </row>
    <row r="499" spans="1:5" x14ac:dyDescent="0.25">
      <c r="A499" s="11">
        <f ca="1">INDEX(Stations,INT((ROWS(A$2:A499)-1)/(DATE(YEAR(Invoer!$A$5),12,31)-DATE(YEAR(Invoer!$A$5),1,1)+1))+2,1)</f>
        <v>42</v>
      </c>
      <c r="B499" t="str">
        <f ca="1">TEXT(DATE(YEAR(Invoer!$A$5),1,1)+MOD(ROWS(B$2:B499)-1,DATE(YEAR(Invoer!$A$5),12,31)-DATE(YEAR(Invoer!$A$5),1,1)+1),"jjjjmmdd")</f>
        <v>19270513</v>
      </c>
      <c r="C499" s="12">
        <v>1</v>
      </c>
      <c r="D499" s="17">
        <f t="shared" ca="1" si="14"/>
        <v>0</v>
      </c>
      <c r="E499" s="18">
        <f t="shared" ca="1" si="15"/>
        <v>0</v>
      </c>
    </row>
    <row r="500" spans="1:5" x14ac:dyDescent="0.25">
      <c r="A500" s="11">
        <f ca="1">INDEX(Stations,INT((ROWS(A$2:A500)-1)/(DATE(YEAR(Invoer!$A$5),12,31)-DATE(YEAR(Invoer!$A$5),1,1)+1))+2,1)</f>
        <v>42</v>
      </c>
      <c r="B500" t="str">
        <f ca="1">TEXT(DATE(YEAR(Invoer!$A$5),1,1)+MOD(ROWS(B$2:B500)-1,DATE(YEAR(Invoer!$A$5),12,31)-DATE(YEAR(Invoer!$A$5),1,1)+1),"jjjjmmdd")</f>
        <v>19270514</v>
      </c>
      <c r="C500" s="12">
        <v>1</v>
      </c>
      <c r="D500" s="17">
        <f t="shared" ca="1" si="14"/>
        <v>0</v>
      </c>
      <c r="E500" s="18">
        <f t="shared" ca="1" si="15"/>
        <v>0</v>
      </c>
    </row>
    <row r="501" spans="1:5" x14ac:dyDescent="0.25">
      <c r="A501" s="11">
        <f ca="1">INDEX(Stations,INT((ROWS(A$2:A501)-1)/(DATE(YEAR(Invoer!$A$5),12,31)-DATE(YEAR(Invoer!$A$5),1,1)+1))+2,1)</f>
        <v>42</v>
      </c>
      <c r="B501" t="str">
        <f ca="1">TEXT(DATE(YEAR(Invoer!$A$5),1,1)+MOD(ROWS(B$2:B501)-1,DATE(YEAR(Invoer!$A$5),12,31)-DATE(YEAR(Invoer!$A$5),1,1)+1),"jjjjmmdd")</f>
        <v>19270515</v>
      </c>
      <c r="C501" s="12">
        <v>1</v>
      </c>
      <c r="D501" s="17">
        <f t="shared" ca="1" si="14"/>
        <v>0</v>
      </c>
      <c r="E501" s="18">
        <f t="shared" ca="1" si="15"/>
        <v>0</v>
      </c>
    </row>
    <row r="502" spans="1:5" x14ac:dyDescent="0.25">
      <c r="A502" s="11">
        <f ca="1">INDEX(Stations,INT((ROWS(A$2:A502)-1)/(DATE(YEAR(Invoer!$A$5),12,31)-DATE(YEAR(Invoer!$A$5),1,1)+1))+2,1)</f>
        <v>42</v>
      </c>
      <c r="B502" t="str">
        <f ca="1">TEXT(DATE(YEAR(Invoer!$A$5),1,1)+MOD(ROWS(B$2:B502)-1,DATE(YEAR(Invoer!$A$5),12,31)-DATE(YEAR(Invoer!$A$5),1,1)+1),"jjjjmmdd")</f>
        <v>19270516</v>
      </c>
      <c r="C502" s="12">
        <v>1</v>
      </c>
      <c r="D502" s="17">
        <f t="shared" ca="1" si="14"/>
        <v>0</v>
      </c>
      <c r="E502" s="18">
        <f t="shared" ca="1" si="15"/>
        <v>0</v>
      </c>
    </row>
    <row r="503" spans="1:5" x14ac:dyDescent="0.25">
      <c r="A503" s="11">
        <f ca="1">INDEX(Stations,INT((ROWS(A$2:A503)-1)/(DATE(YEAR(Invoer!$A$5),12,31)-DATE(YEAR(Invoer!$A$5),1,1)+1))+2,1)</f>
        <v>42</v>
      </c>
      <c r="B503" t="str">
        <f ca="1">TEXT(DATE(YEAR(Invoer!$A$5),1,1)+MOD(ROWS(B$2:B503)-1,DATE(YEAR(Invoer!$A$5),12,31)-DATE(YEAR(Invoer!$A$5),1,1)+1),"jjjjmmdd")</f>
        <v>19270517</v>
      </c>
      <c r="C503" s="12">
        <v>1</v>
      </c>
      <c r="D503" s="17">
        <f t="shared" ca="1" si="14"/>
        <v>0</v>
      </c>
      <c r="E503" s="18">
        <f t="shared" ca="1" si="15"/>
        <v>0</v>
      </c>
    </row>
    <row r="504" spans="1:5" x14ac:dyDescent="0.25">
      <c r="A504" s="11">
        <f ca="1">INDEX(Stations,INT((ROWS(A$2:A504)-1)/(DATE(YEAR(Invoer!$A$5),12,31)-DATE(YEAR(Invoer!$A$5),1,1)+1))+2,1)</f>
        <v>42</v>
      </c>
      <c r="B504" t="str">
        <f ca="1">TEXT(DATE(YEAR(Invoer!$A$5),1,1)+MOD(ROWS(B$2:B504)-1,DATE(YEAR(Invoer!$A$5),12,31)-DATE(YEAR(Invoer!$A$5),1,1)+1),"jjjjmmdd")</f>
        <v>19270518</v>
      </c>
      <c r="C504" s="12">
        <v>1</v>
      </c>
      <c r="D504" s="17">
        <f t="shared" ca="1" si="14"/>
        <v>0</v>
      </c>
      <c r="E504" s="18">
        <f t="shared" ca="1" si="15"/>
        <v>0</v>
      </c>
    </row>
    <row r="505" spans="1:5" x14ac:dyDescent="0.25">
      <c r="A505" s="11">
        <f ca="1">INDEX(Stations,INT((ROWS(A$2:A505)-1)/(DATE(YEAR(Invoer!$A$5),12,31)-DATE(YEAR(Invoer!$A$5),1,1)+1))+2,1)</f>
        <v>42</v>
      </c>
      <c r="B505" t="str">
        <f ca="1">TEXT(DATE(YEAR(Invoer!$A$5),1,1)+MOD(ROWS(B$2:B505)-1,DATE(YEAR(Invoer!$A$5),12,31)-DATE(YEAR(Invoer!$A$5),1,1)+1),"jjjjmmdd")</f>
        <v>19270519</v>
      </c>
      <c r="C505" s="12">
        <v>1</v>
      </c>
      <c r="D505" s="17">
        <f t="shared" ca="1" si="14"/>
        <v>19</v>
      </c>
      <c r="E505" s="18">
        <f t="shared" ca="1" si="15"/>
        <v>0</v>
      </c>
    </row>
    <row r="506" spans="1:5" x14ac:dyDescent="0.25">
      <c r="A506" s="11">
        <f ca="1">INDEX(Stations,INT((ROWS(A$2:A506)-1)/(DATE(YEAR(Invoer!$A$5),12,31)-DATE(YEAR(Invoer!$A$5),1,1)+1))+2,1)</f>
        <v>42</v>
      </c>
      <c r="B506" t="str">
        <f ca="1">TEXT(DATE(YEAR(Invoer!$A$5),1,1)+MOD(ROWS(B$2:B506)-1,DATE(YEAR(Invoer!$A$5),12,31)-DATE(YEAR(Invoer!$A$5),1,1)+1),"jjjjmmdd")</f>
        <v>19270520</v>
      </c>
      <c r="C506" s="12">
        <v>1</v>
      </c>
      <c r="D506" s="17">
        <f t="shared" ca="1" si="14"/>
        <v>0</v>
      </c>
      <c r="E506" s="18">
        <f t="shared" ca="1" si="15"/>
        <v>0</v>
      </c>
    </row>
    <row r="507" spans="1:5" x14ac:dyDescent="0.25">
      <c r="A507" s="11">
        <f ca="1">INDEX(Stations,INT((ROWS(A$2:A507)-1)/(DATE(YEAR(Invoer!$A$5),12,31)-DATE(YEAR(Invoer!$A$5),1,1)+1))+2,1)</f>
        <v>42</v>
      </c>
      <c r="B507" t="str">
        <f ca="1">TEXT(DATE(YEAR(Invoer!$A$5),1,1)+MOD(ROWS(B$2:B507)-1,DATE(YEAR(Invoer!$A$5),12,31)-DATE(YEAR(Invoer!$A$5),1,1)+1),"jjjjmmdd")</f>
        <v>19270521</v>
      </c>
      <c r="C507" s="12">
        <v>1</v>
      </c>
      <c r="D507" s="17">
        <f t="shared" ca="1" si="14"/>
        <v>0</v>
      </c>
      <c r="E507" s="18">
        <f t="shared" ca="1" si="15"/>
        <v>0</v>
      </c>
    </row>
    <row r="508" spans="1:5" x14ac:dyDescent="0.25">
      <c r="A508" s="11">
        <f ca="1">INDEX(Stations,INT((ROWS(A$2:A508)-1)/(DATE(YEAR(Invoer!$A$5),12,31)-DATE(YEAR(Invoer!$A$5),1,1)+1))+2,1)</f>
        <v>42</v>
      </c>
      <c r="B508" t="str">
        <f ca="1">TEXT(DATE(YEAR(Invoer!$A$5),1,1)+MOD(ROWS(B$2:B508)-1,DATE(YEAR(Invoer!$A$5),12,31)-DATE(YEAR(Invoer!$A$5),1,1)+1),"jjjjmmdd")</f>
        <v>19270522</v>
      </c>
      <c r="C508" s="12">
        <v>1</v>
      </c>
      <c r="D508" s="17">
        <f t="shared" ca="1" si="14"/>
        <v>0</v>
      </c>
      <c r="E508" s="18">
        <f t="shared" ca="1" si="15"/>
        <v>0</v>
      </c>
    </row>
    <row r="509" spans="1:5" x14ac:dyDescent="0.25">
      <c r="A509" s="11">
        <f ca="1">INDEX(Stations,INT((ROWS(A$2:A509)-1)/(DATE(YEAR(Invoer!$A$5),12,31)-DATE(YEAR(Invoer!$A$5),1,1)+1))+2,1)</f>
        <v>42</v>
      </c>
      <c r="B509" t="str">
        <f ca="1">TEXT(DATE(YEAR(Invoer!$A$5),1,1)+MOD(ROWS(B$2:B509)-1,DATE(YEAR(Invoer!$A$5),12,31)-DATE(YEAR(Invoer!$A$5),1,1)+1),"jjjjmmdd")</f>
        <v>19270523</v>
      </c>
      <c r="C509" s="12">
        <v>1</v>
      </c>
      <c r="D509" s="17">
        <f t="shared" ca="1" si="14"/>
        <v>20</v>
      </c>
      <c r="E509" s="18">
        <f t="shared" ca="1" si="15"/>
        <v>0</v>
      </c>
    </row>
    <row r="510" spans="1:5" x14ac:dyDescent="0.25">
      <c r="A510" s="11">
        <f ca="1">INDEX(Stations,INT((ROWS(A$2:A510)-1)/(DATE(YEAR(Invoer!$A$5),12,31)-DATE(YEAR(Invoer!$A$5),1,1)+1))+2,1)</f>
        <v>42</v>
      </c>
      <c r="B510" t="str">
        <f ca="1">TEXT(DATE(YEAR(Invoer!$A$5),1,1)+MOD(ROWS(B$2:B510)-1,DATE(YEAR(Invoer!$A$5),12,31)-DATE(YEAR(Invoer!$A$5),1,1)+1),"jjjjmmdd")</f>
        <v>19270524</v>
      </c>
      <c r="C510" s="12">
        <v>1</v>
      </c>
      <c r="D510" s="17">
        <f t="shared" ca="1" si="14"/>
        <v>0</v>
      </c>
      <c r="E510" s="18">
        <f t="shared" ca="1" si="15"/>
        <v>0</v>
      </c>
    </row>
    <row r="511" spans="1:5" x14ac:dyDescent="0.25">
      <c r="A511" s="11">
        <f ca="1">INDEX(Stations,INT((ROWS(A$2:A511)-1)/(DATE(YEAR(Invoer!$A$5),12,31)-DATE(YEAR(Invoer!$A$5),1,1)+1))+2,1)</f>
        <v>42</v>
      </c>
      <c r="B511" t="str">
        <f ca="1">TEXT(DATE(YEAR(Invoer!$A$5),1,1)+MOD(ROWS(B$2:B511)-1,DATE(YEAR(Invoer!$A$5),12,31)-DATE(YEAR(Invoer!$A$5),1,1)+1),"jjjjmmdd")</f>
        <v>19270525</v>
      </c>
      <c r="C511" s="12">
        <v>1</v>
      </c>
      <c r="D511" s="17">
        <f t="shared" ca="1" si="14"/>
        <v>0</v>
      </c>
      <c r="E511" s="18">
        <f t="shared" ca="1" si="15"/>
        <v>0</v>
      </c>
    </row>
    <row r="512" spans="1:5" x14ac:dyDescent="0.25">
      <c r="A512" s="11">
        <f ca="1">INDEX(Stations,INT((ROWS(A$2:A512)-1)/(DATE(YEAR(Invoer!$A$5),12,31)-DATE(YEAR(Invoer!$A$5),1,1)+1))+2,1)</f>
        <v>42</v>
      </c>
      <c r="B512" t="str">
        <f ca="1">TEXT(DATE(YEAR(Invoer!$A$5),1,1)+MOD(ROWS(B$2:B512)-1,DATE(YEAR(Invoer!$A$5),12,31)-DATE(YEAR(Invoer!$A$5),1,1)+1),"jjjjmmdd")</f>
        <v>19270526</v>
      </c>
      <c r="C512" s="12">
        <v>1</v>
      </c>
      <c r="D512" s="17">
        <f t="shared" ca="1" si="14"/>
        <v>0</v>
      </c>
      <c r="E512" s="18">
        <f t="shared" ca="1" si="15"/>
        <v>0</v>
      </c>
    </row>
    <row r="513" spans="1:5" x14ac:dyDescent="0.25">
      <c r="A513" s="11">
        <f ca="1">INDEX(Stations,INT((ROWS(A$2:A513)-1)/(DATE(YEAR(Invoer!$A$5),12,31)-DATE(YEAR(Invoer!$A$5),1,1)+1))+2,1)</f>
        <v>42</v>
      </c>
      <c r="B513" t="str">
        <f ca="1">TEXT(DATE(YEAR(Invoer!$A$5),1,1)+MOD(ROWS(B$2:B513)-1,DATE(YEAR(Invoer!$A$5),12,31)-DATE(YEAR(Invoer!$A$5),1,1)+1),"jjjjmmdd")</f>
        <v>19270527</v>
      </c>
      <c r="C513" s="12">
        <v>1</v>
      </c>
      <c r="D513" s="17">
        <f t="shared" ca="1" si="14"/>
        <v>0</v>
      </c>
      <c r="E513" s="18">
        <f t="shared" ca="1" si="15"/>
        <v>0</v>
      </c>
    </row>
    <row r="514" spans="1:5" x14ac:dyDescent="0.25">
      <c r="A514" s="11">
        <f ca="1">INDEX(Stations,INT((ROWS(A$2:A514)-1)/(DATE(YEAR(Invoer!$A$5),12,31)-DATE(YEAR(Invoer!$A$5),1,1)+1))+2,1)</f>
        <v>42</v>
      </c>
      <c r="B514" t="str">
        <f ca="1">TEXT(DATE(YEAR(Invoer!$A$5),1,1)+MOD(ROWS(B$2:B514)-1,DATE(YEAR(Invoer!$A$5),12,31)-DATE(YEAR(Invoer!$A$5),1,1)+1),"jjjjmmdd")</f>
        <v>19270528</v>
      </c>
      <c r="C514" s="12">
        <v>1</v>
      </c>
      <c r="D514" s="17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0</v>
      </c>
      <c r="E514" s="18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1">
        <f ca="1">INDEX(Stations,INT((ROWS(A$2:A515)-1)/(DATE(YEAR(Invoer!$A$5),12,31)-DATE(YEAR(Invoer!$A$5),1,1)+1))+2,1)</f>
        <v>42</v>
      </c>
      <c r="B515" t="str">
        <f ca="1">TEXT(DATE(YEAR(Invoer!$A$5),1,1)+MOD(ROWS(B$2:B515)-1,DATE(YEAR(Invoer!$A$5),12,31)-DATE(YEAR(Invoer!$A$5),1,1)+1),"jjjjmmdd")</f>
        <v>19270529</v>
      </c>
      <c r="C515" s="12">
        <v>1</v>
      </c>
      <c r="D515" s="17">
        <f t="shared" ca="1" si="16"/>
        <v>0</v>
      </c>
      <c r="E515" s="18">
        <f t="shared" ca="1" si="17"/>
        <v>0</v>
      </c>
    </row>
    <row r="516" spans="1:5" x14ac:dyDescent="0.25">
      <c r="A516" s="11">
        <f ca="1">INDEX(Stations,INT((ROWS(A$2:A516)-1)/(DATE(YEAR(Invoer!$A$5),12,31)-DATE(YEAR(Invoer!$A$5),1,1)+1))+2,1)</f>
        <v>42</v>
      </c>
      <c r="B516" t="str">
        <f ca="1">TEXT(DATE(YEAR(Invoer!$A$5),1,1)+MOD(ROWS(B$2:B516)-1,DATE(YEAR(Invoer!$A$5),12,31)-DATE(YEAR(Invoer!$A$5),1,1)+1),"jjjjmmdd")</f>
        <v>19270530</v>
      </c>
      <c r="C516" s="12">
        <v>1</v>
      </c>
      <c r="D516" s="17">
        <f t="shared" ca="1" si="16"/>
        <v>0</v>
      </c>
      <c r="E516" s="18">
        <f t="shared" ca="1" si="17"/>
        <v>0</v>
      </c>
    </row>
    <row r="517" spans="1:5" x14ac:dyDescent="0.25">
      <c r="A517" s="11">
        <f ca="1">INDEX(Stations,INT((ROWS(A$2:A517)-1)/(DATE(YEAR(Invoer!$A$5),12,31)-DATE(YEAR(Invoer!$A$5),1,1)+1))+2,1)</f>
        <v>42</v>
      </c>
      <c r="B517" t="str">
        <f ca="1">TEXT(DATE(YEAR(Invoer!$A$5),1,1)+MOD(ROWS(B$2:B517)-1,DATE(YEAR(Invoer!$A$5),12,31)-DATE(YEAR(Invoer!$A$5),1,1)+1),"jjjjmmdd")</f>
        <v>19270531</v>
      </c>
      <c r="C517" s="12">
        <v>1</v>
      </c>
      <c r="D517" s="17">
        <f t="shared" ca="1" si="16"/>
        <v>0</v>
      </c>
      <c r="E517" s="18">
        <f t="shared" ca="1" si="17"/>
        <v>0</v>
      </c>
    </row>
    <row r="518" spans="1:5" x14ac:dyDescent="0.25">
      <c r="A518" s="11">
        <f ca="1">INDEX(Stations,INT((ROWS(A$2:A518)-1)/(DATE(YEAR(Invoer!$A$5),12,31)-DATE(YEAR(Invoer!$A$5),1,1)+1))+2,1)</f>
        <v>42</v>
      </c>
      <c r="B518" t="str">
        <f ca="1">TEXT(DATE(YEAR(Invoer!$A$5),1,1)+MOD(ROWS(B$2:B518)-1,DATE(YEAR(Invoer!$A$5),12,31)-DATE(YEAR(Invoer!$A$5),1,1)+1),"jjjjmmdd")</f>
        <v>19270601</v>
      </c>
      <c r="C518" s="12">
        <v>1</v>
      </c>
      <c r="D518" s="17">
        <f t="shared" ca="1" si="16"/>
        <v>0</v>
      </c>
      <c r="E518" s="18">
        <f t="shared" ca="1" si="17"/>
        <v>0</v>
      </c>
    </row>
    <row r="519" spans="1:5" x14ac:dyDescent="0.25">
      <c r="A519" s="11">
        <f ca="1">INDEX(Stations,INT((ROWS(A$2:A519)-1)/(DATE(YEAR(Invoer!$A$5),12,31)-DATE(YEAR(Invoer!$A$5),1,1)+1))+2,1)</f>
        <v>42</v>
      </c>
      <c r="B519" t="str">
        <f ca="1">TEXT(DATE(YEAR(Invoer!$A$5),1,1)+MOD(ROWS(B$2:B519)-1,DATE(YEAR(Invoer!$A$5),12,31)-DATE(YEAR(Invoer!$A$5),1,1)+1),"jjjjmmdd")</f>
        <v>19270602</v>
      </c>
      <c r="C519" s="12">
        <v>1</v>
      </c>
      <c r="D519" s="17">
        <f t="shared" ca="1" si="16"/>
        <v>0</v>
      </c>
      <c r="E519" s="18">
        <f t="shared" ca="1" si="17"/>
        <v>0</v>
      </c>
    </row>
    <row r="520" spans="1:5" x14ac:dyDescent="0.25">
      <c r="A520" s="11">
        <f ca="1">INDEX(Stations,INT((ROWS(A$2:A520)-1)/(DATE(YEAR(Invoer!$A$5),12,31)-DATE(YEAR(Invoer!$A$5),1,1)+1))+2,1)</f>
        <v>42</v>
      </c>
      <c r="B520" t="str">
        <f ca="1">TEXT(DATE(YEAR(Invoer!$A$5),1,1)+MOD(ROWS(B$2:B520)-1,DATE(YEAR(Invoer!$A$5),12,31)-DATE(YEAR(Invoer!$A$5),1,1)+1),"jjjjmmdd")</f>
        <v>19270603</v>
      </c>
      <c r="C520" s="12">
        <v>1</v>
      </c>
      <c r="D520" s="17">
        <f t="shared" ca="1" si="16"/>
        <v>0</v>
      </c>
      <c r="E520" s="18">
        <f t="shared" ca="1" si="17"/>
        <v>0</v>
      </c>
    </row>
    <row r="521" spans="1:5" x14ac:dyDescent="0.25">
      <c r="A521" s="11">
        <f ca="1">INDEX(Stations,INT((ROWS(A$2:A521)-1)/(DATE(YEAR(Invoer!$A$5),12,31)-DATE(YEAR(Invoer!$A$5),1,1)+1))+2,1)</f>
        <v>42</v>
      </c>
      <c r="B521" t="str">
        <f ca="1">TEXT(DATE(YEAR(Invoer!$A$5),1,1)+MOD(ROWS(B$2:B521)-1,DATE(YEAR(Invoer!$A$5),12,31)-DATE(YEAR(Invoer!$A$5),1,1)+1),"jjjjmmdd")</f>
        <v>19270604</v>
      </c>
      <c r="C521" s="12">
        <v>1</v>
      </c>
      <c r="D521" s="17">
        <f t="shared" ca="1" si="16"/>
        <v>0</v>
      </c>
      <c r="E521" s="18">
        <f t="shared" ca="1" si="17"/>
        <v>0</v>
      </c>
    </row>
    <row r="522" spans="1:5" x14ac:dyDescent="0.25">
      <c r="A522" s="11">
        <f ca="1">INDEX(Stations,INT((ROWS(A$2:A522)-1)/(DATE(YEAR(Invoer!$A$5),12,31)-DATE(YEAR(Invoer!$A$5),1,1)+1))+2,1)</f>
        <v>42</v>
      </c>
      <c r="B522" t="str">
        <f ca="1">TEXT(DATE(YEAR(Invoer!$A$5),1,1)+MOD(ROWS(B$2:B522)-1,DATE(YEAR(Invoer!$A$5),12,31)-DATE(YEAR(Invoer!$A$5),1,1)+1),"jjjjmmdd")</f>
        <v>19270605</v>
      </c>
      <c r="C522" s="12">
        <v>1</v>
      </c>
      <c r="D522" s="17">
        <f t="shared" ca="1" si="16"/>
        <v>0</v>
      </c>
      <c r="E522" s="18">
        <f t="shared" ca="1" si="17"/>
        <v>0</v>
      </c>
    </row>
    <row r="523" spans="1:5" x14ac:dyDescent="0.25">
      <c r="A523" s="11">
        <f ca="1">INDEX(Stations,INT((ROWS(A$2:A523)-1)/(DATE(YEAR(Invoer!$A$5),12,31)-DATE(YEAR(Invoer!$A$5),1,1)+1))+2,1)</f>
        <v>42</v>
      </c>
      <c r="B523" t="str">
        <f ca="1">TEXT(DATE(YEAR(Invoer!$A$5),1,1)+MOD(ROWS(B$2:B523)-1,DATE(YEAR(Invoer!$A$5),12,31)-DATE(YEAR(Invoer!$A$5),1,1)+1),"jjjjmmdd")</f>
        <v>19270606</v>
      </c>
      <c r="C523" s="12">
        <v>1</v>
      </c>
      <c r="D523" s="17">
        <f t="shared" ca="1" si="16"/>
        <v>0</v>
      </c>
      <c r="E523" s="18">
        <f t="shared" ca="1" si="17"/>
        <v>0</v>
      </c>
    </row>
    <row r="524" spans="1:5" x14ac:dyDescent="0.25">
      <c r="A524" s="11">
        <f ca="1">INDEX(Stations,INT((ROWS(A$2:A524)-1)/(DATE(YEAR(Invoer!$A$5),12,31)-DATE(YEAR(Invoer!$A$5),1,1)+1))+2,1)</f>
        <v>42</v>
      </c>
      <c r="B524" t="str">
        <f ca="1">TEXT(DATE(YEAR(Invoer!$A$5),1,1)+MOD(ROWS(B$2:B524)-1,DATE(YEAR(Invoer!$A$5),12,31)-DATE(YEAR(Invoer!$A$5),1,1)+1),"jjjjmmdd")</f>
        <v>19270607</v>
      </c>
      <c r="C524" s="12">
        <v>1</v>
      </c>
      <c r="D524" s="17">
        <f t="shared" ca="1" si="16"/>
        <v>0</v>
      </c>
      <c r="E524" s="18">
        <f t="shared" ca="1" si="17"/>
        <v>0</v>
      </c>
    </row>
    <row r="525" spans="1:5" x14ac:dyDescent="0.25">
      <c r="A525" s="11">
        <f ca="1">INDEX(Stations,INT((ROWS(A$2:A525)-1)/(DATE(YEAR(Invoer!$A$5),12,31)-DATE(YEAR(Invoer!$A$5),1,1)+1))+2,1)</f>
        <v>42</v>
      </c>
      <c r="B525" t="str">
        <f ca="1">TEXT(DATE(YEAR(Invoer!$A$5),1,1)+MOD(ROWS(B$2:B525)-1,DATE(YEAR(Invoer!$A$5),12,31)-DATE(YEAR(Invoer!$A$5),1,1)+1),"jjjjmmdd")</f>
        <v>19270608</v>
      </c>
      <c r="C525" s="12">
        <v>1</v>
      </c>
      <c r="D525" s="17">
        <f t="shared" ca="1" si="16"/>
        <v>58</v>
      </c>
      <c r="E525" s="18">
        <f t="shared" ca="1" si="17"/>
        <v>0</v>
      </c>
    </row>
    <row r="526" spans="1:5" x14ac:dyDescent="0.25">
      <c r="A526" s="11">
        <f ca="1">INDEX(Stations,INT((ROWS(A$2:A526)-1)/(DATE(YEAR(Invoer!$A$5),12,31)-DATE(YEAR(Invoer!$A$5),1,1)+1))+2,1)</f>
        <v>42</v>
      </c>
      <c r="B526" t="str">
        <f ca="1">TEXT(DATE(YEAR(Invoer!$A$5),1,1)+MOD(ROWS(B$2:B526)-1,DATE(YEAR(Invoer!$A$5),12,31)-DATE(YEAR(Invoer!$A$5),1,1)+1),"jjjjmmdd")</f>
        <v>19270609</v>
      </c>
      <c r="C526" s="12">
        <v>1</v>
      </c>
      <c r="D526" s="17">
        <f t="shared" ca="1" si="16"/>
        <v>0</v>
      </c>
      <c r="E526" s="18">
        <f t="shared" ca="1" si="17"/>
        <v>0</v>
      </c>
    </row>
    <row r="527" spans="1:5" x14ac:dyDescent="0.25">
      <c r="A527" s="11">
        <f ca="1">INDEX(Stations,INT((ROWS(A$2:A527)-1)/(DATE(YEAR(Invoer!$A$5),12,31)-DATE(YEAR(Invoer!$A$5),1,1)+1))+2,1)</f>
        <v>42</v>
      </c>
      <c r="B527" t="str">
        <f ca="1">TEXT(DATE(YEAR(Invoer!$A$5),1,1)+MOD(ROWS(B$2:B527)-1,DATE(YEAR(Invoer!$A$5),12,31)-DATE(YEAR(Invoer!$A$5),1,1)+1),"jjjjmmdd")</f>
        <v>19270610</v>
      </c>
      <c r="C527" s="12">
        <v>1</v>
      </c>
      <c r="D527" s="17">
        <f t="shared" ca="1" si="16"/>
        <v>0</v>
      </c>
      <c r="E527" s="18">
        <f t="shared" ca="1" si="17"/>
        <v>0</v>
      </c>
    </row>
    <row r="528" spans="1:5" x14ac:dyDescent="0.25">
      <c r="A528" s="11">
        <f ca="1">INDEX(Stations,INT((ROWS(A$2:A528)-1)/(DATE(YEAR(Invoer!$A$5),12,31)-DATE(YEAR(Invoer!$A$5),1,1)+1))+2,1)</f>
        <v>42</v>
      </c>
      <c r="B528" t="str">
        <f ca="1">TEXT(DATE(YEAR(Invoer!$A$5),1,1)+MOD(ROWS(B$2:B528)-1,DATE(YEAR(Invoer!$A$5),12,31)-DATE(YEAR(Invoer!$A$5),1,1)+1),"jjjjmmdd")</f>
        <v>19270611</v>
      </c>
      <c r="C528" s="12">
        <v>1</v>
      </c>
      <c r="D528" s="17">
        <f t="shared" ca="1" si="16"/>
        <v>0</v>
      </c>
      <c r="E528" s="18">
        <f t="shared" ca="1" si="17"/>
        <v>0</v>
      </c>
    </row>
    <row r="529" spans="1:5" x14ac:dyDescent="0.25">
      <c r="A529" s="11">
        <f ca="1">INDEX(Stations,INT((ROWS(A$2:A529)-1)/(DATE(YEAR(Invoer!$A$5),12,31)-DATE(YEAR(Invoer!$A$5),1,1)+1))+2,1)</f>
        <v>42</v>
      </c>
      <c r="B529" t="str">
        <f ca="1">TEXT(DATE(YEAR(Invoer!$A$5),1,1)+MOD(ROWS(B$2:B529)-1,DATE(YEAR(Invoer!$A$5),12,31)-DATE(YEAR(Invoer!$A$5),1,1)+1),"jjjjmmdd")</f>
        <v>19270612</v>
      </c>
      <c r="C529" s="12">
        <v>1</v>
      </c>
      <c r="D529" s="17">
        <f t="shared" ca="1" si="16"/>
        <v>0</v>
      </c>
      <c r="E529" s="18">
        <f t="shared" ca="1" si="17"/>
        <v>0</v>
      </c>
    </row>
    <row r="530" spans="1:5" x14ac:dyDescent="0.25">
      <c r="A530" s="11">
        <f ca="1">INDEX(Stations,INT((ROWS(A$2:A530)-1)/(DATE(YEAR(Invoer!$A$5),12,31)-DATE(YEAR(Invoer!$A$5),1,1)+1))+2,1)</f>
        <v>42</v>
      </c>
      <c r="B530" t="str">
        <f ca="1">TEXT(DATE(YEAR(Invoer!$A$5),1,1)+MOD(ROWS(B$2:B530)-1,DATE(YEAR(Invoer!$A$5),12,31)-DATE(YEAR(Invoer!$A$5),1,1)+1),"jjjjmmdd")</f>
        <v>19270613</v>
      </c>
      <c r="C530" s="12">
        <v>1</v>
      </c>
      <c r="D530" s="17">
        <f t="shared" ca="1" si="16"/>
        <v>0</v>
      </c>
      <c r="E530" s="18">
        <f t="shared" ca="1" si="17"/>
        <v>0</v>
      </c>
    </row>
    <row r="531" spans="1:5" x14ac:dyDescent="0.25">
      <c r="A531" s="11">
        <f ca="1">INDEX(Stations,INT((ROWS(A$2:A531)-1)/(DATE(YEAR(Invoer!$A$5),12,31)-DATE(YEAR(Invoer!$A$5),1,1)+1))+2,1)</f>
        <v>42</v>
      </c>
      <c r="B531" t="str">
        <f ca="1">TEXT(DATE(YEAR(Invoer!$A$5),1,1)+MOD(ROWS(B$2:B531)-1,DATE(YEAR(Invoer!$A$5),12,31)-DATE(YEAR(Invoer!$A$5),1,1)+1),"jjjjmmdd")</f>
        <v>19270614</v>
      </c>
      <c r="C531" s="12">
        <v>1</v>
      </c>
      <c r="D531" s="17">
        <f t="shared" ca="1" si="16"/>
        <v>0</v>
      </c>
      <c r="E531" s="18">
        <f t="shared" ca="1" si="17"/>
        <v>0</v>
      </c>
    </row>
    <row r="532" spans="1:5" x14ac:dyDescent="0.25">
      <c r="A532" s="11">
        <f ca="1">INDEX(Stations,INT((ROWS(A$2:A532)-1)/(DATE(YEAR(Invoer!$A$5),12,31)-DATE(YEAR(Invoer!$A$5),1,1)+1))+2,1)</f>
        <v>42</v>
      </c>
      <c r="B532" t="str">
        <f ca="1">TEXT(DATE(YEAR(Invoer!$A$5),1,1)+MOD(ROWS(B$2:B532)-1,DATE(YEAR(Invoer!$A$5),12,31)-DATE(YEAR(Invoer!$A$5),1,1)+1),"jjjjmmdd")</f>
        <v>19270615</v>
      </c>
      <c r="C532" s="12">
        <v>1</v>
      </c>
      <c r="D532" s="17">
        <f t="shared" ca="1" si="16"/>
        <v>0</v>
      </c>
      <c r="E532" s="18">
        <f t="shared" ca="1" si="17"/>
        <v>0</v>
      </c>
    </row>
    <row r="533" spans="1:5" x14ac:dyDescent="0.25">
      <c r="A533" s="11">
        <f ca="1">INDEX(Stations,INT((ROWS(A$2:A533)-1)/(DATE(YEAR(Invoer!$A$5),12,31)-DATE(YEAR(Invoer!$A$5),1,1)+1))+2,1)</f>
        <v>42</v>
      </c>
      <c r="B533" t="str">
        <f ca="1">TEXT(DATE(YEAR(Invoer!$A$5),1,1)+MOD(ROWS(B$2:B533)-1,DATE(YEAR(Invoer!$A$5),12,31)-DATE(YEAR(Invoer!$A$5),1,1)+1),"jjjjmmdd")</f>
        <v>19270616</v>
      </c>
      <c r="C533" s="12">
        <v>1</v>
      </c>
      <c r="D533" s="17">
        <f t="shared" ca="1" si="16"/>
        <v>32</v>
      </c>
      <c r="E533" s="18">
        <f t="shared" ca="1" si="17"/>
        <v>0</v>
      </c>
    </row>
    <row r="534" spans="1:5" x14ac:dyDescent="0.25">
      <c r="A534" s="11">
        <f ca="1">INDEX(Stations,INT((ROWS(A$2:A534)-1)/(DATE(YEAR(Invoer!$A$5),12,31)-DATE(YEAR(Invoer!$A$5),1,1)+1))+2,1)</f>
        <v>42</v>
      </c>
      <c r="B534" t="str">
        <f ca="1">TEXT(DATE(YEAR(Invoer!$A$5),1,1)+MOD(ROWS(B$2:B534)-1,DATE(YEAR(Invoer!$A$5),12,31)-DATE(YEAR(Invoer!$A$5),1,1)+1),"jjjjmmdd")</f>
        <v>19270617</v>
      </c>
      <c r="C534" s="12">
        <v>1</v>
      </c>
      <c r="D534" s="17">
        <f t="shared" ca="1" si="16"/>
        <v>0</v>
      </c>
      <c r="E534" s="18">
        <f t="shared" ca="1" si="17"/>
        <v>0</v>
      </c>
    </row>
    <row r="535" spans="1:5" x14ac:dyDescent="0.25">
      <c r="A535" s="11">
        <f ca="1">INDEX(Stations,INT((ROWS(A$2:A535)-1)/(DATE(YEAR(Invoer!$A$5),12,31)-DATE(YEAR(Invoer!$A$5),1,1)+1))+2,1)</f>
        <v>42</v>
      </c>
      <c r="B535" t="str">
        <f ca="1">TEXT(DATE(YEAR(Invoer!$A$5),1,1)+MOD(ROWS(B$2:B535)-1,DATE(YEAR(Invoer!$A$5),12,31)-DATE(YEAR(Invoer!$A$5),1,1)+1),"jjjjmmdd")</f>
        <v>19270618</v>
      </c>
      <c r="C535" s="12">
        <v>1</v>
      </c>
      <c r="D535" s="17">
        <f t="shared" ca="1" si="16"/>
        <v>0</v>
      </c>
      <c r="E535" s="18">
        <f t="shared" ca="1" si="17"/>
        <v>0</v>
      </c>
    </row>
    <row r="536" spans="1:5" x14ac:dyDescent="0.25">
      <c r="A536" s="11">
        <f ca="1">INDEX(Stations,INT((ROWS(A$2:A536)-1)/(DATE(YEAR(Invoer!$A$5),12,31)-DATE(YEAR(Invoer!$A$5),1,1)+1))+2,1)</f>
        <v>42</v>
      </c>
      <c r="B536" t="str">
        <f ca="1">TEXT(DATE(YEAR(Invoer!$A$5),1,1)+MOD(ROWS(B$2:B536)-1,DATE(YEAR(Invoer!$A$5),12,31)-DATE(YEAR(Invoer!$A$5),1,1)+1),"jjjjmmdd")</f>
        <v>19270619</v>
      </c>
      <c r="C536" s="12">
        <v>1</v>
      </c>
      <c r="D536" s="17">
        <f t="shared" ca="1" si="16"/>
        <v>0</v>
      </c>
      <c r="E536" s="18">
        <f t="shared" ca="1" si="17"/>
        <v>0</v>
      </c>
    </row>
    <row r="537" spans="1:5" x14ac:dyDescent="0.25">
      <c r="A537" s="11">
        <f ca="1">INDEX(Stations,INT((ROWS(A$2:A537)-1)/(DATE(YEAR(Invoer!$A$5),12,31)-DATE(YEAR(Invoer!$A$5),1,1)+1))+2,1)</f>
        <v>42</v>
      </c>
      <c r="B537" t="str">
        <f ca="1">TEXT(DATE(YEAR(Invoer!$A$5),1,1)+MOD(ROWS(B$2:B537)-1,DATE(YEAR(Invoer!$A$5),12,31)-DATE(YEAR(Invoer!$A$5),1,1)+1),"jjjjmmdd")</f>
        <v>19270620</v>
      </c>
      <c r="C537" s="12">
        <v>1</v>
      </c>
      <c r="D537" s="17">
        <f t="shared" ca="1" si="16"/>
        <v>181</v>
      </c>
      <c r="E537" s="18">
        <f t="shared" ca="1" si="17"/>
        <v>0</v>
      </c>
    </row>
    <row r="538" spans="1:5" x14ac:dyDescent="0.25">
      <c r="A538" s="11">
        <f ca="1">INDEX(Stations,INT((ROWS(A$2:A538)-1)/(DATE(YEAR(Invoer!$A$5),12,31)-DATE(YEAR(Invoer!$A$5),1,1)+1))+2,1)</f>
        <v>42</v>
      </c>
      <c r="B538" t="str">
        <f ca="1">TEXT(DATE(YEAR(Invoer!$A$5),1,1)+MOD(ROWS(B$2:B538)-1,DATE(YEAR(Invoer!$A$5),12,31)-DATE(YEAR(Invoer!$A$5),1,1)+1),"jjjjmmdd")</f>
        <v>19270621</v>
      </c>
      <c r="C538" s="12">
        <v>1</v>
      </c>
      <c r="D538" s="17">
        <f t="shared" ca="1" si="16"/>
        <v>14</v>
      </c>
      <c r="E538" s="18">
        <f t="shared" ca="1" si="17"/>
        <v>0</v>
      </c>
    </row>
    <row r="539" spans="1:5" x14ac:dyDescent="0.25">
      <c r="A539" s="11">
        <f ca="1">INDEX(Stations,INT((ROWS(A$2:A539)-1)/(DATE(YEAR(Invoer!$A$5),12,31)-DATE(YEAR(Invoer!$A$5),1,1)+1))+2,1)</f>
        <v>42</v>
      </c>
      <c r="B539" t="str">
        <f ca="1">TEXT(DATE(YEAR(Invoer!$A$5),1,1)+MOD(ROWS(B$2:B539)-1,DATE(YEAR(Invoer!$A$5),12,31)-DATE(YEAR(Invoer!$A$5),1,1)+1),"jjjjmmdd")</f>
        <v>19270622</v>
      </c>
      <c r="C539" s="12">
        <v>1</v>
      </c>
      <c r="D539" s="17">
        <f t="shared" ca="1" si="16"/>
        <v>0</v>
      </c>
      <c r="E539" s="18">
        <f t="shared" ca="1" si="17"/>
        <v>0</v>
      </c>
    </row>
    <row r="540" spans="1:5" x14ac:dyDescent="0.25">
      <c r="A540" s="11">
        <f ca="1">INDEX(Stations,INT((ROWS(A$2:A540)-1)/(DATE(YEAR(Invoer!$A$5),12,31)-DATE(YEAR(Invoer!$A$5),1,1)+1))+2,1)</f>
        <v>42</v>
      </c>
      <c r="B540" t="str">
        <f ca="1">TEXT(DATE(YEAR(Invoer!$A$5),1,1)+MOD(ROWS(B$2:B540)-1,DATE(YEAR(Invoer!$A$5),12,31)-DATE(YEAR(Invoer!$A$5),1,1)+1),"jjjjmmdd")</f>
        <v>19270623</v>
      </c>
      <c r="C540" s="12">
        <v>1</v>
      </c>
      <c r="D540" s="17">
        <f t="shared" ca="1" si="16"/>
        <v>170</v>
      </c>
      <c r="E540" s="18">
        <f t="shared" ca="1" si="17"/>
        <v>0</v>
      </c>
    </row>
    <row r="541" spans="1:5" x14ac:dyDescent="0.25">
      <c r="A541" s="11">
        <f ca="1">INDEX(Stations,INT((ROWS(A$2:A541)-1)/(DATE(YEAR(Invoer!$A$5),12,31)-DATE(YEAR(Invoer!$A$5),1,1)+1))+2,1)</f>
        <v>42</v>
      </c>
      <c r="B541" t="str">
        <f ca="1">TEXT(DATE(YEAR(Invoer!$A$5),1,1)+MOD(ROWS(B$2:B541)-1,DATE(YEAR(Invoer!$A$5),12,31)-DATE(YEAR(Invoer!$A$5),1,1)+1),"jjjjmmdd")</f>
        <v>19270624</v>
      </c>
      <c r="C541" s="12">
        <v>1</v>
      </c>
      <c r="D541" s="17">
        <f t="shared" ca="1" si="16"/>
        <v>0</v>
      </c>
      <c r="E541" s="18">
        <f t="shared" ca="1" si="17"/>
        <v>0</v>
      </c>
    </row>
    <row r="542" spans="1:5" x14ac:dyDescent="0.25">
      <c r="A542" s="11">
        <f ca="1">INDEX(Stations,INT((ROWS(A$2:A542)-1)/(DATE(YEAR(Invoer!$A$5),12,31)-DATE(YEAR(Invoer!$A$5),1,1)+1))+2,1)</f>
        <v>42</v>
      </c>
      <c r="B542" t="str">
        <f ca="1">TEXT(DATE(YEAR(Invoer!$A$5),1,1)+MOD(ROWS(B$2:B542)-1,DATE(YEAR(Invoer!$A$5),12,31)-DATE(YEAR(Invoer!$A$5),1,1)+1),"jjjjmmdd")</f>
        <v>19270625</v>
      </c>
      <c r="C542" s="12">
        <v>1</v>
      </c>
      <c r="D542" s="17">
        <f t="shared" ca="1" si="16"/>
        <v>0</v>
      </c>
      <c r="E542" s="18">
        <f t="shared" ca="1" si="17"/>
        <v>0</v>
      </c>
    </row>
    <row r="543" spans="1:5" x14ac:dyDescent="0.25">
      <c r="A543" s="11">
        <f ca="1">INDEX(Stations,INT((ROWS(A$2:A543)-1)/(DATE(YEAR(Invoer!$A$5),12,31)-DATE(YEAR(Invoer!$A$5),1,1)+1))+2,1)</f>
        <v>42</v>
      </c>
      <c r="B543" t="str">
        <f ca="1">TEXT(DATE(YEAR(Invoer!$A$5),1,1)+MOD(ROWS(B$2:B543)-1,DATE(YEAR(Invoer!$A$5),12,31)-DATE(YEAR(Invoer!$A$5),1,1)+1),"jjjjmmdd")</f>
        <v>19270626</v>
      </c>
      <c r="C543" s="12">
        <v>1</v>
      </c>
      <c r="D543" s="17">
        <f t="shared" ca="1" si="16"/>
        <v>0</v>
      </c>
      <c r="E543" s="18">
        <f t="shared" ca="1" si="17"/>
        <v>0</v>
      </c>
    </row>
    <row r="544" spans="1:5" x14ac:dyDescent="0.25">
      <c r="A544" s="11">
        <f ca="1">INDEX(Stations,INT((ROWS(A$2:A544)-1)/(DATE(YEAR(Invoer!$A$5),12,31)-DATE(YEAR(Invoer!$A$5),1,1)+1))+2,1)</f>
        <v>42</v>
      </c>
      <c r="B544" t="str">
        <f ca="1">TEXT(DATE(YEAR(Invoer!$A$5),1,1)+MOD(ROWS(B$2:B544)-1,DATE(YEAR(Invoer!$A$5),12,31)-DATE(YEAR(Invoer!$A$5),1,1)+1),"jjjjmmdd")</f>
        <v>19270627</v>
      </c>
      <c r="C544" s="12">
        <v>1</v>
      </c>
      <c r="D544" s="17">
        <f t="shared" ca="1" si="16"/>
        <v>0</v>
      </c>
      <c r="E544" s="18">
        <f t="shared" ca="1" si="17"/>
        <v>0</v>
      </c>
    </row>
    <row r="545" spans="1:5" x14ac:dyDescent="0.25">
      <c r="A545" s="11">
        <f ca="1">INDEX(Stations,INT((ROWS(A$2:A545)-1)/(DATE(YEAR(Invoer!$A$5),12,31)-DATE(YEAR(Invoer!$A$5),1,1)+1))+2,1)</f>
        <v>42</v>
      </c>
      <c r="B545" t="str">
        <f ca="1">TEXT(DATE(YEAR(Invoer!$A$5),1,1)+MOD(ROWS(B$2:B545)-1,DATE(YEAR(Invoer!$A$5),12,31)-DATE(YEAR(Invoer!$A$5),1,1)+1),"jjjjmmdd")</f>
        <v>19270628</v>
      </c>
      <c r="C545" s="12">
        <v>1</v>
      </c>
      <c r="D545" s="17">
        <f t="shared" ca="1" si="16"/>
        <v>0</v>
      </c>
      <c r="E545" s="18">
        <f t="shared" ca="1" si="17"/>
        <v>0</v>
      </c>
    </row>
    <row r="546" spans="1:5" x14ac:dyDescent="0.25">
      <c r="A546" s="11">
        <f ca="1">INDEX(Stations,INT((ROWS(A$2:A546)-1)/(DATE(YEAR(Invoer!$A$5),12,31)-DATE(YEAR(Invoer!$A$5),1,1)+1))+2,1)</f>
        <v>42</v>
      </c>
      <c r="B546" t="str">
        <f ca="1">TEXT(DATE(YEAR(Invoer!$A$5),1,1)+MOD(ROWS(B$2:B546)-1,DATE(YEAR(Invoer!$A$5),12,31)-DATE(YEAR(Invoer!$A$5),1,1)+1),"jjjjmmdd")</f>
        <v>19270629</v>
      </c>
      <c r="C546" s="12">
        <v>1</v>
      </c>
      <c r="D546" s="17">
        <f t="shared" ca="1" si="16"/>
        <v>22</v>
      </c>
      <c r="E546" s="18">
        <f t="shared" ca="1" si="17"/>
        <v>0</v>
      </c>
    </row>
    <row r="547" spans="1:5" x14ac:dyDescent="0.25">
      <c r="A547" s="11">
        <f ca="1">INDEX(Stations,INT((ROWS(A$2:A547)-1)/(DATE(YEAR(Invoer!$A$5),12,31)-DATE(YEAR(Invoer!$A$5),1,1)+1))+2,1)</f>
        <v>42</v>
      </c>
      <c r="B547" t="str">
        <f ca="1">TEXT(DATE(YEAR(Invoer!$A$5),1,1)+MOD(ROWS(B$2:B547)-1,DATE(YEAR(Invoer!$A$5),12,31)-DATE(YEAR(Invoer!$A$5),1,1)+1),"jjjjmmdd")</f>
        <v>19270630</v>
      </c>
      <c r="C547" s="12">
        <v>1</v>
      </c>
      <c r="D547" s="17">
        <f t="shared" ca="1" si="16"/>
        <v>0</v>
      </c>
      <c r="E547" s="18">
        <f t="shared" ca="1" si="17"/>
        <v>0</v>
      </c>
    </row>
    <row r="548" spans="1:5" x14ac:dyDescent="0.25">
      <c r="A548" s="11">
        <f ca="1">INDEX(Stations,INT((ROWS(A$2:A548)-1)/(DATE(YEAR(Invoer!$A$5),12,31)-DATE(YEAR(Invoer!$A$5),1,1)+1))+2,1)</f>
        <v>42</v>
      </c>
      <c r="B548" t="str">
        <f ca="1">TEXT(DATE(YEAR(Invoer!$A$5),1,1)+MOD(ROWS(B$2:B548)-1,DATE(YEAR(Invoer!$A$5),12,31)-DATE(YEAR(Invoer!$A$5),1,1)+1),"jjjjmmdd")</f>
        <v>19270701</v>
      </c>
      <c r="C548" s="12">
        <v>1</v>
      </c>
      <c r="D548" s="17">
        <f t="shared" ca="1" si="16"/>
        <v>0</v>
      </c>
      <c r="E548" s="18">
        <f t="shared" ca="1" si="17"/>
        <v>0</v>
      </c>
    </row>
    <row r="549" spans="1:5" x14ac:dyDescent="0.25">
      <c r="A549" s="11">
        <f ca="1">INDEX(Stations,INT((ROWS(A$2:A549)-1)/(DATE(YEAR(Invoer!$A$5),12,31)-DATE(YEAR(Invoer!$A$5),1,1)+1))+2,1)</f>
        <v>42</v>
      </c>
      <c r="B549" t="str">
        <f ca="1">TEXT(DATE(YEAR(Invoer!$A$5),1,1)+MOD(ROWS(B$2:B549)-1,DATE(YEAR(Invoer!$A$5),12,31)-DATE(YEAR(Invoer!$A$5),1,1)+1),"jjjjmmdd")</f>
        <v>19270702</v>
      </c>
      <c r="C549" s="12">
        <v>1</v>
      </c>
      <c r="D549" s="17">
        <f t="shared" ca="1" si="16"/>
        <v>0</v>
      </c>
      <c r="E549" s="18">
        <f t="shared" ca="1" si="17"/>
        <v>0</v>
      </c>
    </row>
    <row r="550" spans="1:5" x14ac:dyDescent="0.25">
      <c r="A550" s="11">
        <f ca="1">INDEX(Stations,INT((ROWS(A$2:A550)-1)/(DATE(YEAR(Invoer!$A$5),12,31)-DATE(YEAR(Invoer!$A$5),1,1)+1))+2,1)</f>
        <v>42</v>
      </c>
      <c r="B550" t="str">
        <f ca="1">TEXT(DATE(YEAR(Invoer!$A$5),1,1)+MOD(ROWS(B$2:B550)-1,DATE(YEAR(Invoer!$A$5),12,31)-DATE(YEAR(Invoer!$A$5),1,1)+1),"jjjjmmdd")</f>
        <v>19270703</v>
      </c>
      <c r="C550" s="12">
        <v>1</v>
      </c>
      <c r="D550" s="17">
        <f t="shared" ca="1" si="16"/>
        <v>0</v>
      </c>
      <c r="E550" s="18">
        <f t="shared" ca="1" si="17"/>
        <v>0</v>
      </c>
    </row>
    <row r="551" spans="1:5" x14ac:dyDescent="0.25">
      <c r="A551" s="11">
        <f ca="1">INDEX(Stations,INT((ROWS(A$2:A551)-1)/(DATE(YEAR(Invoer!$A$5),12,31)-DATE(YEAR(Invoer!$A$5),1,1)+1))+2,1)</f>
        <v>42</v>
      </c>
      <c r="B551" t="str">
        <f ca="1">TEXT(DATE(YEAR(Invoer!$A$5),1,1)+MOD(ROWS(B$2:B551)-1,DATE(YEAR(Invoer!$A$5),12,31)-DATE(YEAR(Invoer!$A$5),1,1)+1),"jjjjmmdd")</f>
        <v>19270704</v>
      </c>
      <c r="C551" s="12">
        <v>1</v>
      </c>
      <c r="D551" s="17">
        <f t="shared" ca="1" si="16"/>
        <v>0</v>
      </c>
      <c r="E551" s="18">
        <f t="shared" ca="1" si="17"/>
        <v>0</v>
      </c>
    </row>
    <row r="552" spans="1:5" x14ac:dyDescent="0.25">
      <c r="A552" s="11">
        <f ca="1">INDEX(Stations,INT((ROWS(A$2:A552)-1)/(DATE(YEAR(Invoer!$A$5),12,31)-DATE(YEAR(Invoer!$A$5),1,1)+1))+2,1)</f>
        <v>42</v>
      </c>
      <c r="B552" t="str">
        <f ca="1">TEXT(DATE(YEAR(Invoer!$A$5),1,1)+MOD(ROWS(B$2:B552)-1,DATE(YEAR(Invoer!$A$5),12,31)-DATE(YEAR(Invoer!$A$5),1,1)+1),"jjjjmmdd")</f>
        <v>19270705</v>
      </c>
      <c r="C552" s="12">
        <v>1</v>
      </c>
      <c r="D552" s="17">
        <f t="shared" ca="1" si="16"/>
        <v>0</v>
      </c>
      <c r="E552" s="18">
        <f t="shared" ca="1" si="17"/>
        <v>0</v>
      </c>
    </row>
    <row r="553" spans="1:5" x14ac:dyDescent="0.25">
      <c r="A553" s="11">
        <f ca="1">INDEX(Stations,INT((ROWS(A$2:A553)-1)/(DATE(YEAR(Invoer!$A$5),12,31)-DATE(YEAR(Invoer!$A$5),1,1)+1))+2,1)</f>
        <v>42</v>
      </c>
      <c r="B553" t="str">
        <f ca="1">TEXT(DATE(YEAR(Invoer!$A$5),1,1)+MOD(ROWS(B$2:B553)-1,DATE(YEAR(Invoer!$A$5),12,31)-DATE(YEAR(Invoer!$A$5),1,1)+1),"jjjjmmdd")</f>
        <v>19270706</v>
      </c>
      <c r="C553" s="12">
        <v>1</v>
      </c>
      <c r="D553" s="17">
        <f t="shared" ca="1" si="16"/>
        <v>0</v>
      </c>
      <c r="E553" s="18">
        <f t="shared" ca="1" si="17"/>
        <v>0</v>
      </c>
    </row>
    <row r="554" spans="1:5" x14ac:dyDescent="0.25">
      <c r="A554" s="11">
        <f ca="1">INDEX(Stations,INT((ROWS(A$2:A554)-1)/(DATE(YEAR(Invoer!$A$5),12,31)-DATE(YEAR(Invoer!$A$5),1,1)+1))+2,1)</f>
        <v>42</v>
      </c>
      <c r="B554" t="str">
        <f ca="1">TEXT(DATE(YEAR(Invoer!$A$5),1,1)+MOD(ROWS(B$2:B554)-1,DATE(YEAR(Invoer!$A$5),12,31)-DATE(YEAR(Invoer!$A$5),1,1)+1),"jjjjmmdd")</f>
        <v>19270707</v>
      </c>
      <c r="C554" s="12">
        <v>1</v>
      </c>
      <c r="D554" s="17">
        <f t="shared" ca="1" si="16"/>
        <v>153</v>
      </c>
      <c r="E554" s="18">
        <f t="shared" ca="1" si="17"/>
        <v>0</v>
      </c>
    </row>
    <row r="555" spans="1:5" x14ac:dyDescent="0.25">
      <c r="A555" s="11">
        <f ca="1">INDEX(Stations,INT((ROWS(A$2:A555)-1)/(DATE(YEAR(Invoer!$A$5),12,31)-DATE(YEAR(Invoer!$A$5),1,1)+1))+2,1)</f>
        <v>42</v>
      </c>
      <c r="B555" t="str">
        <f ca="1">TEXT(DATE(YEAR(Invoer!$A$5),1,1)+MOD(ROWS(B$2:B555)-1,DATE(YEAR(Invoer!$A$5),12,31)-DATE(YEAR(Invoer!$A$5),1,1)+1),"jjjjmmdd")</f>
        <v>19270708</v>
      </c>
      <c r="C555" s="12">
        <v>1</v>
      </c>
      <c r="D555" s="17">
        <f t="shared" ca="1" si="16"/>
        <v>9</v>
      </c>
      <c r="E555" s="18">
        <f t="shared" ca="1" si="17"/>
        <v>0</v>
      </c>
    </row>
    <row r="556" spans="1:5" x14ac:dyDescent="0.25">
      <c r="A556" s="11">
        <f ca="1">INDEX(Stations,INT((ROWS(A$2:A556)-1)/(DATE(YEAR(Invoer!$A$5),12,31)-DATE(YEAR(Invoer!$A$5),1,1)+1))+2,1)</f>
        <v>42</v>
      </c>
      <c r="B556" t="str">
        <f ca="1">TEXT(DATE(YEAR(Invoer!$A$5),1,1)+MOD(ROWS(B$2:B556)-1,DATE(YEAR(Invoer!$A$5),12,31)-DATE(YEAR(Invoer!$A$5),1,1)+1),"jjjjmmdd")</f>
        <v>19270709</v>
      </c>
      <c r="C556" s="12">
        <v>1</v>
      </c>
      <c r="D556" s="17">
        <f t="shared" ca="1" si="16"/>
        <v>0</v>
      </c>
      <c r="E556" s="18">
        <f t="shared" ca="1" si="17"/>
        <v>0</v>
      </c>
    </row>
    <row r="557" spans="1:5" x14ac:dyDescent="0.25">
      <c r="A557" s="11">
        <f ca="1">INDEX(Stations,INT((ROWS(A$2:A557)-1)/(DATE(YEAR(Invoer!$A$5),12,31)-DATE(YEAR(Invoer!$A$5),1,1)+1))+2,1)</f>
        <v>42</v>
      </c>
      <c r="B557" t="str">
        <f ca="1">TEXT(DATE(YEAR(Invoer!$A$5),1,1)+MOD(ROWS(B$2:B557)-1,DATE(YEAR(Invoer!$A$5),12,31)-DATE(YEAR(Invoer!$A$5),1,1)+1),"jjjjmmdd")</f>
        <v>19270710</v>
      </c>
      <c r="C557" s="12">
        <v>1</v>
      </c>
      <c r="D557" s="17">
        <f t="shared" ca="1" si="16"/>
        <v>0</v>
      </c>
      <c r="E557" s="18">
        <f t="shared" ca="1" si="17"/>
        <v>0</v>
      </c>
    </row>
    <row r="558" spans="1:5" x14ac:dyDescent="0.25">
      <c r="A558" s="11">
        <f ca="1">INDEX(Stations,INT((ROWS(A$2:A558)-1)/(DATE(YEAR(Invoer!$A$5),12,31)-DATE(YEAR(Invoer!$A$5),1,1)+1))+2,1)</f>
        <v>42</v>
      </c>
      <c r="B558" t="str">
        <f ca="1">TEXT(DATE(YEAR(Invoer!$A$5),1,1)+MOD(ROWS(B$2:B558)-1,DATE(YEAR(Invoer!$A$5),12,31)-DATE(YEAR(Invoer!$A$5),1,1)+1),"jjjjmmdd")</f>
        <v>19270711</v>
      </c>
      <c r="C558" s="12">
        <v>1</v>
      </c>
      <c r="D558" s="17">
        <f t="shared" ca="1" si="16"/>
        <v>0</v>
      </c>
      <c r="E558" s="18">
        <f t="shared" ca="1" si="17"/>
        <v>0</v>
      </c>
    </row>
    <row r="559" spans="1:5" x14ac:dyDescent="0.25">
      <c r="A559" s="11">
        <f ca="1">INDEX(Stations,INT((ROWS(A$2:A559)-1)/(DATE(YEAR(Invoer!$A$5),12,31)-DATE(YEAR(Invoer!$A$5),1,1)+1))+2,1)</f>
        <v>42</v>
      </c>
      <c r="B559" t="str">
        <f ca="1">TEXT(DATE(YEAR(Invoer!$A$5),1,1)+MOD(ROWS(B$2:B559)-1,DATE(YEAR(Invoer!$A$5),12,31)-DATE(YEAR(Invoer!$A$5),1,1)+1),"jjjjmmdd")</f>
        <v>19270712</v>
      </c>
      <c r="C559" s="12">
        <v>1</v>
      </c>
      <c r="D559" s="17">
        <f t="shared" ca="1" si="16"/>
        <v>0</v>
      </c>
      <c r="E559" s="18">
        <f t="shared" ca="1" si="17"/>
        <v>0</v>
      </c>
    </row>
    <row r="560" spans="1:5" x14ac:dyDescent="0.25">
      <c r="A560" s="11">
        <f ca="1">INDEX(Stations,INT((ROWS(A$2:A560)-1)/(DATE(YEAR(Invoer!$A$5),12,31)-DATE(YEAR(Invoer!$A$5),1,1)+1))+2,1)</f>
        <v>42</v>
      </c>
      <c r="B560" t="str">
        <f ca="1">TEXT(DATE(YEAR(Invoer!$A$5),1,1)+MOD(ROWS(B$2:B560)-1,DATE(YEAR(Invoer!$A$5),12,31)-DATE(YEAR(Invoer!$A$5),1,1)+1),"jjjjmmdd")</f>
        <v>19270713</v>
      </c>
      <c r="C560" s="12">
        <v>1</v>
      </c>
      <c r="D560" s="17">
        <f t="shared" ca="1" si="16"/>
        <v>0</v>
      </c>
      <c r="E560" s="18">
        <f t="shared" ca="1" si="17"/>
        <v>0</v>
      </c>
    </row>
    <row r="561" spans="1:5" x14ac:dyDescent="0.25">
      <c r="A561" s="11">
        <f ca="1">INDEX(Stations,INT((ROWS(A$2:A561)-1)/(DATE(YEAR(Invoer!$A$5),12,31)-DATE(YEAR(Invoer!$A$5),1,1)+1))+2,1)</f>
        <v>42</v>
      </c>
      <c r="B561" t="str">
        <f ca="1">TEXT(DATE(YEAR(Invoer!$A$5),1,1)+MOD(ROWS(B$2:B561)-1,DATE(YEAR(Invoer!$A$5),12,31)-DATE(YEAR(Invoer!$A$5),1,1)+1),"jjjjmmdd")</f>
        <v>19270714</v>
      </c>
      <c r="C561" s="12">
        <v>1</v>
      </c>
      <c r="D561" s="17">
        <f t="shared" ca="1" si="16"/>
        <v>0</v>
      </c>
      <c r="E561" s="18">
        <f t="shared" ca="1" si="17"/>
        <v>0</v>
      </c>
    </row>
    <row r="562" spans="1:5" x14ac:dyDescent="0.25">
      <c r="A562" s="11">
        <f ca="1">INDEX(Stations,INT((ROWS(A$2:A562)-1)/(DATE(YEAR(Invoer!$A$5),12,31)-DATE(YEAR(Invoer!$A$5),1,1)+1))+2,1)</f>
        <v>42</v>
      </c>
      <c r="B562" t="str">
        <f ca="1">TEXT(DATE(YEAR(Invoer!$A$5),1,1)+MOD(ROWS(B$2:B562)-1,DATE(YEAR(Invoer!$A$5),12,31)-DATE(YEAR(Invoer!$A$5),1,1)+1),"jjjjmmdd")</f>
        <v>19270715</v>
      </c>
      <c r="C562" s="12">
        <v>1</v>
      </c>
      <c r="D562" s="17">
        <f t="shared" ca="1" si="16"/>
        <v>0</v>
      </c>
      <c r="E562" s="18">
        <f t="shared" ca="1" si="17"/>
        <v>0</v>
      </c>
    </row>
    <row r="563" spans="1:5" x14ac:dyDescent="0.25">
      <c r="A563" s="11">
        <f ca="1">INDEX(Stations,INT((ROWS(A$2:A563)-1)/(DATE(YEAR(Invoer!$A$5),12,31)-DATE(YEAR(Invoer!$A$5),1,1)+1))+2,1)</f>
        <v>42</v>
      </c>
      <c r="B563" t="str">
        <f ca="1">TEXT(DATE(YEAR(Invoer!$A$5),1,1)+MOD(ROWS(B$2:B563)-1,DATE(YEAR(Invoer!$A$5),12,31)-DATE(YEAR(Invoer!$A$5),1,1)+1),"jjjjmmdd")</f>
        <v>19270716</v>
      </c>
      <c r="C563" s="12">
        <v>1</v>
      </c>
      <c r="D563" s="17">
        <f t="shared" ca="1" si="16"/>
        <v>0</v>
      </c>
      <c r="E563" s="18">
        <f t="shared" ca="1" si="17"/>
        <v>0</v>
      </c>
    </row>
    <row r="564" spans="1:5" x14ac:dyDescent="0.25">
      <c r="A564" s="11">
        <f ca="1">INDEX(Stations,INT((ROWS(A$2:A564)-1)/(DATE(YEAR(Invoer!$A$5),12,31)-DATE(YEAR(Invoer!$A$5),1,1)+1))+2,1)</f>
        <v>42</v>
      </c>
      <c r="B564" t="str">
        <f ca="1">TEXT(DATE(YEAR(Invoer!$A$5),1,1)+MOD(ROWS(B$2:B564)-1,DATE(YEAR(Invoer!$A$5),12,31)-DATE(YEAR(Invoer!$A$5),1,1)+1),"jjjjmmdd")</f>
        <v>19270717</v>
      </c>
      <c r="C564" s="12">
        <v>1</v>
      </c>
      <c r="D564" s="17">
        <f t="shared" ca="1" si="16"/>
        <v>0</v>
      </c>
      <c r="E564" s="18">
        <f t="shared" ca="1" si="17"/>
        <v>0</v>
      </c>
    </row>
    <row r="565" spans="1:5" x14ac:dyDescent="0.25">
      <c r="A565" s="11">
        <f ca="1">INDEX(Stations,INT((ROWS(A$2:A565)-1)/(DATE(YEAR(Invoer!$A$5),12,31)-DATE(YEAR(Invoer!$A$5),1,1)+1))+2,1)</f>
        <v>42</v>
      </c>
      <c r="B565" t="str">
        <f ca="1">TEXT(DATE(YEAR(Invoer!$A$5),1,1)+MOD(ROWS(B$2:B565)-1,DATE(YEAR(Invoer!$A$5),12,31)-DATE(YEAR(Invoer!$A$5),1,1)+1),"jjjjmmdd")</f>
        <v>19270718</v>
      </c>
      <c r="C565" s="12">
        <v>1</v>
      </c>
      <c r="D565" s="17">
        <f t="shared" ca="1" si="16"/>
        <v>0</v>
      </c>
      <c r="E565" s="18">
        <f t="shared" ca="1" si="17"/>
        <v>0</v>
      </c>
    </row>
    <row r="566" spans="1:5" x14ac:dyDescent="0.25">
      <c r="A566" s="11">
        <f ca="1">INDEX(Stations,INT((ROWS(A$2:A566)-1)/(DATE(YEAR(Invoer!$A$5),12,31)-DATE(YEAR(Invoer!$A$5),1,1)+1))+2,1)</f>
        <v>42</v>
      </c>
      <c r="B566" t="str">
        <f ca="1">TEXT(DATE(YEAR(Invoer!$A$5),1,1)+MOD(ROWS(B$2:B566)-1,DATE(YEAR(Invoer!$A$5),12,31)-DATE(YEAR(Invoer!$A$5),1,1)+1),"jjjjmmdd")</f>
        <v>19270719</v>
      </c>
      <c r="C566" s="12">
        <v>1</v>
      </c>
      <c r="D566" s="17">
        <f t="shared" ca="1" si="16"/>
        <v>0</v>
      </c>
      <c r="E566" s="18">
        <f t="shared" ca="1" si="17"/>
        <v>0</v>
      </c>
    </row>
    <row r="567" spans="1:5" x14ac:dyDescent="0.25">
      <c r="A567" s="11">
        <f ca="1">INDEX(Stations,INT((ROWS(A$2:A567)-1)/(DATE(YEAR(Invoer!$A$5),12,31)-DATE(YEAR(Invoer!$A$5),1,1)+1))+2,1)</f>
        <v>42</v>
      </c>
      <c r="B567" t="str">
        <f ca="1">TEXT(DATE(YEAR(Invoer!$A$5),1,1)+MOD(ROWS(B$2:B567)-1,DATE(YEAR(Invoer!$A$5),12,31)-DATE(YEAR(Invoer!$A$5),1,1)+1),"jjjjmmdd")</f>
        <v>19270720</v>
      </c>
      <c r="C567" s="12">
        <v>1</v>
      </c>
      <c r="D567" s="17">
        <f t="shared" ca="1" si="16"/>
        <v>0</v>
      </c>
      <c r="E567" s="18">
        <f t="shared" ca="1" si="17"/>
        <v>0</v>
      </c>
    </row>
    <row r="568" spans="1:5" x14ac:dyDescent="0.25">
      <c r="A568" s="11">
        <f ca="1">INDEX(Stations,INT((ROWS(A$2:A568)-1)/(DATE(YEAR(Invoer!$A$5),12,31)-DATE(YEAR(Invoer!$A$5),1,1)+1))+2,1)</f>
        <v>42</v>
      </c>
      <c r="B568" t="str">
        <f ca="1">TEXT(DATE(YEAR(Invoer!$A$5),1,1)+MOD(ROWS(B$2:B568)-1,DATE(YEAR(Invoer!$A$5),12,31)-DATE(YEAR(Invoer!$A$5),1,1)+1),"jjjjmmdd")</f>
        <v>19270721</v>
      </c>
      <c r="C568" s="12">
        <v>1</v>
      </c>
      <c r="D568" s="17">
        <f t="shared" ca="1" si="16"/>
        <v>0</v>
      </c>
      <c r="E568" s="18">
        <f t="shared" ca="1" si="17"/>
        <v>0</v>
      </c>
    </row>
    <row r="569" spans="1:5" x14ac:dyDescent="0.25">
      <c r="A569" s="11">
        <f ca="1">INDEX(Stations,INT((ROWS(A$2:A569)-1)/(DATE(YEAR(Invoer!$A$5),12,31)-DATE(YEAR(Invoer!$A$5),1,1)+1))+2,1)</f>
        <v>42</v>
      </c>
      <c r="B569" t="str">
        <f ca="1">TEXT(DATE(YEAR(Invoer!$A$5),1,1)+MOD(ROWS(B$2:B569)-1,DATE(YEAR(Invoer!$A$5),12,31)-DATE(YEAR(Invoer!$A$5),1,1)+1),"jjjjmmdd")</f>
        <v>19270722</v>
      </c>
      <c r="C569" s="12">
        <v>1</v>
      </c>
      <c r="D569" s="17">
        <f t="shared" ca="1" si="16"/>
        <v>0</v>
      </c>
      <c r="E569" s="18">
        <f t="shared" ca="1" si="17"/>
        <v>0</v>
      </c>
    </row>
    <row r="570" spans="1:5" x14ac:dyDescent="0.25">
      <c r="A570" s="11">
        <f ca="1">INDEX(Stations,INT((ROWS(A$2:A570)-1)/(DATE(YEAR(Invoer!$A$5),12,31)-DATE(YEAR(Invoer!$A$5),1,1)+1))+2,1)</f>
        <v>42</v>
      </c>
      <c r="B570" t="str">
        <f ca="1">TEXT(DATE(YEAR(Invoer!$A$5),1,1)+MOD(ROWS(B$2:B570)-1,DATE(YEAR(Invoer!$A$5),12,31)-DATE(YEAR(Invoer!$A$5),1,1)+1),"jjjjmmdd")</f>
        <v>19270723</v>
      </c>
      <c r="C570" s="12">
        <v>1</v>
      </c>
      <c r="D570" s="17">
        <f t="shared" ca="1" si="16"/>
        <v>0</v>
      </c>
      <c r="E570" s="18">
        <f t="shared" ca="1" si="17"/>
        <v>0</v>
      </c>
    </row>
    <row r="571" spans="1:5" x14ac:dyDescent="0.25">
      <c r="A571" s="11">
        <f ca="1">INDEX(Stations,INT((ROWS(A$2:A571)-1)/(DATE(YEAR(Invoer!$A$5),12,31)-DATE(YEAR(Invoer!$A$5),1,1)+1))+2,1)</f>
        <v>42</v>
      </c>
      <c r="B571" t="str">
        <f ca="1">TEXT(DATE(YEAR(Invoer!$A$5),1,1)+MOD(ROWS(B$2:B571)-1,DATE(YEAR(Invoer!$A$5),12,31)-DATE(YEAR(Invoer!$A$5),1,1)+1),"jjjjmmdd")</f>
        <v>19270724</v>
      </c>
      <c r="C571" s="12">
        <v>1</v>
      </c>
      <c r="D571" s="17">
        <f t="shared" ca="1" si="16"/>
        <v>0</v>
      </c>
      <c r="E571" s="18">
        <f t="shared" ca="1" si="17"/>
        <v>0</v>
      </c>
    </row>
    <row r="572" spans="1:5" x14ac:dyDescent="0.25">
      <c r="A572" s="11">
        <f ca="1">INDEX(Stations,INT((ROWS(A$2:A572)-1)/(DATE(YEAR(Invoer!$A$5),12,31)-DATE(YEAR(Invoer!$A$5),1,1)+1))+2,1)</f>
        <v>42</v>
      </c>
      <c r="B572" t="str">
        <f ca="1">TEXT(DATE(YEAR(Invoer!$A$5),1,1)+MOD(ROWS(B$2:B572)-1,DATE(YEAR(Invoer!$A$5),12,31)-DATE(YEAR(Invoer!$A$5),1,1)+1),"jjjjmmdd")</f>
        <v>19270725</v>
      </c>
      <c r="C572" s="12">
        <v>1</v>
      </c>
      <c r="D572" s="17">
        <f t="shared" ca="1" si="16"/>
        <v>0</v>
      </c>
      <c r="E572" s="18">
        <f t="shared" ca="1" si="17"/>
        <v>0</v>
      </c>
    </row>
    <row r="573" spans="1:5" x14ac:dyDescent="0.25">
      <c r="A573" s="11">
        <f ca="1">INDEX(Stations,INT((ROWS(A$2:A573)-1)/(DATE(YEAR(Invoer!$A$5),12,31)-DATE(YEAR(Invoer!$A$5),1,1)+1))+2,1)</f>
        <v>42</v>
      </c>
      <c r="B573" t="str">
        <f ca="1">TEXT(DATE(YEAR(Invoer!$A$5),1,1)+MOD(ROWS(B$2:B573)-1,DATE(YEAR(Invoer!$A$5),12,31)-DATE(YEAR(Invoer!$A$5),1,1)+1),"jjjjmmdd")</f>
        <v>19270726</v>
      </c>
      <c r="C573" s="12">
        <v>1</v>
      </c>
      <c r="D573" s="17">
        <f t="shared" ca="1" si="16"/>
        <v>0</v>
      </c>
      <c r="E573" s="18">
        <f t="shared" ca="1" si="17"/>
        <v>0</v>
      </c>
    </row>
    <row r="574" spans="1:5" x14ac:dyDescent="0.25">
      <c r="A574" s="11">
        <f ca="1">INDEX(Stations,INT((ROWS(A$2:A574)-1)/(DATE(YEAR(Invoer!$A$5),12,31)-DATE(YEAR(Invoer!$A$5),1,1)+1))+2,1)</f>
        <v>42</v>
      </c>
      <c r="B574" t="str">
        <f ca="1">TEXT(DATE(YEAR(Invoer!$A$5),1,1)+MOD(ROWS(B$2:B574)-1,DATE(YEAR(Invoer!$A$5),12,31)-DATE(YEAR(Invoer!$A$5),1,1)+1),"jjjjmmdd")</f>
        <v>19270727</v>
      </c>
      <c r="C574" s="12">
        <v>1</v>
      </c>
      <c r="D574" s="17">
        <f t="shared" ca="1" si="16"/>
        <v>0</v>
      </c>
      <c r="E574" s="18">
        <f t="shared" ca="1" si="17"/>
        <v>0</v>
      </c>
    </row>
    <row r="575" spans="1:5" x14ac:dyDescent="0.25">
      <c r="A575" s="11">
        <f ca="1">INDEX(Stations,INT((ROWS(A$2:A575)-1)/(DATE(YEAR(Invoer!$A$5),12,31)-DATE(YEAR(Invoer!$A$5),1,1)+1))+2,1)</f>
        <v>42</v>
      </c>
      <c r="B575" t="str">
        <f ca="1">TEXT(DATE(YEAR(Invoer!$A$5),1,1)+MOD(ROWS(B$2:B575)-1,DATE(YEAR(Invoer!$A$5),12,31)-DATE(YEAR(Invoer!$A$5),1,1)+1),"jjjjmmdd")</f>
        <v>19270728</v>
      </c>
      <c r="C575" s="12">
        <v>1</v>
      </c>
      <c r="D575" s="17">
        <f t="shared" ca="1" si="16"/>
        <v>0</v>
      </c>
      <c r="E575" s="18">
        <f t="shared" ca="1" si="17"/>
        <v>0</v>
      </c>
    </row>
    <row r="576" spans="1:5" x14ac:dyDescent="0.25">
      <c r="A576" s="11">
        <f ca="1">INDEX(Stations,INT((ROWS(A$2:A576)-1)/(DATE(YEAR(Invoer!$A$5),12,31)-DATE(YEAR(Invoer!$A$5),1,1)+1))+2,1)</f>
        <v>42</v>
      </c>
      <c r="B576" t="str">
        <f ca="1">TEXT(DATE(YEAR(Invoer!$A$5),1,1)+MOD(ROWS(B$2:B576)-1,DATE(YEAR(Invoer!$A$5),12,31)-DATE(YEAR(Invoer!$A$5),1,1)+1),"jjjjmmdd")</f>
        <v>19270729</v>
      </c>
      <c r="C576" s="12">
        <v>1</v>
      </c>
      <c r="D576" s="17">
        <f t="shared" ca="1" si="16"/>
        <v>0</v>
      </c>
      <c r="E576" s="18">
        <f t="shared" ca="1" si="17"/>
        <v>0</v>
      </c>
    </row>
    <row r="577" spans="1:5" x14ac:dyDescent="0.25">
      <c r="A577" s="11">
        <f ca="1">INDEX(Stations,INT((ROWS(A$2:A577)-1)/(DATE(YEAR(Invoer!$A$5),12,31)-DATE(YEAR(Invoer!$A$5),1,1)+1))+2,1)</f>
        <v>42</v>
      </c>
      <c r="B577" t="str">
        <f ca="1">TEXT(DATE(YEAR(Invoer!$A$5),1,1)+MOD(ROWS(B$2:B577)-1,DATE(YEAR(Invoer!$A$5),12,31)-DATE(YEAR(Invoer!$A$5),1,1)+1),"jjjjmmdd")</f>
        <v>19270730</v>
      </c>
      <c r="C577" s="12">
        <v>1</v>
      </c>
      <c r="D577" s="17">
        <f t="shared" ca="1" si="16"/>
        <v>0</v>
      </c>
      <c r="E577" s="18">
        <f t="shared" ca="1" si="17"/>
        <v>0</v>
      </c>
    </row>
    <row r="578" spans="1:5" x14ac:dyDescent="0.25">
      <c r="A578" s="11">
        <f ca="1">INDEX(Stations,INT((ROWS(A$2:A578)-1)/(DATE(YEAR(Invoer!$A$5),12,31)-DATE(YEAR(Invoer!$A$5),1,1)+1))+2,1)</f>
        <v>42</v>
      </c>
      <c r="B578" t="str">
        <f ca="1">TEXT(DATE(YEAR(Invoer!$A$5),1,1)+MOD(ROWS(B$2:B578)-1,DATE(YEAR(Invoer!$A$5),12,31)-DATE(YEAR(Invoer!$A$5),1,1)+1),"jjjjmmdd")</f>
        <v>19270731</v>
      </c>
      <c r="C578" s="12">
        <v>1</v>
      </c>
      <c r="D578" s="17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0</v>
      </c>
      <c r="E578" s="18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1">
        <f ca="1">INDEX(Stations,INT((ROWS(A$2:A579)-1)/(DATE(YEAR(Invoer!$A$5),12,31)-DATE(YEAR(Invoer!$A$5),1,1)+1))+2,1)</f>
        <v>42</v>
      </c>
      <c r="B579" t="str">
        <f ca="1">TEXT(DATE(YEAR(Invoer!$A$5),1,1)+MOD(ROWS(B$2:B579)-1,DATE(YEAR(Invoer!$A$5),12,31)-DATE(YEAR(Invoer!$A$5),1,1)+1),"jjjjmmdd")</f>
        <v>19270801</v>
      </c>
      <c r="C579" s="12">
        <v>1</v>
      </c>
      <c r="D579" s="17">
        <f t="shared" ca="1" si="18"/>
        <v>0</v>
      </c>
      <c r="E579" s="18">
        <f t="shared" ca="1" si="19"/>
        <v>0</v>
      </c>
    </row>
    <row r="580" spans="1:5" x14ac:dyDescent="0.25">
      <c r="A580" s="11">
        <f ca="1">INDEX(Stations,INT((ROWS(A$2:A580)-1)/(DATE(YEAR(Invoer!$A$5),12,31)-DATE(YEAR(Invoer!$A$5),1,1)+1))+2,1)</f>
        <v>42</v>
      </c>
      <c r="B580" t="str">
        <f ca="1">TEXT(DATE(YEAR(Invoer!$A$5),1,1)+MOD(ROWS(B$2:B580)-1,DATE(YEAR(Invoer!$A$5),12,31)-DATE(YEAR(Invoer!$A$5),1,1)+1),"jjjjmmdd")</f>
        <v>19270802</v>
      </c>
      <c r="C580" s="12">
        <v>1</v>
      </c>
      <c r="D580" s="17">
        <f t="shared" ca="1" si="18"/>
        <v>0</v>
      </c>
      <c r="E580" s="18">
        <f t="shared" ca="1" si="19"/>
        <v>0</v>
      </c>
    </row>
    <row r="581" spans="1:5" x14ac:dyDescent="0.25">
      <c r="A581" s="11">
        <f ca="1">INDEX(Stations,INT((ROWS(A$2:A581)-1)/(DATE(YEAR(Invoer!$A$5),12,31)-DATE(YEAR(Invoer!$A$5),1,1)+1))+2,1)</f>
        <v>42</v>
      </c>
      <c r="B581" t="str">
        <f ca="1">TEXT(DATE(YEAR(Invoer!$A$5),1,1)+MOD(ROWS(B$2:B581)-1,DATE(YEAR(Invoer!$A$5),12,31)-DATE(YEAR(Invoer!$A$5),1,1)+1),"jjjjmmdd")</f>
        <v>19270803</v>
      </c>
      <c r="C581" s="12">
        <v>1</v>
      </c>
      <c r="D581" s="17">
        <f t="shared" ca="1" si="18"/>
        <v>0</v>
      </c>
      <c r="E581" s="18">
        <f t="shared" ca="1" si="19"/>
        <v>0</v>
      </c>
    </row>
    <row r="582" spans="1:5" x14ac:dyDescent="0.25">
      <c r="A582" s="11">
        <f ca="1">INDEX(Stations,INT((ROWS(A$2:A582)-1)/(DATE(YEAR(Invoer!$A$5),12,31)-DATE(YEAR(Invoer!$A$5),1,1)+1))+2,1)</f>
        <v>42</v>
      </c>
      <c r="B582" t="str">
        <f ca="1">TEXT(DATE(YEAR(Invoer!$A$5),1,1)+MOD(ROWS(B$2:B582)-1,DATE(YEAR(Invoer!$A$5),12,31)-DATE(YEAR(Invoer!$A$5),1,1)+1),"jjjjmmdd")</f>
        <v>19270804</v>
      </c>
      <c r="C582" s="12">
        <v>1</v>
      </c>
      <c r="D582" s="17">
        <f t="shared" ca="1" si="18"/>
        <v>0</v>
      </c>
      <c r="E582" s="18">
        <f t="shared" ca="1" si="19"/>
        <v>0</v>
      </c>
    </row>
    <row r="583" spans="1:5" x14ac:dyDescent="0.25">
      <c r="A583" s="11">
        <f ca="1">INDEX(Stations,INT((ROWS(A$2:A583)-1)/(DATE(YEAR(Invoer!$A$5),12,31)-DATE(YEAR(Invoer!$A$5),1,1)+1))+2,1)</f>
        <v>42</v>
      </c>
      <c r="B583" t="str">
        <f ca="1">TEXT(DATE(YEAR(Invoer!$A$5),1,1)+MOD(ROWS(B$2:B583)-1,DATE(YEAR(Invoer!$A$5),12,31)-DATE(YEAR(Invoer!$A$5),1,1)+1),"jjjjmmdd")</f>
        <v>19270805</v>
      </c>
      <c r="C583" s="12">
        <v>1</v>
      </c>
      <c r="D583" s="17">
        <f t="shared" ca="1" si="18"/>
        <v>0</v>
      </c>
      <c r="E583" s="18">
        <f t="shared" ca="1" si="19"/>
        <v>0</v>
      </c>
    </row>
    <row r="584" spans="1:5" x14ac:dyDescent="0.25">
      <c r="A584" s="11">
        <f ca="1">INDEX(Stations,INT((ROWS(A$2:A584)-1)/(DATE(YEAR(Invoer!$A$5),12,31)-DATE(YEAR(Invoer!$A$5),1,1)+1))+2,1)</f>
        <v>42</v>
      </c>
      <c r="B584" t="str">
        <f ca="1">TEXT(DATE(YEAR(Invoer!$A$5),1,1)+MOD(ROWS(B$2:B584)-1,DATE(YEAR(Invoer!$A$5),12,31)-DATE(YEAR(Invoer!$A$5),1,1)+1),"jjjjmmdd")</f>
        <v>19270806</v>
      </c>
      <c r="C584" s="12">
        <v>1</v>
      </c>
      <c r="D584" s="17">
        <f t="shared" ca="1" si="18"/>
        <v>0</v>
      </c>
      <c r="E584" s="18">
        <f t="shared" ca="1" si="19"/>
        <v>0</v>
      </c>
    </row>
    <row r="585" spans="1:5" x14ac:dyDescent="0.25">
      <c r="A585" s="11">
        <f ca="1">INDEX(Stations,INT((ROWS(A$2:A585)-1)/(DATE(YEAR(Invoer!$A$5),12,31)-DATE(YEAR(Invoer!$A$5),1,1)+1))+2,1)</f>
        <v>42</v>
      </c>
      <c r="B585" t="str">
        <f ca="1">TEXT(DATE(YEAR(Invoer!$A$5),1,1)+MOD(ROWS(B$2:B585)-1,DATE(YEAR(Invoer!$A$5),12,31)-DATE(YEAR(Invoer!$A$5),1,1)+1),"jjjjmmdd")</f>
        <v>19270807</v>
      </c>
      <c r="C585" s="12">
        <v>1</v>
      </c>
      <c r="D585" s="17">
        <f t="shared" ca="1" si="18"/>
        <v>0</v>
      </c>
      <c r="E585" s="18">
        <f t="shared" ca="1" si="19"/>
        <v>0</v>
      </c>
    </row>
    <row r="586" spans="1:5" x14ac:dyDescent="0.25">
      <c r="A586" s="11">
        <f ca="1">INDEX(Stations,INT((ROWS(A$2:A586)-1)/(DATE(YEAR(Invoer!$A$5),12,31)-DATE(YEAR(Invoer!$A$5),1,1)+1))+2,1)</f>
        <v>42</v>
      </c>
      <c r="B586" t="str">
        <f ca="1">TEXT(DATE(YEAR(Invoer!$A$5),1,1)+MOD(ROWS(B$2:B586)-1,DATE(YEAR(Invoer!$A$5),12,31)-DATE(YEAR(Invoer!$A$5),1,1)+1),"jjjjmmdd")</f>
        <v>19270808</v>
      </c>
      <c r="C586" s="12">
        <v>1</v>
      </c>
      <c r="D586" s="17">
        <f t="shared" ca="1" si="18"/>
        <v>0</v>
      </c>
      <c r="E586" s="18">
        <f t="shared" ca="1" si="19"/>
        <v>0</v>
      </c>
    </row>
    <row r="587" spans="1:5" x14ac:dyDescent="0.25">
      <c r="A587" s="11">
        <f ca="1">INDEX(Stations,INT((ROWS(A$2:A587)-1)/(DATE(YEAR(Invoer!$A$5),12,31)-DATE(YEAR(Invoer!$A$5),1,1)+1))+2,1)</f>
        <v>42</v>
      </c>
      <c r="B587" t="str">
        <f ca="1">TEXT(DATE(YEAR(Invoer!$A$5),1,1)+MOD(ROWS(B$2:B587)-1,DATE(YEAR(Invoer!$A$5),12,31)-DATE(YEAR(Invoer!$A$5),1,1)+1),"jjjjmmdd")</f>
        <v>19270809</v>
      </c>
      <c r="C587" s="12">
        <v>1</v>
      </c>
      <c r="D587" s="17">
        <f t="shared" ca="1" si="18"/>
        <v>0</v>
      </c>
      <c r="E587" s="18">
        <f t="shared" ca="1" si="19"/>
        <v>0</v>
      </c>
    </row>
    <row r="588" spans="1:5" x14ac:dyDescent="0.25">
      <c r="A588" s="11">
        <f ca="1">INDEX(Stations,INT((ROWS(A$2:A588)-1)/(DATE(YEAR(Invoer!$A$5),12,31)-DATE(YEAR(Invoer!$A$5),1,1)+1))+2,1)</f>
        <v>42</v>
      </c>
      <c r="B588" t="str">
        <f ca="1">TEXT(DATE(YEAR(Invoer!$A$5),1,1)+MOD(ROWS(B$2:B588)-1,DATE(YEAR(Invoer!$A$5),12,31)-DATE(YEAR(Invoer!$A$5),1,1)+1),"jjjjmmdd")</f>
        <v>19270810</v>
      </c>
      <c r="C588" s="12">
        <v>1</v>
      </c>
      <c r="D588" s="17">
        <f t="shared" ca="1" si="18"/>
        <v>0</v>
      </c>
      <c r="E588" s="18">
        <f t="shared" ca="1" si="19"/>
        <v>0</v>
      </c>
    </row>
    <row r="589" spans="1:5" x14ac:dyDescent="0.25">
      <c r="A589" s="11">
        <f ca="1">INDEX(Stations,INT((ROWS(A$2:A589)-1)/(DATE(YEAR(Invoer!$A$5),12,31)-DATE(YEAR(Invoer!$A$5),1,1)+1))+2,1)</f>
        <v>42</v>
      </c>
      <c r="B589" t="str">
        <f ca="1">TEXT(DATE(YEAR(Invoer!$A$5),1,1)+MOD(ROWS(B$2:B589)-1,DATE(YEAR(Invoer!$A$5),12,31)-DATE(YEAR(Invoer!$A$5),1,1)+1),"jjjjmmdd")</f>
        <v>19270811</v>
      </c>
      <c r="C589" s="12">
        <v>1</v>
      </c>
      <c r="D589" s="17">
        <f t="shared" ca="1" si="18"/>
        <v>0</v>
      </c>
      <c r="E589" s="18">
        <f t="shared" ca="1" si="19"/>
        <v>0</v>
      </c>
    </row>
    <row r="590" spans="1:5" x14ac:dyDescent="0.25">
      <c r="A590" s="11">
        <f ca="1">INDEX(Stations,INT((ROWS(A$2:A590)-1)/(DATE(YEAR(Invoer!$A$5),12,31)-DATE(YEAR(Invoer!$A$5),1,1)+1))+2,1)</f>
        <v>42</v>
      </c>
      <c r="B590" t="str">
        <f ca="1">TEXT(DATE(YEAR(Invoer!$A$5),1,1)+MOD(ROWS(B$2:B590)-1,DATE(YEAR(Invoer!$A$5),12,31)-DATE(YEAR(Invoer!$A$5),1,1)+1),"jjjjmmdd")</f>
        <v>19270812</v>
      </c>
      <c r="C590" s="12">
        <v>1</v>
      </c>
      <c r="D590" s="17">
        <f t="shared" ca="1" si="18"/>
        <v>0</v>
      </c>
      <c r="E590" s="18">
        <f t="shared" ca="1" si="19"/>
        <v>0</v>
      </c>
    </row>
    <row r="591" spans="1:5" x14ac:dyDescent="0.25">
      <c r="A591" s="11">
        <f ca="1">INDEX(Stations,INT((ROWS(A$2:A591)-1)/(DATE(YEAR(Invoer!$A$5),12,31)-DATE(YEAR(Invoer!$A$5),1,1)+1))+2,1)</f>
        <v>42</v>
      </c>
      <c r="B591" t="str">
        <f ca="1">TEXT(DATE(YEAR(Invoer!$A$5),1,1)+MOD(ROWS(B$2:B591)-1,DATE(YEAR(Invoer!$A$5),12,31)-DATE(YEAR(Invoer!$A$5),1,1)+1),"jjjjmmdd")</f>
        <v>19270813</v>
      </c>
      <c r="C591" s="12">
        <v>1</v>
      </c>
      <c r="D591" s="17">
        <f t="shared" ca="1" si="18"/>
        <v>0</v>
      </c>
      <c r="E591" s="18">
        <f t="shared" ca="1" si="19"/>
        <v>0</v>
      </c>
    </row>
    <row r="592" spans="1:5" x14ac:dyDescent="0.25">
      <c r="A592" s="11">
        <f ca="1">INDEX(Stations,INT((ROWS(A$2:A592)-1)/(DATE(YEAR(Invoer!$A$5),12,31)-DATE(YEAR(Invoer!$A$5),1,1)+1))+2,1)</f>
        <v>42</v>
      </c>
      <c r="B592" t="str">
        <f ca="1">TEXT(DATE(YEAR(Invoer!$A$5),1,1)+MOD(ROWS(B$2:B592)-1,DATE(YEAR(Invoer!$A$5),12,31)-DATE(YEAR(Invoer!$A$5),1,1)+1),"jjjjmmdd")</f>
        <v>19270814</v>
      </c>
      <c r="C592" s="12">
        <v>1</v>
      </c>
      <c r="D592" s="17">
        <f t="shared" ca="1" si="18"/>
        <v>0</v>
      </c>
      <c r="E592" s="18">
        <f t="shared" ca="1" si="19"/>
        <v>0</v>
      </c>
    </row>
    <row r="593" spans="1:5" x14ac:dyDescent="0.25">
      <c r="A593" s="11">
        <f ca="1">INDEX(Stations,INT((ROWS(A$2:A593)-1)/(DATE(YEAR(Invoer!$A$5),12,31)-DATE(YEAR(Invoer!$A$5),1,1)+1))+2,1)</f>
        <v>42</v>
      </c>
      <c r="B593" t="str">
        <f ca="1">TEXT(DATE(YEAR(Invoer!$A$5),1,1)+MOD(ROWS(B$2:B593)-1,DATE(YEAR(Invoer!$A$5),12,31)-DATE(YEAR(Invoer!$A$5),1,1)+1),"jjjjmmdd")</f>
        <v>19270815</v>
      </c>
      <c r="C593" s="12">
        <v>1</v>
      </c>
      <c r="D593" s="17">
        <f t="shared" ca="1" si="18"/>
        <v>0</v>
      </c>
      <c r="E593" s="18">
        <f t="shared" ca="1" si="19"/>
        <v>0</v>
      </c>
    </row>
    <row r="594" spans="1:5" x14ac:dyDescent="0.25">
      <c r="A594" s="11">
        <f ca="1">INDEX(Stations,INT((ROWS(A$2:A594)-1)/(DATE(YEAR(Invoer!$A$5),12,31)-DATE(YEAR(Invoer!$A$5),1,1)+1))+2,1)</f>
        <v>42</v>
      </c>
      <c r="B594" t="str">
        <f ca="1">TEXT(DATE(YEAR(Invoer!$A$5),1,1)+MOD(ROWS(B$2:B594)-1,DATE(YEAR(Invoer!$A$5),12,31)-DATE(YEAR(Invoer!$A$5),1,1)+1),"jjjjmmdd")</f>
        <v>19270816</v>
      </c>
      <c r="C594" s="12">
        <v>1</v>
      </c>
      <c r="D594" s="17">
        <f t="shared" ca="1" si="18"/>
        <v>0</v>
      </c>
      <c r="E594" s="18">
        <f t="shared" ca="1" si="19"/>
        <v>0</v>
      </c>
    </row>
    <row r="595" spans="1:5" x14ac:dyDescent="0.25">
      <c r="A595" s="11">
        <f ca="1">INDEX(Stations,INT((ROWS(A$2:A595)-1)/(DATE(YEAR(Invoer!$A$5),12,31)-DATE(YEAR(Invoer!$A$5),1,1)+1))+2,1)</f>
        <v>42</v>
      </c>
      <c r="B595" t="str">
        <f ca="1">TEXT(DATE(YEAR(Invoer!$A$5),1,1)+MOD(ROWS(B$2:B595)-1,DATE(YEAR(Invoer!$A$5),12,31)-DATE(YEAR(Invoer!$A$5),1,1)+1),"jjjjmmdd")</f>
        <v>19270817</v>
      </c>
      <c r="C595" s="12">
        <v>1</v>
      </c>
      <c r="D595" s="17">
        <f t="shared" ca="1" si="18"/>
        <v>0</v>
      </c>
      <c r="E595" s="18">
        <f t="shared" ca="1" si="19"/>
        <v>0</v>
      </c>
    </row>
    <row r="596" spans="1:5" x14ac:dyDescent="0.25">
      <c r="A596" s="11">
        <f ca="1">INDEX(Stations,INT((ROWS(A$2:A596)-1)/(DATE(YEAR(Invoer!$A$5),12,31)-DATE(YEAR(Invoer!$A$5),1,1)+1))+2,1)</f>
        <v>42</v>
      </c>
      <c r="B596" t="str">
        <f ca="1">TEXT(DATE(YEAR(Invoer!$A$5),1,1)+MOD(ROWS(B$2:B596)-1,DATE(YEAR(Invoer!$A$5),12,31)-DATE(YEAR(Invoer!$A$5),1,1)+1),"jjjjmmdd")</f>
        <v>19270818</v>
      </c>
      <c r="C596" s="12">
        <v>1</v>
      </c>
      <c r="D596" s="17">
        <f t="shared" ca="1" si="18"/>
        <v>0</v>
      </c>
      <c r="E596" s="18">
        <f t="shared" ca="1" si="19"/>
        <v>0</v>
      </c>
    </row>
    <row r="597" spans="1:5" x14ac:dyDescent="0.25">
      <c r="A597" s="11">
        <f ca="1">INDEX(Stations,INT((ROWS(A$2:A597)-1)/(DATE(YEAR(Invoer!$A$5),12,31)-DATE(YEAR(Invoer!$A$5),1,1)+1))+2,1)</f>
        <v>42</v>
      </c>
      <c r="B597" t="str">
        <f ca="1">TEXT(DATE(YEAR(Invoer!$A$5),1,1)+MOD(ROWS(B$2:B597)-1,DATE(YEAR(Invoer!$A$5),12,31)-DATE(YEAR(Invoer!$A$5),1,1)+1),"jjjjmmdd")</f>
        <v>19270819</v>
      </c>
      <c r="C597" s="12">
        <v>1</v>
      </c>
      <c r="D597" s="17">
        <f t="shared" ca="1" si="18"/>
        <v>0</v>
      </c>
      <c r="E597" s="18">
        <f t="shared" ca="1" si="19"/>
        <v>0</v>
      </c>
    </row>
    <row r="598" spans="1:5" x14ac:dyDescent="0.25">
      <c r="A598" s="11">
        <f ca="1">INDEX(Stations,INT((ROWS(A$2:A598)-1)/(DATE(YEAR(Invoer!$A$5),12,31)-DATE(YEAR(Invoer!$A$5),1,1)+1))+2,1)</f>
        <v>42</v>
      </c>
      <c r="B598" t="str">
        <f ca="1">TEXT(DATE(YEAR(Invoer!$A$5),1,1)+MOD(ROWS(B$2:B598)-1,DATE(YEAR(Invoer!$A$5),12,31)-DATE(YEAR(Invoer!$A$5),1,1)+1),"jjjjmmdd")</f>
        <v>19270820</v>
      </c>
      <c r="C598" s="12">
        <v>1</v>
      </c>
      <c r="D598" s="17">
        <f t="shared" ca="1" si="18"/>
        <v>0</v>
      </c>
      <c r="E598" s="18">
        <f t="shared" ca="1" si="19"/>
        <v>0</v>
      </c>
    </row>
    <row r="599" spans="1:5" x14ac:dyDescent="0.25">
      <c r="A599" s="11">
        <f ca="1">INDEX(Stations,INT((ROWS(A$2:A599)-1)/(DATE(YEAR(Invoer!$A$5),12,31)-DATE(YEAR(Invoer!$A$5),1,1)+1))+2,1)</f>
        <v>42</v>
      </c>
      <c r="B599" t="str">
        <f ca="1">TEXT(DATE(YEAR(Invoer!$A$5),1,1)+MOD(ROWS(B$2:B599)-1,DATE(YEAR(Invoer!$A$5),12,31)-DATE(YEAR(Invoer!$A$5),1,1)+1),"jjjjmmdd")</f>
        <v>19270821</v>
      </c>
      <c r="C599" s="12">
        <v>1</v>
      </c>
      <c r="D599" s="17">
        <f t="shared" ca="1" si="18"/>
        <v>0</v>
      </c>
      <c r="E599" s="18">
        <f t="shared" ca="1" si="19"/>
        <v>0</v>
      </c>
    </row>
    <row r="600" spans="1:5" x14ac:dyDescent="0.25">
      <c r="A600" s="11">
        <f ca="1">INDEX(Stations,INT((ROWS(A$2:A600)-1)/(DATE(YEAR(Invoer!$A$5),12,31)-DATE(YEAR(Invoer!$A$5),1,1)+1))+2,1)</f>
        <v>42</v>
      </c>
      <c r="B600" t="str">
        <f ca="1">TEXT(DATE(YEAR(Invoer!$A$5),1,1)+MOD(ROWS(B$2:B600)-1,DATE(YEAR(Invoer!$A$5),12,31)-DATE(YEAR(Invoer!$A$5),1,1)+1),"jjjjmmdd")</f>
        <v>19270822</v>
      </c>
      <c r="C600" s="12">
        <v>1</v>
      </c>
      <c r="D600" s="17">
        <f t="shared" ca="1" si="18"/>
        <v>0</v>
      </c>
      <c r="E600" s="18">
        <f t="shared" ca="1" si="19"/>
        <v>0</v>
      </c>
    </row>
    <row r="601" spans="1:5" x14ac:dyDescent="0.25">
      <c r="A601" s="11">
        <f ca="1">INDEX(Stations,INT((ROWS(A$2:A601)-1)/(DATE(YEAR(Invoer!$A$5),12,31)-DATE(YEAR(Invoer!$A$5),1,1)+1))+2,1)</f>
        <v>42</v>
      </c>
      <c r="B601" t="str">
        <f ca="1">TEXT(DATE(YEAR(Invoer!$A$5),1,1)+MOD(ROWS(B$2:B601)-1,DATE(YEAR(Invoer!$A$5),12,31)-DATE(YEAR(Invoer!$A$5),1,1)+1),"jjjjmmdd")</f>
        <v>19270823</v>
      </c>
      <c r="C601" s="12">
        <v>1</v>
      </c>
      <c r="D601" s="17">
        <f t="shared" ca="1" si="18"/>
        <v>0</v>
      </c>
      <c r="E601" s="18">
        <f t="shared" ca="1" si="19"/>
        <v>0</v>
      </c>
    </row>
    <row r="602" spans="1:5" x14ac:dyDescent="0.25">
      <c r="A602" s="11">
        <f ca="1">INDEX(Stations,INT((ROWS(A$2:A602)-1)/(DATE(YEAR(Invoer!$A$5),12,31)-DATE(YEAR(Invoer!$A$5),1,1)+1))+2,1)</f>
        <v>42</v>
      </c>
      <c r="B602" t="str">
        <f ca="1">TEXT(DATE(YEAR(Invoer!$A$5),1,1)+MOD(ROWS(B$2:B602)-1,DATE(YEAR(Invoer!$A$5),12,31)-DATE(YEAR(Invoer!$A$5),1,1)+1),"jjjjmmdd")</f>
        <v>19270824</v>
      </c>
      <c r="C602" s="12">
        <v>1</v>
      </c>
      <c r="D602" s="17">
        <f t="shared" ca="1" si="18"/>
        <v>0</v>
      </c>
      <c r="E602" s="18">
        <f t="shared" ca="1" si="19"/>
        <v>0</v>
      </c>
    </row>
    <row r="603" spans="1:5" x14ac:dyDescent="0.25">
      <c r="A603" s="11">
        <f ca="1">INDEX(Stations,INT((ROWS(A$2:A603)-1)/(DATE(YEAR(Invoer!$A$5),12,31)-DATE(YEAR(Invoer!$A$5),1,1)+1))+2,1)</f>
        <v>42</v>
      </c>
      <c r="B603" t="str">
        <f ca="1">TEXT(DATE(YEAR(Invoer!$A$5),1,1)+MOD(ROWS(B$2:B603)-1,DATE(YEAR(Invoer!$A$5),12,31)-DATE(YEAR(Invoer!$A$5),1,1)+1),"jjjjmmdd")</f>
        <v>19270825</v>
      </c>
      <c r="C603" s="12">
        <v>1</v>
      </c>
      <c r="D603" s="17">
        <f t="shared" ca="1" si="18"/>
        <v>0</v>
      </c>
      <c r="E603" s="18">
        <f t="shared" ca="1" si="19"/>
        <v>0</v>
      </c>
    </row>
    <row r="604" spans="1:5" x14ac:dyDescent="0.25">
      <c r="A604" s="11">
        <f ca="1">INDEX(Stations,INT((ROWS(A$2:A604)-1)/(DATE(YEAR(Invoer!$A$5),12,31)-DATE(YEAR(Invoer!$A$5),1,1)+1))+2,1)</f>
        <v>42</v>
      </c>
      <c r="B604" t="str">
        <f ca="1">TEXT(DATE(YEAR(Invoer!$A$5),1,1)+MOD(ROWS(B$2:B604)-1,DATE(YEAR(Invoer!$A$5),12,31)-DATE(YEAR(Invoer!$A$5),1,1)+1),"jjjjmmdd")</f>
        <v>19270826</v>
      </c>
      <c r="C604" s="12">
        <v>1</v>
      </c>
      <c r="D604" s="17">
        <f t="shared" ca="1" si="18"/>
        <v>0</v>
      </c>
      <c r="E604" s="18">
        <f t="shared" ca="1" si="19"/>
        <v>0</v>
      </c>
    </row>
    <row r="605" spans="1:5" x14ac:dyDescent="0.25">
      <c r="A605" s="11">
        <f ca="1">INDEX(Stations,INT((ROWS(A$2:A605)-1)/(DATE(YEAR(Invoer!$A$5),12,31)-DATE(YEAR(Invoer!$A$5),1,1)+1))+2,1)</f>
        <v>42</v>
      </c>
      <c r="B605" t="str">
        <f ca="1">TEXT(DATE(YEAR(Invoer!$A$5),1,1)+MOD(ROWS(B$2:B605)-1,DATE(YEAR(Invoer!$A$5),12,31)-DATE(YEAR(Invoer!$A$5),1,1)+1),"jjjjmmdd")</f>
        <v>19270827</v>
      </c>
      <c r="C605" s="12">
        <v>1</v>
      </c>
      <c r="D605" s="17">
        <f t="shared" ca="1" si="18"/>
        <v>0</v>
      </c>
      <c r="E605" s="18">
        <f t="shared" ca="1" si="19"/>
        <v>0</v>
      </c>
    </row>
    <row r="606" spans="1:5" x14ac:dyDescent="0.25">
      <c r="A606" s="11">
        <f ca="1">INDEX(Stations,INT((ROWS(A$2:A606)-1)/(DATE(YEAR(Invoer!$A$5),12,31)-DATE(YEAR(Invoer!$A$5),1,1)+1))+2,1)</f>
        <v>42</v>
      </c>
      <c r="B606" t="str">
        <f ca="1">TEXT(DATE(YEAR(Invoer!$A$5),1,1)+MOD(ROWS(B$2:B606)-1,DATE(YEAR(Invoer!$A$5),12,31)-DATE(YEAR(Invoer!$A$5),1,1)+1),"jjjjmmdd")</f>
        <v>19270828</v>
      </c>
      <c r="C606" s="12">
        <v>1</v>
      </c>
      <c r="D606" s="17">
        <f t="shared" ca="1" si="18"/>
        <v>12</v>
      </c>
      <c r="E606" s="18">
        <f t="shared" ca="1" si="19"/>
        <v>0</v>
      </c>
    </row>
    <row r="607" spans="1:5" x14ac:dyDescent="0.25">
      <c r="A607" s="11">
        <f ca="1">INDEX(Stations,INT((ROWS(A$2:A607)-1)/(DATE(YEAR(Invoer!$A$5),12,31)-DATE(YEAR(Invoer!$A$5),1,1)+1))+2,1)</f>
        <v>42</v>
      </c>
      <c r="B607" t="str">
        <f ca="1">TEXT(DATE(YEAR(Invoer!$A$5),1,1)+MOD(ROWS(B$2:B607)-1,DATE(YEAR(Invoer!$A$5),12,31)-DATE(YEAR(Invoer!$A$5),1,1)+1),"jjjjmmdd")</f>
        <v>19270829</v>
      </c>
      <c r="C607" s="12">
        <v>1</v>
      </c>
      <c r="D607" s="17">
        <f t="shared" ca="1" si="18"/>
        <v>0</v>
      </c>
      <c r="E607" s="18">
        <f t="shared" ca="1" si="19"/>
        <v>0</v>
      </c>
    </row>
    <row r="608" spans="1:5" x14ac:dyDescent="0.25">
      <c r="A608" s="11">
        <f ca="1">INDEX(Stations,INT((ROWS(A$2:A608)-1)/(DATE(YEAR(Invoer!$A$5),12,31)-DATE(YEAR(Invoer!$A$5),1,1)+1))+2,1)</f>
        <v>42</v>
      </c>
      <c r="B608" t="str">
        <f ca="1">TEXT(DATE(YEAR(Invoer!$A$5),1,1)+MOD(ROWS(B$2:B608)-1,DATE(YEAR(Invoer!$A$5),12,31)-DATE(YEAR(Invoer!$A$5),1,1)+1),"jjjjmmdd")</f>
        <v>19270830</v>
      </c>
      <c r="C608" s="12">
        <v>1</v>
      </c>
      <c r="D608" s="17">
        <f t="shared" ca="1" si="18"/>
        <v>0</v>
      </c>
      <c r="E608" s="18">
        <f t="shared" ca="1" si="19"/>
        <v>0</v>
      </c>
    </row>
    <row r="609" spans="1:5" x14ac:dyDescent="0.25">
      <c r="A609" s="11">
        <f ca="1">INDEX(Stations,INT((ROWS(A$2:A609)-1)/(DATE(YEAR(Invoer!$A$5),12,31)-DATE(YEAR(Invoer!$A$5),1,1)+1))+2,1)</f>
        <v>42</v>
      </c>
      <c r="B609" t="str">
        <f ca="1">TEXT(DATE(YEAR(Invoer!$A$5),1,1)+MOD(ROWS(B$2:B609)-1,DATE(YEAR(Invoer!$A$5),12,31)-DATE(YEAR(Invoer!$A$5),1,1)+1),"jjjjmmdd")</f>
        <v>19270831</v>
      </c>
      <c r="C609" s="12">
        <v>1</v>
      </c>
      <c r="D609" s="17">
        <f t="shared" ca="1" si="18"/>
        <v>0</v>
      </c>
      <c r="E609" s="18">
        <f t="shared" ca="1" si="19"/>
        <v>0</v>
      </c>
    </row>
    <row r="610" spans="1:5" x14ac:dyDescent="0.25">
      <c r="A610" s="11">
        <f ca="1">INDEX(Stations,INT((ROWS(A$2:A610)-1)/(DATE(YEAR(Invoer!$A$5),12,31)-DATE(YEAR(Invoer!$A$5),1,1)+1))+2,1)</f>
        <v>42</v>
      </c>
      <c r="B610" t="str">
        <f ca="1">TEXT(DATE(YEAR(Invoer!$A$5),1,1)+MOD(ROWS(B$2:B610)-1,DATE(YEAR(Invoer!$A$5),12,31)-DATE(YEAR(Invoer!$A$5),1,1)+1),"jjjjmmdd")</f>
        <v>19270901</v>
      </c>
      <c r="C610" s="12">
        <v>1</v>
      </c>
      <c r="D610" s="17">
        <f t="shared" ca="1" si="18"/>
        <v>0</v>
      </c>
      <c r="E610" s="18">
        <f t="shared" ca="1" si="19"/>
        <v>0</v>
      </c>
    </row>
    <row r="611" spans="1:5" x14ac:dyDescent="0.25">
      <c r="A611" s="11">
        <f ca="1">INDEX(Stations,INT((ROWS(A$2:A611)-1)/(DATE(YEAR(Invoer!$A$5),12,31)-DATE(YEAR(Invoer!$A$5),1,1)+1))+2,1)</f>
        <v>42</v>
      </c>
      <c r="B611" t="str">
        <f ca="1">TEXT(DATE(YEAR(Invoer!$A$5),1,1)+MOD(ROWS(B$2:B611)-1,DATE(YEAR(Invoer!$A$5),12,31)-DATE(YEAR(Invoer!$A$5),1,1)+1),"jjjjmmdd")</f>
        <v>19270902</v>
      </c>
      <c r="C611" s="12">
        <v>1</v>
      </c>
      <c r="D611" s="17">
        <f t="shared" ca="1" si="18"/>
        <v>0</v>
      </c>
      <c r="E611" s="18">
        <f t="shared" ca="1" si="19"/>
        <v>0</v>
      </c>
    </row>
    <row r="612" spans="1:5" x14ac:dyDescent="0.25">
      <c r="A612" s="11">
        <f ca="1">INDEX(Stations,INT((ROWS(A$2:A612)-1)/(DATE(YEAR(Invoer!$A$5),12,31)-DATE(YEAR(Invoer!$A$5),1,1)+1))+2,1)</f>
        <v>42</v>
      </c>
      <c r="B612" t="str">
        <f ca="1">TEXT(DATE(YEAR(Invoer!$A$5),1,1)+MOD(ROWS(B$2:B612)-1,DATE(YEAR(Invoer!$A$5),12,31)-DATE(YEAR(Invoer!$A$5),1,1)+1),"jjjjmmdd")</f>
        <v>19270903</v>
      </c>
      <c r="C612" s="12">
        <v>1</v>
      </c>
      <c r="D612" s="17">
        <f t="shared" ca="1" si="18"/>
        <v>0</v>
      </c>
      <c r="E612" s="18">
        <f t="shared" ca="1" si="19"/>
        <v>0</v>
      </c>
    </row>
    <row r="613" spans="1:5" x14ac:dyDescent="0.25">
      <c r="A613" s="11">
        <f ca="1">INDEX(Stations,INT((ROWS(A$2:A613)-1)/(DATE(YEAR(Invoer!$A$5),12,31)-DATE(YEAR(Invoer!$A$5),1,1)+1))+2,1)</f>
        <v>42</v>
      </c>
      <c r="B613" t="str">
        <f ca="1">TEXT(DATE(YEAR(Invoer!$A$5),1,1)+MOD(ROWS(B$2:B613)-1,DATE(YEAR(Invoer!$A$5),12,31)-DATE(YEAR(Invoer!$A$5),1,1)+1),"jjjjmmdd")</f>
        <v>19270904</v>
      </c>
      <c r="C613" s="12">
        <v>1</v>
      </c>
      <c r="D613" s="17">
        <f t="shared" ca="1" si="18"/>
        <v>40</v>
      </c>
      <c r="E613" s="18">
        <f t="shared" ca="1" si="19"/>
        <v>0</v>
      </c>
    </row>
    <row r="614" spans="1:5" x14ac:dyDescent="0.25">
      <c r="A614" s="11">
        <f ca="1">INDEX(Stations,INT((ROWS(A$2:A614)-1)/(DATE(YEAR(Invoer!$A$5),12,31)-DATE(YEAR(Invoer!$A$5),1,1)+1))+2,1)</f>
        <v>42</v>
      </c>
      <c r="B614" t="str">
        <f ca="1">TEXT(DATE(YEAR(Invoer!$A$5),1,1)+MOD(ROWS(B$2:B614)-1,DATE(YEAR(Invoer!$A$5),12,31)-DATE(YEAR(Invoer!$A$5),1,1)+1),"jjjjmmdd")</f>
        <v>19270905</v>
      </c>
      <c r="C614" s="12">
        <v>1</v>
      </c>
      <c r="D614" s="17">
        <f t="shared" ca="1" si="18"/>
        <v>0</v>
      </c>
      <c r="E614" s="18">
        <f t="shared" ca="1" si="19"/>
        <v>0</v>
      </c>
    </row>
    <row r="615" spans="1:5" x14ac:dyDescent="0.25">
      <c r="A615" s="11">
        <f ca="1">INDEX(Stations,INT((ROWS(A$2:A615)-1)/(DATE(YEAR(Invoer!$A$5),12,31)-DATE(YEAR(Invoer!$A$5),1,1)+1))+2,1)</f>
        <v>42</v>
      </c>
      <c r="B615" t="str">
        <f ca="1">TEXT(DATE(YEAR(Invoer!$A$5),1,1)+MOD(ROWS(B$2:B615)-1,DATE(YEAR(Invoer!$A$5),12,31)-DATE(YEAR(Invoer!$A$5),1,1)+1),"jjjjmmdd")</f>
        <v>19270906</v>
      </c>
      <c r="C615" s="12">
        <v>1</v>
      </c>
      <c r="D615" s="17">
        <f t="shared" ca="1" si="18"/>
        <v>0</v>
      </c>
      <c r="E615" s="18">
        <f t="shared" ca="1" si="19"/>
        <v>0</v>
      </c>
    </row>
    <row r="616" spans="1:5" x14ac:dyDescent="0.25">
      <c r="A616" s="11">
        <f ca="1">INDEX(Stations,INT((ROWS(A$2:A616)-1)/(DATE(YEAR(Invoer!$A$5),12,31)-DATE(YEAR(Invoer!$A$5),1,1)+1))+2,1)</f>
        <v>42</v>
      </c>
      <c r="B616" t="str">
        <f ca="1">TEXT(DATE(YEAR(Invoer!$A$5),1,1)+MOD(ROWS(B$2:B616)-1,DATE(YEAR(Invoer!$A$5),12,31)-DATE(YEAR(Invoer!$A$5),1,1)+1),"jjjjmmdd")</f>
        <v>19270907</v>
      </c>
      <c r="C616" s="12">
        <v>1</v>
      </c>
      <c r="D616" s="17">
        <f t="shared" ca="1" si="18"/>
        <v>0</v>
      </c>
      <c r="E616" s="18">
        <f t="shared" ca="1" si="19"/>
        <v>0</v>
      </c>
    </row>
    <row r="617" spans="1:5" x14ac:dyDescent="0.25">
      <c r="A617" s="11">
        <f ca="1">INDEX(Stations,INT((ROWS(A$2:A617)-1)/(DATE(YEAR(Invoer!$A$5),12,31)-DATE(YEAR(Invoer!$A$5),1,1)+1))+2,1)</f>
        <v>42</v>
      </c>
      <c r="B617" t="str">
        <f ca="1">TEXT(DATE(YEAR(Invoer!$A$5),1,1)+MOD(ROWS(B$2:B617)-1,DATE(YEAR(Invoer!$A$5),12,31)-DATE(YEAR(Invoer!$A$5),1,1)+1),"jjjjmmdd")</f>
        <v>19270908</v>
      </c>
      <c r="C617" s="12">
        <v>1</v>
      </c>
      <c r="D617" s="17">
        <f t="shared" ca="1" si="18"/>
        <v>0</v>
      </c>
      <c r="E617" s="18">
        <f t="shared" ca="1" si="19"/>
        <v>0</v>
      </c>
    </row>
    <row r="618" spans="1:5" x14ac:dyDescent="0.25">
      <c r="A618" s="11">
        <f ca="1">INDEX(Stations,INT((ROWS(A$2:A618)-1)/(DATE(YEAR(Invoer!$A$5),12,31)-DATE(YEAR(Invoer!$A$5),1,1)+1))+2,1)</f>
        <v>42</v>
      </c>
      <c r="B618" t="str">
        <f ca="1">TEXT(DATE(YEAR(Invoer!$A$5),1,1)+MOD(ROWS(B$2:B618)-1,DATE(YEAR(Invoer!$A$5),12,31)-DATE(YEAR(Invoer!$A$5),1,1)+1),"jjjjmmdd")</f>
        <v>19270909</v>
      </c>
      <c r="C618" s="12">
        <v>1</v>
      </c>
      <c r="D618" s="17">
        <f t="shared" ca="1" si="18"/>
        <v>0</v>
      </c>
      <c r="E618" s="18">
        <f t="shared" ca="1" si="19"/>
        <v>0</v>
      </c>
    </row>
    <row r="619" spans="1:5" x14ac:dyDescent="0.25">
      <c r="A619" s="11">
        <f ca="1">INDEX(Stations,INT((ROWS(A$2:A619)-1)/(DATE(YEAR(Invoer!$A$5),12,31)-DATE(YEAR(Invoer!$A$5),1,1)+1))+2,1)</f>
        <v>42</v>
      </c>
      <c r="B619" t="str">
        <f ca="1">TEXT(DATE(YEAR(Invoer!$A$5),1,1)+MOD(ROWS(B$2:B619)-1,DATE(YEAR(Invoer!$A$5),12,31)-DATE(YEAR(Invoer!$A$5),1,1)+1),"jjjjmmdd")</f>
        <v>19270910</v>
      </c>
      <c r="C619" s="12">
        <v>1</v>
      </c>
      <c r="D619" s="17">
        <f t="shared" ca="1" si="18"/>
        <v>0</v>
      </c>
      <c r="E619" s="18">
        <f t="shared" ca="1" si="19"/>
        <v>0</v>
      </c>
    </row>
    <row r="620" spans="1:5" x14ac:dyDescent="0.25">
      <c r="A620" s="11">
        <f ca="1">INDEX(Stations,INT((ROWS(A$2:A620)-1)/(DATE(YEAR(Invoer!$A$5),12,31)-DATE(YEAR(Invoer!$A$5),1,1)+1))+2,1)</f>
        <v>42</v>
      </c>
      <c r="B620" t="str">
        <f ca="1">TEXT(DATE(YEAR(Invoer!$A$5),1,1)+MOD(ROWS(B$2:B620)-1,DATE(YEAR(Invoer!$A$5),12,31)-DATE(YEAR(Invoer!$A$5),1,1)+1),"jjjjmmdd")</f>
        <v>19270911</v>
      </c>
      <c r="C620" s="12">
        <v>1</v>
      </c>
      <c r="D620" s="17">
        <f t="shared" ca="1" si="18"/>
        <v>0</v>
      </c>
      <c r="E620" s="18">
        <f t="shared" ca="1" si="19"/>
        <v>0</v>
      </c>
    </row>
    <row r="621" spans="1:5" x14ac:dyDescent="0.25">
      <c r="A621" s="11">
        <f ca="1">INDEX(Stations,INT((ROWS(A$2:A621)-1)/(DATE(YEAR(Invoer!$A$5),12,31)-DATE(YEAR(Invoer!$A$5),1,1)+1))+2,1)</f>
        <v>42</v>
      </c>
      <c r="B621" t="str">
        <f ca="1">TEXT(DATE(YEAR(Invoer!$A$5),1,1)+MOD(ROWS(B$2:B621)-1,DATE(YEAR(Invoer!$A$5),12,31)-DATE(YEAR(Invoer!$A$5),1,1)+1),"jjjjmmdd")</f>
        <v>19270912</v>
      </c>
      <c r="C621" s="12">
        <v>1</v>
      </c>
      <c r="D621" s="17">
        <f t="shared" ca="1" si="18"/>
        <v>0</v>
      </c>
      <c r="E621" s="18">
        <f t="shared" ca="1" si="19"/>
        <v>0</v>
      </c>
    </row>
    <row r="622" spans="1:5" x14ac:dyDescent="0.25">
      <c r="A622" s="11">
        <f ca="1">INDEX(Stations,INT((ROWS(A$2:A622)-1)/(DATE(YEAR(Invoer!$A$5),12,31)-DATE(YEAR(Invoer!$A$5),1,1)+1))+2,1)</f>
        <v>42</v>
      </c>
      <c r="B622" t="str">
        <f ca="1">TEXT(DATE(YEAR(Invoer!$A$5),1,1)+MOD(ROWS(B$2:B622)-1,DATE(YEAR(Invoer!$A$5),12,31)-DATE(YEAR(Invoer!$A$5),1,1)+1),"jjjjmmdd")</f>
        <v>19270913</v>
      </c>
      <c r="C622" s="12">
        <v>1</v>
      </c>
      <c r="D622" s="17">
        <f t="shared" ca="1" si="18"/>
        <v>0</v>
      </c>
      <c r="E622" s="18">
        <f t="shared" ca="1" si="19"/>
        <v>0</v>
      </c>
    </row>
    <row r="623" spans="1:5" x14ac:dyDescent="0.25">
      <c r="A623" s="11">
        <f ca="1">INDEX(Stations,INT((ROWS(A$2:A623)-1)/(DATE(YEAR(Invoer!$A$5),12,31)-DATE(YEAR(Invoer!$A$5),1,1)+1))+2,1)</f>
        <v>42</v>
      </c>
      <c r="B623" t="str">
        <f ca="1">TEXT(DATE(YEAR(Invoer!$A$5),1,1)+MOD(ROWS(B$2:B623)-1,DATE(YEAR(Invoer!$A$5),12,31)-DATE(YEAR(Invoer!$A$5),1,1)+1),"jjjjmmdd")</f>
        <v>19270914</v>
      </c>
      <c r="C623" s="12">
        <v>1</v>
      </c>
      <c r="D623" s="17">
        <f t="shared" ca="1" si="18"/>
        <v>0</v>
      </c>
      <c r="E623" s="18">
        <f t="shared" ca="1" si="19"/>
        <v>0</v>
      </c>
    </row>
    <row r="624" spans="1:5" x14ac:dyDescent="0.25">
      <c r="A624" s="11">
        <f ca="1">INDEX(Stations,INT((ROWS(A$2:A624)-1)/(DATE(YEAR(Invoer!$A$5),12,31)-DATE(YEAR(Invoer!$A$5),1,1)+1))+2,1)</f>
        <v>42</v>
      </c>
      <c r="B624" t="str">
        <f ca="1">TEXT(DATE(YEAR(Invoer!$A$5),1,1)+MOD(ROWS(B$2:B624)-1,DATE(YEAR(Invoer!$A$5),12,31)-DATE(YEAR(Invoer!$A$5),1,1)+1),"jjjjmmdd")</f>
        <v>19270915</v>
      </c>
      <c r="C624" s="12">
        <v>1</v>
      </c>
      <c r="D624" s="17">
        <f t="shared" ca="1" si="18"/>
        <v>0</v>
      </c>
      <c r="E624" s="18">
        <f t="shared" ca="1" si="19"/>
        <v>0</v>
      </c>
    </row>
    <row r="625" spans="1:5" x14ac:dyDescent="0.25">
      <c r="A625" s="11">
        <f ca="1">INDEX(Stations,INT((ROWS(A$2:A625)-1)/(DATE(YEAR(Invoer!$A$5),12,31)-DATE(YEAR(Invoer!$A$5),1,1)+1))+2,1)</f>
        <v>42</v>
      </c>
      <c r="B625" t="str">
        <f ca="1">TEXT(DATE(YEAR(Invoer!$A$5),1,1)+MOD(ROWS(B$2:B625)-1,DATE(YEAR(Invoer!$A$5),12,31)-DATE(YEAR(Invoer!$A$5),1,1)+1),"jjjjmmdd")</f>
        <v>19270916</v>
      </c>
      <c r="C625" s="12">
        <v>1</v>
      </c>
      <c r="D625" s="17">
        <f t="shared" ca="1" si="18"/>
        <v>0</v>
      </c>
      <c r="E625" s="18">
        <f t="shared" ca="1" si="19"/>
        <v>0</v>
      </c>
    </row>
    <row r="626" spans="1:5" x14ac:dyDescent="0.25">
      <c r="A626" s="11">
        <f ca="1">INDEX(Stations,INT((ROWS(A$2:A626)-1)/(DATE(YEAR(Invoer!$A$5),12,31)-DATE(YEAR(Invoer!$A$5),1,1)+1))+2,1)</f>
        <v>42</v>
      </c>
      <c r="B626" t="str">
        <f ca="1">TEXT(DATE(YEAR(Invoer!$A$5),1,1)+MOD(ROWS(B$2:B626)-1,DATE(YEAR(Invoer!$A$5),12,31)-DATE(YEAR(Invoer!$A$5),1,1)+1),"jjjjmmdd")</f>
        <v>19270917</v>
      </c>
      <c r="C626" s="12">
        <v>1</v>
      </c>
      <c r="D626" s="17">
        <f t="shared" ca="1" si="18"/>
        <v>0</v>
      </c>
      <c r="E626" s="18">
        <f t="shared" ca="1" si="19"/>
        <v>0</v>
      </c>
    </row>
    <row r="627" spans="1:5" x14ac:dyDescent="0.25">
      <c r="A627" s="11">
        <f ca="1">INDEX(Stations,INT((ROWS(A$2:A627)-1)/(DATE(YEAR(Invoer!$A$5),12,31)-DATE(YEAR(Invoer!$A$5),1,1)+1))+2,1)</f>
        <v>42</v>
      </c>
      <c r="B627" t="str">
        <f ca="1">TEXT(DATE(YEAR(Invoer!$A$5),1,1)+MOD(ROWS(B$2:B627)-1,DATE(YEAR(Invoer!$A$5),12,31)-DATE(YEAR(Invoer!$A$5),1,1)+1),"jjjjmmdd")</f>
        <v>19270918</v>
      </c>
      <c r="C627" s="12">
        <v>1</v>
      </c>
      <c r="D627" s="17">
        <f t="shared" ca="1" si="18"/>
        <v>21</v>
      </c>
      <c r="E627" s="18">
        <f t="shared" ca="1" si="19"/>
        <v>0</v>
      </c>
    </row>
    <row r="628" spans="1:5" x14ac:dyDescent="0.25">
      <c r="A628" s="11">
        <f ca="1">INDEX(Stations,INT((ROWS(A$2:A628)-1)/(DATE(YEAR(Invoer!$A$5),12,31)-DATE(YEAR(Invoer!$A$5),1,1)+1))+2,1)</f>
        <v>42</v>
      </c>
      <c r="B628" t="str">
        <f ca="1">TEXT(DATE(YEAR(Invoer!$A$5),1,1)+MOD(ROWS(B$2:B628)-1,DATE(YEAR(Invoer!$A$5),12,31)-DATE(YEAR(Invoer!$A$5),1,1)+1),"jjjjmmdd")</f>
        <v>19270919</v>
      </c>
      <c r="C628" s="12">
        <v>1</v>
      </c>
      <c r="D628" s="17">
        <f t="shared" ca="1" si="18"/>
        <v>2</v>
      </c>
      <c r="E628" s="18">
        <f t="shared" ca="1" si="19"/>
        <v>0</v>
      </c>
    </row>
    <row r="629" spans="1:5" x14ac:dyDescent="0.25">
      <c r="A629" s="11">
        <f ca="1">INDEX(Stations,INT((ROWS(A$2:A629)-1)/(DATE(YEAR(Invoer!$A$5),12,31)-DATE(YEAR(Invoer!$A$5),1,1)+1))+2,1)</f>
        <v>42</v>
      </c>
      <c r="B629" t="str">
        <f ca="1">TEXT(DATE(YEAR(Invoer!$A$5),1,1)+MOD(ROWS(B$2:B629)-1,DATE(YEAR(Invoer!$A$5),12,31)-DATE(YEAR(Invoer!$A$5),1,1)+1),"jjjjmmdd")</f>
        <v>19270920</v>
      </c>
      <c r="C629" s="12">
        <v>1</v>
      </c>
      <c r="D629" s="17">
        <f t="shared" ca="1" si="18"/>
        <v>0</v>
      </c>
      <c r="E629" s="18">
        <f t="shared" ca="1" si="19"/>
        <v>0</v>
      </c>
    </row>
    <row r="630" spans="1:5" x14ac:dyDescent="0.25">
      <c r="A630" s="11">
        <f ca="1">INDEX(Stations,INT((ROWS(A$2:A630)-1)/(DATE(YEAR(Invoer!$A$5),12,31)-DATE(YEAR(Invoer!$A$5),1,1)+1))+2,1)</f>
        <v>42</v>
      </c>
      <c r="B630" t="str">
        <f ca="1">TEXT(DATE(YEAR(Invoer!$A$5),1,1)+MOD(ROWS(B$2:B630)-1,DATE(YEAR(Invoer!$A$5),12,31)-DATE(YEAR(Invoer!$A$5),1,1)+1),"jjjjmmdd")</f>
        <v>19270921</v>
      </c>
      <c r="C630" s="12">
        <v>1</v>
      </c>
      <c r="D630" s="17">
        <f t="shared" ca="1" si="18"/>
        <v>0</v>
      </c>
      <c r="E630" s="18">
        <f t="shared" ca="1" si="19"/>
        <v>0</v>
      </c>
    </row>
    <row r="631" spans="1:5" x14ac:dyDescent="0.25">
      <c r="A631" s="11">
        <f ca="1">INDEX(Stations,INT((ROWS(A$2:A631)-1)/(DATE(YEAR(Invoer!$A$5),12,31)-DATE(YEAR(Invoer!$A$5),1,1)+1))+2,1)</f>
        <v>42</v>
      </c>
      <c r="B631" t="str">
        <f ca="1">TEXT(DATE(YEAR(Invoer!$A$5),1,1)+MOD(ROWS(B$2:B631)-1,DATE(YEAR(Invoer!$A$5),12,31)-DATE(YEAR(Invoer!$A$5),1,1)+1),"jjjjmmdd")</f>
        <v>19270922</v>
      </c>
      <c r="C631" s="12">
        <v>1</v>
      </c>
      <c r="D631" s="17">
        <f t="shared" ca="1" si="18"/>
        <v>170</v>
      </c>
      <c r="E631" s="18">
        <f t="shared" ca="1" si="19"/>
        <v>0</v>
      </c>
    </row>
    <row r="632" spans="1:5" x14ac:dyDescent="0.25">
      <c r="A632" s="11">
        <f ca="1">INDEX(Stations,INT((ROWS(A$2:A632)-1)/(DATE(YEAR(Invoer!$A$5),12,31)-DATE(YEAR(Invoer!$A$5),1,1)+1))+2,1)</f>
        <v>42</v>
      </c>
      <c r="B632" t="str">
        <f ca="1">TEXT(DATE(YEAR(Invoer!$A$5),1,1)+MOD(ROWS(B$2:B632)-1,DATE(YEAR(Invoer!$A$5),12,31)-DATE(YEAR(Invoer!$A$5),1,1)+1),"jjjjmmdd")</f>
        <v>19270923</v>
      </c>
      <c r="C632" s="12">
        <v>1</v>
      </c>
      <c r="D632" s="17">
        <f t="shared" ca="1" si="18"/>
        <v>0</v>
      </c>
      <c r="E632" s="18">
        <f t="shared" ca="1" si="19"/>
        <v>0</v>
      </c>
    </row>
    <row r="633" spans="1:5" x14ac:dyDescent="0.25">
      <c r="A633" s="11">
        <f ca="1">INDEX(Stations,INT((ROWS(A$2:A633)-1)/(DATE(YEAR(Invoer!$A$5),12,31)-DATE(YEAR(Invoer!$A$5),1,1)+1))+2,1)</f>
        <v>42</v>
      </c>
      <c r="B633" t="str">
        <f ca="1">TEXT(DATE(YEAR(Invoer!$A$5),1,1)+MOD(ROWS(B$2:B633)-1,DATE(YEAR(Invoer!$A$5),12,31)-DATE(YEAR(Invoer!$A$5),1,1)+1),"jjjjmmdd")</f>
        <v>19270924</v>
      </c>
      <c r="C633" s="12">
        <v>1</v>
      </c>
      <c r="D633" s="17">
        <f t="shared" ca="1" si="18"/>
        <v>0</v>
      </c>
      <c r="E633" s="18">
        <f t="shared" ca="1" si="19"/>
        <v>0</v>
      </c>
    </row>
    <row r="634" spans="1:5" x14ac:dyDescent="0.25">
      <c r="A634" s="11">
        <f ca="1">INDEX(Stations,INT((ROWS(A$2:A634)-1)/(DATE(YEAR(Invoer!$A$5),12,31)-DATE(YEAR(Invoer!$A$5),1,1)+1))+2,1)</f>
        <v>42</v>
      </c>
      <c r="B634" t="str">
        <f ca="1">TEXT(DATE(YEAR(Invoer!$A$5),1,1)+MOD(ROWS(B$2:B634)-1,DATE(YEAR(Invoer!$A$5),12,31)-DATE(YEAR(Invoer!$A$5),1,1)+1),"jjjjmmdd")</f>
        <v>19270925</v>
      </c>
      <c r="C634" s="12">
        <v>1</v>
      </c>
      <c r="D634" s="17">
        <f t="shared" ca="1" si="18"/>
        <v>0</v>
      </c>
      <c r="E634" s="18">
        <f t="shared" ca="1" si="19"/>
        <v>0</v>
      </c>
    </row>
    <row r="635" spans="1:5" x14ac:dyDescent="0.25">
      <c r="A635" s="11">
        <f ca="1">INDEX(Stations,INT((ROWS(A$2:A635)-1)/(DATE(YEAR(Invoer!$A$5),12,31)-DATE(YEAR(Invoer!$A$5),1,1)+1))+2,1)</f>
        <v>42</v>
      </c>
      <c r="B635" t="str">
        <f ca="1">TEXT(DATE(YEAR(Invoer!$A$5),1,1)+MOD(ROWS(B$2:B635)-1,DATE(YEAR(Invoer!$A$5),12,31)-DATE(YEAR(Invoer!$A$5),1,1)+1),"jjjjmmdd")</f>
        <v>19270926</v>
      </c>
      <c r="C635" s="12">
        <v>1</v>
      </c>
      <c r="D635" s="17">
        <f t="shared" ca="1" si="18"/>
        <v>225</v>
      </c>
      <c r="E635" s="18">
        <f t="shared" ca="1" si="19"/>
        <v>0</v>
      </c>
    </row>
    <row r="636" spans="1:5" x14ac:dyDescent="0.25">
      <c r="A636" s="11">
        <f ca="1">INDEX(Stations,INT((ROWS(A$2:A636)-1)/(DATE(YEAR(Invoer!$A$5),12,31)-DATE(YEAR(Invoer!$A$5),1,1)+1))+2,1)</f>
        <v>42</v>
      </c>
      <c r="B636" t="str">
        <f ca="1">TEXT(DATE(YEAR(Invoer!$A$5),1,1)+MOD(ROWS(B$2:B636)-1,DATE(YEAR(Invoer!$A$5),12,31)-DATE(YEAR(Invoer!$A$5),1,1)+1),"jjjjmmdd")</f>
        <v>19270927</v>
      </c>
      <c r="C636" s="12">
        <v>1</v>
      </c>
      <c r="D636" s="17">
        <f t="shared" ca="1" si="18"/>
        <v>0</v>
      </c>
      <c r="E636" s="18">
        <f t="shared" ca="1" si="19"/>
        <v>0</v>
      </c>
    </row>
    <row r="637" spans="1:5" x14ac:dyDescent="0.25">
      <c r="A637" s="11">
        <f ca="1">INDEX(Stations,INT((ROWS(A$2:A637)-1)/(DATE(YEAR(Invoer!$A$5),12,31)-DATE(YEAR(Invoer!$A$5),1,1)+1))+2,1)</f>
        <v>42</v>
      </c>
      <c r="B637" t="str">
        <f ca="1">TEXT(DATE(YEAR(Invoer!$A$5),1,1)+MOD(ROWS(B$2:B637)-1,DATE(YEAR(Invoer!$A$5),12,31)-DATE(YEAR(Invoer!$A$5),1,1)+1),"jjjjmmdd")</f>
        <v>19270928</v>
      </c>
      <c r="C637" s="12">
        <v>1</v>
      </c>
      <c r="D637" s="17">
        <f t="shared" ca="1" si="18"/>
        <v>0</v>
      </c>
      <c r="E637" s="18">
        <f t="shared" ca="1" si="19"/>
        <v>0</v>
      </c>
    </row>
    <row r="638" spans="1:5" x14ac:dyDescent="0.25">
      <c r="A638" s="11">
        <f ca="1">INDEX(Stations,INT((ROWS(A$2:A638)-1)/(DATE(YEAR(Invoer!$A$5),12,31)-DATE(YEAR(Invoer!$A$5),1,1)+1))+2,1)</f>
        <v>42</v>
      </c>
      <c r="B638" t="str">
        <f ca="1">TEXT(DATE(YEAR(Invoer!$A$5),1,1)+MOD(ROWS(B$2:B638)-1,DATE(YEAR(Invoer!$A$5),12,31)-DATE(YEAR(Invoer!$A$5),1,1)+1),"jjjjmmdd")</f>
        <v>19270929</v>
      </c>
      <c r="C638" s="12">
        <v>1</v>
      </c>
      <c r="D638" s="17">
        <f t="shared" ca="1" si="18"/>
        <v>0</v>
      </c>
      <c r="E638" s="18">
        <f t="shared" ca="1" si="19"/>
        <v>0</v>
      </c>
    </row>
    <row r="639" spans="1:5" x14ac:dyDescent="0.25">
      <c r="A639" s="11">
        <f ca="1">INDEX(Stations,INT((ROWS(A$2:A639)-1)/(DATE(YEAR(Invoer!$A$5),12,31)-DATE(YEAR(Invoer!$A$5),1,1)+1))+2,1)</f>
        <v>42</v>
      </c>
      <c r="B639" t="str">
        <f ca="1">TEXT(DATE(YEAR(Invoer!$A$5),1,1)+MOD(ROWS(B$2:B639)-1,DATE(YEAR(Invoer!$A$5),12,31)-DATE(YEAR(Invoer!$A$5),1,1)+1),"jjjjmmdd")</f>
        <v>19270930</v>
      </c>
      <c r="C639" s="12">
        <v>1</v>
      </c>
      <c r="D639" s="17">
        <f t="shared" ca="1" si="18"/>
        <v>0</v>
      </c>
      <c r="E639" s="18">
        <f t="shared" ca="1" si="19"/>
        <v>0</v>
      </c>
    </row>
    <row r="640" spans="1:5" x14ac:dyDescent="0.25">
      <c r="A640" s="11">
        <f ca="1">INDEX(Stations,INT((ROWS(A$2:A640)-1)/(DATE(YEAR(Invoer!$A$5),12,31)-DATE(YEAR(Invoer!$A$5),1,1)+1))+2,1)</f>
        <v>42</v>
      </c>
      <c r="B640" t="str">
        <f ca="1">TEXT(DATE(YEAR(Invoer!$A$5),1,1)+MOD(ROWS(B$2:B640)-1,DATE(YEAR(Invoer!$A$5),12,31)-DATE(YEAR(Invoer!$A$5),1,1)+1),"jjjjmmdd")</f>
        <v>19271001</v>
      </c>
      <c r="C640" s="12">
        <v>1</v>
      </c>
      <c r="D640" s="17">
        <f t="shared" ca="1" si="18"/>
        <v>0</v>
      </c>
      <c r="E640" s="18">
        <f t="shared" ca="1" si="19"/>
        <v>0</v>
      </c>
    </row>
    <row r="641" spans="1:5" x14ac:dyDescent="0.25">
      <c r="A641" s="11">
        <f ca="1">INDEX(Stations,INT((ROWS(A$2:A641)-1)/(DATE(YEAR(Invoer!$A$5),12,31)-DATE(YEAR(Invoer!$A$5),1,1)+1))+2,1)</f>
        <v>42</v>
      </c>
      <c r="B641" t="str">
        <f ca="1">TEXT(DATE(YEAR(Invoer!$A$5),1,1)+MOD(ROWS(B$2:B641)-1,DATE(YEAR(Invoer!$A$5),12,31)-DATE(YEAR(Invoer!$A$5),1,1)+1),"jjjjmmdd")</f>
        <v>19271002</v>
      </c>
      <c r="C641" s="12">
        <v>1</v>
      </c>
      <c r="D641" s="17">
        <f t="shared" ca="1" si="18"/>
        <v>0</v>
      </c>
      <c r="E641" s="18">
        <f t="shared" ca="1" si="19"/>
        <v>0</v>
      </c>
    </row>
    <row r="642" spans="1:5" x14ac:dyDescent="0.25">
      <c r="A642" s="11">
        <f ca="1">INDEX(Stations,INT((ROWS(A$2:A642)-1)/(DATE(YEAR(Invoer!$A$5),12,31)-DATE(YEAR(Invoer!$A$5),1,1)+1))+2,1)</f>
        <v>42</v>
      </c>
      <c r="B642" t="str">
        <f ca="1">TEXT(DATE(YEAR(Invoer!$A$5),1,1)+MOD(ROWS(B$2:B642)-1,DATE(YEAR(Invoer!$A$5),12,31)-DATE(YEAR(Invoer!$A$5),1,1)+1),"jjjjmmdd")</f>
        <v>19271003</v>
      </c>
      <c r="C642" s="12">
        <v>1</v>
      </c>
      <c r="D642" s="17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10</v>
      </c>
      <c r="E642" s="18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0</v>
      </c>
    </row>
    <row r="643" spans="1:5" x14ac:dyDescent="0.25">
      <c r="A643" s="11">
        <f ca="1">INDEX(Stations,INT((ROWS(A$2:A643)-1)/(DATE(YEAR(Invoer!$A$5),12,31)-DATE(YEAR(Invoer!$A$5),1,1)+1))+2,1)</f>
        <v>42</v>
      </c>
      <c r="B643" t="str">
        <f ca="1">TEXT(DATE(YEAR(Invoer!$A$5),1,1)+MOD(ROWS(B$2:B643)-1,DATE(YEAR(Invoer!$A$5),12,31)-DATE(YEAR(Invoer!$A$5),1,1)+1),"jjjjmmdd")</f>
        <v>19271004</v>
      </c>
      <c r="C643" s="12">
        <v>1</v>
      </c>
      <c r="D643" s="17">
        <f t="shared" ca="1" si="20"/>
        <v>0</v>
      </c>
      <c r="E643" s="18">
        <f t="shared" ca="1" si="21"/>
        <v>0</v>
      </c>
    </row>
    <row r="644" spans="1:5" x14ac:dyDescent="0.25">
      <c r="A644" s="11">
        <f ca="1">INDEX(Stations,INT((ROWS(A$2:A644)-1)/(DATE(YEAR(Invoer!$A$5),12,31)-DATE(YEAR(Invoer!$A$5),1,1)+1))+2,1)</f>
        <v>42</v>
      </c>
      <c r="B644" t="str">
        <f ca="1">TEXT(DATE(YEAR(Invoer!$A$5),1,1)+MOD(ROWS(B$2:B644)-1,DATE(YEAR(Invoer!$A$5),12,31)-DATE(YEAR(Invoer!$A$5),1,1)+1),"jjjjmmdd")</f>
        <v>19271005</v>
      </c>
      <c r="C644" s="12">
        <v>1</v>
      </c>
      <c r="D644" s="17">
        <f t="shared" ca="1" si="20"/>
        <v>0</v>
      </c>
      <c r="E644" s="18">
        <f t="shared" ca="1" si="21"/>
        <v>0</v>
      </c>
    </row>
    <row r="645" spans="1:5" x14ac:dyDescent="0.25">
      <c r="A645" s="11">
        <f ca="1">INDEX(Stations,INT((ROWS(A$2:A645)-1)/(DATE(YEAR(Invoer!$A$5),12,31)-DATE(YEAR(Invoer!$A$5),1,1)+1))+2,1)</f>
        <v>42</v>
      </c>
      <c r="B645" t="str">
        <f ca="1">TEXT(DATE(YEAR(Invoer!$A$5),1,1)+MOD(ROWS(B$2:B645)-1,DATE(YEAR(Invoer!$A$5),12,31)-DATE(YEAR(Invoer!$A$5),1,1)+1),"jjjjmmdd")</f>
        <v>19271006</v>
      </c>
      <c r="C645" s="12">
        <v>1</v>
      </c>
      <c r="D645" s="17">
        <f t="shared" ca="1" si="20"/>
        <v>0</v>
      </c>
      <c r="E645" s="18">
        <f t="shared" ca="1" si="21"/>
        <v>0</v>
      </c>
    </row>
    <row r="646" spans="1:5" x14ac:dyDescent="0.25">
      <c r="A646" s="11">
        <f ca="1">INDEX(Stations,INT((ROWS(A$2:A646)-1)/(DATE(YEAR(Invoer!$A$5),12,31)-DATE(YEAR(Invoer!$A$5),1,1)+1))+2,1)</f>
        <v>42</v>
      </c>
      <c r="B646" t="str">
        <f ca="1">TEXT(DATE(YEAR(Invoer!$A$5),1,1)+MOD(ROWS(B$2:B646)-1,DATE(YEAR(Invoer!$A$5),12,31)-DATE(YEAR(Invoer!$A$5),1,1)+1),"jjjjmmdd")</f>
        <v>19271007</v>
      </c>
      <c r="C646" s="12">
        <v>1</v>
      </c>
      <c r="D646" s="17">
        <f t="shared" ca="1" si="20"/>
        <v>0</v>
      </c>
      <c r="E646" s="18">
        <f t="shared" ca="1" si="21"/>
        <v>0</v>
      </c>
    </row>
    <row r="647" spans="1:5" x14ac:dyDescent="0.25">
      <c r="A647" s="11">
        <f ca="1">INDEX(Stations,INT((ROWS(A$2:A647)-1)/(DATE(YEAR(Invoer!$A$5),12,31)-DATE(YEAR(Invoer!$A$5),1,1)+1))+2,1)</f>
        <v>42</v>
      </c>
      <c r="B647" t="str">
        <f ca="1">TEXT(DATE(YEAR(Invoer!$A$5),1,1)+MOD(ROWS(B$2:B647)-1,DATE(YEAR(Invoer!$A$5),12,31)-DATE(YEAR(Invoer!$A$5),1,1)+1),"jjjjmmdd")</f>
        <v>19271008</v>
      </c>
      <c r="C647" s="12">
        <v>1</v>
      </c>
      <c r="D647" s="17">
        <f t="shared" ca="1" si="20"/>
        <v>0</v>
      </c>
      <c r="E647" s="18">
        <f t="shared" ca="1" si="21"/>
        <v>0</v>
      </c>
    </row>
    <row r="648" spans="1:5" x14ac:dyDescent="0.25">
      <c r="A648" s="11">
        <f ca="1">INDEX(Stations,INT((ROWS(A$2:A648)-1)/(DATE(YEAR(Invoer!$A$5),12,31)-DATE(YEAR(Invoer!$A$5),1,1)+1))+2,1)</f>
        <v>42</v>
      </c>
      <c r="B648" t="str">
        <f ca="1">TEXT(DATE(YEAR(Invoer!$A$5),1,1)+MOD(ROWS(B$2:B648)-1,DATE(YEAR(Invoer!$A$5),12,31)-DATE(YEAR(Invoer!$A$5),1,1)+1),"jjjjmmdd")</f>
        <v>19271009</v>
      </c>
      <c r="C648" s="12">
        <v>1</v>
      </c>
      <c r="D648" s="17">
        <f t="shared" ca="1" si="20"/>
        <v>0</v>
      </c>
      <c r="E648" s="18">
        <f t="shared" ca="1" si="21"/>
        <v>0</v>
      </c>
    </row>
    <row r="649" spans="1:5" x14ac:dyDescent="0.25">
      <c r="A649" s="11">
        <f ca="1">INDEX(Stations,INT((ROWS(A$2:A649)-1)/(DATE(YEAR(Invoer!$A$5),12,31)-DATE(YEAR(Invoer!$A$5),1,1)+1))+2,1)</f>
        <v>42</v>
      </c>
      <c r="B649" t="str">
        <f ca="1">TEXT(DATE(YEAR(Invoer!$A$5),1,1)+MOD(ROWS(B$2:B649)-1,DATE(YEAR(Invoer!$A$5),12,31)-DATE(YEAR(Invoer!$A$5),1,1)+1),"jjjjmmdd")</f>
        <v>19271010</v>
      </c>
      <c r="C649" s="12">
        <v>1</v>
      </c>
      <c r="D649" s="17">
        <f t="shared" ca="1" si="20"/>
        <v>0</v>
      </c>
      <c r="E649" s="18">
        <f t="shared" ca="1" si="21"/>
        <v>0</v>
      </c>
    </row>
    <row r="650" spans="1:5" x14ac:dyDescent="0.25">
      <c r="A650" s="11">
        <f ca="1">INDEX(Stations,INT((ROWS(A$2:A650)-1)/(DATE(YEAR(Invoer!$A$5),12,31)-DATE(YEAR(Invoer!$A$5),1,1)+1))+2,1)</f>
        <v>42</v>
      </c>
      <c r="B650" t="str">
        <f ca="1">TEXT(DATE(YEAR(Invoer!$A$5),1,1)+MOD(ROWS(B$2:B650)-1,DATE(YEAR(Invoer!$A$5),12,31)-DATE(YEAR(Invoer!$A$5),1,1)+1),"jjjjmmdd")</f>
        <v>19271011</v>
      </c>
      <c r="C650" s="12">
        <v>1</v>
      </c>
      <c r="D650" s="17">
        <f t="shared" ca="1" si="20"/>
        <v>0</v>
      </c>
      <c r="E650" s="18">
        <f t="shared" ca="1" si="21"/>
        <v>0</v>
      </c>
    </row>
    <row r="651" spans="1:5" x14ac:dyDescent="0.25">
      <c r="A651" s="11">
        <f ca="1">INDEX(Stations,INT((ROWS(A$2:A651)-1)/(DATE(YEAR(Invoer!$A$5),12,31)-DATE(YEAR(Invoer!$A$5),1,1)+1))+2,1)</f>
        <v>42</v>
      </c>
      <c r="B651" t="str">
        <f ca="1">TEXT(DATE(YEAR(Invoer!$A$5),1,1)+MOD(ROWS(B$2:B651)-1,DATE(YEAR(Invoer!$A$5),12,31)-DATE(YEAR(Invoer!$A$5),1,1)+1),"jjjjmmdd")</f>
        <v>19271012</v>
      </c>
      <c r="C651" s="12">
        <v>1</v>
      </c>
      <c r="D651" s="17">
        <f t="shared" ca="1" si="20"/>
        <v>0</v>
      </c>
      <c r="E651" s="18">
        <f t="shared" ca="1" si="21"/>
        <v>0</v>
      </c>
    </row>
    <row r="652" spans="1:5" x14ac:dyDescent="0.25">
      <c r="A652" s="11">
        <f ca="1">INDEX(Stations,INT((ROWS(A$2:A652)-1)/(DATE(YEAR(Invoer!$A$5),12,31)-DATE(YEAR(Invoer!$A$5),1,1)+1))+2,1)</f>
        <v>42</v>
      </c>
      <c r="B652" t="str">
        <f ca="1">TEXT(DATE(YEAR(Invoer!$A$5),1,1)+MOD(ROWS(B$2:B652)-1,DATE(YEAR(Invoer!$A$5),12,31)-DATE(YEAR(Invoer!$A$5),1,1)+1),"jjjjmmdd")</f>
        <v>19271013</v>
      </c>
      <c r="C652" s="12">
        <v>1</v>
      </c>
      <c r="D652" s="17">
        <f t="shared" ca="1" si="20"/>
        <v>0</v>
      </c>
      <c r="E652" s="18">
        <f t="shared" ca="1" si="21"/>
        <v>0</v>
      </c>
    </row>
    <row r="653" spans="1:5" x14ac:dyDescent="0.25">
      <c r="A653" s="11">
        <f ca="1">INDEX(Stations,INT((ROWS(A$2:A653)-1)/(DATE(YEAR(Invoer!$A$5),12,31)-DATE(YEAR(Invoer!$A$5),1,1)+1))+2,1)</f>
        <v>42</v>
      </c>
      <c r="B653" t="str">
        <f ca="1">TEXT(DATE(YEAR(Invoer!$A$5),1,1)+MOD(ROWS(B$2:B653)-1,DATE(YEAR(Invoer!$A$5),12,31)-DATE(YEAR(Invoer!$A$5),1,1)+1),"jjjjmmdd")</f>
        <v>19271014</v>
      </c>
      <c r="C653" s="12">
        <v>1</v>
      </c>
      <c r="D653" s="17">
        <f t="shared" ca="1" si="20"/>
        <v>107</v>
      </c>
      <c r="E653" s="18">
        <f t="shared" ca="1" si="21"/>
        <v>0</v>
      </c>
    </row>
    <row r="654" spans="1:5" x14ac:dyDescent="0.25">
      <c r="A654" s="11">
        <f ca="1">INDEX(Stations,INT((ROWS(A$2:A654)-1)/(DATE(YEAR(Invoer!$A$5),12,31)-DATE(YEAR(Invoer!$A$5),1,1)+1))+2,1)</f>
        <v>42</v>
      </c>
      <c r="B654" t="str">
        <f ca="1">TEXT(DATE(YEAR(Invoer!$A$5),1,1)+MOD(ROWS(B$2:B654)-1,DATE(YEAR(Invoer!$A$5),12,31)-DATE(YEAR(Invoer!$A$5),1,1)+1),"jjjjmmdd")</f>
        <v>19271015</v>
      </c>
      <c r="C654" s="12">
        <v>1</v>
      </c>
      <c r="D654" s="17">
        <f t="shared" ca="1" si="20"/>
        <v>87</v>
      </c>
      <c r="E654" s="18">
        <f t="shared" ca="1" si="21"/>
        <v>0</v>
      </c>
    </row>
    <row r="655" spans="1:5" x14ac:dyDescent="0.25">
      <c r="A655" s="11">
        <f ca="1">INDEX(Stations,INT((ROWS(A$2:A655)-1)/(DATE(YEAR(Invoer!$A$5),12,31)-DATE(YEAR(Invoer!$A$5),1,1)+1))+2,1)</f>
        <v>42</v>
      </c>
      <c r="B655" t="str">
        <f ca="1">TEXT(DATE(YEAR(Invoer!$A$5),1,1)+MOD(ROWS(B$2:B655)-1,DATE(YEAR(Invoer!$A$5),12,31)-DATE(YEAR(Invoer!$A$5),1,1)+1),"jjjjmmdd")</f>
        <v>19271016</v>
      </c>
      <c r="C655" s="12">
        <v>1</v>
      </c>
      <c r="D655" s="17">
        <f t="shared" ca="1" si="20"/>
        <v>19</v>
      </c>
      <c r="E655" s="18">
        <f t="shared" ca="1" si="21"/>
        <v>0</v>
      </c>
    </row>
    <row r="656" spans="1:5" x14ac:dyDescent="0.25">
      <c r="A656" s="11">
        <f ca="1">INDEX(Stations,INT((ROWS(A$2:A656)-1)/(DATE(YEAR(Invoer!$A$5),12,31)-DATE(YEAR(Invoer!$A$5),1,1)+1))+2,1)</f>
        <v>42</v>
      </c>
      <c r="B656" t="str">
        <f ca="1">TEXT(DATE(YEAR(Invoer!$A$5),1,1)+MOD(ROWS(B$2:B656)-1,DATE(YEAR(Invoer!$A$5),12,31)-DATE(YEAR(Invoer!$A$5),1,1)+1),"jjjjmmdd")</f>
        <v>19271017</v>
      </c>
      <c r="C656" s="12">
        <v>1</v>
      </c>
      <c r="D656" s="17">
        <f t="shared" ca="1" si="20"/>
        <v>360</v>
      </c>
      <c r="E656" s="18">
        <f t="shared" ca="1" si="21"/>
        <v>0</v>
      </c>
    </row>
    <row r="657" spans="1:5" x14ac:dyDescent="0.25">
      <c r="A657" s="11">
        <f ca="1">INDEX(Stations,INT((ROWS(A$2:A657)-1)/(DATE(YEAR(Invoer!$A$5),12,31)-DATE(YEAR(Invoer!$A$5),1,1)+1))+2,1)</f>
        <v>42</v>
      </c>
      <c r="B657" t="str">
        <f ca="1">TEXT(DATE(YEAR(Invoer!$A$5),1,1)+MOD(ROWS(B$2:B657)-1,DATE(YEAR(Invoer!$A$5),12,31)-DATE(YEAR(Invoer!$A$5),1,1)+1),"jjjjmmdd")</f>
        <v>19271018</v>
      </c>
      <c r="C657" s="12">
        <v>1</v>
      </c>
      <c r="D657" s="17">
        <f t="shared" ca="1" si="20"/>
        <v>0</v>
      </c>
      <c r="E657" s="18">
        <f t="shared" ca="1" si="21"/>
        <v>0</v>
      </c>
    </row>
    <row r="658" spans="1:5" x14ac:dyDescent="0.25">
      <c r="A658" s="11">
        <f ca="1">INDEX(Stations,INT((ROWS(A$2:A658)-1)/(DATE(YEAR(Invoer!$A$5),12,31)-DATE(YEAR(Invoer!$A$5),1,1)+1))+2,1)</f>
        <v>42</v>
      </c>
      <c r="B658" t="str">
        <f ca="1">TEXT(DATE(YEAR(Invoer!$A$5),1,1)+MOD(ROWS(B$2:B658)-1,DATE(YEAR(Invoer!$A$5),12,31)-DATE(YEAR(Invoer!$A$5),1,1)+1),"jjjjmmdd")</f>
        <v>19271019</v>
      </c>
      <c r="C658" s="12">
        <v>1</v>
      </c>
      <c r="D658" s="17">
        <f t="shared" ca="1" si="20"/>
        <v>340</v>
      </c>
      <c r="E658" s="18">
        <f t="shared" ca="1" si="21"/>
        <v>0</v>
      </c>
    </row>
    <row r="659" spans="1:5" x14ac:dyDescent="0.25">
      <c r="A659" s="11">
        <f ca="1">INDEX(Stations,INT((ROWS(A$2:A659)-1)/(DATE(YEAR(Invoer!$A$5),12,31)-DATE(YEAR(Invoer!$A$5),1,1)+1))+2,1)</f>
        <v>42</v>
      </c>
      <c r="B659" t="str">
        <f ca="1">TEXT(DATE(YEAR(Invoer!$A$5),1,1)+MOD(ROWS(B$2:B659)-1,DATE(YEAR(Invoer!$A$5),12,31)-DATE(YEAR(Invoer!$A$5),1,1)+1),"jjjjmmdd")</f>
        <v>19271020</v>
      </c>
      <c r="C659" s="12">
        <v>1</v>
      </c>
      <c r="D659" s="17">
        <f t="shared" ca="1" si="20"/>
        <v>43</v>
      </c>
      <c r="E659" s="18">
        <f t="shared" ca="1" si="21"/>
        <v>0</v>
      </c>
    </row>
    <row r="660" spans="1:5" x14ac:dyDescent="0.25">
      <c r="A660" s="11">
        <f ca="1">INDEX(Stations,INT((ROWS(A$2:A660)-1)/(DATE(YEAR(Invoer!$A$5),12,31)-DATE(YEAR(Invoer!$A$5),1,1)+1))+2,1)</f>
        <v>42</v>
      </c>
      <c r="B660" t="str">
        <f ca="1">TEXT(DATE(YEAR(Invoer!$A$5),1,1)+MOD(ROWS(B$2:B660)-1,DATE(YEAR(Invoer!$A$5),12,31)-DATE(YEAR(Invoer!$A$5),1,1)+1),"jjjjmmdd")</f>
        <v>19271021</v>
      </c>
      <c r="C660" s="12">
        <v>1</v>
      </c>
      <c r="D660" s="17">
        <f t="shared" ca="1" si="20"/>
        <v>0</v>
      </c>
      <c r="E660" s="18">
        <f t="shared" ca="1" si="21"/>
        <v>0</v>
      </c>
    </row>
    <row r="661" spans="1:5" x14ac:dyDescent="0.25">
      <c r="A661" s="11">
        <f ca="1">INDEX(Stations,INT((ROWS(A$2:A661)-1)/(DATE(YEAR(Invoer!$A$5),12,31)-DATE(YEAR(Invoer!$A$5),1,1)+1))+2,1)</f>
        <v>42</v>
      </c>
      <c r="B661" t="str">
        <f ca="1">TEXT(DATE(YEAR(Invoer!$A$5),1,1)+MOD(ROWS(B$2:B661)-1,DATE(YEAR(Invoer!$A$5),12,31)-DATE(YEAR(Invoer!$A$5),1,1)+1),"jjjjmmdd")</f>
        <v>19271022</v>
      </c>
      <c r="C661" s="12">
        <v>1</v>
      </c>
      <c r="D661" s="17">
        <f t="shared" ca="1" si="20"/>
        <v>0</v>
      </c>
      <c r="E661" s="18">
        <f t="shared" ca="1" si="21"/>
        <v>0</v>
      </c>
    </row>
    <row r="662" spans="1:5" x14ac:dyDescent="0.25">
      <c r="A662" s="11">
        <f ca="1">INDEX(Stations,INT((ROWS(A$2:A662)-1)/(DATE(YEAR(Invoer!$A$5),12,31)-DATE(YEAR(Invoer!$A$5),1,1)+1))+2,1)</f>
        <v>42</v>
      </c>
      <c r="B662" t="str">
        <f ca="1">TEXT(DATE(YEAR(Invoer!$A$5),1,1)+MOD(ROWS(B$2:B662)-1,DATE(YEAR(Invoer!$A$5),12,31)-DATE(YEAR(Invoer!$A$5),1,1)+1),"jjjjmmdd")</f>
        <v>19271023</v>
      </c>
      <c r="C662" s="12">
        <v>1</v>
      </c>
      <c r="D662" s="17">
        <f t="shared" ca="1" si="20"/>
        <v>269</v>
      </c>
      <c r="E662" s="18">
        <f t="shared" ca="1" si="21"/>
        <v>0</v>
      </c>
    </row>
    <row r="663" spans="1:5" x14ac:dyDescent="0.25">
      <c r="A663" s="11">
        <f ca="1">INDEX(Stations,INT((ROWS(A$2:A663)-1)/(DATE(YEAR(Invoer!$A$5),12,31)-DATE(YEAR(Invoer!$A$5),1,1)+1))+2,1)</f>
        <v>42</v>
      </c>
      <c r="B663" t="str">
        <f ca="1">TEXT(DATE(YEAR(Invoer!$A$5),1,1)+MOD(ROWS(B$2:B663)-1,DATE(YEAR(Invoer!$A$5),12,31)-DATE(YEAR(Invoer!$A$5),1,1)+1),"jjjjmmdd")</f>
        <v>19271024</v>
      </c>
      <c r="C663" s="12">
        <v>1</v>
      </c>
      <c r="D663" s="17">
        <f t="shared" ca="1" si="20"/>
        <v>0</v>
      </c>
      <c r="E663" s="18">
        <f t="shared" ca="1" si="21"/>
        <v>0</v>
      </c>
    </row>
    <row r="664" spans="1:5" x14ac:dyDescent="0.25">
      <c r="A664" s="11">
        <f ca="1">INDEX(Stations,INT((ROWS(A$2:A664)-1)/(DATE(YEAR(Invoer!$A$5),12,31)-DATE(YEAR(Invoer!$A$5),1,1)+1))+2,1)</f>
        <v>42</v>
      </c>
      <c r="B664" t="str">
        <f ca="1">TEXT(DATE(YEAR(Invoer!$A$5),1,1)+MOD(ROWS(B$2:B664)-1,DATE(YEAR(Invoer!$A$5),12,31)-DATE(YEAR(Invoer!$A$5),1,1)+1),"jjjjmmdd")</f>
        <v>19271025</v>
      </c>
      <c r="C664" s="12">
        <v>1</v>
      </c>
      <c r="D664" s="17">
        <f t="shared" ca="1" si="20"/>
        <v>0</v>
      </c>
      <c r="E664" s="18">
        <f t="shared" ca="1" si="21"/>
        <v>0</v>
      </c>
    </row>
    <row r="665" spans="1:5" x14ac:dyDescent="0.25">
      <c r="A665" s="11">
        <f ca="1">INDEX(Stations,INT((ROWS(A$2:A665)-1)/(DATE(YEAR(Invoer!$A$5),12,31)-DATE(YEAR(Invoer!$A$5),1,1)+1))+2,1)</f>
        <v>42</v>
      </c>
      <c r="B665" t="str">
        <f ca="1">TEXT(DATE(YEAR(Invoer!$A$5),1,1)+MOD(ROWS(B$2:B665)-1,DATE(YEAR(Invoer!$A$5),12,31)-DATE(YEAR(Invoer!$A$5),1,1)+1),"jjjjmmdd")</f>
        <v>19271026</v>
      </c>
      <c r="C665" s="12">
        <v>1</v>
      </c>
      <c r="D665" s="17">
        <f t="shared" ca="1" si="20"/>
        <v>0</v>
      </c>
      <c r="E665" s="18">
        <f t="shared" ca="1" si="21"/>
        <v>0</v>
      </c>
    </row>
    <row r="666" spans="1:5" x14ac:dyDescent="0.25">
      <c r="A666" s="11">
        <f ca="1">INDEX(Stations,INT((ROWS(A$2:A666)-1)/(DATE(YEAR(Invoer!$A$5),12,31)-DATE(YEAR(Invoer!$A$5),1,1)+1))+2,1)</f>
        <v>42</v>
      </c>
      <c r="B666" t="str">
        <f ca="1">TEXT(DATE(YEAR(Invoer!$A$5),1,1)+MOD(ROWS(B$2:B666)-1,DATE(YEAR(Invoer!$A$5),12,31)-DATE(YEAR(Invoer!$A$5),1,1)+1),"jjjjmmdd")</f>
        <v>19271027</v>
      </c>
      <c r="C666" s="12">
        <v>1</v>
      </c>
      <c r="D666" s="17">
        <f t="shared" ca="1" si="20"/>
        <v>0</v>
      </c>
      <c r="E666" s="18">
        <f t="shared" ca="1" si="21"/>
        <v>0</v>
      </c>
    </row>
    <row r="667" spans="1:5" x14ac:dyDescent="0.25">
      <c r="A667" s="11">
        <f ca="1">INDEX(Stations,INT((ROWS(A$2:A667)-1)/(DATE(YEAR(Invoer!$A$5),12,31)-DATE(YEAR(Invoer!$A$5),1,1)+1))+2,1)</f>
        <v>42</v>
      </c>
      <c r="B667" t="str">
        <f ca="1">TEXT(DATE(YEAR(Invoer!$A$5),1,1)+MOD(ROWS(B$2:B667)-1,DATE(YEAR(Invoer!$A$5),12,31)-DATE(YEAR(Invoer!$A$5),1,1)+1),"jjjjmmdd")</f>
        <v>19271028</v>
      </c>
      <c r="C667" s="12">
        <v>1</v>
      </c>
      <c r="D667" s="17">
        <f t="shared" ca="1" si="20"/>
        <v>0</v>
      </c>
      <c r="E667" s="18">
        <f t="shared" ca="1" si="21"/>
        <v>0</v>
      </c>
    </row>
    <row r="668" spans="1:5" x14ac:dyDescent="0.25">
      <c r="A668" s="11">
        <f ca="1">INDEX(Stations,INT((ROWS(A$2:A668)-1)/(DATE(YEAR(Invoer!$A$5),12,31)-DATE(YEAR(Invoer!$A$5),1,1)+1))+2,1)</f>
        <v>42</v>
      </c>
      <c r="B668" t="str">
        <f ca="1">TEXT(DATE(YEAR(Invoer!$A$5),1,1)+MOD(ROWS(B$2:B668)-1,DATE(YEAR(Invoer!$A$5),12,31)-DATE(YEAR(Invoer!$A$5),1,1)+1),"jjjjmmdd")</f>
        <v>19271029</v>
      </c>
      <c r="C668" s="12">
        <v>1</v>
      </c>
      <c r="D668" s="17">
        <f t="shared" ca="1" si="20"/>
        <v>0</v>
      </c>
      <c r="E668" s="18">
        <f t="shared" ca="1" si="21"/>
        <v>0</v>
      </c>
    </row>
    <row r="669" spans="1:5" x14ac:dyDescent="0.25">
      <c r="A669" s="11">
        <f ca="1">INDEX(Stations,INT((ROWS(A$2:A669)-1)/(DATE(YEAR(Invoer!$A$5),12,31)-DATE(YEAR(Invoer!$A$5),1,1)+1))+2,1)</f>
        <v>42</v>
      </c>
      <c r="B669" t="str">
        <f ca="1">TEXT(DATE(YEAR(Invoer!$A$5),1,1)+MOD(ROWS(B$2:B669)-1,DATE(YEAR(Invoer!$A$5),12,31)-DATE(YEAR(Invoer!$A$5),1,1)+1),"jjjjmmdd")</f>
        <v>19271030</v>
      </c>
      <c r="C669" s="12">
        <v>1</v>
      </c>
      <c r="D669" s="17">
        <f t="shared" ca="1" si="20"/>
        <v>22</v>
      </c>
      <c r="E669" s="18">
        <f t="shared" ca="1" si="21"/>
        <v>0</v>
      </c>
    </row>
    <row r="670" spans="1:5" x14ac:dyDescent="0.25">
      <c r="A670" s="11">
        <f ca="1">INDEX(Stations,INT((ROWS(A$2:A670)-1)/(DATE(YEAR(Invoer!$A$5),12,31)-DATE(YEAR(Invoer!$A$5),1,1)+1))+2,1)</f>
        <v>42</v>
      </c>
      <c r="B670" t="str">
        <f ca="1">TEXT(DATE(YEAR(Invoer!$A$5),1,1)+MOD(ROWS(B$2:B670)-1,DATE(YEAR(Invoer!$A$5),12,31)-DATE(YEAR(Invoer!$A$5),1,1)+1),"jjjjmmdd")</f>
        <v>19271031</v>
      </c>
      <c r="C670" s="12">
        <v>1</v>
      </c>
      <c r="D670" s="17">
        <f t="shared" ca="1" si="20"/>
        <v>68</v>
      </c>
      <c r="E670" s="18">
        <f t="shared" ca="1" si="21"/>
        <v>0</v>
      </c>
    </row>
    <row r="671" spans="1:5" x14ac:dyDescent="0.25">
      <c r="A671" s="11">
        <f ca="1">INDEX(Stations,INT((ROWS(A$2:A671)-1)/(DATE(YEAR(Invoer!$A$5),12,31)-DATE(YEAR(Invoer!$A$5),1,1)+1))+2,1)</f>
        <v>42</v>
      </c>
      <c r="B671" t="str">
        <f ca="1">TEXT(DATE(YEAR(Invoer!$A$5),1,1)+MOD(ROWS(B$2:B671)-1,DATE(YEAR(Invoer!$A$5),12,31)-DATE(YEAR(Invoer!$A$5),1,1)+1),"jjjjmmdd")</f>
        <v>19271101</v>
      </c>
      <c r="C671" s="12">
        <v>1</v>
      </c>
      <c r="D671" s="17">
        <f t="shared" ca="1" si="20"/>
        <v>0</v>
      </c>
      <c r="E671" s="18">
        <f t="shared" ca="1" si="21"/>
        <v>0</v>
      </c>
    </row>
    <row r="672" spans="1:5" x14ac:dyDescent="0.25">
      <c r="A672" s="11">
        <f ca="1">INDEX(Stations,INT((ROWS(A$2:A672)-1)/(DATE(YEAR(Invoer!$A$5),12,31)-DATE(YEAR(Invoer!$A$5),1,1)+1))+2,1)</f>
        <v>42</v>
      </c>
      <c r="B672" t="str">
        <f ca="1">TEXT(DATE(YEAR(Invoer!$A$5),1,1)+MOD(ROWS(B$2:B672)-1,DATE(YEAR(Invoer!$A$5),12,31)-DATE(YEAR(Invoer!$A$5),1,1)+1),"jjjjmmdd")</f>
        <v>19271102</v>
      </c>
      <c r="C672" s="12">
        <v>1</v>
      </c>
      <c r="D672" s="17">
        <f t="shared" ca="1" si="20"/>
        <v>0</v>
      </c>
      <c r="E672" s="18">
        <f t="shared" ca="1" si="21"/>
        <v>0</v>
      </c>
    </row>
    <row r="673" spans="1:5" x14ac:dyDescent="0.25">
      <c r="A673" s="11">
        <f ca="1">INDEX(Stations,INT((ROWS(A$2:A673)-1)/(DATE(YEAR(Invoer!$A$5),12,31)-DATE(YEAR(Invoer!$A$5),1,1)+1))+2,1)</f>
        <v>42</v>
      </c>
      <c r="B673" t="str">
        <f ca="1">TEXT(DATE(YEAR(Invoer!$A$5),1,1)+MOD(ROWS(B$2:B673)-1,DATE(YEAR(Invoer!$A$5),12,31)-DATE(YEAR(Invoer!$A$5),1,1)+1),"jjjjmmdd")</f>
        <v>19271103</v>
      </c>
      <c r="C673" s="12">
        <v>1</v>
      </c>
      <c r="D673" s="17">
        <f t="shared" ca="1" si="20"/>
        <v>0</v>
      </c>
      <c r="E673" s="18">
        <f t="shared" ca="1" si="21"/>
        <v>0</v>
      </c>
    </row>
    <row r="674" spans="1:5" x14ac:dyDescent="0.25">
      <c r="A674" s="11">
        <f ca="1">INDEX(Stations,INT((ROWS(A$2:A674)-1)/(DATE(YEAR(Invoer!$A$5),12,31)-DATE(YEAR(Invoer!$A$5),1,1)+1))+2,1)</f>
        <v>42</v>
      </c>
      <c r="B674" t="str">
        <f ca="1">TEXT(DATE(YEAR(Invoer!$A$5),1,1)+MOD(ROWS(B$2:B674)-1,DATE(YEAR(Invoer!$A$5),12,31)-DATE(YEAR(Invoer!$A$5),1,1)+1),"jjjjmmdd")</f>
        <v>19271104</v>
      </c>
      <c r="C674" s="12">
        <v>1</v>
      </c>
      <c r="D674" s="17">
        <f t="shared" ca="1" si="20"/>
        <v>0</v>
      </c>
      <c r="E674" s="18">
        <f t="shared" ca="1" si="21"/>
        <v>0</v>
      </c>
    </row>
    <row r="675" spans="1:5" x14ac:dyDescent="0.25">
      <c r="A675" s="11">
        <f ca="1">INDEX(Stations,INT((ROWS(A$2:A675)-1)/(DATE(YEAR(Invoer!$A$5),12,31)-DATE(YEAR(Invoer!$A$5),1,1)+1))+2,1)</f>
        <v>42</v>
      </c>
      <c r="B675" t="str">
        <f ca="1">TEXT(DATE(YEAR(Invoer!$A$5),1,1)+MOD(ROWS(B$2:B675)-1,DATE(YEAR(Invoer!$A$5),12,31)-DATE(YEAR(Invoer!$A$5),1,1)+1),"jjjjmmdd")</f>
        <v>19271105</v>
      </c>
      <c r="C675" s="12">
        <v>1</v>
      </c>
      <c r="D675" s="17">
        <f t="shared" ca="1" si="20"/>
        <v>0</v>
      </c>
      <c r="E675" s="18">
        <f t="shared" ca="1" si="21"/>
        <v>0</v>
      </c>
    </row>
    <row r="676" spans="1:5" x14ac:dyDescent="0.25">
      <c r="A676" s="11">
        <f ca="1">INDEX(Stations,INT((ROWS(A$2:A676)-1)/(DATE(YEAR(Invoer!$A$5),12,31)-DATE(YEAR(Invoer!$A$5),1,1)+1))+2,1)</f>
        <v>42</v>
      </c>
      <c r="B676" t="str">
        <f ca="1">TEXT(DATE(YEAR(Invoer!$A$5),1,1)+MOD(ROWS(B$2:B676)-1,DATE(YEAR(Invoer!$A$5),12,31)-DATE(YEAR(Invoer!$A$5),1,1)+1),"jjjjmmdd")</f>
        <v>19271106</v>
      </c>
      <c r="C676" s="12">
        <v>1</v>
      </c>
      <c r="D676" s="17">
        <f t="shared" ca="1" si="20"/>
        <v>0</v>
      </c>
      <c r="E676" s="18">
        <f t="shared" ca="1" si="21"/>
        <v>0</v>
      </c>
    </row>
    <row r="677" spans="1:5" x14ac:dyDescent="0.25">
      <c r="A677" s="11">
        <f ca="1">INDEX(Stations,INT((ROWS(A$2:A677)-1)/(DATE(YEAR(Invoer!$A$5),12,31)-DATE(YEAR(Invoer!$A$5),1,1)+1))+2,1)</f>
        <v>42</v>
      </c>
      <c r="B677" t="str">
        <f ca="1">TEXT(DATE(YEAR(Invoer!$A$5),1,1)+MOD(ROWS(B$2:B677)-1,DATE(YEAR(Invoer!$A$5),12,31)-DATE(YEAR(Invoer!$A$5),1,1)+1),"jjjjmmdd")</f>
        <v>19271107</v>
      </c>
      <c r="C677" s="12">
        <v>1</v>
      </c>
      <c r="D677" s="17">
        <f t="shared" ca="1" si="20"/>
        <v>30</v>
      </c>
      <c r="E677" s="18">
        <f t="shared" ca="1" si="21"/>
        <v>0</v>
      </c>
    </row>
    <row r="678" spans="1:5" x14ac:dyDescent="0.25">
      <c r="A678" s="11">
        <f ca="1">INDEX(Stations,INT((ROWS(A$2:A678)-1)/(DATE(YEAR(Invoer!$A$5),12,31)-DATE(YEAR(Invoer!$A$5),1,1)+1))+2,1)</f>
        <v>42</v>
      </c>
      <c r="B678" t="str">
        <f ca="1">TEXT(DATE(YEAR(Invoer!$A$5),1,1)+MOD(ROWS(B$2:B678)-1,DATE(YEAR(Invoer!$A$5),12,31)-DATE(YEAR(Invoer!$A$5),1,1)+1),"jjjjmmdd")</f>
        <v>19271108</v>
      </c>
      <c r="C678" s="12">
        <v>1</v>
      </c>
      <c r="D678" s="17">
        <f t="shared" ca="1" si="20"/>
        <v>0</v>
      </c>
      <c r="E678" s="18">
        <f t="shared" ca="1" si="21"/>
        <v>0</v>
      </c>
    </row>
    <row r="679" spans="1:5" x14ac:dyDescent="0.25">
      <c r="A679" s="11">
        <f ca="1">INDEX(Stations,INT((ROWS(A$2:A679)-1)/(DATE(YEAR(Invoer!$A$5),12,31)-DATE(YEAR(Invoer!$A$5),1,1)+1))+2,1)</f>
        <v>42</v>
      </c>
      <c r="B679" t="str">
        <f ca="1">TEXT(DATE(YEAR(Invoer!$A$5),1,1)+MOD(ROWS(B$2:B679)-1,DATE(YEAR(Invoer!$A$5),12,31)-DATE(YEAR(Invoer!$A$5),1,1)+1),"jjjjmmdd")</f>
        <v>19271109</v>
      </c>
      <c r="C679" s="12">
        <v>1</v>
      </c>
      <c r="D679" s="17">
        <f t="shared" ca="1" si="20"/>
        <v>4</v>
      </c>
      <c r="E679" s="18">
        <f t="shared" ca="1" si="21"/>
        <v>0</v>
      </c>
    </row>
    <row r="680" spans="1:5" x14ac:dyDescent="0.25">
      <c r="A680" s="11">
        <f ca="1">INDEX(Stations,INT((ROWS(A$2:A680)-1)/(DATE(YEAR(Invoer!$A$5),12,31)-DATE(YEAR(Invoer!$A$5),1,1)+1))+2,1)</f>
        <v>42</v>
      </c>
      <c r="B680" t="str">
        <f ca="1">TEXT(DATE(YEAR(Invoer!$A$5),1,1)+MOD(ROWS(B$2:B680)-1,DATE(YEAR(Invoer!$A$5),12,31)-DATE(YEAR(Invoer!$A$5),1,1)+1),"jjjjmmdd")</f>
        <v>19271110</v>
      </c>
      <c r="C680" s="12">
        <v>1</v>
      </c>
      <c r="D680" s="17">
        <f t="shared" ca="1" si="20"/>
        <v>0</v>
      </c>
      <c r="E680" s="18">
        <f t="shared" ca="1" si="21"/>
        <v>0</v>
      </c>
    </row>
    <row r="681" spans="1:5" x14ac:dyDescent="0.25">
      <c r="A681" s="11">
        <f ca="1">INDEX(Stations,INT((ROWS(A$2:A681)-1)/(DATE(YEAR(Invoer!$A$5),12,31)-DATE(YEAR(Invoer!$A$5),1,1)+1))+2,1)</f>
        <v>42</v>
      </c>
      <c r="B681" t="str">
        <f ca="1">TEXT(DATE(YEAR(Invoer!$A$5),1,1)+MOD(ROWS(B$2:B681)-1,DATE(YEAR(Invoer!$A$5),12,31)-DATE(YEAR(Invoer!$A$5),1,1)+1),"jjjjmmdd")</f>
        <v>19271111</v>
      </c>
      <c r="C681" s="12">
        <v>1</v>
      </c>
      <c r="D681" s="17">
        <f t="shared" ca="1" si="20"/>
        <v>0</v>
      </c>
      <c r="E681" s="18">
        <f t="shared" ca="1" si="21"/>
        <v>0</v>
      </c>
    </row>
    <row r="682" spans="1:5" x14ac:dyDescent="0.25">
      <c r="A682" s="11">
        <f ca="1">INDEX(Stations,INT((ROWS(A$2:A682)-1)/(DATE(YEAR(Invoer!$A$5),12,31)-DATE(YEAR(Invoer!$A$5),1,1)+1))+2,1)</f>
        <v>42</v>
      </c>
      <c r="B682" t="str">
        <f ca="1">TEXT(DATE(YEAR(Invoer!$A$5),1,1)+MOD(ROWS(B$2:B682)-1,DATE(YEAR(Invoer!$A$5),12,31)-DATE(YEAR(Invoer!$A$5),1,1)+1),"jjjjmmdd")</f>
        <v>19271112</v>
      </c>
      <c r="C682" s="12">
        <v>1</v>
      </c>
      <c r="D682" s="17">
        <f t="shared" ca="1" si="20"/>
        <v>0</v>
      </c>
      <c r="E682" s="18">
        <f t="shared" ca="1" si="21"/>
        <v>0</v>
      </c>
    </row>
    <row r="683" spans="1:5" x14ac:dyDescent="0.25">
      <c r="A683" s="11">
        <f ca="1">INDEX(Stations,INT((ROWS(A$2:A683)-1)/(DATE(YEAR(Invoer!$A$5),12,31)-DATE(YEAR(Invoer!$A$5),1,1)+1))+2,1)</f>
        <v>42</v>
      </c>
      <c r="B683" t="str">
        <f ca="1">TEXT(DATE(YEAR(Invoer!$A$5),1,1)+MOD(ROWS(B$2:B683)-1,DATE(YEAR(Invoer!$A$5),12,31)-DATE(YEAR(Invoer!$A$5),1,1)+1),"jjjjmmdd")</f>
        <v>19271113</v>
      </c>
      <c r="C683" s="12">
        <v>1</v>
      </c>
      <c r="D683" s="17">
        <f t="shared" ca="1" si="20"/>
        <v>22</v>
      </c>
      <c r="E683" s="18">
        <f t="shared" ca="1" si="21"/>
        <v>0</v>
      </c>
    </row>
    <row r="684" spans="1:5" x14ac:dyDescent="0.25">
      <c r="A684" s="11">
        <f ca="1">INDEX(Stations,INT((ROWS(A$2:A684)-1)/(DATE(YEAR(Invoer!$A$5),12,31)-DATE(YEAR(Invoer!$A$5),1,1)+1))+2,1)</f>
        <v>42</v>
      </c>
      <c r="B684" t="str">
        <f ca="1">TEXT(DATE(YEAR(Invoer!$A$5),1,1)+MOD(ROWS(B$2:B684)-1,DATE(YEAR(Invoer!$A$5),12,31)-DATE(YEAR(Invoer!$A$5),1,1)+1),"jjjjmmdd")</f>
        <v>19271114</v>
      </c>
      <c r="C684" s="12">
        <v>1</v>
      </c>
      <c r="D684" s="17">
        <f t="shared" ca="1" si="20"/>
        <v>0</v>
      </c>
      <c r="E684" s="18">
        <f t="shared" ca="1" si="21"/>
        <v>0</v>
      </c>
    </row>
    <row r="685" spans="1:5" x14ac:dyDescent="0.25">
      <c r="A685" s="11">
        <f ca="1">INDEX(Stations,INT((ROWS(A$2:A685)-1)/(DATE(YEAR(Invoer!$A$5),12,31)-DATE(YEAR(Invoer!$A$5),1,1)+1))+2,1)</f>
        <v>42</v>
      </c>
      <c r="B685" t="str">
        <f ca="1">TEXT(DATE(YEAR(Invoer!$A$5),1,1)+MOD(ROWS(B$2:B685)-1,DATE(YEAR(Invoer!$A$5),12,31)-DATE(YEAR(Invoer!$A$5),1,1)+1),"jjjjmmdd")</f>
        <v>19271115</v>
      </c>
      <c r="C685" s="12">
        <v>1</v>
      </c>
      <c r="D685" s="17">
        <f t="shared" ca="1" si="20"/>
        <v>0</v>
      </c>
      <c r="E685" s="18">
        <f t="shared" ca="1" si="21"/>
        <v>0</v>
      </c>
    </row>
    <row r="686" spans="1:5" x14ac:dyDescent="0.25">
      <c r="A686" s="11">
        <f ca="1">INDEX(Stations,INT((ROWS(A$2:A686)-1)/(DATE(YEAR(Invoer!$A$5),12,31)-DATE(YEAR(Invoer!$A$5),1,1)+1))+2,1)</f>
        <v>42</v>
      </c>
      <c r="B686" t="str">
        <f ca="1">TEXT(DATE(YEAR(Invoer!$A$5),1,1)+MOD(ROWS(B$2:B686)-1,DATE(YEAR(Invoer!$A$5),12,31)-DATE(YEAR(Invoer!$A$5),1,1)+1),"jjjjmmdd")</f>
        <v>19271116</v>
      </c>
      <c r="C686" s="12">
        <v>1</v>
      </c>
      <c r="D686" s="17">
        <f t="shared" ca="1" si="20"/>
        <v>0</v>
      </c>
      <c r="E686" s="18">
        <f t="shared" ca="1" si="21"/>
        <v>0</v>
      </c>
    </row>
    <row r="687" spans="1:5" x14ac:dyDescent="0.25">
      <c r="A687" s="11">
        <f ca="1">INDEX(Stations,INT((ROWS(A$2:A687)-1)/(DATE(YEAR(Invoer!$A$5),12,31)-DATE(YEAR(Invoer!$A$5),1,1)+1))+2,1)</f>
        <v>42</v>
      </c>
      <c r="B687" t="str">
        <f ca="1">TEXT(DATE(YEAR(Invoer!$A$5),1,1)+MOD(ROWS(B$2:B687)-1,DATE(YEAR(Invoer!$A$5),12,31)-DATE(YEAR(Invoer!$A$5),1,1)+1),"jjjjmmdd")</f>
        <v>19271117</v>
      </c>
      <c r="C687" s="12">
        <v>1</v>
      </c>
      <c r="D687" s="17">
        <f t="shared" ca="1" si="20"/>
        <v>122</v>
      </c>
      <c r="E687" s="18">
        <f t="shared" ca="1" si="21"/>
        <v>0</v>
      </c>
    </row>
    <row r="688" spans="1:5" x14ac:dyDescent="0.25">
      <c r="A688" s="11">
        <f ca="1">INDEX(Stations,INT((ROWS(A$2:A688)-1)/(DATE(YEAR(Invoer!$A$5),12,31)-DATE(YEAR(Invoer!$A$5),1,1)+1))+2,1)</f>
        <v>42</v>
      </c>
      <c r="B688" t="str">
        <f ca="1">TEXT(DATE(YEAR(Invoer!$A$5),1,1)+MOD(ROWS(B$2:B688)-1,DATE(YEAR(Invoer!$A$5),12,31)-DATE(YEAR(Invoer!$A$5),1,1)+1),"jjjjmmdd")</f>
        <v>19271118</v>
      </c>
      <c r="C688" s="12">
        <v>1</v>
      </c>
      <c r="D688" s="17">
        <f t="shared" ca="1" si="20"/>
        <v>0</v>
      </c>
      <c r="E688" s="18">
        <f t="shared" ca="1" si="21"/>
        <v>0</v>
      </c>
    </row>
    <row r="689" spans="1:5" x14ac:dyDescent="0.25">
      <c r="A689" s="11">
        <f ca="1">INDEX(Stations,INT((ROWS(A$2:A689)-1)/(DATE(YEAR(Invoer!$A$5),12,31)-DATE(YEAR(Invoer!$A$5),1,1)+1))+2,1)</f>
        <v>42</v>
      </c>
      <c r="B689" t="str">
        <f ca="1">TEXT(DATE(YEAR(Invoer!$A$5),1,1)+MOD(ROWS(B$2:B689)-1,DATE(YEAR(Invoer!$A$5),12,31)-DATE(YEAR(Invoer!$A$5),1,1)+1),"jjjjmmdd")</f>
        <v>19271119</v>
      </c>
      <c r="C689" s="12">
        <v>1</v>
      </c>
      <c r="D689" s="17">
        <f t="shared" ca="1" si="20"/>
        <v>32</v>
      </c>
      <c r="E689" s="18">
        <f t="shared" ca="1" si="21"/>
        <v>0</v>
      </c>
    </row>
    <row r="690" spans="1:5" x14ac:dyDescent="0.25">
      <c r="A690" s="11">
        <f ca="1">INDEX(Stations,INT((ROWS(A$2:A690)-1)/(DATE(YEAR(Invoer!$A$5),12,31)-DATE(YEAR(Invoer!$A$5),1,1)+1))+2,1)</f>
        <v>42</v>
      </c>
      <c r="B690" t="str">
        <f ca="1">TEXT(DATE(YEAR(Invoer!$A$5),1,1)+MOD(ROWS(B$2:B690)-1,DATE(YEAR(Invoer!$A$5),12,31)-DATE(YEAR(Invoer!$A$5),1,1)+1),"jjjjmmdd")</f>
        <v>19271120</v>
      </c>
      <c r="C690" s="12">
        <v>1</v>
      </c>
      <c r="D690" s="17">
        <f t="shared" ca="1" si="20"/>
        <v>10</v>
      </c>
      <c r="E690" s="18">
        <f t="shared" ca="1" si="21"/>
        <v>0</v>
      </c>
    </row>
    <row r="691" spans="1:5" x14ac:dyDescent="0.25">
      <c r="A691" s="11">
        <f ca="1">INDEX(Stations,INT((ROWS(A$2:A691)-1)/(DATE(YEAR(Invoer!$A$5),12,31)-DATE(YEAR(Invoer!$A$5),1,1)+1))+2,1)</f>
        <v>42</v>
      </c>
      <c r="B691" t="str">
        <f ca="1">TEXT(DATE(YEAR(Invoer!$A$5),1,1)+MOD(ROWS(B$2:B691)-1,DATE(YEAR(Invoer!$A$5),12,31)-DATE(YEAR(Invoer!$A$5),1,1)+1),"jjjjmmdd")</f>
        <v>19271121</v>
      </c>
      <c r="C691" s="12">
        <v>1</v>
      </c>
      <c r="D691" s="17">
        <f t="shared" ca="1" si="20"/>
        <v>32</v>
      </c>
      <c r="E691" s="18">
        <f t="shared" ca="1" si="21"/>
        <v>0</v>
      </c>
    </row>
    <row r="692" spans="1:5" x14ac:dyDescent="0.25">
      <c r="A692" s="11">
        <f ca="1">INDEX(Stations,INT((ROWS(A$2:A692)-1)/(DATE(YEAR(Invoer!$A$5),12,31)-DATE(YEAR(Invoer!$A$5),1,1)+1))+2,1)</f>
        <v>42</v>
      </c>
      <c r="B692" t="str">
        <f ca="1">TEXT(DATE(YEAR(Invoer!$A$5),1,1)+MOD(ROWS(B$2:B692)-1,DATE(YEAR(Invoer!$A$5),12,31)-DATE(YEAR(Invoer!$A$5),1,1)+1),"jjjjmmdd")</f>
        <v>19271122</v>
      </c>
      <c r="C692" s="12">
        <v>1</v>
      </c>
      <c r="D692" s="17">
        <f t="shared" ca="1" si="20"/>
        <v>50</v>
      </c>
      <c r="E692" s="18">
        <f t="shared" ca="1" si="21"/>
        <v>0</v>
      </c>
    </row>
    <row r="693" spans="1:5" x14ac:dyDescent="0.25">
      <c r="A693" s="11">
        <f ca="1">INDEX(Stations,INT((ROWS(A$2:A693)-1)/(DATE(YEAR(Invoer!$A$5),12,31)-DATE(YEAR(Invoer!$A$5),1,1)+1))+2,1)</f>
        <v>42</v>
      </c>
      <c r="B693" t="str">
        <f ca="1">TEXT(DATE(YEAR(Invoer!$A$5),1,1)+MOD(ROWS(B$2:B693)-1,DATE(YEAR(Invoer!$A$5),12,31)-DATE(YEAR(Invoer!$A$5),1,1)+1),"jjjjmmdd")</f>
        <v>19271123</v>
      </c>
      <c r="C693" s="12">
        <v>1</v>
      </c>
      <c r="D693" s="17">
        <f t="shared" ca="1" si="20"/>
        <v>680</v>
      </c>
      <c r="E693" s="18">
        <f t="shared" ca="1" si="21"/>
        <v>0</v>
      </c>
    </row>
    <row r="694" spans="1:5" x14ac:dyDescent="0.25">
      <c r="A694" s="11">
        <f ca="1">INDEX(Stations,INT((ROWS(A$2:A694)-1)/(DATE(YEAR(Invoer!$A$5),12,31)-DATE(YEAR(Invoer!$A$5),1,1)+1))+2,1)</f>
        <v>42</v>
      </c>
      <c r="B694" t="str">
        <f ca="1">TEXT(DATE(YEAR(Invoer!$A$5),1,1)+MOD(ROWS(B$2:B694)-1,DATE(YEAR(Invoer!$A$5),12,31)-DATE(YEAR(Invoer!$A$5),1,1)+1),"jjjjmmdd")</f>
        <v>19271124</v>
      </c>
      <c r="C694" s="12">
        <v>1</v>
      </c>
      <c r="D694" s="17">
        <f t="shared" ca="1" si="20"/>
        <v>12</v>
      </c>
      <c r="E694" s="18">
        <f t="shared" ca="1" si="21"/>
        <v>0</v>
      </c>
    </row>
    <row r="695" spans="1:5" x14ac:dyDescent="0.25">
      <c r="A695" s="11">
        <f ca="1">INDEX(Stations,INT((ROWS(A$2:A695)-1)/(DATE(YEAR(Invoer!$A$5),12,31)-DATE(YEAR(Invoer!$A$5),1,1)+1))+2,1)</f>
        <v>42</v>
      </c>
      <c r="B695" t="str">
        <f ca="1">TEXT(DATE(YEAR(Invoer!$A$5),1,1)+MOD(ROWS(B$2:B695)-1,DATE(YEAR(Invoer!$A$5),12,31)-DATE(YEAR(Invoer!$A$5),1,1)+1),"jjjjmmdd")</f>
        <v>19271125</v>
      </c>
      <c r="C695" s="12">
        <v>1</v>
      </c>
      <c r="D695" s="17">
        <f t="shared" ca="1" si="20"/>
        <v>0</v>
      </c>
      <c r="E695" s="18">
        <f t="shared" ca="1" si="21"/>
        <v>0</v>
      </c>
    </row>
    <row r="696" spans="1:5" x14ac:dyDescent="0.25">
      <c r="A696" s="11">
        <f ca="1">INDEX(Stations,INT((ROWS(A$2:A696)-1)/(DATE(YEAR(Invoer!$A$5),12,31)-DATE(YEAR(Invoer!$A$5),1,1)+1))+2,1)</f>
        <v>42</v>
      </c>
      <c r="B696" t="str">
        <f ca="1">TEXT(DATE(YEAR(Invoer!$A$5),1,1)+MOD(ROWS(B$2:B696)-1,DATE(YEAR(Invoer!$A$5),12,31)-DATE(YEAR(Invoer!$A$5),1,1)+1),"jjjjmmdd")</f>
        <v>19271126</v>
      </c>
      <c r="C696" s="12">
        <v>1</v>
      </c>
      <c r="D696" s="17">
        <f t="shared" ca="1" si="20"/>
        <v>71</v>
      </c>
      <c r="E696" s="18">
        <f t="shared" ca="1" si="21"/>
        <v>0</v>
      </c>
    </row>
    <row r="697" spans="1:5" x14ac:dyDescent="0.25">
      <c r="A697" s="11">
        <f ca="1">INDEX(Stations,INT((ROWS(A$2:A697)-1)/(DATE(YEAR(Invoer!$A$5),12,31)-DATE(YEAR(Invoer!$A$5),1,1)+1))+2,1)</f>
        <v>42</v>
      </c>
      <c r="B697" t="str">
        <f ca="1">TEXT(DATE(YEAR(Invoer!$A$5),1,1)+MOD(ROWS(B$2:B697)-1,DATE(YEAR(Invoer!$A$5),12,31)-DATE(YEAR(Invoer!$A$5),1,1)+1),"jjjjmmdd")</f>
        <v>19271127</v>
      </c>
      <c r="C697" s="12">
        <v>1</v>
      </c>
      <c r="D697" s="17">
        <f t="shared" ca="1" si="20"/>
        <v>10</v>
      </c>
      <c r="E697" s="18">
        <f t="shared" ca="1" si="21"/>
        <v>0</v>
      </c>
    </row>
    <row r="698" spans="1:5" x14ac:dyDescent="0.25">
      <c r="A698" s="11">
        <f ca="1">INDEX(Stations,INT((ROWS(A$2:A698)-1)/(DATE(YEAR(Invoer!$A$5),12,31)-DATE(YEAR(Invoer!$A$5),1,1)+1))+2,1)</f>
        <v>42</v>
      </c>
      <c r="B698" t="str">
        <f ca="1">TEXT(DATE(YEAR(Invoer!$A$5),1,1)+MOD(ROWS(B$2:B698)-1,DATE(YEAR(Invoer!$A$5),12,31)-DATE(YEAR(Invoer!$A$5),1,1)+1),"jjjjmmdd")</f>
        <v>19271128</v>
      </c>
      <c r="C698" s="12">
        <v>1</v>
      </c>
      <c r="D698" s="17">
        <f t="shared" ca="1" si="20"/>
        <v>70</v>
      </c>
      <c r="E698" s="18">
        <f t="shared" ca="1" si="21"/>
        <v>0</v>
      </c>
    </row>
    <row r="699" spans="1:5" x14ac:dyDescent="0.25">
      <c r="A699" s="11">
        <f ca="1">INDEX(Stations,INT((ROWS(A$2:A699)-1)/(DATE(YEAR(Invoer!$A$5),12,31)-DATE(YEAR(Invoer!$A$5),1,1)+1))+2,1)</f>
        <v>42</v>
      </c>
      <c r="B699" t="str">
        <f ca="1">TEXT(DATE(YEAR(Invoer!$A$5),1,1)+MOD(ROWS(B$2:B699)-1,DATE(YEAR(Invoer!$A$5),12,31)-DATE(YEAR(Invoer!$A$5),1,1)+1),"jjjjmmdd")</f>
        <v>19271129</v>
      </c>
      <c r="C699" s="12">
        <v>1</v>
      </c>
      <c r="D699" s="17">
        <f t="shared" ca="1" si="20"/>
        <v>98</v>
      </c>
      <c r="E699" s="18">
        <f t="shared" ca="1" si="21"/>
        <v>0</v>
      </c>
    </row>
    <row r="700" spans="1:5" x14ac:dyDescent="0.25">
      <c r="A700" s="11">
        <f ca="1">INDEX(Stations,INT((ROWS(A$2:A700)-1)/(DATE(YEAR(Invoer!$A$5),12,31)-DATE(YEAR(Invoer!$A$5),1,1)+1))+2,1)</f>
        <v>42</v>
      </c>
      <c r="B700" t="str">
        <f ca="1">TEXT(DATE(YEAR(Invoer!$A$5),1,1)+MOD(ROWS(B$2:B700)-1,DATE(YEAR(Invoer!$A$5),12,31)-DATE(YEAR(Invoer!$A$5),1,1)+1),"jjjjmmdd")</f>
        <v>19271130</v>
      </c>
      <c r="C700" s="12">
        <v>1</v>
      </c>
      <c r="D700" s="17">
        <f t="shared" ca="1" si="20"/>
        <v>0</v>
      </c>
      <c r="E700" s="18">
        <f t="shared" ca="1" si="21"/>
        <v>0</v>
      </c>
    </row>
    <row r="701" spans="1:5" x14ac:dyDescent="0.25">
      <c r="A701" s="11">
        <f ca="1">INDEX(Stations,INT((ROWS(A$2:A701)-1)/(DATE(YEAR(Invoer!$A$5),12,31)-DATE(YEAR(Invoer!$A$5),1,1)+1))+2,1)</f>
        <v>42</v>
      </c>
      <c r="B701" t="str">
        <f ca="1">TEXT(DATE(YEAR(Invoer!$A$5),1,1)+MOD(ROWS(B$2:B701)-1,DATE(YEAR(Invoer!$A$5),12,31)-DATE(YEAR(Invoer!$A$5),1,1)+1),"jjjjmmdd")</f>
        <v>19271201</v>
      </c>
      <c r="C701" s="12">
        <v>1</v>
      </c>
      <c r="D701" s="17">
        <f t="shared" ca="1" si="20"/>
        <v>17</v>
      </c>
      <c r="E701" s="18">
        <f t="shared" ca="1" si="21"/>
        <v>0</v>
      </c>
    </row>
    <row r="702" spans="1:5" x14ac:dyDescent="0.25">
      <c r="A702" s="11">
        <f ca="1">INDEX(Stations,INT((ROWS(A$2:A702)-1)/(DATE(YEAR(Invoer!$A$5),12,31)-DATE(YEAR(Invoer!$A$5),1,1)+1))+2,1)</f>
        <v>42</v>
      </c>
      <c r="B702" t="str">
        <f ca="1">TEXT(DATE(YEAR(Invoer!$A$5),1,1)+MOD(ROWS(B$2:B702)-1,DATE(YEAR(Invoer!$A$5),12,31)-DATE(YEAR(Invoer!$A$5),1,1)+1),"jjjjmmdd")</f>
        <v>19271202</v>
      </c>
      <c r="C702" s="12">
        <v>1</v>
      </c>
      <c r="D702" s="17">
        <f t="shared" ca="1" si="20"/>
        <v>0</v>
      </c>
      <c r="E702" s="18">
        <f t="shared" ca="1" si="21"/>
        <v>0</v>
      </c>
    </row>
    <row r="703" spans="1:5" x14ac:dyDescent="0.25">
      <c r="A703" s="11">
        <f ca="1">INDEX(Stations,INT((ROWS(A$2:A703)-1)/(DATE(YEAR(Invoer!$A$5),12,31)-DATE(YEAR(Invoer!$A$5),1,1)+1))+2,1)</f>
        <v>42</v>
      </c>
      <c r="B703" t="str">
        <f ca="1">TEXT(DATE(YEAR(Invoer!$A$5),1,1)+MOD(ROWS(B$2:B703)-1,DATE(YEAR(Invoer!$A$5),12,31)-DATE(YEAR(Invoer!$A$5),1,1)+1),"jjjjmmdd")</f>
        <v>19271203</v>
      </c>
      <c r="C703" s="12">
        <v>1</v>
      </c>
      <c r="D703" s="17">
        <f t="shared" ca="1" si="20"/>
        <v>13</v>
      </c>
      <c r="E703" s="18">
        <f t="shared" ca="1" si="21"/>
        <v>0</v>
      </c>
    </row>
    <row r="704" spans="1:5" x14ac:dyDescent="0.25">
      <c r="A704" s="11">
        <f ca="1">INDEX(Stations,INT((ROWS(A$2:A704)-1)/(DATE(YEAR(Invoer!$A$5),12,31)-DATE(YEAR(Invoer!$A$5),1,1)+1))+2,1)</f>
        <v>42</v>
      </c>
      <c r="B704" t="str">
        <f ca="1">TEXT(DATE(YEAR(Invoer!$A$5),1,1)+MOD(ROWS(B$2:B704)-1,DATE(YEAR(Invoer!$A$5),12,31)-DATE(YEAR(Invoer!$A$5),1,1)+1),"jjjjmmdd")</f>
        <v>19271204</v>
      </c>
      <c r="C704" s="12">
        <v>1</v>
      </c>
      <c r="D704" s="17">
        <f t="shared" ca="1" si="20"/>
        <v>0</v>
      </c>
      <c r="E704" s="18">
        <f t="shared" ca="1" si="21"/>
        <v>0</v>
      </c>
    </row>
    <row r="705" spans="1:5" x14ac:dyDescent="0.25">
      <c r="A705" s="11">
        <f ca="1">INDEX(Stations,INT((ROWS(A$2:A705)-1)/(DATE(YEAR(Invoer!$A$5),12,31)-DATE(YEAR(Invoer!$A$5),1,1)+1))+2,1)</f>
        <v>42</v>
      </c>
      <c r="B705" t="str">
        <f ca="1">TEXT(DATE(YEAR(Invoer!$A$5),1,1)+MOD(ROWS(B$2:B705)-1,DATE(YEAR(Invoer!$A$5),12,31)-DATE(YEAR(Invoer!$A$5),1,1)+1),"jjjjmmdd")</f>
        <v>19271205</v>
      </c>
      <c r="C705" s="12">
        <v>1</v>
      </c>
      <c r="D705" s="17">
        <f t="shared" ca="1" si="20"/>
        <v>0</v>
      </c>
      <c r="E705" s="18">
        <f t="shared" ca="1" si="21"/>
        <v>0</v>
      </c>
    </row>
    <row r="706" spans="1:5" x14ac:dyDescent="0.25">
      <c r="A706" s="11">
        <f ca="1">INDEX(Stations,INT((ROWS(A$2:A706)-1)/(DATE(YEAR(Invoer!$A$5),12,31)-DATE(YEAR(Invoer!$A$5),1,1)+1))+2,1)</f>
        <v>42</v>
      </c>
      <c r="B706" t="str">
        <f ca="1">TEXT(DATE(YEAR(Invoer!$A$5),1,1)+MOD(ROWS(B$2:B706)-1,DATE(YEAR(Invoer!$A$5),12,31)-DATE(YEAR(Invoer!$A$5),1,1)+1),"jjjjmmdd")</f>
        <v>19271206</v>
      </c>
      <c r="C706" s="12">
        <v>1</v>
      </c>
      <c r="D706" s="17">
        <f t="shared" ref="D706:D731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0</v>
      </c>
      <c r="E706" s="18">
        <f t="shared" ref="E706:E731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0</v>
      </c>
    </row>
    <row r="707" spans="1:5" x14ac:dyDescent="0.25">
      <c r="A707" s="11">
        <f ca="1">INDEX(Stations,INT((ROWS(A$2:A707)-1)/(DATE(YEAR(Invoer!$A$5),12,31)-DATE(YEAR(Invoer!$A$5),1,1)+1))+2,1)</f>
        <v>42</v>
      </c>
      <c r="B707" t="str">
        <f ca="1">TEXT(DATE(YEAR(Invoer!$A$5),1,1)+MOD(ROWS(B$2:B707)-1,DATE(YEAR(Invoer!$A$5),12,31)-DATE(YEAR(Invoer!$A$5),1,1)+1),"jjjjmmdd")</f>
        <v>19271207</v>
      </c>
      <c r="C707" s="12">
        <v>1</v>
      </c>
      <c r="D707" s="17">
        <f t="shared" ca="1" si="22"/>
        <v>600</v>
      </c>
      <c r="E707" s="18">
        <f t="shared" ca="1" si="23"/>
        <v>0</v>
      </c>
    </row>
    <row r="708" spans="1:5" x14ac:dyDescent="0.25">
      <c r="A708" s="11">
        <f ca="1">INDEX(Stations,INT((ROWS(A$2:A708)-1)/(DATE(YEAR(Invoer!$A$5),12,31)-DATE(YEAR(Invoer!$A$5),1,1)+1))+2,1)</f>
        <v>42</v>
      </c>
      <c r="B708" t="str">
        <f ca="1">TEXT(DATE(YEAR(Invoer!$A$5),1,1)+MOD(ROWS(B$2:B708)-1,DATE(YEAR(Invoer!$A$5),12,31)-DATE(YEAR(Invoer!$A$5),1,1)+1),"jjjjmmdd")</f>
        <v>19271208</v>
      </c>
      <c r="C708" s="12">
        <v>1</v>
      </c>
      <c r="D708" s="17">
        <f t="shared" ca="1" si="22"/>
        <v>0</v>
      </c>
      <c r="E708" s="18">
        <f t="shared" ca="1" si="23"/>
        <v>0</v>
      </c>
    </row>
    <row r="709" spans="1:5" x14ac:dyDescent="0.25">
      <c r="A709" s="11">
        <f ca="1">INDEX(Stations,INT((ROWS(A$2:A709)-1)/(DATE(YEAR(Invoer!$A$5),12,31)-DATE(YEAR(Invoer!$A$5),1,1)+1))+2,1)</f>
        <v>42</v>
      </c>
      <c r="B709" t="str">
        <f ca="1">TEXT(DATE(YEAR(Invoer!$A$5),1,1)+MOD(ROWS(B$2:B709)-1,DATE(YEAR(Invoer!$A$5),12,31)-DATE(YEAR(Invoer!$A$5),1,1)+1),"jjjjmmdd")</f>
        <v>19271209</v>
      </c>
      <c r="C709" s="12">
        <v>1</v>
      </c>
      <c r="D709" s="17">
        <f t="shared" ca="1" si="22"/>
        <v>0</v>
      </c>
      <c r="E709" s="18">
        <f t="shared" ca="1" si="23"/>
        <v>0</v>
      </c>
    </row>
    <row r="710" spans="1:5" x14ac:dyDescent="0.25">
      <c r="A710" s="11">
        <f ca="1">INDEX(Stations,INT((ROWS(A$2:A710)-1)/(DATE(YEAR(Invoer!$A$5),12,31)-DATE(YEAR(Invoer!$A$5),1,1)+1))+2,1)</f>
        <v>42</v>
      </c>
      <c r="B710" t="str">
        <f ca="1">TEXT(DATE(YEAR(Invoer!$A$5),1,1)+MOD(ROWS(B$2:B710)-1,DATE(YEAR(Invoer!$A$5),12,31)-DATE(YEAR(Invoer!$A$5),1,1)+1),"jjjjmmdd")</f>
        <v>19271210</v>
      </c>
      <c r="C710" s="12">
        <v>1</v>
      </c>
      <c r="D710" s="17">
        <f t="shared" ca="1" si="22"/>
        <v>2</v>
      </c>
      <c r="E710" s="18">
        <f t="shared" ca="1" si="23"/>
        <v>0</v>
      </c>
    </row>
    <row r="711" spans="1:5" x14ac:dyDescent="0.25">
      <c r="A711" s="11">
        <f ca="1">INDEX(Stations,INT((ROWS(A$2:A711)-1)/(DATE(YEAR(Invoer!$A$5),12,31)-DATE(YEAR(Invoer!$A$5),1,1)+1))+2,1)</f>
        <v>42</v>
      </c>
      <c r="B711" t="str">
        <f ca="1">TEXT(DATE(YEAR(Invoer!$A$5),1,1)+MOD(ROWS(B$2:B711)-1,DATE(YEAR(Invoer!$A$5),12,31)-DATE(YEAR(Invoer!$A$5),1,1)+1),"jjjjmmdd")</f>
        <v>19271211</v>
      </c>
      <c r="C711" s="12">
        <v>1</v>
      </c>
      <c r="D711" s="17">
        <f t="shared" ca="1" si="22"/>
        <v>75</v>
      </c>
      <c r="E711" s="18">
        <f t="shared" ca="1" si="23"/>
        <v>0</v>
      </c>
    </row>
    <row r="712" spans="1:5" x14ac:dyDescent="0.25">
      <c r="A712" s="11">
        <f ca="1">INDEX(Stations,INT((ROWS(A$2:A712)-1)/(DATE(YEAR(Invoer!$A$5),12,31)-DATE(YEAR(Invoer!$A$5),1,1)+1))+2,1)</f>
        <v>42</v>
      </c>
      <c r="B712" t="str">
        <f ca="1">TEXT(DATE(YEAR(Invoer!$A$5),1,1)+MOD(ROWS(B$2:B712)-1,DATE(YEAR(Invoer!$A$5),12,31)-DATE(YEAR(Invoer!$A$5),1,1)+1),"jjjjmmdd")</f>
        <v>19271212</v>
      </c>
      <c r="C712" s="12">
        <v>1</v>
      </c>
      <c r="D712" s="17">
        <f t="shared" ca="1" si="22"/>
        <v>17</v>
      </c>
      <c r="E712" s="18">
        <f t="shared" ca="1" si="23"/>
        <v>0</v>
      </c>
    </row>
    <row r="713" spans="1:5" x14ac:dyDescent="0.25">
      <c r="A713" s="11">
        <f ca="1">INDEX(Stations,INT((ROWS(A$2:A713)-1)/(DATE(YEAR(Invoer!$A$5),12,31)-DATE(YEAR(Invoer!$A$5),1,1)+1))+2,1)</f>
        <v>42</v>
      </c>
      <c r="B713" t="str">
        <f ca="1">TEXT(DATE(YEAR(Invoer!$A$5),1,1)+MOD(ROWS(B$2:B713)-1,DATE(YEAR(Invoer!$A$5),12,31)-DATE(YEAR(Invoer!$A$5),1,1)+1),"jjjjmmdd")</f>
        <v>19271213</v>
      </c>
      <c r="C713" s="12">
        <v>1</v>
      </c>
      <c r="D713" s="17">
        <f t="shared" ca="1" si="22"/>
        <v>0</v>
      </c>
      <c r="E713" s="18">
        <f t="shared" ca="1" si="23"/>
        <v>0</v>
      </c>
    </row>
    <row r="714" spans="1:5" x14ac:dyDescent="0.25">
      <c r="A714" s="11">
        <f ca="1">INDEX(Stations,INT((ROWS(A$2:A714)-1)/(DATE(YEAR(Invoer!$A$5),12,31)-DATE(YEAR(Invoer!$A$5),1,1)+1))+2,1)</f>
        <v>42</v>
      </c>
      <c r="B714" t="str">
        <f ca="1">TEXT(DATE(YEAR(Invoer!$A$5),1,1)+MOD(ROWS(B$2:B714)-1,DATE(YEAR(Invoer!$A$5),12,31)-DATE(YEAR(Invoer!$A$5),1,1)+1),"jjjjmmdd")</f>
        <v>19271214</v>
      </c>
      <c r="C714" s="12">
        <v>1</v>
      </c>
      <c r="D714" s="17">
        <f t="shared" ca="1" si="22"/>
        <v>30</v>
      </c>
      <c r="E714" s="18">
        <f t="shared" ca="1" si="23"/>
        <v>0</v>
      </c>
    </row>
    <row r="715" spans="1:5" x14ac:dyDescent="0.25">
      <c r="A715" s="11">
        <f ca="1">INDEX(Stations,INT((ROWS(A$2:A715)-1)/(DATE(YEAR(Invoer!$A$5),12,31)-DATE(YEAR(Invoer!$A$5),1,1)+1))+2,1)</f>
        <v>42</v>
      </c>
      <c r="B715" t="str">
        <f ca="1">TEXT(DATE(YEAR(Invoer!$A$5),1,1)+MOD(ROWS(B$2:B715)-1,DATE(YEAR(Invoer!$A$5),12,31)-DATE(YEAR(Invoer!$A$5),1,1)+1),"jjjjmmdd")</f>
        <v>19271215</v>
      </c>
      <c r="C715" s="12">
        <v>1</v>
      </c>
      <c r="D715" s="17">
        <f t="shared" ca="1" si="22"/>
        <v>76</v>
      </c>
      <c r="E715" s="18">
        <f t="shared" ca="1" si="23"/>
        <v>0</v>
      </c>
    </row>
    <row r="716" spans="1:5" x14ac:dyDescent="0.25">
      <c r="A716" s="11">
        <f ca="1">INDEX(Stations,INT((ROWS(A$2:A716)-1)/(DATE(YEAR(Invoer!$A$5),12,31)-DATE(YEAR(Invoer!$A$5),1,1)+1))+2,1)</f>
        <v>42</v>
      </c>
      <c r="B716" t="str">
        <f ca="1">TEXT(DATE(YEAR(Invoer!$A$5),1,1)+MOD(ROWS(B$2:B716)-1,DATE(YEAR(Invoer!$A$5),12,31)-DATE(YEAR(Invoer!$A$5),1,1)+1),"jjjjmmdd")</f>
        <v>19271216</v>
      </c>
      <c r="C716" s="12">
        <v>1</v>
      </c>
      <c r="D716" s="17">
        <f t="shared" ca="1" si="22"/>
        <v>180</v>
      </c>
      <c r="E716" s="18">
        <f t="shared" ca="1" si="23"/>
        <v>0</v>
      </c>
    </row>
    <row r="717" spans="1:5" x14ac:dyDescent="0.25">
      <c r="A717" s="11">
        <f ca="1">INDEX(Stations,INT((ROWS(A$2:A717)-1)/(DATE(YEAR(Invoer!$A$5),12,31)-DATE(YEAR(Invoer!$A$5),1,1)+1))+2,1)</f>
        <v>42</v>
      </c>
      <c r="B717" t="str">
        <f ca="1">TEXT(DATE(YEAR(Invoer!$A$5),1,1)+MOD(ROWS(B$2:B717)-1,DATE(YEAR(Invoer!$A$5),12,31)-DATE(YEAR(Invoer!$A$5),1,1)+1),"jjjjmmdd")</f>
        <v>19271217</v>
      </c>
      <c r="C717" s="12">
        <v>1</v>
      </c>
      <c r="D717" s="17">
        <f t="shared" ca="1" si="22"/>
        <v>24</v>
      </c>
      <c r="E717" s="18">
        <f t="shared" ca="1" si="23"/>
        <v>0</v>
      </c>
    </row>
    <row r="718" spans="1:5" x14ac:dyDescent="0.25">
      <c r="A718" s="11">
        <f ca="1">INDEX(Stations,INT((ROWS(A$2:A718)-1)/(DATE(YEAR(Invoer!$A$5),12,31)-DATE(YEAR(Invoer!$A$5),1,1)+1))+2,1)</f>
        <v>42</v>
      </c>
      <c r="B718" t="str">
        <f ca="1">TEXT(DATE(YEAR(Invoer!$A$5),1,1)+MOD(ROWS(B$2:B718)-1,DATE(YEAR(Invoer!$A$5),12,31)-DATE(YEAR(Invoer!$A$5),1,1)+1),"jjjjmmdd")</f>
        <v>19271218</v>
      </c>
      <c r="C718" s="12">
        <v>1</v>
      </c>
      <c r="D718" s="17">
        <f t="shared" ca="1" si="22"/>
        <v>510</v>
      </c>
      <c r="E718" s="18">
        <f t="shared" ca="1" si="23"/>
        <v>0</v>
      </c>
    </row>
    <row r="719" spans="1:5" x14ac:dyDescent="0.25">
      <c r="A719" s="11">
        <f ca="1">INDEX(Stations,INT((ROWS(A$2:A719)-1)/(DATE(YEAR(Invoer!$A$5),12,31)-DATE(YEAR(Invoer!$A$5),1,1)+1))+2,1)</f>
        <v>42</v>
      </c>
      <c r="B719" t="str">
        <f ca="1">TEXT(DATE(YEAR(Invoer!$A$5),1,1)+MOD(ROWS(B$2:B719)-1,DATE(YEAR(Invoer!$A$5),12,31)-DATE(YEAR(Invoer!$A$5),1,1)+1),"jjjjmmdd")</f>
        <v>19271219</v>
      </c>
      <c r="C719" s="12">
        <v>1</v>
      </c>
      <c r="D719" s="17">
        <f t="shared" ca="1" si="22"/>
        <v>40</v>
      </c>
      <c r="E719" s="18">
        <f t="shared" ca="1" si="23"/>
        <v>0</v>
      </c>
    </row>
    <row r="720" spans="1:5" x14ac:dyDescent="0.25">
      <c r="A720" s="11">
        <f ca="1">INDEX(Stations,INT((ROWS(A$2:A720)-1)/(DATE(YEAR(Invoer!$A$5),12,31)-DATE(YEAR(Invoer!$A$5),1,1)+1))+2,1)</f>
        <v>42</v>
      </c>
      <c r="B720" t="str">
        <f ca="1">TEXT(DATE(YEAR(Invoer!$A$5),1,1)+MOD(ROWS(B$2:B720)-1,DATE(YEAR(Invoer!$A$5),12,31)-DATE(YEAR(Invoer!$A$5),1,1)+1),"jjjjmmdd")</f>
        <v>19271220</v>
      </c>
      <c r="C720" s="12">
        <v>1</v>
      </c>
      <c r="D720" s="17">
        <f t="shared" ca="1" si="22"/>
        <v>0</v>
      </c>
      <c r="E720" s="18">
        <f t="shared" ca="1" si="23"/>
        <v>0</v>
      </c>
    </row>
    <row r="721" spans="1:5" x14ac:dyDescent="0.25">
      <c r="A721" s="11">
        <f ca="1">INDEX(Stations,INT((ROWS(A$2:A721)-1)/(DATE(YEAR(Invoer!$A$5),12,31)-DATE(YEAR(Invoer!$A$5),1,1)+1))+2,1)</f>
        <v>42</v>
      </c>
      <c r="B721" t="str">
        <f ca="1">TEXT(DATE(YEAR(Invoer!$A$5),1,1)+MOD(ROWS(B$2:B721)-1,DATE(YEAR(Invoer!$A$5),12,31)-DATE(YEAR(Invoer!$A$5),1,1)+1),"jjjjmmdd")</f>
        <v>19271221</v>
      </c>
      <c r="C721" s="12">
        <v>1</v>
      </c>
      <c r="D721" s="17">
        <f t="shared" ca="1" si="22"/>
        <v>0</v>
      </c>
      <c r="E721" s="18">
        <f t="shared" ca="1" si="23"/>
        <v>0</v>
      </c>
    </row>
    <row r="722" spans="1:5" x14ac:dyDescent="0.25">
      <c r="A722" s="11">
        <f ca="1">INDEX(Stations,INT((ROWS(A$2:A722)-1)/(DATE(YEAR(Invoer!$A$5),12,31)-DATE(YEAR(Invoer!$A$5),1,1)+1))+2,1)</f>
        <v>42</v>
      </c>
      <c r="B722" t="str">
        <f ca="1">TEXT(DATE(YEAR(Invoer!$A$5),1,1)+MOD(ROWS(B$2:B722)-1,DATE(YEAR(Invoer!$A$5),12,31)-DATE(YEAR(Invoer!$A$5),1,1)+1),"jjjjmmdd")</f>
        <v>19271222</v>
      </c>
      <c r="C722" s="12">
        <v>1</v>
      </c>
      <c r="D722" s="17">
        <f t="shared" ca="1" si="22"/>
        <v>3</v>
      </c>
      <c r="E722" s="18">
        <f t="shared" ca="1" si="23"/>
        <v>0</v>
      </c>
    </row>
    <row r="723" spans="1:5" x14ac:dyDescent="0.25">
      <c r="A723" s="11">
        <f ca="1">INDEX(Stations,INT((ROWS(A$2:A723)-1)/(DATE(YEAR(Invoer!$A$5),12,31)-DATE(YEAR(Invoer!$A$5),1,1)+1))+2,1)</f>
        <v>42</v>
      </c>
      <c r="B723" t="str">
        <f ca="1">TEXT(DATE(YEAR(Invoer!$A$5),1,1)+MOD(ROWS(B$2:B723)-1,DATE(YEAR(Invoer!$A$5),12,31)-DATE(YEAR(Invoer!$A$5),1,1)+1),"jjjjmmdd")</f>
        <v>19271223</v>
      </c>
      <c r="C723" s="12">
        <v>1</v>
      </c>
      <c r="D723" s="17">
        <f t="shared" ca="1" si="22"/>
        <v>0</v>
      </c>
      <c r="E723" s="18">
        <f t="shared" ca="1" si="23"/>
        <v>0</v>
      </c>
    </row>
    <row r="724" spans="1:5" x14ac:dyDescent="0.25">
      <c r="A724" s="11">
        <f ca="1">INDEX(Stations,INT((ROWS(A$2:A724)-1)/(DATE(YEAR(Invoer!$A$5),12,31)-DATE(YEAR(Invoer!$A$5),1,1)+1))+2,1)</f>
        <v>42</v>
      </c>
      <c r="B724" t="str">
        <f ca="1">TEXT(DATE(YEAR(Invoer!$A$5),1,1)+MOD(ROWS(B$2:B724)-1,DATE(YEAR(Invoer!$A$5),12,31)-DATE(YEAR(Invoer!$A$5),1,1)+1),"jjjjmmdd")</f>
        <v>19271224</v>
      </c>
      <c r="C724" s="12">
        <v>1</v>
      </c>
      <c r="D724" s="17">
        <f t="shared" ca="1" si="22"/>
        <v>0</v>
      </c>
      <c r="E724" s="18">
        <f t="shared" ca="1" si="23"/>
        <v>0</v>
      </c>
    </row>
    <row r="725" spans="1:5" x14ac:dyDescent="0.25">
      <c r="A725" s="11">
        <f ca="1">INDEX(Stations,INT((ROWS(A$2:A725)-1)/(DATE(YEAR(Invoer!$A$5),12,31)-DATE(YEAR(Invoer!$A$5),1,1)+1))+2,1)</f>
        <v>42</v>
      </c>
      <c r="B725" t="str">
        <f ca="1">TEXT(DATE(YEAR(Invoer!$A$5),1,1)+MOD(ROWS(B$2:B725)-1,DATE(YEAR(Invoer!$A$5),12,31)-DATE(YEAR(Invoer!$A$5),1,1)+1),"jjjjmmdd")</f>
        <v>19271225</v>
      </c>
      <c r="C725" s="12">
        <v>1</v>
      </c>
      <c r="D725" s="17">
        <f t="shared" ca="1" si="22"/>
        <v>37</v>
      </c>
      <c r="E725" s="18">
        <f t="shared" ca="1" si="23"/>
        <v>0</v>
      </c>
    </row>
    <row r="726" spans="1:5" x14ac:dyDescent="0.25">
      <c r="A726" s="11">
        <f ca="1">INDEX(Stations,INT((ROWS(A$2:A726)-1)/(DATE(YEAR(Invoer!$A$5),12,31)-DATE(YEAR(Invoer!$A$5),1,1)+1))+2,1)</f>
        <v>42</v>
      </c>
      <c r="B726" t="str">
        <f ca="1">TEXT(DATE(YEAR(Invoer!$A$5),1,1)+MOD(ROWS(B$2:B726)-1,DATE(YEAR(Invoer!$A$5),12,31)-DATE(YEAR(Invoer!$A$5),1,1)+1),"jjjjmmdd")</f>
        <v>19271226</v>
      </c>
      <c r="C726" s="12">
        <v>1</v>
      </c>
      <c r="D726" s="17">
        <f t="shared" ca="1" si="22"/>
        <v>20</v>
      </c>
      <c r="E726" s="18">
        <f t="shared" ca="1" si="23"/>
        <v>0</v>
      </c>
    </row>
    <row r="727" spans="1:5" x14ac:dyDescent="0.25">
      <c r="A727" s="11">
        <f ca="1">INDEX(Stations,INT((ROWS(A$2:A727)-1)/(DATE(YEAR(Invoer!$A$5),12,31)-DATE(YEAR(Invoer!$A$5),1,1)+1))+2,1)</f>
        <v>42</v>
      </c>
      <c r="B727" t="str">
        <f ca="1">TEXT(DATE(YEAR(Invoer!$A$5),1,1)+MOD(ROWS(B$2:B727)-1,DATE(YEAR(Invoer!$A$5),12,31)-DATE(YEAR(Invoer!$A$5),1,1)+1),"jjjjmmdd")</f>
        <v>19271227</v>
      </c>
      <c r="C727" s="12">
        <v>1</v>
      </c>
      <c r="D727" s="17">
        <f t="shared" ca="1" si="22"/>
        <v>0</v>
      </c>
      <c r="E727" s="18">
        <f t="shared" ca="1" si="23"/>
        <v>0</v>
      </c>
    </row>
    <row r="728" spans="1:5" x14ac:dyDescent="0.25">
      <c r="A728" s="11">
        <f ca="1">INDEX(Stations,INT((ROWS(A$2:A728)-1)/(DATE(YEAR(Invoer!$A$5),12,31)-DATE(YEAR(Invoer!$A$5),1,1)+1))+2,1)</f>
        <v>42</v>
      </c>
      <c r="B728" t="str">
        <f ca="1">TEXT(DATE(YEAR(Invoer!$A$5),1,1)+MOD(ROWS(B$2:B728)-1,DATE(YEAR(Invoer!$A$5),12,31)-DATE(YEAR(Invoer!$A$5),1,1)+1),"jjjjmmdd")</f>
        <v>19271228</v>
      </c>
      <c r="C728" s="12">
        <v>1</v>
      </c>
      <c r="D728" s="17">
        <f t="shared" ca="1" si="22"/>
        <v>30</v>
      </c>
      <c r="E728" s="18">
        <f t="shared" ca="1" si="23"/>
        <v>0</v>
      </c>
    </row>
    <row r="729" spans="1:5" x14ac:dyDescent="0.25">
      <c r="A729" s="11">
        <f ca="1">INDEX(Stations,INT((ROWS(A$2:A729)-1)/(DATE(YEAR(Invoer!$A$5),12,31)-DATE(YEAR(Invoer!$A$5),1,1)+1))+2,1)</f>
        <v>42</v>
      </c>
      <c r="B729" t="str">
        <f ca="1">TEXT(DATE(YEAR(Invoer!$A$5),1,1)+MOD(ROWS(B$2:B729)-1,DATE(YEAR(Invoer!$A$5),12,31)-DATE(YEAR(Invoer!$A$5),1,1)+1),"jjjjmmdd")</f>
        <v>19271229</v>
      </c>
      <c r="C729" s="12">
        <v>1</v>
      </c>
      <c r="D729" s="17">
        <f t="shared" ca="1" si="22"/>
        <v>118</v>
      </c>
      <c r="E729" s="18">
        <f t="shared" ca="1" si="23"/>
        <v>0</v>
      </c>
    </row>
    <row r="730" spans="1:5" x14ac:dyDescent="0.25">
      <c r="A730" s="11">
        <f ca="1">INDEX(Stations,INT((ROWS(A$2:A730)-1)/(DATE(YEAR(Invoer!$A$5),12,31)-DATE(YEAR(Invoer!$A$5),1,1)+1))+2,1)</f>
        <v>42</v>
      </c>
      <c r="B730" t="str">
        <f ca="1">TEXT(DATE(YEAR(Invoer!$A$5),1,1)+MOD(ROWS(B$2:B730)-1,DATE(YEAR(Invoer!$A$5),12,31)-DATE(YEAR(Invoer!$A$5),1,1)+1),"jjjjmmdd")</f>
        <v>19271230</v>
      </c>
      <c r="C730" s="12">
        <v>1</v>
      </c>
      <c r="D730" s="17">
        <f t="shared" ca="1" si="22"/>
        <v>18</v>
      </c>
      <c r="E730" s="18">
        <f t="shared" ca="1" si="23"/>
        <v>0</v>
      </c>
    </row>
    <row r="731" spans="1:5" x14ac:dyDescent="0.25">
      <c r="A731" s="11">
        <f ca="1">INDEX(Stations,INT((ROWS(A$2:A731)-1)/(DATE(YEAR(Invoer!$A$5),12,31)-DATE(YEAR(Invoer!$A$5),1,1)+1))+2,1)</f>
        <v>42</v>
      </c>
      <c r="B731" t="str">
        <f ca="1">TEXT(DATE(YEAR(Invoer!$A$5),1,1)+MOD(ROWS(B$2:B731)-1,DATE(YEAR(Invoer!$A$5),12,31)-DATE(YEAR(Invoer!$A$5),1,1)+1),"jjjjmmdd")</f>
        <v>19271231</v>
      </c>
      <c r="C731" s="12">
        <v>1</v>
      </c>
      <c r="D731" s="17">
        <f t="shared" ca="1" si="22"/>
        <v>0</v>
      </c>
      <c r="E731" s="18">
        <f t="shared" ca="1" si="23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731"/>
  <sheetViews>
    <sheetView workbookViewId="0"/>
  </sheetViews>
  <sheetFormatPr defaultRowHeight="15" x14ac:dyDescent="0.25"/>
  <sheetData>
    <row r="1" spans="1:7" x14ac:dyDescent="0.25">
      <c r="A1" s="10" t="s">
        <v>2</v>
      </c>
      <c r="B1" s="9" t="s">
        <v>0</v>
      </c>
      <c r="C1" s="10" t="s">
        <v>6</v>
      </c>
      <c r="D1" s="10" t="s">
        <v>7</v>
      </c>
      <c r="E1" s="10" t="s">
        <v>8</v>
      </c>
      <c r="F1" s="10" t="s">
        <v>9</v>
      </c>
      <c r="G1" s="10" t="s">
        <v>10</v>
      </c>
    </row>
    <row r="2" spans="1:7" x14ac:dyDescent="0.25">
      <c r="A2" s="11">
        <f t="shared" ref="A2:A65" si="0">INDEX(Stations,2,1)</f>
        <v>44</v>
      </c>
      <c r="B2" t="str">
        <f ca="1">TEXT(DATE(YEAR(Invoer!$A$5),1,1)+INT((ROWS(B$2:B2)-1)/2),"jjjjmmdd")</f>
        <v>19270101</v>
      </c>
      <c r="C2" s="26" t="str">
        <f>INDEX(Data,2,2+MOD(ROWS(C$2:C2)-1,2))</f>
        <v>08.00</v>
      </c>
      <c r="D2" s="39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/10)</f>
        <v>758.5</v>
      </c>
      <c r="E2" s="31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40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VLOOKUP(DATEVALUE(LEFT($B2,4)&amp;"-"&amp;MID($B2,5,2)&amp;"-"&amp;RIGHT($B2,2)),Data,MATCH(LEFT(VLOOKUP(F$1,Parameters,2,FALSE()),4)&amp;"*",OFFSET(Data,0,0,1),0)+MATCH($C2,OFFSET(Data,1,0,1),0)-2,FALSE())/10)</f>
        <v>27.5</v>
      </c>
      <c r="G2" s="31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0</v>
      </c>
    </row>
    <row r="3" spans="1:7" x14ac:dyDescent="0.25">
      <c r="A3" s="11">
        <f t="shared" si="0"/>
        <v>44</v>
      </c>
      <c r="B3" t="str">
        <f ca="1">TEXT(DATE(YEAR(Invoer!$A$5),1,1)+INT((ROWS(B$2:B3)-1)/2),"jjjjmmdd")</f>
        <v>19270101</v>
      </c>
      <c r="C3" s="26" t="str">
        <f>INDEX(Data,2,2+MOD(ROWS(C$2:C3)-1,2))</f>
        <v>15.00</v>
      </c>
      <c r="D3" s="39">
        <f t="shared" ca="1" si="1"/>
        <v>757</v>
      </c>
      <c r="E3" s="31">
        <f t="shared" ca="1" si="2"/>
        <v>0</v>
      </c>
      <c r="F3" s="40">
        <f t="shared" ca="1" si="3"/>
        <v>28</v>
      </c>
      <c r="G3" s="31">
        <f t="shared" ca="1" si="4"/>
        <v>0</v>
      </c>
    </row>
    <row r="4" spans="1:7" x14ac:dyDescent="0.25">
      <c r="A4" s="11">
        <f t="shared" si="0"/>
        <v>44</v>
      </c>
      <c r="B4" t="str">
        <f ca="1">TEXT(DATE(YEAR(Invoer!$A$5),1,1)+INT((ROWS(B$2:B4)-1)/2),"jjjjmmdd")</f>
        <v>19270102</v>
      </c>
      <c r="C4" s="26" t="str">
        <f>INDEX(Data,2,2+MOD(ROWS(C$2:C4)-1,2))</f>
        <v>08.00</v>
      </c>
      <c r="D4" s="39">
        <f t="shared" ca="1" si="1"/>
        <v>758.5</v>
      </c>
      <c r="E4" s="31">
        <f t="shared" ca="1" si="2"/>
        <v>0</v>
      </c>
      <c r="F4" s="40">
        <f t="shared" ca="1" si="3"/>
        <v>27.5</v>
      </c>
      <c r="G4" s="31">
        <f t="shared" ca="1" si="4"/>
        <v>0</v>
      </c>
    </row>
    <row r="5" spans="1:7" x14ac:dyDescent="0.25">
      <c r="A5" s="11">
        <f t="shared" si="0"/>
        <v>44</v>
      </c>
      <c r="B5" t="str">
        <f ca="1">TEXT(DATE(YEAR(Invoer!$A$5),1,1)+INT((ROWS(B$2:B5)-1)/2),"jjjjmmdd")</f>
        <v>19270102</v>
      </c>
      <c r="C5" s="26" t="str">
        <f>INDEX(Data,2,2+MOD(ROWS(C$2:C5)-1,2))</f>
        <v>15.00</v>
      </c>
      <c r="D5" s="39">
        <f t="shared" ca="1" si="1"/>
        <v>757</v>
      </c>
      <c r="E5" s="31">
        <f t="shared" ca="1" si="2"/>
        <v>0</v>
      </c>
      <c r="F5" s="40">
        <f t="shared" ca="1" si="3"/>
        <v>28</v>
      </c>
      <c r="G5" s="31">
        <f t="shared" ca="1" si="4"/>
        <v>0</v>
      </c>
    </row>
    <row r="6" spans="1:7" x14ac:dyDescent="0.25">
      <c r="A6" s="11">
        <f t="shared" si="0"/>
        <v>44</v>
      </c>
      <c r="B6" t="str">
        <f ca="1">TEXT(DATE(YEAR(Invoer!$A$5),1,1)+INT((ROWS(B$2:B6)-1)/2),"jjjjmmdd")</f>
        <v>19270103</v>
      </c>
      <c r="C6" s="26" t="str">
        <f>INDEX(Data,2,2+MOD(ROWS(C$2:C6)-1,2))</f>
        <v>08.00</v>
      </c>
      <c r="D6" s="39">
        <f t="shared" ca="1" si="1"/>
        <v>758.5</v>
      </c>
      <c r="E6" s="31">
        <f t="shared" ca="1" si="2"/>
        <v>0</v>
      </c>
      <c r="F6" s="40">
        <f t="shared" ca="1" si="3"/>
        <v>27.5</v>
      </c>
      <c r="G6" s="31">
        <f t="shared" ca="1" si="4"/>
        <v>0</v>
      </c>
    </row>
    <row r="7" spans="1:7" x14ac:dyDescent="0.25">
      <c r="A7" s="11">
        <f t="shared" si="0"/>
        <v>44</v>
      </c>
      <c r="B7" t="str">
        <f ca="1">TEXT(DATE(YEAR(Invoer!$A$5),1,1)+INT((ROWS(B$2:B7)-1)/2),"jjjjmmdd")</f>
        <v>19270103</v>
      </c>
      <c r="C7" s="26" t="str">
        <f>INDEX(Data,2,2+MOD(ROWS(C$2:C7)-1,2))</f>
        <v>15.00</v>
      </c>
      <c r="D7" s="39">
        <f t="shared" ca="1" si="1"/>
        <v>757.5</v>
      </c>
      <c r="E7" s="31">
        <f t="shared" ca="1" si="2"/>
        <v>0</v>
      </c>
      <c r="F7" s="40">
        <f t="shared" ca="1" si="3"/>
        <v>28</v>
      </c>
      <c r="G7" s="31">
        <f t="shared" ca="1" si="4"/>
        <v>0</v>
      </c>
    </row>
    <row r="8" spans="1:7" x14ac:dyDescent="0.25">
      <c r="A8" s="11">
        <f t="shared" si="0"/>
        <v>44</v>
      </c>
      <c r="B8" t="str">
        <f ca="1">TEXT(DATE(YEAR(Invoer!$A$5),1,1)+INT((ROWS(B$2:B8)-1)/2),"jjjjmmdd")</f>
        <v>19270104</v>
      </c>
      <c r="C8" s="26" t="str">
        <f>INDEX(Data,2,2+MOD(ROWS(C$2:C8)-1,2))</f>
        <v>08.00</v>
      </c>
      <c r="D8" s="39">
        <f t="shared" ca="1" si="1"/>
        <v>758.5</v>
      </c>
      <c r="E8" s="31">
        <f t="shared" ca="1" si="2"/>
        <v>0</v>
      </c>
      <c r="F8" s="40">
        <f t="shared" ca="1" si="3"/>
        <v>27.5</v>
      </c>
      <c r="G8" s="31">
        <f t="shared" ca="1" si="4"/>
        <v>0</v>
      </c>
    </row>
    <row r="9" spans="1:7" x14ac:dyDescent="0.25">
      <c r="A9" s="11">
        <f t="shared" si="0"/>
        <v>44</v>
      </c>
      <c r="B9" t="str">
        <f ca="1">TEXT(DATE(YEAR(Invoer!$A$5),1,1)+INT((ROWS(B$2:B9)-1)/2),"jjjjmmdd")</f>
        <v>19270104</v>
      </c>
      <c r="C9" s="26" t="str">
        <f>INDEX(Data,2,2+MOD(ROWS(C$2:C9)-1,2))</f>
        <v>15.00</v>
      </c>
      <c r="D9" s="39">
        <f t="shared" ca="1" si="1"/>
        <v>757</v>
      </c>
      <c r="E9" s="31">
        <f t="shared" ca="1" si="2"/>
        <v>0</v>
      </c>
      <c r="F9" s="40">
        <f t="shared" ca="1" si="3"/>
        <v>29</v>
      </c>
      <c r="G9" s="31">
        <f t="shared" ca="1" si="4"/>
        <v>0</v>
      </c>
    </row>
    <row r="10" spans="1:7" x14ac:dyDescent="0.25">
      <c r="A10" s="11">
        <f t="shared" si="0"/>
        <v>44</v>
      </c>
      <c r="B10" t="str">
        <f ca="1">TEXT(DATE(YEAR(Invoer!$A$5),1,1)+INT((ROWS(B$2:B10)-1)/2),"jjjjmmdd")</f>
        <v>19270105</v>
      </c>
      <c r="C10" s="26" t="str">
        <f>INDEX(Data,2,2+MOD(ROWS(C$2:C10)-1,2))</f>
        <v>08.00</v>
      </c>
      <c r="D10" s="39">
        <f t="shared" ca="1" si="1"/>
        <v>758.5</v>
      </c>
      <c r="E10" s="31">
        <f t="shared" ca="1" si="2"/>
        <v>0</v>
      </c>
      <c r="F10" s="40">
        <f t="shared" ca="1" si="3"/>
        <v>27.5</v>
      </c>
      <c r="G10" s="31">
        <f t="shared" ca="1" si="4"/>
        <v>0</v>
      </c>
    </row>
    <row r="11" spans="1:7" x14ac:dyDescent="0.25">
      <c r="A11" s="11">
        <f t="shared" si="0"/>
        <v>44</v>
      </c>
      <c r="B11" t="str">
        <f ca="1">TEXT(DATE(YEAR(Invoer!$A$5),1,1)+INT((ROWS(B$2:B11)-1)/2),"jjjjmmdd")</f>
        <v>19270105</v>
      </c>
      <c r="C11" s="26" t="str">
        <f>INDEX(Data,2,2+MOD(ROWS(C$2:C11)-1,2))</f>
        <v>15.00</v>
      </c>
      <c r="D11" s="39">
        <f t="shared" ca="1" si="1"/>
        <v>757</v>
      </c>
      <c r="E11" s="31">
        <f t="shared" ca="1" si="2"/>
        <v>0</v>
      </c>
      <c r="F11" s="40">
        <f t="shared" ca="1" si="3"/>
        <v>28.5</v>
      </c>
      <c r="G11" s="31">
        <f t="shared" ca="1" si="4"/>
        <v>0</v>
      </c>
    </row>
    <row r="12" spans="1:7" x14ac:dyDescent="0.25">
      <c r="A12" s="11">
        <f t="shared" si="0"/>
        <v>44</v>
      </c>
      <c r="B12" t="str">
        <f ca="1">TEXT(DATE(YEAR(Invoer!$A$5),1,1)+INT((ROWS(B$2:B12)-1)/2),"jjjjmmdd")</f>
        <v>19270106</v>
      </c>
      <c r="C12" s="26" t="str">
        <f>INDEX(Data,2,2+MOD(ROWS(C$2:C12)-1,2))</f>
        <v>08.00</v>
      </c>
      <c r="D12" s="39">
        <f t="shared" ca="1" si="1"/>
        <v>758.5</v>
      </c>
      <c r="E12" s="31">
        <f t="shared" ca="1" si="2"/>
        <v>0</v>
      </c>
      <c r="F12" s="40">
        <f t="shared" ca="1" si="3"/>
        <v>27.5</v>
      </c>
      <c r="G12" s="31">
        <f t="shared" ca="1" si="4"/>
        <v>0</v>
      </c>
    </row>
    <row r="13" spans="1:7" x14ac:dyDescent="0.25">
      <c r="A13" s="11">
        <f t="shared" si="0"/>
        <v>44</v>
      </c>
      <c r="B13" t="str">
        <f ca="1">TEXT(DATE(YEAR(Invoer!$A$5),1,1)+INT((ROWS(B$2:B13)-1)/2),"jjjjmmdd")</f>
        <v>19270106</v>
      </c>
      <c r="C13" s="26" t="str">
        <f>INDEX(Data,2,2+MOD(ROWS(C$2:C13)-1,2))</f>
        <v>15.00</v>
      </c>
      <c r="D13" s="39">
        <f t="shared" ca="1" si="1"/>
        <v>756.5</v>
      </c>
      <c r="E13" s="31">
        <f t="shared" ca="1" si="2"/>
        <v>0</v>
      </c>
      <c r="F13" s="40">
        <f t="shared" ca="1" si="3"/>
        <v>28.5</v>
      </c>
      <c r="G13" s="31">
        <f t="shared" ca="1" si="4"/>
        <v>0</v>
      </c>
    </row>
    <row r="14" spans="1:7" x14ac:dyDescent="0.25">
      <c r="A14" s="11">
        <f t="shared" si="0"/>
        <v>44</v>
      </c>
      <c r="B14" t="str">
        <f ca="1">TEXT(DATE(YEAR(Invoer!$A$5),1,1)+INT((ROWS(B$2:B14)-1)/2),"jjjjmmdd")</f>
        <v>19270107</v>
      </c>
      <c r="C14" s="26" t="str">
        <f>INDEX(Data,2,2+MOD(ROWS(C$2:C14)-1,2))</f>
        <v>08.00</v>
      </c>
      <c r="D14" s="39">
        <f t="shared" ca="1" si="1"/>
        <v>757.5</v>
      </c>
      <c r="E14" s="31">
        <f t="shared" ca="1" si="2"/>
        <v>0</v>
      </c>
      <c r="F14" s="40">
        <f t="shared" ca="1" si="3"/>
        <v>27.5</v>
      </c>
      <c r="G14" s="31">
        <f t="shared" ca="1" si="4"/>
        <v>0</v>
      </c>
    </row>
    <row r="15" spans="1:7" x14ac:dyDescent="0.25">
      <c r="A15" s="11">
        <f t="shared" si="0"/>
        <v>44</v>
      </c>
      <c r="B15" t="str">
        <f ca="1">TEXT(DATE(YEAR(Invoer!$A$5),1,1)+INT((ROWS(B$2:B15)-1)/2),"jjjjmmdd")</f>
        <v>19270107</v>
      </c>
      <c r="C15" s="26" t="str">
        <f>INDEX(Data,2,2+MOD(ROWS(C$2:C15)-1,2))</f>
        <v>15.00</v>
      </c>
      <c r="D15" s="39">
        <f t="shared" ca="1" si="1"/>
        <v>755.5</v>
      </c>
      <c r="E15" s="31">
        <f t="shared" ca="1" si="2"/>
        <v>0</v>
      </c>
      <c r="F15" s="40">
        <f t="shared" ca="1" si="3"/>
        <v>28.5</v>
      </c>
      <c r="G15" s="31">
        <f t="shared" ca="1" si="4"/>
        <v>0</v>
      </c>
    </row>
    <row r="16" spans="1:7" x14ac:dyDescent="0.25">
      <c r="A16" s="11">
        <f t="shared" si="0"/>
        <v>44</v>
      </c>
      <c r="B16" t="str">
        <f ca="1">TEXT(DATE(YEAR(Invoer!$A$5),1,1)+INT((ROWS(B$2:B16)-1)/2),"jjjjmmdd")</f>
        <v>19270108</v>
      </c>
      <c r="C16" s="26" t="str">
        <f>INDEX(Data,2,2+MOD(ROWS(C$2:C16)-1,2))</f>
        <v>08.00</v>
      </c>
      <c r="D16" s="39">
        <f t="shared" ca="1" si="1"/>
        <v>758</v>
      </c>
      <c r="E16" s="31">
        <f t="shared" ca="1" si="2"/>
        <v>0</v>
      </c>
      <c r="F16" s="40">
        <f t="shared" ca="1" si="3"/>
        <v>27.5</v>
      </c>
      <c r="G16" s="31">
        <f t="shared" ca="1" si="4"/>
        <v>0</v>
      </c>
    </row>
    <row r="17" spans="1:7" x14ac:dyDescent="0.25">
      <c r="A17" s="11">
        <f t="shared" si="0"/>
        <v>44</v>
      </c>
      <c r="B17" t="str">
        <f ca="1">TEXT(DATE(YEAR(Invoer!$A$5),1,1)+INT((ROWS(B$2:B17)-1)/2),"jjjjmmdd")</f>
        <v>19270108</v>
      </c>
      <c r="C17" s="26" t="str">
        <f>INDEX(Data,2,2+MOD(ROWS(C$2:C17)-1,2))</f>
        <v>15.00</v>
      </c>
      <c r="D17" s="39">
        <f t="shared" ca="1" si="1"/>
        <v>754.5</v>
      </c>
      <c r="E17" s="31">
        <f t="shared" ca="1" si="2"/>
        <v>0</v>
      </c>
      <c r="F17" s="40">
        <f t="shared" ca="1" si="3"/>
        <v>28.5</v>
      </c>
      <c r="G17" s="31">
        <f t="shared" ca="1" si="4"/>
        <v>0</v>
      </c>
    </row>
    <row r="18" spans="1:7" x14ac:dyDescent="0.25">
      <c r="A18" s="11">
        <f t="shared" si="0"/>
        <v>44</v>
      </c>
      <c r="B18" t="str">
        <f ca="1">TEXT(DATE(YEAR(Invoer!$A$5),1,1)+INT((ROWS(B$2:B18)-1)/2),"jjjjmmdd")</f>
        <v>19270109</v>
      </c>
      <c r="C18" s="26" t="str">
        <f>INDEX(Data,2,2+MOD(ROWS(C$2:C18)-1,2))</f>
        <v>08.00</v>
      </c>
      <c r="D18" s="39">
        <f t="shared" ca="1" si="1"/>
        <v>758</v>
      </c>
      <c r="E18" s="31">
        <f t="shared" ca="1" si="2"/>
        <v>0</v>
      </c>
      <c r="F18" s="40">
        <f t="shared" ca="1" si="3"/>
        <v>27.5</v>
      </c>
      <c r="G18" s="31">
        <f t="shared" ca="1" si="4"/>
        <v>0</v>
      </c>
    </row>
    <row r="19" spans="1:7" x14ac:dyDescent="0.25">
      <c r="A19" s="11">
        <f t="shared" si="0"/>
        <v>44</v>
      </c>
      <c r="B19" t="str">
        <f ca="1">TEXT(DATE(YEAR(Invoer!$A$5),1,1)+INT((ROWS(B$2:B19)-1)/2),"jjjjmmdd")</f>
        <v>19270109</v>
      </c>
      <c r="C19" s="26" t="str">
        <f>INDEX(Data,2,2+MOD(ROWS(C$2:C19)-1,2))</f>
        <v>15.00</v>
      </c>
      <c r="D19" s="39">
        <f t="shared" ca="1" si="1"/>
        <v>755</v>
      </c>
      <c r="E19" s="31">
        <f t="shared" ca="1" si="2"/>
        <v>0</v>
      </c>
      <c r="F19" s="40">
        <f t="shared" ca="1" si="3"/>
        <v>28.5</v>
      </c>
      <c r="G19" s="31">
        <f t="shared" ca="1" si="4"/>
        <v>0</v>
      </c>
    </row>
    <row r="20" spans="1:7" x14ac:dyDescent="0.25">
      <c r="A20" s="11">
        <f t="shared" si="0"/>
        <v>44</v>
      </c>
      <c r="B20" t="str">
        <f ca="1">TEXT(DATE(YEAR(Invoer!$A$5),1,1)+INT((ROWS(B$2:B20)-1)/2),"jjjjmmdd")</f>
        <v>19270110</v>
      </c>
      <c r="C20" s="26" t="str">
        <f>INDEX(Data,2,2+MOD(ROWS(C$2:C20)-1,2))</f>
        <v>08.00</v>
      </c>
      <c r="D20" s="39">
        <f t="shared" ca="1" si="1"/>
        <v>758</v>
      </c>
      <c r="E20" s="31">
        <f t="shared" ca="1" si="2"/>
        <v>0</v>
      </c>
      <c r="F20" s="40">
        <f t="shared" ca="1" si="3"/>
        <v>27.5</v>
      </c>
      <c r="G20" s="31">
        <f t="shared" ca="1" si="4"/>
        <v>0</v>
      </c>
    </row>
    <row r="21" spans="1:7" x14ac:dyDescent="0.25">
      <c r="A21" s="11">
        <f t="shared" si="0"/>
        <v>44</v>
      </c>
      <c r="B21" t="str">
        <f ca="1">TEXT(DATE(YEAR(Invoer!$A$5),1,1)+INT((ROWS(B$2:B21)-1)/2),"jjjjmmdd")</f>
        <v>19270110</v>
      </c>
      <c r="C21" s="26" t="str">
        <f>INDEX(Data,2,2+MOD(ROWS(C$2:C21)-1,2))</f>
        <v>15.00</v>
      </c>
      <c r="D21" s="39">
        <f t="shared" ca="1" si="1"/>
        <v>755</v>
      </c>
      <c r="E21" s="31">
        <f t="shared" ca="1" si="2"/>
        <v>0</v>
      </c>
      <c r="F21" s="40">
        <f t="shared" ca="1" si="3"/>
        <v>29</v>
      </c>
      <c r="G21" s="31">
        <f t="shared" ca="1" si="4"/>
        <v>0</v>
      </c>
    </row>
    <row r="22" spans="1:7" x14ac:dyDescent="0.25">
      <c r="A22" s="11">
        <f t="shared" si="0"/>
        <v>44</v>
      </c>
      <c r="B22" t="str">
        <f ca="1">TEXT(DATE(YEAR(Invoer!$A$5),1,1)+INT((ROWS(B$2:B22)-1)/2),"jjjjmmdd")</f>
        <v>19270111</v>
      </c>
      <c r="C22" s="26" t="str">
        <f>INDEX(Data,2,2+MOD(ROWS(C$2:C22)-1,2))</f>
        <v>08.00</v>
      </c>
      <c r="D22" s="39">
        <f t="shared" ca="1" si="1"/>
        <v>757.5</v>
      </c>
      <c r="E22" s="31">
        <f t="shared" ca="1" si="2"/>
        <v>0</v>
      </c>
      <c r="F22" s="40">
        <f t="shared" ca="1" si="3"/>
        <v>28</v>
      </c>
      <c r="G22" s="31">
        <f t="shared" ca="1" si="4"/>
        <v>0</v>
      </c>
    </row>
    <row r="23" spans="1:7" x14ac:dyDescent="0.25">
      <c r="A23" s="11">
        <f t="shared" si="0"/>
        <v>44</v>
      </c>
      <c r="B23" t="str">
        <f ca="1">TEXT(DATE(YEAR(Invoer!$A$5),1,1)+INT((ROWS(B$2:B23)-1)/2),"jjjjmmdd")</f>
        <v>19270111</v>
      </c>
      <c r="C23" s="26" t="str">
        <f>INDEX(Data,2,2+MOD(ROWS(C$2:C23)-1,2))</f>
        <v>15.00</v>
      </c>
      <c r="D23" s="39">
        <f t="shared" ca="1" si="1"/>
        <v>755</v>
      </c>
      <c r="E23" s="31">
        <f t="shared" ca="1" si="2"/>
        <v>0</v>
      </c>
      <c r="F23" s="40">
        <f t="shared" ca="1" si="3"/>
        <v>29</v>
      </c>
      <c r="G23" s="31">
        <f t="shared" ca="1" si="4"/>
        <v>0</v>
      </c>
    </row>
    <row r="24" spans="1:7" x14ac:dyDescent="0.25">
      <c r="A24" s="11">
        <f t="shared" si="0"/>
        <v>44</v>
      </c>
      <c r="B24" t="str">
        <f ca="1">TEXT(DATE(YEAR(Invoer!$A$5),1,1)+INT((ROWS(B$2:B24)-1)/2),"jjjjmmdd")</f>
        <v>19270112</v>
      </c>
      <c r="C24" s="26" t="str">
        <f>INDEX(Data,2,2+MOD(ROWS(C$2:C24)-1,2))</f>
        <v>08.00</v>
      </c>
      <c r="D24" s="39">
        <f t="shared" ca="1" si="1"/>
        <v>758</v>
      </c>
      <c r="E24" s="31">
        <f t="shared" ca="1" si="2"/>
        <v>0</v>
      </c>
      <c r="F24" s="40">
        <f t="shared" ca="1" si="3"/>
        <v>28</v>
      </c>
      <c r="G24" s="31">
        <f t="shared" ca="1" si="4"/>
        <v>0</v>
      </c>
    </row>
    <row r="25" spans="1:7" x14ac:dyDescent="0.25">
      <c r="A25" s="11">
        <f t="shared" si="0"/>
        <v>44</v>
      </c>
      <c r="B25" t="str">
        <f ca="1">TEXT(DATE(YEAR(Invoer!$A$5),1,1)+INT((ROWS(B$2:B25)-1)/2),"jjjjmmdd")</f>
        <v>19270112</v>
      </c>
      <c r="C25" s="26" t="str">
        <f>INDEX(Data,2,2+MOD(ROWS(C$2:C25)-1,2))</f>
        <v>15.00</v>
      </c>
      <c r="D25" s="39">
        <f t="shared" ca="1" si="1"/>
        <v>756</v>
      </c>
      <c r="E25" s="31">
        <f t="shared" ca="1" si="2"/>
        <v>0</v>
      </c>
      <c r="F25" s="40">
        <f t="shared" ca="1" si="3"/>
        <v>29</v>
      </c>
      <c r="G25" s="31">
        <f t="shared" ca="1" si="4"/>
        <v>0</v>
      </c>
    </row>
    <row r="26" spans="1:7" x14ac:dyDescent="0.25">
      <c r="A26" s="11">
        <f t="shared" si="0"/>
        <v>44</v>
      </c>
      <c r="B26" t="str">
        <f ca="1">TEXT(DATE(YEAR(Invoer!$A$5),1,1)+INT((ROWS(B$2:B26)-1)/2),"jjjjmmdd")</f>
        <v>19270113</v>
      </c>
      <c r="C26" s="26" t="str">
        <f>INDEX(Data,2,2+MOD(ROWS(C$2:C26)-1,2))</f>
        <v>08.00</v>
      </c>
      <c r="D26" s="39">
        <f t="shared" ca="1" si="1"/>
        <v>758.5</v>
      </c>
      <c r="E26" s="31">
        <f t="shared" ca="1" si="2"/>
        <v>0</v>
      </c>
      <c r="F26" s="40">
        <f t="shared" ca="1" si="3"/>
        <v>27.5</v>
      </c>
      <c r="G26" s="31">
        <f t="shared" ca="1" si="4"/>
        <v>0</v>
      </c>
    </row>
    <row r="27" spans="1:7" x14ac:dyDescent="0.25">
      <c r="A27" s="11">
        <f t="shared" si="0"/>
        <v>44</v>
      </c>
      <c r="B27" t="str">
        <f ca="1">TEXT(DATE(YEAR(Invoer!$A$5),1,1)+INT((ROWS(B$2:B27)-1)/2),"jjjjmmdd")</f>
        <v>19270113</v>
      </c>
      <c r="C27" s="26" t="str">
        <f>INDEX(Data,2,2+MOD(ROWS(C$2:C27)-1,2))</f>
        <v>15.00</v>
      </c>
      <c r="D27" s="39">
        <f t="shared" ca="1" si="1"/>
        <v>755.5</v>
      </c>
      <c r="E27" s="31">
        <f t="shared" ca="1" si="2"/>
        <v>0</v>
      </c>
      <c r="F27" s="40">
        <f t="shared" ca="1" si="3"/>
        <v>28.5</v>
      </c>
      <c r="G27" s="31">
        <f t="shared" ca="1" si="4"/>
        <v>0</v>
      </c>
    </row>
    <row r="28" spans="1:7" x14ac:dyDescent="0.25">
      <c r="A28" s="11">
        <f t="shared" si="0"/>
        <v>44</v>
      </c>
      <c r="B28" t="str">
        <f ca="1">TEXT(DATE(YEAR(Invoer!$A$5),1,1)+INT((ROWS(B$2:B28)-1)/2),"jjjjmmdd")</f>
        <v>19270114</v>
      </c>
      <c r="C28" s="26" t="str">
        <f>INDEX(Data,2,2+MOD(ROWS(C$2:C28)-1,2))</f>
        <v>08.00</v>
      </c>
      <c r="D28" s="39">
        <f t="shared" ca="1" si="1"/>
        <v>757</v>
      </c>
      <c r="E28" s="31">
        <f t="shared" ca="1" si="2"/>
        <v>0</v>
      </c>
      <c r="F28" s="40">
        <f t="shared" ca="1" si="3"/>
        <v>28</v>
      </c>
      <c r="G28" s="31">
        <f t="shared" ca="1" si="4"/>
        <v>0</v>
      </c>
    </row>
    <row r="29" spans="1:7" x14ac:dyDescent="0.25">
      <c r="A29" s="11">
        <f t="shared" si="0"/>
        <v>44</v>
      </c>
      <c r="B29" t="str">
        <f ca="1">TEXT(DATE(YEAR(Invoer!$A$5),1,1)+INT((ROWS(B$2:B29)-1)/2),"jjjjmmdd")</f>
        <v>19270114</v>
      </c>
      <c r="C29" s="26" t="str">
        <f>INDEX(Data,2,2+MOD(ROWS(C$2:C29)-1,2))</f>
        <v>15.00</v>
      </c>
      <c r="D29" s="39">
        <f t="shared" ca="1" si="1"/>
        <v>754.5</v>
      </c>
      <c r="E29" s="31">
        <f t="shared" ca="1" si="2"/>
        <v>0</v>
      </c>
      <c r="F29" s="40">
        <f t="shared" ca="1" si="3"/>
        <v>29</v>
      </c>
      <c r="G29" s="31">
        <f t="shared" ca="1" si="4"/>
        <v>0</v>
      </c>
    </row>
    <row r="30" spans="1:7" x14ac:dyDescent="0.25">
      <c r="A30" s="11">
        <f t="shared" si="0"/>
        <v>44</v>
      </c>
      <c r="B30" t="str">
        <f ca="1">TEXT(DATE(YEAR(Invoer!$A$5),1,1)+INT((ROWS(B$2:B30)-1)/2),"jjjjmmdd")</f>
        <v>19270115</v>
      </c>
      <c r="C30" s="26" t="str">
        <f>INDEX(Data,2,2+MOD(ROWS(C$2:C30)-1,2))</f>
        <v>08.00</v>
      </c>
      <c r="D30" s="39">
        <f t="shared" ca="1" si="1"/>
        <v>755</v>
      </c>
      <c r="E30" s="31">
        <f t="shared" ca="1" si="2"/>
        <v>0</v>
      </c>
      <c r="F30" s="40">
        <f t="shared" ca="1" si="3"/>
        <v>27</v>
      </c>
      <c r="G30" s="31">
        <f t="shared" ca="1" si="4"/>
        <v>0</v>
      </c>
    </row>
    <row r="31" spans="1:7" x14ac:dyDescent="0.25">
      <c r="A31" s="11">
        <f t="shared" si="0"/>
        <v>44</v>
      </c>
      <c r="B31" t="str">
        <f ca="1">TEXT(DATE(YEAR(Invoer!$A$5),1,1)+INT((ROWS(B$2:B31)-1)/2),"jjjjmmdd")</f>
        <v>19270115</v>
      </c>
      <c r="C31" s="26" t="str">
        <f>INDEX(Data,2,2+MOD(ROWS(C$2:C31)-1,2))</f>
        <v>15.00</v>
      </c>
      <c r="D31" s="39">
        <f t="shared" ca="1" si="1"/>
        <v>755</v>
      </c>
      <c r="E31" s="31">
        <f t="shared" ca="1" si="2"/>
        <v>0</v>
      </c>
      <c r="F31" s="40">
        <f t="shared" ca="1" si="3"/>
        <v>28</v>
      </c>
      <c r="G31" s="31">
        <f t="shared" ca="1" si="4"/>
        <v>0</v>
      </c>
    </row>
    <row r="32" spans="1:7" x14ac:dyDescent="0.25">
      <c r="A32" s="11">
        <f t="shared" si="0"/>
        <v>44</v>
      </c>
      <c r="B32" t="str">
        <f ca="1">TEXT(DATE(YEAR(Invoer!$A$5),1,1)+INT((ROWS(B$2:B32)-1)/2),"jjjjmmdd")</f>
        <v>19270116</v>
      </c>
      <c r="C32" s="26" t="str">
        <f>INDEX(Data,2,2+MOD(ROWS(C$2:C32)-1,2))</f>
        <v>08.00</v>
      </c>
      <c r="D32" s="39">
        <f t="shared" ca="1" si="1"/>
        <v>756</v>
      </c>
      <c r="E32" s="31">
        <f t="shared" ca="1" si="2"/>
        <v>0</v>
      </c>
      <c r="F32" s="40">
        <f t="shared" ca="1" si="3"/>
        <v>27</v>
      </c>
      <c r="G32" s="31">
        <f t="shared" ca="1" si="4"/>
        <v>0</v>
      </c>
    </row>
    <row r="33" spans="1:7" x14ac:dyDescent="0.25">
      <c r="A33" s="11">
        <f t="shared" si="0"/>
        <v>44</v>
      </c>
      <c r="B33" t="str">
        <f ca="1">TEXT(DATE(YEAR(Invoer!$A$5),1,1)+INT((ROWS(B$2:B33)-1)/2),"jjjjmmdd")</f>
        <v>19270116</v>
      </c>
      <c r="C33" s="26" t="str">
        <f>INDEX(Data,2,2+MOD(ROWS(C$2:C33)-1,2))</f>
        <v>15.00</v>
      </c>
      <c r="D33" s="39">
        <f t="shared" ca="1" si="1"/>
        <v>755.5</v>
      </c>
      <c r="E33" s="31">
        <f t="shared" ca="1" si="2"/>
        <v>0</v>
      </c>
      <c r="F33" s="40">
        <f t="shared" ca="1" si="3"/>
        <v>28</v>
      </c>
      <c r="G33" s="31">
        <f t="shared" ca="1" si="4"/>
        <v>0</v>
      </c>
    </row>
    <row r="34" spans="1:7" x14ac:dyDescent="0.25">
      <c r="A34" s="11">
        <f t="shared" si="0"/>
        <v>44</v>
      </c>
      <c r="B34" t="str">
        <f ca="1">TEXT(DATE(YEAR(Invoer!$A$5),1,1)+INT((ROWS(B$2:B34)-1)/2),"jjjjmmdd")</f>
        <v>19270117</v>
      </c>
      <c r="C34" s="26" t="str">
        <f>INDEX(Data,2,2+MOD(ROWS(C$2:C34)-1,2))</f>
        <v>08.00</v>
      </c>
      <c r="D34" s="39">
        <f t="shared" ca="1" si="1"/>
        <v>757.5</v>
      </c>
      <c r="E34" s="31">
        <f t="shared" ca="1" si="2"/>
        <v>0</v>
      </c>
      <c r="F34" s="40">
        <f t="shared" ca="1" si="3"/>
        <v>27.5</v>
      </c>
      <c r="G34" s="31">
        <f t="shared" ca="1" si="4"/>
        <v>0</v>
      </c>
    </row>
    <row r="35" spans="1:7" x14ac:dyDescent="0.25">
      <c r="A35" s="11">
        <f t="shared" si="0"/>
        <v>44</v>
      </c>
      <c r="B35" t="str">
        <f ca="1">TEXT(DATE(YEAR(Invoer!$A$5),1,1)+INT((ROWS(B$2:B35)-1)/2),"jjjjmmdd")</f>
        <v>19270117</v>
      </c>
      <c r="C35" s="26" t="str">
        <f>INDEX(Data,2,2+MOD(ROWS(C$2:C35)-1,2))</f>
        <v>15.00</v>
      </c>
      <c r="D35" s="39">
        <f t="shared" ca="1" si="1"/>
        <v>756</v>
      </c>
      <c r="E35" s="31">
        <f t="shared" ca="1" si="2"/>
        <v>0</v>
      </c>
      <c r="F35" s="40">
        <f t="shared" ca="1" si="3"/>
        <v>28.5</v>
      </c>
      <c r="G35" s="31">
        <f t="shared" ca="1" si="4"/>
        <v>0</v>
      </c>
    </row>
    <row r="36" spans="1:7" x14ac:dyDescent="0.25">
      <c r="A36" s="11">
        <f t="shared" si="0"/>
        <v>44</v>
      </c>
      <c r="B36" t="str">
        <f ca="1">TEXT(DATE(YEAR(Invoer!$A$5),1,1)+INT((ROWS(B$2:B36)-1)/2),"jjjjmmdd")</f>
        <v>19270118</v>
      </c>
      <c r="C36" s="26" t="str">
        <f>INDEX(Data,2,2+MOD(ROWS(C$2:C36)-1,2))</f>
        <v>08.00</v>
      </c>
      <c r="D36" s="39">
        <f t="shared" ca="1" si="1"/>
        <v>757.5</v>
      </c>
      <c r="E36" s="31">
        <f t="shared" ca="1" si="2"/>
        <v>0</v>
      </c>
      <c r="F36" s="40">
        <f t="shared" ca="1" si="3"/>
        <v>27.5</v>
      </c>
      <c r="G36" s="31">
        <f t="shared" ca="1" si="4"/>
        <v>0</v>
      </c>
    </row>
    <row r="37" spans="1:7" x14ac:dyDescent="0.25">
      <c r="A37" s="11">
        <f t="shared" si="0"/>
        <v>44</v>
      </c>
      <c r="B37" t="str">
        <f ca="1">TEXT(DATE(YEAR(Invoer!$A$5),1,1)+INT((ROWS(B$2:B37)-1)/2),"jjjjmmdd")</f>
        <v>19270118</v>
      </c>
      <c r="C37" s="26" t="str">
        <f>INDEX(Data,2,2+MOD(ROWS(C$2:C37)-1,2))</f>
        <v>15.00</v>
      </c>
      <c r="D37" s="39">
        <f t="shared" ca="1" si="1"/>
        <v>755.5</v>
      </c>
      <c r="E37" s="31">
        <f t="shared" ca="1" si="2"/>
        <v>0</v>
      </c>
      <c r="F37" s="40">
        <f t="shared" ca="1" si="3"/>
        <v>28.5</v>
      </c>
      <c r="G37" s="31">
        <f t="shared" ca="1" si="4"/>
        <v>0</v>
      </c>
    </row>
    <row r="38" spans="1:7" x14ac:dyDescent="0.25">
      <c r="A38" s="11">
        <f t="shared" si="0"/>
        <v>44</v>
      </c>
      <c r="B38" t="str">
        <f ca="1">TEXT(DATE(YEAR(Invoer!$A$5),1,1)+INT((ROWS(B$2:B38)-1)/2),"jjjjmmdd")</f>
        <v>19270119</v>
      </c>
      <c r="C38" s="26" t="str">
        <f>INDEX(Data,2,2+MOD(ROWS(C$2:C38)-1,2))</f>
        <v>08.00</v>
      </c>
      <c r="D38" s="39">
        <f t="shared" ca="1" si="1"/>
        <v>757.5</v>
      </c>
      <c r="E38" s="31">
        <f t="shared" ca="1" si="2"/>
        <v>0</v>
      </c>
      <c r="F38" s="40">
        <f t="shared" ca="1" si="3"/>
        <v>27.5</v>
      </c>
      <c r="G38" s="31">
        <f t="shared" ca="1" si="4"/>
        <v>0</v>
      </c>
    </row>
    <row r="39" spans="1:7" x14ac:dyDescent="0.25">
      <c r="A39" s="11">
        <f t="shared" si="0"/>
        <v>44</v>
      </c>
      <c r="B39" t="str">
        <f ca="1">TEXT(DATE(YEAR(Invoer!$A$5),1,1)+INT((ROWS(B$2:B39)-1)/2),"jjjjmmdd")</f>
        <v>19270119</v>
      </c>
      <c r="C39" s="26" t="str">
        <f>INDEX(Data,2,2+MOD(ROWS(C$2:C39)-1,2))</f>
        <v>15.00</v>
      </c>
      <c r="D39" s="39">
        <f t="shared" ca="1" si="1"/>
        <v>755.5</v>
      </c>
      <c r="E39" s="31">
        <f t="shared" ca="1" si="2"/>
        <v>0</v>
      </c>
      <c r="F39" s="40">
        <f t="shared" ca="1" si="3"/>
        <v>28.5</v>
      </c>
      <c r="G39" s="31">
        <f t="shared" ca="1" si="4"/>
        <v>0</v>
      </c>
    </row>
    <row r="40" spans="1:7" x14ac:dyDescent="0.25">
      <c r="A40" s="11">
        <f t="shared" si="0"/>
        <v>44</v>
      </c>
      <c r="B40" t="str">
        <f ca="1">TEXT(DATE(YEAR(Invoer!$A$5),1,1)+INT((ROWS(B$2:B40)-1)/2),"jjjjmmdd")</f>
        <v>19270120</v>
      </c>
      <c r="C40" s="26" t="str">
        <f>INDEX(Data,2,2+MOD(ROWS(C$2:C40)-1,2))</f>
        <v>08.00</v>
      </c>
      <c r="D40" s="39">
        <f t="shared" ca="1" si="1"/>
        <v>757.5</v>
      </c>
      <c r="E40" s="31">
        <f t="shared" ca="1" si="2"/>
        <v>0</v>
      </c>
      <c r="F40" s="40">
        <f t="shared" ca="1" si="3"/>
        <v>28</v>
      </c>
      <c r="G40" s="31">
        <f t="shared" ca="1" si="4"/>
        <v>0</v>
      </c>
    </row>
    <row r="41" spans="1:7" x14ac:dyDescent="0.25">
      <c r="A41" s="11">
        <f t="shared" si="0"/>
        <v>44</v>
      </c>
      <c r="B41" t="str">
        <f ca="1">TEXT(DATE(YEAR(Invoer!$A$5),1,1)+INT((ROWS(B$2:B41)-1)/2),"jjjjmmdd")</f>
        <v>19270120</v>
      </c>
      <c r="C41" s="26" t="str">
        <f>INDEX(Data,2,2+MOD(ROWS(C$2:C41)-1,2))</f>
        <v>15.00</v>
      </c>
      <c r="D41" s="39">
        <f t="shared" ca="1" si="1"/>
        <v>756</v>
      </c>
      <c r="E41" s="31">
        <f t="shared" ca="1" si="2"/>
        <v>0</v>
      </c>
      <c r="F41" s="40">
        <f t="shared" ca="1" si="3"/>
        <v>27</v>
      </c>
      <c r="G41" s="31">
        <f t="shared" ca="1" si="4"/>
        <v>0</v>
      </c>
    </row>
    <row r="42" spans="1:7" x14ac:dyDescent="0.25">
      <c r="A42" s="11">
        <f t="shared" si="0"/>
        <v>44</v>
      </c>
      <c r="B42" t="str">
        <f ca="1">TEXT(DATE(YEAR(Invoer!$A$5),1,1)+INT((ROWS(B$2:B42)-1)/2),"jjjjmmdd")</f>
        <v>19270121</v>
      </c>
      <c r="C42" s="26" t="str">
        <f>INDEX(Data,2,2+MOD(ROWS(C$2:C42)-1,2))</f>
        <v>08.00</v>
      </c>
      <c r="D42" s="39">
        <f t="shared" ca="1" si="1"/>
        <v>757.5</v>
      </c>
      <c r="E42" s="31">
        <f t="shared" ca="1" si="2"/>
        <v>0</v>
      </c>
      <c r="F42" s="40">
        <f t="shared" ca="1" si="3"/>
        <v>27</v>
      </c>
      <c r="G42" s="31">
        <f t="shared" ca="1" si="4"/>
        <v>0</v>
      </c>
    </row>
    <row r="43" spans="1:7" x14ac:dyDescent="0.25">
      <c r="A43" s="11">
        <f t="shared" si="0"/>
        <v>44</v>
      </c>
      <c r="B43" t="str">
        <f ca="1">TEXT(DATE(YEAR(Invoer!$A$5),1,1)+INT((ROWS(B$2:B43)-1)/2),"jjjjmmdd")</f>
        <v>19270121</v>
      </c>
      <c r="C43" s="26" t="str">
        <f>INDEX(Data,2,2+MOD(ROWS(C$2:C43)-1,2))</f>
        <v>15.00</v>
      </c>
      <c r="D43" s="39">
        <f t="shared" ca="1" si="1"/>
        <v>756</v>
      </c>
      <c r="E43" s="31">
        <f t="shared" ca="1" si="2"/>
        <v>0</v>
      </c>
      <c r="F43" s="40">
        <f t="shared" ca="1" si="3"/>
        <v>28</v>
      </c>
      <c r="G43" s="31">
        <f t="shared" ca="1" si="4"/>
        <v>0</v>
      </c>
    </row>
    <row r="44" spans="1:7" x14ac:dyDescent="0.25">
      <c r="A44" s="11">
        <f t="shared" si="0"/>
        <v>44</v>
      </c>
      <c r="B44" t="str">
        <f ca="1">TEXT(DATE(YEAR(Invoer!$A$5),1,1)+INT((ROWS(B$2:B44)-1)/2),"jjjjmmdd")</f>
        <v>19270122</v>
      </c>
      <c r="C44" s="26" t="str">
        <f>INDEX(Data,2,2+MOD(ROWS(C$2:C44)-1,2))</f>
        <v>08.00</v>
      </c>
      <c r="D44" s="39">
        <f t="shared" ca="1" si="1"/>
        <v>758.5</v>
      </c>
      <c r="E44" s="31">
        <f t="shared" ca="1" si="2"/>
        <v>0</v>
      </c>
      <c r="F44" s="40">
        <f t="shared" ca="1" si="3"/>
        <v>27</v>
      </c>
      <c r="G44" s="31">
        <f t="shared" ca="1" si="4"/>
        <v>0</v>
      </c>
    </row>
    <row r="45" spans="1:7" x14ac:dyDescent="0.25">
      <c r="A45" s="11">
        <f t="shared" si="0"/>
        <v>44</v>
      </c>
      <c r="B45" t="str">
        <f ca="1">TEXT(DATE(YEAR(Invoer!$A$5),1,1)+INT((ROWS(B$2:B45)-1)/2),"jjjjmmdd")</f>
        <v>19270122</v>
      </c>
      <c r="C45" s="26" t="str">
        <f>INDEX(Data,2,2+MOD(ROWS(C$2:C45)-1,2))</f>
        <v>15.00</v>
      </c>
      <c r="D45" s="39">
        <f t="shared" ca="1" si="1"/>
        <v>756</v>
      </c>
      <c r="E45" s="31">
        <f t="shared" ca="1" si="2"/>
        <v>0</v>
      </c>
      <c r="F45" s="40">
        <f t="shared" ca="1" si="3"/>
        <v>28</v>
      </c>
      <c r="G45" s="31">
        <f t="shared" ca="1" si="4"/>
        <v>0</v>
      </c>
    </row>
    <row r="46" spans="1:7" x14ac:dyDescent="0.25">
      <c r="A46" s="11">
        <f t="shared" si="0"/>
        <v>44</v>
      </c>
      <c r="B46" t="str">
        <f ca="1">TEXT(DATE(YEAR(Invoer!$A$5),1,1)+INT((ROWS(B$2:B46)-1)/2),"jjjjmmdd")</f>
        <v>19270123</v>
      </c>
      <c r="C46" s="26" t="str">
        <f>INDEX(Data,2,2+MOD(ROWS(C$2:C46)-1,2))</f>
        <v>08.00</v>
      </c>
      <c r="D46" s="39">
        <f t="shared" ca="1" si="1"/>
        <v>758.5</v>
      </c>
      <c r="E46" s="31">
        <f t="shared" ca="1" si="2"/>
        <v>0</v>
      </c>
      <c r="F46" s="40">
        <f t="shared" ca="1" si="3"/>
        <v>27</v>
      </c>
      <c r="G46" s="31">
        <f t="shared" ca="1" si="4"/>
        <v>0</v>
      </c>
    </row>
    <row r="47" spans="1:7" x14ac:dyDescent="0.25">
      <c r="A47" s="11">
        <f t="shared" si="0"/>
        <v>44</v>
      </c>
      <c r="B47" t="str">
        <f ca="1">TEXT(DATE(YEAR(Invoer!$A$5),1,1)+INT((ROWS(B$2:B47)-1)/2),"jjjjmmdd")</f>
        <v>19270123</v>
      </c>
      <c r="C47" s="26" t="str">
        <f>INDEX(Data,2,2+MOD(ROWS(C$2:C47)-1,2))</f>
        <v>15.00</v>
      </c>
      <c r="D47" s="39">
        <f t="shared" ca="1" si="1"/>
        <v>756</v>
      </c>
      <c r="E47" s="31">
        <f t="shared" ca="1" si="2"/>
        <v>0</v>
      </c>
      <c r="F47" s="40">
        <f t="shared" ca="1" si="3"/>
        <v>28</v>
      </c>
      <c r="G47" s="31">
        <f t="shared" ca="1" si="4"/>
        <v>0</v>
      </c>
    </row>
    <row r="48" spans="1:7" x14ac:dyDescent="0.25">
      <c r="A48" s="11">
        <f t="shared" si="0"/>
        <v>44</v>
      </c>
      <c r="B48" t="str">
        <f ca="1">TEXT(DATE(YEAR(Invoer!$A$5),1,1)+INT((ROWS(B$2:B48)-1)/2),"jjjjmmdd")</f>
        <v>19270124</v>
      </c>
      <c r="C48" s="26" t="str">
        <f>INDEX(Data,2,2+MOD(ROWS(C$2:C48)-1,2))</f>
        <v>08.00</v>
      </c>
      <c r="D48" s="39">
        <f t="shared" ca="1" si="1"/>
        <v>758</v>
      </c>
      <c r="E48" s="31">
        <f t="shared" ca="1" si="2"/>
        <v>0</v>
      </c>
      <c r="F48" s="40">
        <f t="shared" ca="1" si="3"/>
        <v>27</v>
      </c>
      <c r="G48" s="31">
        <f t="shared" ca="1" si="4"/>
        <v>0</v>
      </c>
    </row>
    <row r="49" spans="1:7" x14ac:dyDescent="0.25">
      <c r="A49" s="11">
        <f t="shared" si="0"/>
        <v>44</v>
      </c>
      <c r="B49" t="str">
        <f ca="1">TEXT(DATE(YEAR(Invoer!$A$5),1,1)+INT((ROWS(B$2:B49)-1)/2),"jjjjmmdd")</f>
        <v>19270124</v>
      </c>
      <c r="C49" s="26" t="str">
        <f>INDEX(Data,2,2+MOD(ROWS(C$2:C49)-1,2))</f>
        <v>15.00</v>
      </c>
      <c r="D49" s="39">
        <f t="shared" ca="1" si="1"/>
        <v>756.5</v>
      </c>
      <c r="E49" s="31">
        <f t="shared" ca="1" si="2"/>
        <v>0</v>
      </c>
      <c r="F49" s="40">
        <f t="shared" ca="1" si="3"/>
        <v>28</v>
      </c>
      <c r="G49" s="31">
        <f t="shared" ca="1" si="4"/>
        <v>0</v>
      </c>
    </row>
    <row r="50" spans="1:7" x14ac:dyDescent="0.25">
      <c r="A50" s="11">
        <f t="shared" si="0"/>
        <v>44</v>
      </c>
      <c r="B50" t="str">
        <f ca="1">TEXT(DATE(YEAR(Invoer!$A$5),1,1)+INT((ROWS(B$2:B50)-1)/2),"jjjjmmdd")</f>
        <v>19270125</v>
      </c>
      <c r="C50" s="26" t="str">
        <f>INDEX(Data,2,2+MOD(ROWS(C$2:C50)-1,2))</f>
        <v>08.00</v>
      </c>
      <c r="D50" s="39">
        <f t="shared" ca="1" si="1"/>
        <v>758</v>
      </c>
      <c r="E50" s="31">
        <f t="shared" ca="1" si="2"/>
        <v>0</v>
      </c>
      <c r="F50" s="40">
        <f t="shared" ca="1" si="3"/>
        <v>27</v>
      </c>
      <c r="G50" s="31">
        <f t="shared" ca="1" si="4"/>
        <v>0</v>
      </c>
    </row>
    <row r="51" spans="1:7" x14ac:dyDescent="0.25">
      <c r="A51" s="11">
        <f t="shared" si="0"/>
        <v>44</v>
      </c>
      <c r="B51" t="str">
        <f ca="1">TEXT(DATE(YEAR(Invoer!$A$5),1,1)+INT((ROWS(B$2:B51)-1)/2),"jjjjmmdd")</f>
        <v>19270125</v>
      </c>
      <c r="C51" s="26" t="str">
        <f>INDEX(Data,2,2+MOD(ROWS(C$2:C51)-1,2))</f>
        <v>15.00</v>
      </c>
      <c r="D51" s="39">
        <f t="shared" ca="1" si="1"/>
        <v>756</v>
      </c>
      <c r="E51" s="31">
        <f t="shared" ca="1" si="2"/>
        <v>0</v>
      </c>
      <c r="F51" s="40">
        <f t="shared" ca="1" si="3"/>
        <v>28</v>
      </c>
      <c r="G51" s="31">
        <f t="shared" ca="1" si="4"/>
        <v>0</v>
      </c>
    </row>
    <row r="52" spans="1:7" x14ac:dyDescent="0.25">
      <c r="A52" s="11">
        <f t="shared" si="0"/>
        <v>44</v>
      </c>
      <c r="B52" t="str">
        <f ca="1">TEXT(DATE(YEAR(Invoer!$A$5),1,1)+INT((ROWS(B$2:B52)-1)/2),"jjjjmmdd")</f>
        <v>19270126</v>
      </c>
      <c r="C52" s="26" t="str">
        <f>INDEX(Data,2,2+MOD(ROWS(C$2:C52)-1,2))</f>
        <v>08.00</v>
      </c>
      <c r="D52" s="39">
        <f t="shared" ca="1" si="1"/>
        <v>758.5</v>
      </c>
      <c r="E52" s="31">
        <f t="shared" ca="1" si="2"/>
        <v>0</v>
      </c>
      <c r="F52" s="40">
        <f t="shared" ca="1" si="3"/>
        <v>26.5</v>
      </c>
      <c r="G52" s="31">
        <f t="shared" ca="1" si="4"/>
        <v>0</v>
      </c>
    </row>
    <row r="53" spans="1:7" x14ac:dyDescent="0.25">
      <c r="A53" s="11">
        <f t="shared" si="0"/>
        <v>44</v>
      </c>
      <c r="B53" t="str">
        <f ca="1">TEXT(DATE(YEAR(Invoer!$A$5),1,1)+INT((ROWS(B$2:B53)-1)/2),"jjjjmmdd")</f>
        <v>19270126</v>
      </c>
      <c r="C53" s="26" t="str">
        <f>INDEX(Data,2,2+MOD(ROWS(C$2:C53)-1,2))</f>
        <v>15.00</v>
      </c>
      <c r="D53" s="39">
        <f t="shared" ca="1" si="1"/>
        <v>757</v>
      </c>
      <c r="E53" s="31">
        <f t="shared" ca="1" si="2"/>
        <v>0</v>
      </c>
      <c r="F53" s="40">
        <f t="shared" ca="1" si="3"/>
        <v>28</v>
      </c>
      <c r="G53" s="31">
        <f t="shared" ca="1" si="4"/>
        <v>0</v>
      </c>
    </row>
    <row r="54" spans="1:7" x14ac:dyDescent="0.25">
      <c r="A54" s="11">
        <f t="shared" si="0"/>
        <v>44</v>
      </c>
      <c r="B54" t="str">
        <f ca="1">TEXT(DATE(YEAR(Invoer!$A$5),1,1)+INT((ROWS(B$2:B54)-1)/2),"jjjjmmdd")</f>
        <v>19270127</v>
      </c>
      <c r="C54" s="26" t="str">
        <f>INDEX(Data,2,2+MOD(ROWS(C$2:C54)-1,2))</f>
        <v>08.00</v>
      </c>
      <c r="D54" s="39">
        <f t="shared" ca="1" si="1"/>
        <v>758.5</v>
      </c>
      <c r="E54" s="31">
        <f t="shared" ca="1" si="2"/>
        <v>0</v>
      </c>
      <c r="F54" s="40">
        <f t="shared" ca="1" si="3"/>
        <v>27</v>
      </c>
      <c r="G54" s="31">
        <f t="shared" ca="1" si="4"/>
        <v>0</v>
      </c>
    </row>
    <row r="55" spans="1:7" x14ac:dyDescent="0.25">
      <c r="A55" s="11">
        <f t="shared" si="0"/>
        <v>44</v>
      </c>
      <c r="B55" t="str">
        <f ca="1">TEXT(DATE(YEAR(Invoer!$A$5),1,1)+INT((ROWS(B$2:B55)-1)/2),"jjjjmmdd")</f>
        <v>19270127</v>
      </c>
      <c r="C55" s="26" t="str">
        <f>INDEX(Data,2,2+MOD(ROWS(C$2:C55)-1,2))</f>
        <v>15.00</v>
      </c>
      <c r="D55" s="39">
        <f t="shared" ca="1" si="1"/>
        <v>756</v>
      </c>
      <c r="E55" s="31">
        <f t="shared" ca="1" si="2"/>
        <v>0</v>
      </c>
      <c r="F55" s="40">
        <f t="shared" ca="1" si="3"/>
        <v>28</v>
      </c>
      <c r="G55" s="31">
        <f t="shared" ca="1" si="4"/>
        <v>0</v>
      </c>
    </row>
    <row r="56" spans="1:7" x14ac:dyDescent="0.25">
      <c r="A56" s="11">
        <f t="shared" si="0"/>
        <v>44</v>
      </c>
      <c r="B56" t="str">
        <f ca="1">TEXT(DATE(YEAR(Invoer!$A$5),1,1)+INT((ROWS(B$2:B56)-1)/2),"jjjjmmdd")</f>
        <v>19270128</v>
      </c>
      <c r="C56" s="26" t="str">
        <f>INDEX(Data,2,2+MOD(ROWS(C$2:C56)-1,2))</f>
        <v>08.00</v>
      </c>
      <c r="D56" s="39">
        <f t="shared" ca="1" si="1"/>
        <v>758.5</v>
      </c>
      <c r="E56" s="31">
        <f t="shared" ca="1" si="2"/>
        <v>0</v>
      </c>
      <c r="F56" s="40">
        <f t="shared" ca="1" si="3"/>
        <v>27</v>
      </c>
      <c r="G56" s="31">
        <f t="shared" ca="1" si="4"/>
        <v>0</v>
      </c>
    </row>
    <row r="57" spans="1:7" x14ac:dyDescent="0.25">
      <c r="A57" s="11">
        <f t="shared" si="0"/>
        <v>44</v>
      </c>
      <c r="B57" t="str">
        <f ca="1">TEXT(DATE(YEAR(Invoer!$A$5),1,1)+INT((ROWS(B$2:B57)-1)/2),"jjjjmmdd")</f>
        <v>19270128</v>
      </c>
      <c r="C57" s="26" t="str">
        <f>INDEX(Data,2,2+MOD(ROWS(C$2:C57)-1,2))</f>
        <v>15.00</v>
      </c>
      <c r="D57" s="39">
        <f t="shared" ca="1" si="1"/>
        <v>756.5</v>
      </c>
      <c r="E57" s="31">
        <f t="shared" ca="1" si="2"/>
        <v>0</v>
      </c>
      <c r="F57" s="40">
        <f t="shared" ca="1" si="3"/>
        <v>28.5</v>
      </c>
      <c r="G57" s="31">
        <f t="shared" ca="1" si="4"/>
        <v>0</v>
      </c>
    </row>
    <row r="58" spans="1:7" x14ac:dyDescent="0.25">
      <c r="A58" s="11">
        <f t="shared" si="0"/>
        <v>44</v>
      </c>
      <c r="B58" t="str">
        <f ca="1">TEXT(DATE(YEAR(Invoer!$A$5),1,1)+INT((ROWS(B$2:B58)-1)/2),"jjjjmmdd")</f>
        <v>19270129</v>
      </c>
      <c r="C58" s="26" t="str">
        <f>INDEX(Data,2,2+MOD(ROWS(C$2:C58)-1,2))</f>
        <v>08.00</v>
      </c>
      <c r="D58" s="39">
        <f t="shared" ca="1" si="1"/>
        <v>758.5</v>
      </c>
      <c r="E58" s="31">
        <f t="shared" ca="1" si="2"/>
        <v>0</v>
      </c>
      <c r="F58" s="40">
        <f t="shared" ca="1" si="3"/>
        <v>27</v>
      </c>
      <c r="G58" s="31">
        <f t="shared" ca="1" si="4"/>
        <v>0</v>
      </c>
    </row>
    <row r="59" spans="1:7" x14ac:dyDescent="0.25">
      <c r="A59" s="11">
        <f t="shared" si="0"/>
        <v>44</v>
      </c>
      <c r="B59" t="str">
        <f ca="1">TEXT(DATE(YEAR(Invoer!$A$5),1,1)+INT((ROWS(B$2:B59)-1)/2),"jjjjmmdd")</f>
        <v>19270129</v>
      </c>
      <c r="C59" s="26" t="str">
        <f>INDEX(Data,2,2+MOD(ROWS(C$2:C59)-1,2))</f>
        <v>15.00</v>
      </c>
      <c r="D59" s="39">
        <f t="shared" ca="1" si="1"/>
        <v>756</v>
      </c>
      <c r="E59" s="31">
        <f t="shared" ca="1" si="2"/>
        <v>0</v>
      </c>
      <c r="F59" s="40">
        <f t="shared" ca="1" si="3"/>
        <v>28</v>
      </c>
      <c r="G59" s="31">
        <f t="shared" ca="1" si="4"/>
        <v>0</v>
      </c>
    </row>
    <row r="60" spans="1:7" x14ac:dyDescent="0.25">
      <c r="A60" s="11">
        <f t="shared" si="0"/>
        <v>44</v>
      </c>
      <c r="B60" t="str">
        <f ca="1">TEXT(DATE(YEAR(Invoer!$A$5),1,1)+INT((ROWS(B$2:B60)-1)/2),"jjjjmmdd")</f>
        <v>19270130</v>
      </c>
      <c r="C60" s="26" t="str">
        <f>INDEX(Data,2,2+MOD(ROWS(C$2:C60)-1,2))</f>
        <v>08.00</v>
      </c>
      <c r="D60" s="39">
        <f t="shared" ca="1" si="1"/>
        <v>758.5</v>
      </c>
      <c r="E60" s="31">
        <f t="shared" ca="1" si="2"/>
        <v>0</v>
      </c>
      <c r="F60" s="40">
        <f t="shared" ca="1" si="3"/>
        <v>27</v>
      </c>
      <c r="G60" s="31">
        <f t="shared" ca="1" si="4"/>
        <v>0</v>
      </c>
    </row>
    <row r="61" spans="1:7" x14ac:dyDescent="0.25">
      <c r="A61" s="11">
        <f t="shared" si="0"/>
        <v>44</v>
      </c>
      <c r="B61" t="str">
        <f ca="1">TEXT(DATE(YEAR(Invoer!$A$5),1,1)+INT((ROWS(B$2:B61)-1)/2),"jjjjmmdd")</f>
        <v>19270130</v>
      </c>
      <c r="C61" s="26" t="str">
        <f>INDEX(Data,2,2+MOD(ROWS(C$2:C61)-1,2))</f>
        <v>15.00</v>
      </c>
      <c r="D61" s="39">
        <f t="shared" ca="1" si="1"/>
        <v>756</v>
      </c>
      <c r="E61" s="31">
        <f t="shared" ca="1" si="2"/>
        <v>0</v>
      </c>
      <c r="F61" s="40">
        <f t="shared" ca="1" si="3"/>
        <v>28</v>
      </c>
      <c r="G61" s="31">
        <f t="shared" ca="1" si="4"/>
        <v>0</v>
      </c>
    </row>
    <row r="62" spans="1:7" x14ac:dyDescent="0.25">
      <c r="A62" s="11">
        <f t="shared" si="0"/>
        <v>44</v>
      </c>
      <c r="B62" t="str">
        <f ca="1">TEXT(DATE(YEAR(Invoer!$A$5),1,1)+INT((ROWS(B$2:B62)-1)/2),"jjjjmmdd")</f>
        <v>19270131</v>
      </c>
      <c r="C62" s="26" t="str">
        <f>INDEX(Data,2,2+MOD(ROWS(C$2:C62)-1,2))</f>
        <v>08.00</v>
      </c>
      <c r="D62" s="39">
        <f t="shared" ca="1" si="1"/>
        <v>758.5</v>
      </c>
      <c r="E62" s="31">
        <f t="shared" ca="1" si="2"/>
        <v>0</v>
      </c>
      <c r="F62" s="40">
        <f t="shared" ca="1" si="3"/>
        <v>27</v>
      </c>
      <c r="G62" s="31">
        <f t="shared" ca="1" si="4"/>
        <v>0</v>
      </c>
    </row>
    <row r="63" spans="1:7" x14ac:dyDescent="0.25">
      <c r="A63" s="11">
        <f t="shared" si="0"/>
        <v>44</v>
      </c>
      <c r="B63" t="str">
        <f ca="1">TEXT(DATE(YEAR(Invoer!$A$5),1,1)+INT((ROWS(B$2:B63)-1)/2),"jjjjmmdd")</f>
        <v>19270131</v>
      </c>
      <c r="C63" s="26" t="str">
        <f>INDEX(Data,2,2+MOD(ROWS(C$2:C63)-1,2))</f>
        <v>15.00</v>
      </c>
      <c r="D63" s="39">
        <f t="shared" ca="1" si="1"/>
        <v>756</v>
      </c>
      <c r="E63" s="31">
        <f t="shared" ca="1" si="2"/>
        <v>0</v>
      </c>
      <c r="F63" s="40">
        <f t="shared" ca="1" si="3"/>
        <v>28</v>
      </c>
      <c r="G63" s="31">
        <f t="shared" ca="1" si="4"/>
        <v>0</v>
      </c>
    </row>
    <row r="64" spans="1:7" x14ac:dyDescent="0.25">
      <c r="A64" s="11">
        <f t="shared" si="0"/>
        <v>44</v>
      </c>
      <c r="B64" t="str">
        <f ca="1">TEXT(DATE(YEAR(Invoer!$A$5),1,1)+INT((ROWS(B$2:B64)-1)/2),"jjjjmmdd")</f>
        <v>19270201</v>
      </c>
      <c r="C64" s="26" t="str">
        <f>INDEX(Data,2,2+MOD(ROWS(C$2:C64)-1,2))</f>
        <v>08.00</v>
      </c>
      <c r="D64" s="39">
        <f t="shared" ca="1" si="1"/>
        <v>758.5</v>
      </c>
      <c r="E64" s="31">
        <f t="shared" ca="1" si="2"/>
        <v>0</v>
      </c>
      <c r="F64" s="40">
        <f t="shared" ca="1" si="3"/>
        <v>27</v>
      </c>
      <c r="G64" s="31">
        <f t="shared" ca="1" si="4"/>
        <v>0</v>
      </c>
    </row>
    <row r="65" spans="1:7" x14ac:dyDescent="0.25">
      <c r="A65" s="11">
        <f t="shared" si="0"/>
        <v>44</v>
      </c>
      <c r="B65" t="str">
        <f ca="1">TEXT(DATE(YEAR(Invoer!$A$5),1,1)+INT((ROWS(B$2:B65)-1)/2),"jjjjmmdd")</f>
        <v>19270201</v>
      </c>
      <c r="C65" s="26" t="str">
        <f>INDEX(Data,2,2+MOD(ROWS(C$2:C65)-1,2))</f>
        <v>15.00</v>
      </c>
      <c r="D65" s="39">
        <f t="shared" ca="1" si="1"/>
        <v>757</v>
      </c>
      <c r="E65" s="31">
        <f t="shared" ca="1" si="2"/>
        <v>0</v>
      </c>
      <c r="F65" s="40">
        <f t="shared" ca="1" si="3"/>
        <v>28</v>
      </c>
      <c r="G65" s="31">
        <f t="shared" ca="1" si="4"/>
        <v>0</v>
      </c>
    </row>
    <row r="66" spans="1:7" x14ac:dyDescent="0.25">
      <c r="A66" s="11">
        <f t="shared" ref="A66:A129" si="5">INDEX(Stations,2,1)</f>
        <v>44</v>
      </c>
      <c r="B66" t="str">
        <f ca="1">TEXT(DATE(YEAR(Invoer!$A$5),1,1)+INT((ROWS(B$2:B66)-1)/2),"jjjjmmdd")</f>
        <v>19270202</v>
      </c>
      <c r="C66" s="26" t="str">
        <f>INDEX(Data,2,2+MOD(ROWS(C$2:C66)-1,2))</f>
        <v>08.00</v>
      </c>
      <c r="D66" s="39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/10)</f>
        <v>758.5</v>
      </c>
      <c r="E66" s="31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40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VLOOKUP(DATEVALUE(LEFT($B66,4)&amp;"-"&amp;MID($B66,5,2)&amp;"-"&amp;RIGHT($B66,2)),Data,MATCH(LEFT(VLOOKUP(F$1,Parameters,2,FALSE()),4)&amp;"*",OFFSET(Data,0,0,1),0)+MATCH($C66,OFFSET(Data,1,0,1),0)-2,FALSE())/10)</f>
        <v>27</v>
      </c>
      <c r="G66" s="31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0</v>
      </c>
    </row>
    <row r="67" spans="1:7" x14ac:dyDescent="0.25">
      <c r="A67" s="11">
        <f t="shared" si="5"/>
        <v>44</v>
      </c>
      <c r="B67" t="str">
        <f ca="1">TEXT(DATE(YEAR(Invoer!$A$5),1,1)+INT((ROWS(B$2:B67)-1)/2),"jjjjmmdd")</f>
        <v>19270202</v>
      </c>
      <c r="C67" s="26" t="str">
        <f>INDEX(Data,2,2+MOD(ROWS(C$2:C67)-1,2))</f>
        <v>15.00</v>
      </c>
      <c r="D67" s="39">
        <f t="shared" ca="1" si="6"/>
        <v>757</v>
      </c>
      <c r="E67" s="31">
        <f t="shared" ca="1" si="7"/>
        <v>0</v>
      </c>
      <c r="F67" s="40">
        <f t="shared" ca="1" si="8"/>
        <v>28</v>
      </c>
      <c r="G67" s="31">
        <f t="shared" ca="1" si="9"/>
        <v>0</v>
      </c>
    </row>
    <row r="68" spans="1:7" x14ac:dyDescent="0.25">
      <c r="A68" s="11">
        <f t="shared" si="5"/>
        <v>44</v>
      </c>
      <c r="B68" t="str">
        <f ca="1">TEXT(DATE(YEAR(Invoer!$A$5),1,1)+INT((ROWS(B$2:B68)-1)/2),"jjjjmmdd")</f>
        <v>19270203</v>
      </c>
      <c r="C68" s="26" t="str">
        <f>INDEX(Data,2,2+MOD(ROWS(C$2:C68)-1,2))</f>
        <v>08.00</v>
      </c>
      <c r="D68" s="39">
        <f t="shared" ca="1" si="6"/>
        <v>758.5</v>
      </c>
      <c r="E68" s="31">
        <f t="shared" ca="1" si="7"/>
        <v>0</v>
      </c>
      <c r="F68" s="40">
        <f t="shared" ca="1" si="8"/>
        <v>27</v>
      </c>
      <c r="G68" s="31">
        <f t="shared" ca="1" si="9"/>
        <v>0</v>
      </c>
    </row>
    <row r="69" spans="1:7" x14ac:dyDescent="0.25">
      <c r="A69" s="11">
        <f t="shared" si="5"/>
        <v>44</v>
      </c>
      <c r="B69" t="str">
        <f ca="1">TEXT(DATE(YEAR(Invoer!$A$5),1,1)+INT((ROWS(B$2:B69)-1)/2),"jjjjmmdd")</f>
        <v>19270203</v>
      </c>
      <c r="C69" s="26" t="str">
        <f>INDEX(Data,2,2+MOD(ROWS(C$2:C69)-1,2))</f>
        <v>15.00</v>
      </c>
      <c r="D69" s="39">
        <f t="shared" ca="1" si="6"/>
        <v>756.5</v>
      </c>
      <c r="E69" s="31">
        <f t="shared" ca="1" si="7"/>
        <v>0</v>
      </c>
      <c r="F69" s="40">
        <f t="shared" ca="1" si="8"/>
        <v>28</v>
      </c>
      <c r="G69" s="31">
        <f t="shared" ca="1" si="9"/>
        <v>0</v>
      </c>
    </row>
    <row r="70" spans="1:7" x14ac:dyDescent="0.25">
      <c r="A70" s="11">
        <f t="shared" si="5"/>
        <v>44</v>
      </c>
      <c r="B70" t="str">
        <f ca="1">TEXT(DATE(YEAR(Invoer!$A$5),1,1)+INT((ROWS(B$2:B70)-1)/2),"jjjjmmdd")</f>
        <v>19270204</v>
      </c>
      <c r="C70" s="26" t="str">
        <f>INDEX(Data,2,2+MOD(ROWS(C$2:C70)-1,2))</f>
        <v>08.00</v>
      </c>
      <c r="D70" s="39">
        <f t="shared" ca="1" si="6"/>
        <v>758.5</v>
      </c>
      <c r="E70" s="31">
        <f t="shared" ca="1" si="7"/>
        <v>0</v>
      </c>
      <c r="F70" s="40">
        <f t="shared" ca="1" si="8"/>
        <v>27</v>
      </c>
      <c r="G70" s="31">
        <f t="shared" ca="1" si="9"/>
        <v>0</v>
      </c>
    </row>
    <row r="71" spans="1:7" x14ac:dyDescent="0.25">
      <c r="A71" s="11">
        <f t="shared" si="5"/>
        <v>44</v>
      </c>
      <c r="B71" t="str">
        <f ca="1">TEXT(DATE(YEAR(Invoer!$A$5),1,1)+INT((ROWS(B$2:B71)-1)/2),"jjjjmmdd")</f>
        <v>19270204</v>
      </c>
      <c r="C71" s="26" t="str">
        <f>INDEX(Data,2,2+MOD(ROWS(C$2:C71)-1,2))</f>
        <v>15.00</v>
      </c>
      <c r="D71" s="39">
        <f t="shared" ca="1" si="6"/>
        <v>757</v>
      </c>
      <c r="E71" s="31">
        <f t="shared" ca="1" si="7"/>
        <v>0</v>
      </c>
      <c r="F71" s="40">
        <f t="shared" ca="1" si="8"/>
        <v>28</v>
      </c>
      <c r="G71" s="31">
        <f t="shared" ca="1" si="9"/>
        <v>0</v>
      </c>
    </row>
    <row r="72" spans="1:7" x14ac:dyDescent="0.25">
      <c r="A72" s="11">
        <f t="shared" si="5"/>
        <v>44</v>
      </c>
      <c r="B72" t="str">
        <f ca="1">TEXT(DATE(YEAR(Invoer!$A$5),1,1)+INT((ROWS(B$2:B72)-1)/2),"jjjjmmdd")</f>
        <v>19270205</v>
      </c>
      <c r="C72" s="26" t="str">
        <f>INDEX(Data,2,2+MOD(ROWS(C$2:C72)-1,2))</f>
        <v>08.00</v>
      </c>
      <c r="D72" s="39">
        <f t="shared" ca="1" si="6"/>
        <v>758.5</v>
      </c>
      <c r="E72" s="31">
        <f t="shared" ca="1" si="7"/>
        <v>0</v>
      </c>
      <c r="F72" s="40">
        <f t="shared" ca="1" si="8"/>
        <v>27</v>
      </c>
      <c r="G72" s="31">
        <f t="shared" ca="1" si="9"/>
        <v>0</v>
      </c>
    </row>
    <row r="73" spans="1:7" x14ac:dyDescent="0.25">
      <c r="A73" s="11">
        <f t="shared" si="5"/>
        <v>44</v>
      </c>
      <c r="B73" t="str">
        <f ca="1">TEXT(DATE(YEAR(Invoer!$A$5),1,1)+INT((ROWS(B$2:B73)-1)/2),"jjjjmmdd")</f>
        <v>19270205</v>
      </c>
      <c r="C73" s="26" t="str">
        <f>INDEX(Data,2,2+MOD(ROWS(C$2:C73)-1,2))</f>
        <v>15.00</v>
      </c>
      <c r="D73" s="39">
        <f t="shared" ca="1" si="6"/>
        <v>756.5</v>
      </c>
      <c r="E73" s="31">
        <f t="shared" ca="1" si="7"/>
        <v>0</v>
      </c>
      <c r="F73" s="40">
        <f t="shared" ca="1" si="8"/>
        <v>28</v>
      </c>
      <c r="G73" s="31">
        <f t="shared" ca="1" si="9"/>
        <v>0</v>
      </c>
    </row>
    <row r="74" spans="1:7" x14ac:dyDescent="0.25">
      <c r="A74" s="11">
        <f t="shared" si="5"/>
        <v>44</v>
      </c>
      <c r="B74" t="str">
        <f ca="1">TEXT(DATE(YEAR(Invoer!$A$5),1,1)+INT((ROWS(B$2:B74)-1)/2),"jjjjmmdd")</f>
        <v>19270206</v>
      </c>
      <c r="C74" s="26" t="str">
        <f>INDEX(Data,2,2+MOD(ROWS(C$2:C74)-1,2))</f>
        <v>08.00</v>
      </c>
      <c r="D74" s="39">
        <f t="shared" ca="1" si="6"/>
        <v>758.5</v>
      </c>
      <c r="E74" s="31">
        <f t="shared" ca="1" si="7"/>
        <v>0</v>
      </c>
      <c r="F74" s="40">
        <f t="shared" ca="1" si="8"/>
        <v>27</v>
      </c>
      <c r="G74" s="31">
        <f t="shared" ca="1" si="9"/>
        <v>0</v>
      </c>
    </row>
    <row r="75" spans="1:7" x14ac:dyDescent="0.25">
      <c r="A75" s="11">
        <f t="shared" si="5"/>
        <v>44</v>
      </c>
      <c r="B75" t="str">
        <f ca="1">TEXT(DATE(YEAR(Invoer!$A$5),1,1)+INT((ROWS(B$2:B75)-1)/2),"jjjjmmdd")</f>
        <v>19270206</v>
      </c>
      <c r="C75" s="26" t="str">
        <f>INDEX(Data,2,2+MOD(ROWS(C$2:C75)-1,2))</f>
        <v>15.00</v>
      </c>
      <c r="D75" s="39">
        <f t="shared" ca="1" si="6"/>
        <v>756.5</v>
      </c>
      <c r="E75" s="31">
        <f t="shared" ca="1" si="7"/>
        <v>0</v>
      </c>
      <c r="F75" s="40">
        <f t="shared" ca="1" si="8"/>
        <v>28</v>
      </c>
      <c r="G75" s="31">
        <f t="shared" ca="1" si="9"/>
        <v>0</v>
      </c>
    </row>
    <row r="76" spans="1:7" x14ac:dyDescent="0.25">
      <c r="A76" s="11">
        <f t="shared" si="5"/>
        <v>44</v>
      </c>
      <c r="B76" t="str">
        <f ca="1">TEXT(DATE(YEAR(Invoer!$A$5),1,1)+INT((ROWS(B$2:B76)-1)/2),"jjjjmmdd")</f>
        <v>19270207</v>
      </c>
      <c r="C76" s="26" t="str">
        <f>INDEX(Data,2,2+MOD(ROWS(C$2:C76)-1,2))</f>
        <v>08.00</v>
      </c>
      <c r="D76" s="39">
        <f t="shared" ca="1" si="6"/>
        <v>758.5</v>
      </c>
      <c r="E76" s="31">
        <f t="shared" ca="1" si="7"/>
        <v>0</v>
      </c>
      <c r="F76" s="40">
        <f t="shared" ca="1" si="8"/>
        <v>27</v>
      </c>
      <c r="G76" s="31">
        <f t="shared" ca="1" si="9"/>
        <v>0</v>
      </c>
    </row>
    <row r="77" spans="1:7" x14ac:dyDescent="0.25">
      <c r="A77" s="11">
        <f t="shared" si="5"/>
        <v>44</v>
      </c>
      <c r="B77" t="str">
        <f ca="1">TEXT(DATE(YEAR(Invoer!$A$5),1,1)+INT((ROWS(B$2:B77)-1)/2),"jjjjmmdd")</f>
        <v>19270207</v>
      </c>
      <c r="C77" s="26" t="str">
        <f>INDEX(Data,2,2+MOD(ROWS(C$2:C77)-1,2))</f>
        <v>15.00</v>
      </c>
      <c r="D77" s="39">
        <f t="shared" ca="1" si="6"/>
        <v>757</v>
      </c>
      <c r="E77" s="31">
        <f t="shared" ca="1" si="7"/>
        <v>0</v>
      </c>
      <c r="F77" s="40">
        <f t="shared" ca="1" si="8"/>
        <v>28</v>
      </c>
      <c r="G77" s="31">
        <f t="shared" ca="1" si="9"/>
        <v>0</v>
      </c>
    </row>
    <row r="78" spans="1:7" x14ac:dyDescent="0.25">
      <c r="A78" s="11">
        <f t="shared" si="5"/>
        <v>44</v>
      </c>
      <c r="B78" t="str">
        <f ca="1">TEXT(DATE(YEAR(Invoer!$A$5),1,1)+INT((ROWS(B$2:B78)-1)/2),"jjjjmmdd")</f>
        <v>19270208</v>
      </c>
      <c r="C78" s="26" t="str">
        <f>INDEX(Data,2,2+MOD(ROWS(C$2:C78)-1,2))</f>
        <v>08.00</v>
      </c>
      <c r="D78" s="39">
        <f t="shared" ca="1" si="6"/>
        <v>758.5</v>
      </c>
      <c r="E78" s="31">
        <f t="shared" ca="1" si="7"/>
        <v>0</v>
      </c>
      <c r="F78" s="40">
        <f t="shared" ca="1" si="8"/>
        <v>27</v>
      </c>
      <c r="G78" s="31">
        <f t="shared" ca="1" si="9"/>
        <v>0</v>
      </c>
    </row>
    <row r="79" spans="1:7" x14ac:dyDescent="0.25">
      <c r="A79" s="11">
        <f t="shared" si="5"/>
        <v>44</v>
      </c>
      <c r="B79" t="str">
        <f ca="1">TEXT(DATE(YEAR(Invoer!$A$5),1,1)+INT((ROWS(B$2:B79)-1)/2),"jjjjmmdd")</f>
        <v>19270208</v>
      </c>
      <c r="C79" s="26" t="str">
        <f>INDEX(Data,2,2+MOD(ROWS(C$2:C79)-1,2))</f>
        <v>15.00</v>
      </c>
      <c r="D79" s="39">
        <f t="shared" ca="1" si="6"/>
        <v>756.5</v>
      </c>
      <c r="E79" s="31">
        <f t="shared" ca="1" si="7"/>
        <v>0</v>
      </c>
      <c r="F79" s="40">
        <f t="shared" ca="1" si="8"/>
        <v>28</v>
      </c>
      <c r="G79" s="31">
        <f t="shared" ca="1" si="9"/>
        <v>0</v>
      </c>
    </row>
    <row r="80" spans="1:7" x14ac:dyDescent="0.25">
      <c r="A80" s="11">
        <f t="shared" si="5"/>
        <v>44</v>
      </c>
      <c r="B80" t="str">
        <f ca="1">TEXT(DATE(YEAR(Invoer!$A$5),1,1)+INT((ROWS(B$2:B80)-1)/2),"jjjjmmdd")</f>
        <v>19270209</v>
      </c>
      <c r="C80" s="26" t="str">
        <f>INDEX(Data,2,2+MOD(ROWS(C$2:C80)-1,2))</f>
        <v>08.00</v>
      </c>
      <c r="D80" s="39">
        <f t="shared" ca="1" si="6"/>
        <v>758.5</v>
      </c>
      <c r="E80" s="31">
        <f t="shared" ca="1" si="7"/>
        <v>0</v>
      </c>
      <c r="F80" s="40">
        <f t="shared" ca="1" si="8"/>
        <v>27</v>
      </c>
      <c r="G80" s="31">
        <f t="shared" ca="1" si="9"/>
        <v>0</v>
      </c>
    </row>
    <row r="81" spans="1:7" x14ac:dyDescent="0.25">
      <c r="A81" s="11">
        <f t="shared" si="5"/>
        <v>44</v>
      </c>
      <c r="B81" t="str">
        <f ca="1">TEXT(DATE(YEAR(Invoer!$A$5),1,1)+INT((ROWS(B$2:B81)-1)/2),"jjjjmmdd")</f>
        <v>19270209</v>
      </c>
      <c r="C81" s="26" t="str">
        <f>INDEX(Data,2,2+MOD(ROWS(C$2:C81)-1,2))</f>
        <v>15.00</v>
      </c>
      <c r="D81" s="39">
        <f t="shared" ca="1" si="6"/>
        <v>757</v>
      </c>
      <c r="E81" s="31">
        <f t="shared" ca="1" si="7"/>
        <v>0</v>
      </c>
      <c r="F81" s="40">
        <f t="shared" ca="1" si="8"/>
        <v>28</v>
      </c>
      <c r="G81" s="31">
        <f t="shared" ca="1" si="9"/>
        <v>0</v>
      </c>
    </row>
    <row r="82" spans="1:7" x14ac:dyDescent="0.25">
      <c r="A82" s="11">
        <f t="shared" si="5"/>
        <v>44</v>
      </c>
      <c r="B82" t="str">
        <f ca="1">TEXT(DATE(YEAR(Invoer!$A$5),1,1)+INT((ROWS(B$2:B82)-1)/2),"jjjjmmdd")</f>
        <v>19270210</v>
      </c>
      <c r="C82" s="26" t="str">
        <f>INDEX(Data,2,2+MOD(ROWS(C$2:C82)-1,2))</f>
        <v>08.00</v>
      </c>
      <c r="D82" s="39">
        <f t="shared" ca="1" si="6"/>
        <v>758.5</v>
      </c>
      <c r="E82" s="31">
        <f t="shared" ca="1" si="7"/>
        <v>0</v>
      </c>
      <c r="F82" s="40">
        <f t="shared" ca="1" si="8"/>
        <v>28</v>
      </c>
      <c r="G82" s="31">
        <f t="shared" ca="1" si="9"/>
        <v>0</v>
      </c>
    </row>
    <row r="83" spans="1:7" x14ac:dyDescent="0.25">
      <c r="A83" s="11">
        <f t="shared" si="5"/>
        <v>44</v>
      </c>
      <c r="B83" t="str">
        <f ca="1">TEXT(DATE(YEAR(Invoer!$A$5),1,1)+INT((ROWS(B$2:B83)-1)/2),"jjjjmmdd")</f>
        <v>19270210</v>
      </c>
      <c r="C83" s="26" t="str">
        <f>INDEX(Data,2,2+MOD(ROWS(C$2:C83)-1,2))</f>
        <v>15.00</v>
      </c>
      <c r="D83" s="39">
        <f t="shared" ca="1" si="6"/>
        <v>756.5</v>
      </c>
      <c r="E83" s="31">
        <f t="shared" ca="1" si="7"/>
        <v>0</v>
      </c>
      <c r="F83" s="40">
        <f t="shared" ca="1" si="8"/>
        <v>29</v>
      </c>
      <c r="G83" s="31">
        <f t="shared" ca="1" si="9"/>
        <v>0</v>
      </c>
    </row>
    <row r="84" spans="1:7" x14ac:dyDescent="0.25">
      <c r="A84" s="11">
        <f t="shared" si="5"/>
        <v>44</v>
      </c>
      <c r="B84" t="str">
        <f ca="1">TEXT(DATE(YEAR(Invoer!$A$5),1,1)+INT((ROWS(B$2:B84)-1)/2),"jjjjmmdd")</f>
        <v>19270211</v>
      </c>
      <c r="C84" s="26" t="str">
        <f>INDEX(Data,2,2+MOD(ROWS(C$2:C84)-1,2))</f>
        <v>08.00</v>
      </c>
      <c r="D84" s="39">
        <f t="shared" ca="1" si="6"/>
        <v>758.5</v>
      </c>
      <c r="E84" s="31">
        <f t="shared" ca="1" si="7"/>
        <v>0</v>
      </c>
      <c r="F84" s="40">
        <f t="shared" ca="1" si="8"/>
        <v>28</v>
      </c>
      <c r="G84" s="31">
        <f t="shared" ca="1" si="9"/>
        <v>0</v>
      </c>
    </row>
    <row r="85" spans="1:7" x14ac:dyDescent="0.25">
      <c r="A85" s="11">
        <f t="shared" si="5"/>
        <v>44</v>
      </c>
      <c r="B85" t="str">
        <f ca="1">TEXT(DATE(YEAR(Invoer!$A$5),1,1)+INT((ROWS(B$2:B85)-1)/2),"jjjjmmdd")</f>
        <v>19270211</v>
      </c>
      <c r="C85" s="26" t="str">
        <f>INDEX(Data,2,2+MOD(ROWS(C$2:C85)-1,2))</f>
        <v>15.00</v>
      </c>
      <c r="D85" s="39">
        <f t="shared" ca="1" si="6"/>
        <v>757</v>
      </c>
      <c r="E85" s="31">
        <f t="shared" ca="1" si="7"/>
        <v>0</v>
      </c>
      <c r="F85" s="40">
        <f t="shared" ca="1" si="8"/>
        <v>29</v>
      </c>
      <c r="G85" s="31">
        <f t="shared" ca="1" si="9"/>
        <v>0</v>
      </c>
    </row>
    <row r="86" spans="1:7" x14ac:dyDescent="0.25">
      <c r="A86" s="11">
        <f t="shared" si="5"/>
        <v>44</v>
      </c>
      <c r="B86" t="str">
        <f ca="1">TEXT(DATE(YEAR(Invoer!$A$5),1,1)+INT((ROWS(B$2:B86)-1)/2),"jjjjmmdd")</f>
        <v>19270212</v>
      </c>
      <c r="C86" s="26" t="str">
        <f>INDEX(Data,2,2+MOD(ROWS(C$2:C86)-1,2))</f>
        <v>08.00</v>
      </c>
      <c r="D86" s="39">
        <f t="shared" ca="1" si="6"/>
        <v>758.5</v>
      </c>
      <c r="E86" s="31">
        <f t="shared" ca="1" si="7"/>
        <v>0</v>
      </c>
      <c r="F86" s="40">
        <f t="shared" ca="1" si="8"/>
        <v>27</v>
      </c>
      <c r="G86" s="31">
        <f t="shared" ca="1" si="9"/>
        <v>0</v>
      </c>
    </row>
    <row r="87" spans="1:7" x14ac:dyDescent="0.25">
      <c r="A87" s="11">
        <f t="shared" si="5"/>
        <v>44</v>
      </c>
      <c r="B87" t="str">
        <f ca="1">TEXT(DATE(YEAR(Invoer!$A$5),1,1)+INT((ROWS(B$2:B87)-1)/2),"jjjjmmdd")</f>
        <v>19270212</v>
      </c>
      <c r="C87" s="26" t="str">
        <f>INDEX(Data,2,2+MOD(ROWS(C$2:C87)-1,2))</f>
        <v>15.00</v>
      </c>
      <c r="D87" s="39">
        <f t="shared" ca="1" si="6"/>
        <v>758</v>
      </c>
      <c r="E87" s="31">
        <f t="shared" ca="1" si="7"/>
        <v>0</v>
      </c>
      <c r="F87" s="40">
        <f t="shared" ca="1" si="8"/>
        <v>28.5</v>
      </c>
      <c r="G87" s="31">
        <f t="shared" ca="1" si="9"/>
        <v>0</v>
      </c>
    </row>
    <row r="88" spans="1:7" x14ac:dyDescent="0.25">
      <c r="A88" s="11">
        <f t="shared" si="5"/>
        <v>44</v>
      </c>
      <c r="B88" t="str">
        <f ca="1">TEXT(DATE(YEAR(Invoer!$A$5),1,1)+INT((ROWS(B$2:B88)-1)/2),"jjjjmmdd")</f>
        <v>19270213</v>
      </c>
      <c r="C88" s="26" t="str">
        <f>INDEX(Data,2,2+MOD(ROWS(C$2:C88)-1,2))</f>
        <v>08.00</v>
      </c>
      <c r="D88" s="39">
        <f t="shared" ca="1" si="6"/>
        <v>758.5</v>
      </c>
      <c r="E88" s="31">
        <f t="shared" ca="1" si="7"/>
        <v>0</v>
      </c>
      <c r="F88" s="40">
        <f t="shared" ca="1" si="8"/>
        <v>27</v>
      </c>
      <c r="G88" s="31">
        <f t="shared" ca="1" si="9"/>
        <v>0</v>
      </c>
    </row>
    <row r="89" spans="1:7" x14ac:dyDescent="0.25">
      <c r="A89" s="11">
        <f t="shared" si="5"/>
        <v>44</v>
      </c>
      <c r="B89" t="str">
        <f ca="1">TEXT(DATE(YEAR(Invoer!$A$5),1,1)+INT((ROWS(B$2:B89)-1)/2),"jjjjmmdd")</f>
        <v>19270213</v>
      </c>
      <c r="C89" s="26" t="str">
        <f>INDEX(Data,2,2+MOD(ROWS(C$2:C89)-1,2))</f>
        <v>15.00</v>
      </c>
      <c r="D89" s="39">
        <f t="shared" ca="1" si="6"/>
        <v>758</v>
      </c>
      <c r="E89" s="31">
        <f t="shared" ca="1" si="7"/>
        <v>0</v>
      </c>
      <c r="F89" s="40">
        <f t="shared" ca="1" si="8"/>
        <v>28.5</v>
      </c>
      <c r="G89" s="31">
        <f t="shared" ca="1" si="9"/>
        <v>0</v>
      </c>
    </row>
    <row r="90" spans="1:7" x14ac:dyDescent="0.25">
      <c r="A90" s="11">
        <f t="shared" si="5"/>
        <v>44</v>
      </c>
      <c r="B90" t="str">
        <f ca="1">TEXT(DATE(YEAR(Invoer!$A$5),1,1)+INT((ROWS(B$2:B90)-1)/2),"jjjjmmdd")</f>
        <v>19270214</v>
      </c>
      <c r="C90" s="26" t="str">
        <f>INDEX(Data,2,2+MOD(ROWS(C$2:C90)-1,2))</f>
        <v>08.00</v>
      </c>
      <c r="D90" s="39">
        <f t="shared" ca="1" si="6"/>
        <v>758.5</v>
      </c>
      <c r="E90" s="31">
        <f t="shared" ca="1" si="7"/>
        <v>0</v>
      </c>
      <c r="F90" s="40">
        <f t="shared" ca="1" si="8"/>
        <v>27</v>
      </c>
      <c r="G90" s="31">
        <f t="shared" ca="1" si="9"/>
        <v>0</v>
      </c>
    </row>
    <row r="91" spans="1:7" x14ac:dyDescent="0.25">
      <c r="A91" s="11">
        <f t="shared" si="5"/>
        <v>44</v>
      </c>
      <c r="B91" t="str">
        <f ca="1">TEXT(DATE(YEAR(Invoer!$A$5),1,1)+INT((ROWS(B$2:B91)-1)/2),"jjjjmmdd")</f>
        <v>19270214</v>
      </c>
      <c r="C91" s="26" t="str">
        <f>INDEX(Data,2,2+MOD(ROWS(C$2:C91)-1,2))</f>
        <v>15.00</v>
      </c>
      <c r="D91" s="39">
        <f t="shared" ca="1" si="6"/>
        <v>758</v>
      </c>
      <c r="E91" s="31">
        <f t="shared" ca="1" si="7"/>
        <v>0</v>
      </c>
      <c r="F91" s="40">
        <f t="shared" ca="1" si="8"/>
        <v>28</v>
      </c>
      <c r="G91" s="31">
        <f t="shared" ca="1" si="9"/>
        <v>0</v>
      </c>
    </row>
    <row r="92" spans="1:7" x14ac:dyDescent="0.25">
      <c r="A92" s="11">
        <f t="shared" si="5"/>
        <v>44</v>
      </c>
      <c r="B92" t="str">
        <f ca="1">TEXT(DATE(YEAR(Invoer!$A$5),1,1)+INT((ROWS(B$2:B92)-1)/2),"jjjjmmdd")</f>
        <v>19270215</v>
      </c>
      <c r="C92" s="26" t="str">
        <f>INDEX(Data,2,2+MOD(ROWS(C$2:C92)-1,2))</f>
        <v>08.00</v>
      </c>
      <c r="D92" s="39">
        <f t="shared" ca="1" si="6"/>
        <v>758.5</v>
      </c>
      <c r="E92" s="31">
        <f t="shared" ca="1" si="7"/>
        <v>0</v>
      </c>
      <c r="F92" s="40">
        <f t="shared" ca="1" si="8"/>
        <v>27</v>
      </c>
      <c r="G92" s="31">
        <f t="shared" ca="1" si="9"/>
        <v>0</v>
      </c>
    </row>
    <row r="93" spans="1:7" x14ac:dyDescent="0.25">
      <c r="A93" s="11">
        <f t="shared" si="5"/>
        <v>44</v>
      </c>
      <c r="B93" t="str">
        <f ca="1">TEXT(DATE(YEAR(Invoer!$A$5),1,1)+INT((ROWS(B$2:B93)-1)/2),"jjjjmmdd")</f>
        <v>19270215</v>
      </c>
      <c r="C93" s="26" t="str">
        <f>INDEX(Data,2,2+MOD(ROWS(C$2:C93)-1,2))</f>
        <v>15.00</v>
      </c>
      <c r="D93" s="39">
        <f t="shared" ca="1" si="6"/>
        <v>758</v>
      </c>
      <c r="E93" s="31">
        <f t="shared" ca="1" si="7"/>
        <v>0</v>
      </c>
      <c r="F93" s="40">
        <f t="shared" ca="1" si="8"/>
        <v>28.5</v>
      </c>
      <c r="G93" s="31">
        <f t="shared" ca="1" si="9"/>
        <v>0</v>
      </c>
    </row>
    <row r="94" spans="1:7" x14ac:dyDescent="0.25">
      <c r="A94" s="11">
        <f t="shared" si="5"/>
        <v>44</v>
      </c>
      <c r="B94" t="str">
        <f ca="1">TEXT(DATE(YEAR(Invoer!$A$5),1,1)+INT((ROWS(B$2:B94)-1)/2),"jjjjmmdd")</f>
        <v>19270216</v>
      </c>
      <c r="C94" s="26" t="str">
        <f>INDEX(Data,2,2+MOD(ROWS(C$2:C94)-1,2))</f>
        <v>08.00</v>
      </c>
      <c r="D94" s="39">
        <f t="shared" ca="1" si="6"/>
        <v>758.5</v>
      </c>
      <c r="E94" s="31">
        <f t="shared" ca="1" si="7"/>
        <v>0</v>
      </c>
      <c r="F94" s="40">
        <f t="shared" ca="1" si="8"/>
        <v>27</v>
      </c>
      <c r="G94" s="31">
        <f t="shared" ca="1" si="9"/>
        <v>0</v>
      </c>
    </row>
    <row r="95" spans="1:7" x14ac:dyDescent="0.25">
      <c r="A95" s="11">
        <f t="shared" si="5"/>
        <v>44</v>
      </c>
      <c r="B95" t="str">
        <f ca="1">TEXT(DATE(YEAR(Invoer!$A$5),1,1)+INT((ROWS(B$2:B95)-1)/2),"jjjjmmdd")</f>
        <v>19270216</v>
      </c>
      <c r="C95" s="26" t="str">
        <f>INDEX(Data,2,2+MOD(ROWS(C$2:C95)-1,2))</f>
        <v>15.00</v>
      </c>
      <c r="D95" s="39">
        <f t="shared" ca="1" si="6"/>
        <v>758</v>
      </c>
      <c r="E95" s="31">
        <f t="shared" ca="1" si="7"/>
        <v>0</v>
      </c>
      <c r="F95" s="40">
        <f t="shared" ca="1" si="8"/>
        <v>28.5</v>
      </c>
      <c r="G95" s="31">
        <f t="shared" ca="1" si="9"/>
        <v>0</v>
      </c>
    </row>
    <row r="96" spans="1:7" x14ac:dyDescent="0.25">
      <c r="A96" s="11">
        <f t="shared" si="5"/>
        <v>44</v>
      </c>
      <c r="B96" t="str">
        <f ca="1">TEXT(DATE(YEAR(Invoer!$A$5),1,1)+INT((ROWS(B$2:B96)-1)/2),"jjjjmmdd")</f>
        <v>19270217</v>
      </c>
      <c r="C96" s="26" t="str">
        <f>INDEX(Data,2,2+MOD(ROWS(C$2:C96)-1,2))</f>
        <v>08.00</v>
      </c>
      <c r="D96" s="39">
        <f t="shared" ca="1" si="6"/>
        <v>758.5</v>
      </c>
      <c r="E96" s="31">
        <f t="shared" ca="1" si="7"/>
        <v>0</v>
      </c>
      <c r="F96" s="40">
        <f t="shared" ca="1" si="8"/>
        <v>27</v>
      </c>
      <c r="G96" s="31">
        <f t="shared" ca="1" si="9"/>
        <v>0</v>
      </c>
    </row>
    <row r="97" spans="1:7" x14ac:dyDescent="0.25">
      <c r="A97" s="11">
        <f t="shared" si="5"/>
        <v>44</v>
      </c>
      <c r="B97" t="str">
        <f ca="1">TEXT(DATE(YEAR(Invoer!$A$5),1,1)+INT((ROWS(B$2:B97)-1)/2),"jjjjmmdd")</f>
        <v>19270217</v>
      </c>
      <c r="C97" s="26" t="str">
        <f>INDEX(Data,2,2+MOD(ROWS(C$2:C97)-1,2))</f>
        <v>15.00</v>
      </c>
      <c r="D97" s="39">
        <f t="shared" ca="1" si="6"/>
        <v>757</v>
      </c>
      <c r="E97" s="31">
        <f t="shared" ca="1" si="7"/>
        <v>0</v>
      </c>
      <c r="F97" s="40">
        <f t="shared" ca="1" si="8"/>
        <v>28</v>
      </c>
      <c r="G97" s="31">
        <f t="shared" ca="1" si="9"/>
        <v>0</v>
      </c>
    </row>
    <row r="98" spans="1:7" x14ac:dyDescent="0.25">
      <c r="A98" s="11">
        <f t="shared" si="5"/>
        <v>44</v>
      </c>
      <c r="B98" t="str">
        <f ca="1">TEXT(DATE(YEAR(Invoer!$A$5),1,1)+INT((ROWS(B$2:B98)-1)/2),"jjjjmmdd")</f>
        <v>19270218</v>
      </c>
      <c r="C98" s="26" t="str">
        <f>INDEX(Data,2,2+MOD(ROWS(C$2:C98)-1,2))</f>
        <v>08.00</v>
      </c>
      <c r="D98" s="39">
        <f t="shared" ca="1" si="6"/>
        <v>758.5</v>
      </c>
      <c r="E98" s="31">
        <f t="shared" ca="1" si="7"/>
        <v>0</v>
      </c>
      <c r="F98" s="40">
        <f t="shared" ca="1" si="8"/>
        <v>27</v>
      </c>
      <c r="G98" s="31">
        <f t="shared" ca="1" si="9"/>
        <v>0</v>
      </c>
    </row>
    <row r="99" spans="1:7" x14ac:dyDescent="0.25">
      <c r="A99" s="11">
        <f t="shared" si="5"/>
        <v>44</v>
      </c>
      <c r="B99" t="str">
        <f ca="1">TEXT(DATE(YEAR(Invoer!$A$5),1,1)+INT((ROWS(B$2:B99)-1)/2),"jjjjmmdd")</f>
        <v>19270218</v>
      </c>
      <c r="C99" s="26" t="str">
        <f>INDEX(Data,2,2+MOD(ROWS(C$2:C99)-1,2))</f>
        <v>15.00</v>
      </c>
      <c r="D99" s="39">
        <f t="shared" ca="1" si="6"/>
        <v>757</v>
      </c>
      <c r="E99" s="31">
        <f t="shared" ca="1" si="7"/>
        <v>0</v>
      </c>
      <c r="F99" s="40">
        <f t="shared" ca="1" si="8"/>
        <v>28</v>
      </c>
      <c r="G99" s="31">
        <f t="shared" ca="1" si="9"/>
        <v>0</v>
      </c>
    </row>
    <row r="100" spans="1:7" x14ac:dyDescent="0.25">
      <c r="A100" s="11">
        <f t="shared" si="5"/>
        <v>44</v>
      </c>
      <c r="B100" t="str">
        <f ca="1">TEXT(DATE(YEAR(Invoer!$A$5),1,1)+INT((ROWS(B$2:B100)-1)/2),"jjjjmmdd")</f>
        <v>19270219</v>
      </c>
      <c r="C100" s="26" t="str">
        <f>INDEX(Data,2,2+MOD(ROWS(C$2:C100)-1,2))</f>
        <v>08.00</v>
      </c>
      <c r="D100" s="39">
        <f t="shared" ca="1" si="6"/>
        <v>758.5</v>
      </c>
      <c r="E100" s="31">
        <f t="shared" ca="1" si="7"/>
        <v>0</v>
      </c>
      <c r="F100" s="40">
        <f t="shared" ca="1" si="8"/>
        <v>26.5</v>
      </c>
      <c r="G100" s="31">
        <f t="shared" ca="1" si="9"/>
        <v>0</v>
      </c>
    </row>
    <row r="101" spans="1:7" x14ac:dyDescent="0.25">
      <c r="A101" s="11">
        <f t="shared" si="5"/>
        <v>44</v>
      </c>
      <c r="B101" t="str">
        <f ca="1">TEXT(DATE(YEAR(Invoer!$A$5),1,1)+INT((ROWS(B$2:B101)-1)/2),"jjjjmmdd")</f>
        <v>19270219</v>
      </c>
      <c r="C101" s="26" t="str">
        <f>INDEX(Data,2,2+MOD(ROWS(C$2:C101)-1,2))</f>
        <v>15.00</v>
      </c>
      <c r="D101" s="39">
        <f t="shared" ca="1" si="6"/>
        <v>758</v>
      </c>
      <c r="E101" s="31">
        <f t="shared" ca="1" si="7"/>
        <v>0</v>
      </c>
      <c r="F101" s="40">
        <f t="shared" ca="1" si="8"/>
        <v>28</v>
      </c>
      <c r="G101" s="31">
        <f t="shared" ca="1" si="9"/>
        <v>0</v>
      </c>
    </row>
    <row r="102" spans="1:7" x14ac:dyDescent="0.25">
      <c r="A102" s="11">
        <f t="shared" si="5"/>
        <v>44</v>
      </c>
      <c r="B102" t="str">
        <f ca="1">TEXT(DATE(YEAR(Invoer!$A$5),1,1)+INT((ROWS(B$2:B102)-1)/2),"jjjjmmdd")</f>
        <v>19270220</v>
      </c>
      <c r="C102" s="26" t="str">
        <f>INDEX(Data,2,2+MOD(ROWS(C$2:C102)-1,2))</f>
        <v>08.00</v>
      </c>
      <c r="D102" s="39">
        <f t="shared" ca="1" si="6"/>
        <v>758.5</v>
      </c>
      <c r="E102" s="31">
        <f t="shared" ca="1" si="7"/>
        <v>0</v>
      </c>
      <c r="F102" s="40">
        <f t="shared" ca="1" si="8"/>
        <v>26.5</v>
      </c>
      <c r="G102" s="31">
        <f t="shared" ca="1" si="9"/>
        <v>0</v>
      </c>
    </row>
    <row r="103" spans="1:7" x14ac:dyDescent="0.25">
      <c r="A103" s="11">
        <f t="shared" si="5"/>
        <v>44</v>
      </c>
      <c r="B103" t="str">
        <f ca="1">TEXT(DATE(YEAR(Invoer!$A$5),1,1)+INT((ROWS(B$2:B103)-1)/2),"jjjjmmdd")</f>
        <v>19270220</v>
      </c>
      <c r="C103" s="26" t="str">
        <f>INDEX(Data,2,2+MOD(ROWS(C$2:C103)-1,2))</f>
        <v>15.00</v>
      </c>
      <c r="D103" s="39">
        <f t="shared" ca="1" si="6"/>
        <v>758</v>
      </c>
      <c r="E103" s="31">
        <f t="shared" ca="1" si="7"/>
        <v>0</v>
      </c>
      <c r="F103" s="40">
        <f t="shared" ca="1" si="8"/>
        <v>28</v>
      </c>
      <c r="G103" s="31">
        <f t="shared" ca="1" si="9"/>
        <v>0</v>
      </c>
    </row>
    <row r="104" spans="1:7" x14ac:dyDescent="0.25">
      <c r="A104" s="11">
        <f t="shared" si="5"/>
        <v>44</v>
      </c>
      <c r="B104" t="str">
        <f ca="1">TEXT(DATE(YEAR(Invoer!$A$5),1,1)+INT((ROWS(B$2:B104)-1)/2),"jjjjmmdd")</f>
        <v>19270221</v>
      </c>
      <c r="C104" s="26" t="str">
        <f>INDEX(Data,2,2+MOD(ROWS(C$2:C104)-1,2))</f>
        <v>08.00</v>
      </c>
      <c r="D104" s="39">
        <f t="shared" ca="1" si="6"/>
        <v>758.5</v>
      </c>
      <c r="E104" s="31">
        <f t="shared" ca="1" si="7"/>
        <v>0</v>
      </c>
      <c r="F104" s="40">
        <f t="shared" ca="1" si="8"/>
        <v>26.5</v>
      </c>
      <c r="G104" s="31">
        <f t="shared" ca="1" si="9"/>
        <v>0</v>
      </c>
    </row>
    <row r="105" spans="1:7" x14ac:dyDescent="0.25">
      <c r="A105" s="11">
        <f t="shared" si="5"/>
        <v>44</v>
      </c>
      <c r="B105" t="str">
        <f ca="1">TEXT(DATE(YEAR(Invoer!$A$5),1,1)+INT((ROWS(B$2:B105)-1)/2),"jjjjmmdd")</f>
        <v>19270221</v>
      </c>
      <c r="C105" s="26" t="str">
        <f>INDEX(Data,2,2+MOD(ROWS(C$2:C105)-1,2))</f>
        <v>15.00</v>
      </c>
      <c r="D105" s="39">
        <f t="shared" ca="1" si="6"/>
        <v>758</v>
      </c>
      <c r="E105" s="31">
        <f t="shared" ca="1" si="7"/>
        <v>0</v>
      </c>
      <c r="F105" s="40">
        <f t="shared" ca="1" si="8"/>
        <v>28</v>
      </c>
      <c r="G105" s="31">
        <f t="shared" ca="1" si="9"/>
        <v>0</v>
      </c>
    </row>
    <row r="106" spans="1:7" x14ac:dyDescent="0.25">
      <c r="A106" s="11">
        <f t="shared" si="5"/>
        <v>44</v>
      </c>
      <c r="B106" t="str">
        <f ca="1">TEXT(DATE(YEAR(Invoer!$A$5),1,1)+INT((ROWS(B$2:B106)-1)/2),"jjjjmmdd")</f>
        <v>19270222</v>
      </c>
      <c r="C106" s="26" t="str">
        <f>INDEX(Data,2,2+MOD(ROWS(C$2:C106)-1,2))</f>
        <v>08.00</v>
      </c>
      <c r="D106" s="39">
        <f t="shared" ca="1" si="6"/>
        <v>758.5</v>
      </c>
      <c r="E106" s="31">
        <f t="shared" ca="1" si="7"/>
        <v>0</v>
      </c>
      <c r="F106" s="40">
        <f t="shared" ca="1" si="8"/>
        <v>26.5</v>
      </c>
      <c r="G106" s="31">
        <f t="shared" ca="1" si="9"/>
        <v>0</v>
      </c>
    </row>
    <row r="107" spans="1:7" x14ac:dyDescent="0.25">
      <c r="A107" s="11">
        <f t="shared" si="5"/>
        <v>44</v>
      </c>
      <c r="B107" t="str">
        <f ca="1">TEXT(DATE(YEAR(Invoer!$A$5),1,1)+INT((ROWS(B$2:B107)-1)/2),"jjjjmmdd")</f>
        <v>19270222</v>
      </c>
      <c r="C107" s="26" t="str">
        <f>INDEX(Data,2,2+MOD(ROWS(C$2:C107)-1,2))</f>
        <v>15.00</v>
      </c>
      <c r="D107" s="39">
        <f t="shared" ca="1" si="6"/>
        <v>758</v>
      </c>
      <c r="E107" s="31">
        <f t="shared" ca="1" si="7"/>
        <v>0</v>
      </c>
      <c r="F107" s="40">
        <f t="shared" ca="1" si="8"/>
        <v>28</v>
      </c>
      <c r="G107" s="31">
        <f t="shared" ca="1" si="9"/>
        <v>0</v>
      </c>
    </row>
    <row r="108" spans="1:7" x14ac:dyDescent="0.25">
      <c r="A108" s="11">
        <f t="shared" si="5"/>
        <v>44</v>
      </c>
      <c r="B108" t="str">
        <f ca="1">TEXT(DATE(YEAR(Invoer!$A$5),1,1)+INT((ROWS(B$2:B108)-1)/2),"jjjjmmdd")</f>
        <v>19270223</v>
      </c>
      <c r="C108" s="26" t="str">
        <f>INDEX(Data,2,2+MOD(ROWS(C$2:C108)-1,2))</f>
        <v>08.00</v>
      </c>
      <c r="D108" s="39">
        <f t="shared" ca="1" si="6"/>
        <v>758.5</v>
      </c>
      <c r="E108" s="31">
        <f t="shared" ca="1" si="7"/>
        <v>0</v>
      </c>
      <c r="F108" s="40">
        <f t="shared" ca="1" si="8"/>
        <v>27</v>
      </c>
      <c r="G108" s="31">
        <f t="shared" ca="1" si="9"/>
        <v>0</v>
      </c>
    </row>
    <row r="109" spans="1:7" x14ac:dyDescent="0.25">
      <c r="A109" s="11">
        <f t="shared" si="5"/>
        <v>44</v>
      </c>
      <c r="B109" t="str">
        <f ca="1">TEXT(DATE(YEAR(Invoer!$A$5),1,1)+INT((ROWS(B$2:B109)-1)/2),"jjjjmmdd")</f>
        <v>19270223</v>
      </c>
      <c r="C109" s="26" t="str">
        <f>INDEX(Data,2,2+MOD(ROWS(C$2:C109)-1,2))</f>
        <v>15.00</v>
      </c>
      <c r="D109" s="39">
        <f t="shared" ca="1" si="6"/>
        <v>757.5</v>
      </c>
      <c r="E109" s="31">
        <f t="shared" ca="1" si="7"/>
        <v>0</v>
      </c>
      <c r="F109" s="40">
        <f t="shared" ca="1" si="8"/>
        <v>27.5</v>
      </c>
      <c r="G109" s="31">
        <f t="shared" ca="1" si="9"/>
        <v>0</v>
      </c>
    </row>
    <row r="110" spans="1:7" x14ac:dyDescent="0.25">
      <c r="A110" s="11">
        <f t="shared" si="5"/>
        <v>44</v>
      </c>
      <c r="B110" t="str">
        <f ca="1">TEXT(DATE(YEAR(Invoer!$A$5),1,1)+INT((ROWS(B$2:B110)-1)/2),"jjjjmmdd")</f>
        <v>19270224</v>
      </c>
      <c r="C110" s="26" t="str">
        <f>INDEX(Data,2,2+MOD(ROWS(C$2:C110)-1,2))</f>
        <v>08.00</v>
      </c>
      <c r="D110" s="39">
        <f t="shared" ca="1" si="6"/>
        <v>758.5</v>
      </c>
      <c r="E110" s="31">
        <f t="shared" ca="1" si="7"/>
        <v>0</v>
      </c>
      <c r="F110" s="40">
        <f t="shared" ca="1" si="8"/>
        <v>26.5</v>
      </c>
      <c r="G110" s="31">
        <f t="shared" ca="1" si="9"/>
        <v>0</v>
      </c>
    </row>
    <row r="111" spans="1:7" x14ac:dyDescent="0.25">
      <c r="A111" s="11">
        <f t="shared" si="5"/>
        <v>44</v>
      </c>
      <c r="B111" t="str">
        <f ca="1">TEXT(DATE(YEAR(Invoer!$A$5),1,1)+INT((ROWS(B$2:B111)-1)/2),"jjjjmmdd")</f>
        <v>19270224</v>
      </c>
      <c r="C111" s="26" t="str">
        <f>INDEX(Data,2,2+MOD(ROWS(C$2:C111)-1,2))</f>
        <v>15.00</v>
      </c>
      <c r="D111" s="39">
        <f t="shared" ca="1" si="6"/>
        <v>757.5</v>
      </c>
      <c r="E111" s="31">
        <f t="shared" ca="1" si="7"/>
        <v>0</v>
      </c>
      <c r="F111" s="40">
        <f t="shared" ca="1" si="8"/>
        <v>27</v>
      </c>
      <c r="G111" s="31">
        <f t="shared" ca="1" si="9"/>
        <v>0</v>
      </c>
    </row>
    <row r="112" spans="1:7" x14ac:dyDescent="0.25">
      <c r="A112" s="11">
        <f t="shared" si="5"/>
        <v>44</v>
      </c>
      <c r="B112" t="str">
        <f ca="1">TEXT(DATE(YEAR(Invoer!$A$5),1,1)+INT((ROWS(B$2:B112)-1)/2),"jjjjmmdd")</f>
        <v>19270225</v>
      </c>
      <c r="C112" s="26" t="str">
        <f>INDEX(Data,2,2+MOD(ROWS(C$2:C112)-1,2))</f>
        <v>08.00</v>
      </c>
      <c r="D112" s="39">
        <f t="shared" ca="1" si="6"/>
        <v>758.5</v>
      </c>
      <c r="E112" s="31">
        <f t="shared" ca="1" si="7"/>
        <v>0</v>
      </c>
      <c r="F112" s="40">
        <f t="shared" ca="1" si="8"/>
        <v>26.5</v>
      </c>
      <c r="G112" s="31">
        <f t="shared" ca="1" si="9"/>
        <v>0</v>
      </c>
    </row>
    <row r="113" spans="1:7" x14ac:dyDescent="0.25">
      <c r="A113" s="11">
        <f t="shared" si="5"/>
        <v>44</v>
      </c>
      <c r="B113" t="str">
        <f ca="1">TEXT(DATE(YEAR(Invoer!$A$5),1,1)+INT((ROWS(B$2:B113)-1)/2),"jjjjmmdd")</f>
        <v>19270225</v>
      </c>
      <c r="C113" s="26" t="str">
        <f>INDEX(Data,2,2+MOD(ROWS(C$2:C113)-1,2))</f>
        <v>15.00</v>
      </c>
      <c r="D113" s="39">
        <f t="shared" ca="1" si="6"/>
        <v>757</v>
      </c>
      <c r="E113" s="31">
        <f t="shared" ca="1" si="7"/>
        <v>0</v>
      </c>
      <c r="F113" s="40">
        <f t="shared" ca="1" si="8"/>
        <v>28</v>
      </c>
      <c r="G113" s="31">
        <f t="shared" ca="1" si="9"/>
        <v>0</v>
      </c>
    </row>
    <row r="114" spans="1:7" x14ac:dyDescent="0.25">
      <c r="A114" s="11">
        <f t="shared" si="5"/>
        <v>44</v>
      </c>
      <c r="B114" t="str">
        <f ca="1">TEXT(DATE(YEAR(Invoer!$A$5),1,1)+INT((ROWS(B$2:B114)-1)/2),"jjjjmmdd")</f>
        <v>19270226</v>
      </c>
      <c r="C114" s="26" t="str">
        <f>INDEX(Data,2,2+MOD(ROWS(C$2:C114)-1,2))</f>
        <v>08.00</v>
      </c>
      <c r="D114" s="39">
        <f t="shared" ca="1" si="6"/>
        <v>758</v>
      </c>
      <c r="E114" s="31">
        <f t="shared" ca="1" si="7"/>
        <v>0</v>
      </c>
      <c r="F114" s="40">
        <f t="shared" ca="1" si="8"/>
        <v>27</v>
      </c>
      <c r="G114" s="31">
        <f t="shared" ca="1" si="9"/>
        <v>0</v>
      </c>
    </row>
    <row r="115" spans="1:7" x14ac:dyDescent="0.25">
      <c r="A115" s="11">
        <f t="shared" si="5"/>
        <v>44</v>
      </c>
      <c r="B115" t="str">
        <f ca="1">TEXT(DATE(YEAR(Invoer!$A$5),1,1)+INT((ROWS(B$2:B115)-1)/2),"jjjjmmdd")</f>
        <v>19270226</v>
      </c>
      <c r="C115" s="26" t="str">
        <f>INDEX(Data,2,2+MOD(ROWS(C$2:C115)-1,2))</f>
        <v>15.00</v>
      </c>
      <c r="D115" s="39">
        <f t="shared" ca="1" si="6"/>
        <v>756</v>
      </c>
      <c r="E115" s="31">
        <f t="shared" ca="1" si="7"/>
        <v>0</v>
      </c>
      <c r="F115" s="40">
        <f t="shared" ca="1" si="8"/>
        <v>28</v>
      </c>
      <c r="G115" s="31">
        <f t="shared" ca="1" si="9"/>
        <v>0</v>
      </c>
    </row>
    <row r="116" spans="1:7" x14ac:dyDescent="0.25">
      <c r="A116" s="11">
        <f t="shared" si="5"/>
        <v>44</v>
      </c>
      <c r="B116" t="str">
        <f ca="1">TEXT(DATE(YEAR(Invoer!$A$5),1,1)+INT((ROWS(B$2:B116)-1)/2),"jjjjmmdd")</f>
        <v>19270227</v>
      </c>
      <c r="C116" s="26" t="str">
        <f>INDEX(Data,2,2+MOD(ROWS(C$2:C116)-1,2))</f>
        <v>08.00</v>
      </c>
      <c r="D116" s="39">
        <f t="shared" ca="1" si="6"/>
        <v>758</v>
      </c>
      <c r="E116" s="31">
        <f t="shared" ca="1" si="7"/>
        <v>0</v>
      </c>
      <c r="F116" s="40">
        <f t="shared" ca="1" si="8"/>
        <v>27</v>
      </c>
      <c r="G116" s="31">
        <f t="shared" ca="1" si="9"/>
        <v>0</v>
      </c>
    </row>
    <row r="117" spans="1:7" x14ac:dyDescent="0.25">
      <c r="A117" s="11">
        <f t="shared" si="5"/>
        <v>44</v>
      </c>
      <c r="B117" t="str">
        <f ca="1">TEXT(DATE(YEAR(Invoer!$A$5),1,1)+INT((ROWS(B$2:B117)-1)/2),"jjjjmmdd")</f>
        <v>19270227</v>
      </c>
      <c r="C117" s="26" t="str">
        <f>INDEX(Data,2,2+MOD(ROWS(C$2:C117)-1,2))</f>
        <v>15.00</v>
      </c>
      <c r="D117" s="39">
        <f t="shared" ca="1" si="6"/>
        <v>756</v>
      </c>
      <c r="E117" s="31">
        <f t="shared" ca="1" si="7"/>
        <v>0</v>
      </c>
      <c r="F117" s="40">
        <f t="shared" ca="1" si="8"/>
        <v>28</v>
      </c>
      <c r="G117" s="31">
        <f t="shared" ca="1" si="9"/>
        <v>0</v>
      </c>
    </row>
    <row r="118" spans="1:7" x14ac:dyDescent="0.25">
      <c r="A118" s="11">
        <f t="shared" si="5"/>
        <v>44</v>
      </c>
      <c r="B118" t="str">
        <f ca="1">TEXT(DATE(YEAR(Invoer!$A$5),1,1)+INT((ROWS(B$2:B118)-1)/2),"jjjjmmdd")</f>
        <v>19270228</v>
      </c>
      <c r="C118" s="26" t="str">
        <f>INDEX(Data,2,2+MOD(ROWS(C$2:C118)-1,2))</f>
        <v>08.00</v>
      </c>
      <c r="D118" s="39">
        <f t="shared" ca="1" si="6"/>
        <v>758.5</v>
      </c>
      <c r="E118" s="31">
        <f t="shared" ca="1" si="7"/>
        <v>0</v>
      </c>
      <c r="F118" s="40">
        <f t="shared" ca="1" si="8"/>
        <v>28</v>
      </c>
      <c r="G118" s="31">
        <f t="shared" ca="1" si="9"/>
        <v>0</v>
      </c>
    </row>
    <row r="119" spans="1:7" x14ac:dyDescent="0.25">
      <c r="A119" s="11">
        <f t="shared" si="5"/>
        <v>44</v>
      </c>
      <c r="B119" t="str">
        <f ca="1">TEXT(DATE(YEAR(Invoer!$A$5),1,1)+INT((ROWS(B$2:B119)-1)/2),"jjjjmmdd")</f>
        <v>19270228</v>
      </c>
      <c r="C119" s="26" t="str">
        <f>INDEX(Data,2,2+MOD(ROWS(C$2:C119)-1,2))</f>
        <v>15.00</v>
      </c>
      <c r="D119" s="39">
        <f t="shared" ca="1" si="6"/>
        <v>757</v>
      </c>
      <c r="E119" s="31">
        <f t="shared" ca="1" si="7"/>
        <v>0</v>
      </c>
      <c r="F119" s="40">
        <f t="shared" ca="1" si="8"/>
        <v>28</v>
      </c>
      <c r="G119" s="31">
        <f t="shared" ca="1" si="9"/>
        <v>0</v>
      </c>
    </row>
    <row r="120" spans="1:7" x14ac:dyDescent="0.25">
      <c r="A120" s="11">
        <f t="shared" si="5"/>
        <v>44</v>
      </c>
      <c r="B120" t="str">
        <f ca="1">TEXT(DATE(YEAR(Invoer!$A$5),1,1)+INT((ROWS(B$2:B120)-1)/2),"jjjjmmdd")</f>
        <v>19270301</v>
      </c>
      <c r="C120" s="26" t="str">
        <f>INDEX(Data,2,2+MOD(ROWS(C$2:C120)-1,2))</f>
        <v>08.00</v>
      </c>
      <c r="D120" s="39">
        <f t="shared" ca="1" si="6"/>
        <v>758.5</v>
      </c>
      <c r="E120" s="31">
        <f t="shared" ca="1" si="7"/>
        <v>0</v>
      </c>
      <c r="F120" s="40">
        <f t="shared" ca="1" si="8"/>
        <v>28</v>
      </c>
      <c r="G120" s="31">
        <f t="shared" ca="1" si="9"/>
        <v>0</v>
      </c>
    </row>
    <row r="121" spans="1:7" x14ac:dyDescent="0.25">
      <c r="A121" s="11">
        <f t="shared" si="5"/>
        <v>44</v>
      </c>
      <c r="B121" t="str">
        <f ca="1">TEXT(DATE(YEAR(Invoer!$A$5),1,1)+INT((ROWS(B$2:B121)-1)/2),"jjjjmmdd")</f>
        <v>19270301</v>
      </c>
      <c r="C121" s="26" t="str">
        <f>INDEX(Data,2,2+MOD(ROWS(C$2:C121)-1,2))</f>
        <v>15.00</v>
      </c>
      <c r="D121" s="39">
        <f t="shared" ca="1" si="6"/>
        <v>756.5</v>
      </c>
      <c r="E121" s="31">
        <f t="shared" ca="1" si="7"/>
        <v>0</v>
      </c>
      <c r="F121" s="40">
        <f t="shared" ca="1" si="8"/>
        <v>29</v>
      </c>
      <c r="G121" s="31">
        <f t="shared" ca="1" si="9"/>
        <v>0</v>
      </c>
    </row>
    <row r="122" spans="1:7" x14ac:dyDescent="0.25">
      <c r="A122" s="11">
        <f t="shared" si="5"/>
        <v>44</v>
      </c>
      <c r="B122" t="str">
        <f ca="1">TEXT(DATE(YEAR(Invoer!$A$5),1,1)+INT((ROWS(B$2:B122)-1)/2),"jjjjmmdd")</f>
        <v>19270302</v>
      </c>
      <c r="C122" s="26" t="str">
        <f>INDEX(Data,2,2+MOD(ROWS(C$2:C122)-1,2))</f>
        <v>08.00</v>
      </c>
      <c r="D122" s="39">
        <f t="shared" ca="1" si="6"/>
        <v>757.5</v>
      </c>
      <c r="E122" s="31">
        <f t="shared" ca="1" si="7"/>
        <v>0</v>
      </c>
      <c r="F122" s="40">
        <f t="shared" ca="1" si="8"/>
        <v>27</v>
      </c>
      <c r="G122" s="31">
        <f t="shared" ca="1" si="9"/>
        <v>0</v>
      </c>
    </row>
    <row r="123" spans="1:7" x14ac:dyDescent="0.25">
      <c r="A123" s="11">
        <f t="shared" si="5"/>
        <v>44</v>
      </c>
      <c r="B123" t="str">
        <f ca="1">TEXT(DATE(YEAR(Invoer!$A$5),1,1)+INT((ROWS(B$2:B123)-1)/2),"jjjjmmdd")</f>
        <v>19270302</v>
      </c>
      <c r="C123" s="26" t="str">
        <f>INDEX(Data,2,2+MOD(ROWS(C$2:C123)-1,2))</f>
        <v>15.00</v>
      </c>
      <c r="D123" s="39">
        <f t="shared" ca="1" si="6"/>
        <v>755.5</v>
      </c>
      <c r="E123" s="31">
        <f t="shared" ca="1" si="7"/>
        <v>0</v>
      </c>
      <c r="F123" s="40">
        <f t="shared" ca="1" si="8"/>
        <v>28.5</v>
      </c>
      <c r="G123" s="31">
        <f t="shared" ca="1" si="9"/>
        <v>0</v>
      </c>
    </row>
    <row r="124" spans="1:7" x14ac:dyDescent="0.25">
      <c r="A124" s="11">
        <f t="shared" si="5"/>
        <v>44</v>
      </c>
      <c r="B124" t="str">
        <f ca="1">TEXT(DATE(YEAR(Invoer!$A$5),1,1)+INT((ROWS(B$2:B124)-1)/2),"jjjjmmdd")</f>
        <v>19270303</v>
      </c>
      <c r="C124" s="26" t="str">
        <f>INDEX(Data,2,2+MOD(ROWS(C$2:C124)-1,2))</f>
        <v>08.00</v>
      </c>
      <c r="D124" s="39">
        <f t="shared" ca="1" si="6"/>
        <v>758.5</v>
      </c>
      <c r="E124" s="31">
        <f t="shared" ca="1" si="7"/>
        <v>0</v>
      </c>
      <c r="F124" s="40">
        <f t="shared" ca="1" si="8"/>
        <v>28</v>
      </c>
      <c r="G124" s="31">
        <f t="shared" ca="1" si="9"/>
        <v>0</v>
      </c>
    </row>
    <row r="125" spans="1:7" x14ac:dyDescent="0.25">
      <c r="A125" s="11">
        <f t="shared" si="5"/>
        <v>44</v>
      </c>
      <c r="B125" t="str">
        <f ca="1">TEXT(DATE(YEAR(Invoer!$A$5),1,1)+INT((ROWS(B$2:B125)-1)/2),"jjjjmmdd")</f>
        <v>19270303</v>
      </c>
      <c r="C125" s="26" t="str">
        <f>INDEX(Data,2,2+MOD(ROWS(C$2:C125)-1,2))</f>
        <v>15.00</v>
      </c>
      <c r="D125" s="39">
        <f t="shared" ca="1" si="6"/>
        <v>756</v>
      </c>
      <c r="E125" s="31">
        <f t="shared" ca="1" si="7"/>
        <v>0</v>
      </c>
      <c r="F125" s="40">
        <f t="shared" ca="1" si="8"/>
        <v>29</v>
      </c>
      <c r="G125" s="31">
        <f t="shared" ca="1" si="9"/>
        <v>0</v>
      </c>
    </row>
    <row r="126" spans="1:7" x14ac:dyDescent="0.25">
      <c r="A126" s="11">
        <f t="shared" si="5"/>
        <v>44</v>
      </c>
      <c r="B126" t="str">
        <f ca="1">TEXT(DATE(YEAR(Invoer!$A$5),1,1)+INT((ROWS(B$2:B126)-1)/2),"jjjjmmdd")</f>
        <v>19270304</v>
      </c>
      <c r="C126" s="26" t="str">
        <f>INDEX(Data,2,2+MOD(ROWS(C$2:C126)-1,2))</f>
        <v>08.00</v>
      </c>
      <c r="D126" s="39">
        <f t="shared" ca="1" si="6"/>
        <v>758.5</v>
      </c>
      <c r="E126" s="31">
        <f t="shared" ca="1" si="7"/>
        <v>0</v>
      </c>
      <c r="F126" s="40">
        <f t="shared" ca="1" si="8"/>
        <v>28</v>
      </c>
      <c r="G126" s="31">
        <f t="shared" ca="1" si="9"/>
        <v>0</v>
      </c>
    </row>
    <row r="127" spans="1:7" x14ac:dyDescent="0.25">
      <c r="A127" s="11">
        <f t="shared" si="5"/>
        <v>44</v>
      </c>
      <c r="B127" t="str">
        <f ca="1">TEXT(DATE(YEAR(Invoer!$A$5),1,1)+INT((ROWS(B$2:B127)-1)/2),"jjjjmmdd")</f>
        <v>19270304</v>
      </c>
      <c r="C127" s="26" t="str">
        <f>INDEX(Data,2,2+MOD(ROWS(C$2:C127)-1,2))</f>
        <v>15.00</v>
      </c>
      <c r="D127" s="39">
        <f t="shared" ca="1" si="6"/>
        <v>757</v>
      </c>
      <c r="E127" s="31">
        <f t="shared" ca="1" si="7"/>
        <v>0</v>
      </c>
      <c r="F127" s="40">
        <f t="shared" ca="1" si="8"/>
        <v>29</v>
      </c>
      <c r="G127" s="31">
        <f t="shared" ca="1" si="9"/>
        <v>0</v>
      </c>
    </row>
    <row r="128" spans="1:7" x14ac:dyDescent="0.25">
      <c r="A128" s="11">
        <f t="shared" si="5"/>
        <v>44</v>
      </c>
      <c r="B128" t="str">
        <f ca="1">TEXT(DATE(YEAR(Invoer!$A$5),1,1)+INT((ROWS(B$2:B128)-1)/2),"jjjjmmdd")</f>
        <v>19270305</v>
      </c>
      <c r="C128" s="26" t="str">
        <f>INDEX(Data,2,2+MOD(ROWS(C$2:C128)-1,2))</f>
        <v>08.00</v>
      </c>
      <c r="D128" s="39">
        <f t="shared" ca="1" si="6"/>
        <v>758.5</v>
      </c>
      <c r="E128" s="31">
        <f t="shared" ca="1" si="7"/>
        <v>0</v>
      </c>
      <c r="F128" s="40">
        <f t="shared" ca="1" si="8"/>
        <v>28</v>
      </c>
      <c r="G128" s="31">
        <f t="shared" ca="1" si="9"/>
        <v>0</v>
      </c>
    </row>
    <row r="129" spans="1:7" x14ac:dyDescent="0.25">
      <c r="A129" s="11">
        <f t="shared" si="5"/>
        <v>44</v>
      </c>
      <c r="B129" t="str">
        <f ca="1">TEXT(DATE(YEAR(Invoer!$A$5),1,1)+INT((ROWS(B$2:B129)-1)/2),"jjjjmmdd")</f>
        <v>19270305</v>
      </c>
      <c r="C129" s="26" t="str">
        <f>INDEX(Data,2,2+MOD(ROWS(C$2:C129)-1,2))</f>
        <v>15.00</v>
      </c>
      <c r="D129" s="39">
        <f t="shared" ca="1" si="6"/>
        <v>758</v>
      </c>
      <c r="E129" s="31">
        <f t="shared" ca="1" si="7"/>
        <v>0</v>
      </c>
      <c r="F129" s="40">
        <f t="shared" ca="1" si="8"/>
        <v>28.5</v>
      </c>
      <c r="G129" s="31">
        <f t="shared" ca="1" si="9"/>
        <v>0</v>
      </c>
    </row>
    <row r="130" spans="1:7" x14ac:dyDescent="0.25">
      <c r="A130" s="11">
        <f t="shared" ref="A130:A193" si="10">INDEX(Stations,2,1)</f>
        <v>44</v>
      </c>
      <c r="B130" t="str">
        <f ca="1">TEXT(DATE(YEAR(Invoer!$A$5),1,1)+INT((ROWS(B$2:B130)-1)/2),"jjjjmmdd")</f>
        <v>19270306</v>
      </c>
      <c r="C130" s="26" t="str">
        <f>INDEX(Data,2,2+MOD(ROWS(C$2:C130)-1,2))</f>
        <v>08.00</v>
      </c>
      <c r="D130" s="39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/10)</f>
        <v>758.5</v>
      </c>
      <c r="E130" s="31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  <c r="F130" s="40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VLOOKUP(DATEVALUE(LEFT($B130,4)&amp;"-"&amp;MID($B130,5,2)&amp;"-"&amp;RIGHT($B130,2)),Data,MATCH(LEFT(VLOOKUP(F$1,Parameters,2,FALSE()),4)&amp;"*",OFFSET(Data,0,0,1),0)+MATCH($C130,OFFSET(Data,1,0,1),0)-2,FALSE())/10)</f>
        <v>28</v>
      </c>
      <c r="G130" s="31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0</v>
      </c>
    </row>
    <row r="131" spans="1:7" x14ac:dyDescent="0.25">
      <c r="A131" s="11">
        <f t="shared" si="10"/>
        <v>44</v>
      </c>
      <c r="B131" t="str">
        <f ca="1">TEXT(DATE(YEAR(Invoer!$A$5),1,1)+INT((ROWS(B$2:B131)-1)/2),"jjjjmmdd")</f>
        <v>19270306</v>
      </c>
      <c r="C131" s="26" t="str">
        <f>INDEX(Data,2,2+MOD(ROWS(C$2:C131)-1,2))</f>
        <v>15.00</v>
      </c>
      <c r="D131" s="39">
        <f t="shared" ca="1" si="11"/>
        <v>758</v>
      </c>
      <c r="E131" s="31">
        <f t="shared" ca="1" si="12"/>
        <v>0</v>
      </c>
      <c r="F131" s="40">
        <f t="shared" ca="1" si="13"/>
        <v>28.5</v>
      </c>
      <c r="G131" s="31">
        <f t="shared" ca="1" si="14"/>
        <v>0</v>
      </c>
    </row>
    <row r="132" spans="1:7" x14ac:dyDescent="0.25">
      <c r="A132" s="11">
        <f t="shared" si="10"/>
        <v>44</v>
      </c>
      <c r="B132" t="str">
        <f ca="1">TEXT(DATE(YEAR(Invoer!$A$5),1,1)+INT((ROWS(B$2:B132)-1)/2),"jjjjmmdd")</f>
        <v>19270307</v>
      </c>
      <c r="C132" s="26" t="str">
        <f>INDEX(Data,2,2+MOD(ROWS(C$2:C132)-1,2))</f>
        <v>08.00</v>
      </c>
      <c r="D132" s="39">
        <f t="shared" ca="1" si="11"/>
        <v>758.5</v>
      </c>
      <c r="E132" s="31">
        <f t="shared" ca="1" si="12"/>
        <v>0</v>
      </c>
      <c r="F132" s="40">
        <f t="shared" ca="1" si="13"/>
        <v>27.5</v>
      </c>
      <c r="G132" s="31">
        <f t="shared" ca="1" si="14"/>
        <v>0</v>
      </c>
    </row>
    <row r="133" spans="1:7" x14ac:dyDescent="0.25">
      <c r="A133" s="11">
        <f t="shared" si="10"/>
        <v>44</v>
      </c>
      <c r="B133" t="str">
        <f ca="1">TEXT(DATE(YEAR(Invoer!$A$5),1,1)+INT((ROWS(B$2:B133)-1)/2),"jjjjmmdd")</f>
        <v>19270307</v>
      </c>
      <c r="C133" s="26" t="str">
        <f>INDEX(Data,2,2+MOD(ROWS(C$2:C133)-1,2))</f>
        <v>15.00</v>
      </c>
      <c r="D133" s="39">
        <f t="shared" ca="1" si="11"/>
        <v>756.5</v>
      </c>
      <c r="E133" s="31">
        <f t="shared" ca="1" si="12"/>
        <v>0</v>
      </c>
      <c r="F133" s="40">
        <f t="shared" ca="1" si="13"/>
        <v>27.5</v>
      </c>
      <c r="G133" s="31">
        <f t="shared" ca="1" si="14"/>
        <v>0</v>
      </c>
    </row>
    <row r="134" spans="1:7" x14ac:dyDescent="0.25">
      <c r="A134" s="11">
        <f t="shared" si="10"/>
        <v>44</v>
      </c>
      <c r="B134" t="str">
        <f ca="1">TEXT(DATE(YEAR(Invoer!$A$5),1,1)+INT((ROWS(B$2:B134)-1)/2),"jjjjmmdd")</f>
        <v>19270308</v>
      </c>
      <c r="C134" s="26" t="str">
        <f>INDEX(Data,2,2+MOD(ROWS(C$2:C134)-1,2))</f>
        <v>08.00</v>
      </c>
      <c r="D134" s="39">
        <f t="shared" ca="1" si="11"/>
        <v>758.5</v>
      </c>
      <c r="E134" s="31">
        <f t="shared" ca="1" si="12"/>
        <v>0</v>
      </c>
      <c r="F134" s="40">
        <f t="shared" ca="1" si="13"/>
        <v>27</v>
      </c>
      <c r="G134" s="31">
        <f t="shared" ca="1" si="14"/>
        <v>0</v>
      </c>
    </row>
    <row r="135" spans="1:7" x14ac:dyDescent="0.25">
      <c r="A135" s="11">
        <f t="shared" si="10"/>
        <v>44</v>
      </c>
      <c r="B135" t="str">
        <f ca="1">TEXT(DATE(YEAR(Invoer!$A$5),1,1)+INT((ROWS(B$2:B135)-1)/2),"jjjjmmdd")</f>
        <v>19270308</v>
      </c>
      <c r="C135" s="26" t="str">
        <f>INDEX(Data,2,2+MOD(ROWS(C$2:C135)-1,2))</f>
        <v>15.00</v>
      </c>
      <c r="D135" s="39">
        <f t="shared" ca="1" si="11"/>
        <v>756.5</v>
      </c>
      <c r="E135" s="31">
        <f t="shared" ca="1" si="12"/>
        <v>0</v>
      </c>
      <c r="F135" s="40">
        <f t="shared" ca="1" si="13"/>
        <v>28</v>
      </c>
      <c r="G135" s="31">
        <f t="shared" ca="1" si="14"/>
        <v>0</v>
      </c>
    </row>
    <row r="136" spans="1:7" x14ac:dyDescent="0.25">
      <c r="A136" s="11">
        <f t="shared" si="10"/>
        <v>44</v>
      </c>
      <c r="B136" t="str">
        <f ca="1">TEXT(DATE(YEAR(Invoer!$A$5),1,1)+INT((ROWS(B$2:B136)-1)/2),"jjjjmmdd")</f>
        <v>19270309</v>
      </c>
      <c r="C136" s="26" t="str">
        <f>INDEX(Data,2,2+MOD(ROWS(C$2:C136)-1,2))</f>
        <v>08.00</v>
      </c>
      <c r="D136" s="39">
        <f t="shared" ca="1" si="11"/>
        <v>758.5</v>
      </c>
      <c r="E136" s="31">
        <f t="shared" ca="1" si="12"/>
        <v>0</v>
      </c>
      <c r="F136" s="40">
        <f t="shared" ca="1" si="13"/>
        <v>27</v>
      </c>
      <c r="G136" s="31">
        <f t="shared" ca="1" si="14"/>
        <v>0</v>
      </c>
    </row>
    <row r="137" spans="1:7" x14ac:dyDescent="0.25">
      <c r="A137" s="11">
        <f t="shared" si="10"/>
        <v>44</v>
      </c>
      <c r="B137" t="str">
        <f ca="1">TEXT(DATE(YEAR(Invoer!$A$5),1,1)+INT((ROWS(B$2:B137)-1)/2),"jjjjmmdd")</f>
        <v>19270309</v>
      </c>
      <c r="C137" s="26" t="str">
        <f>INDEX(Data,2,2+MOD(ROWS(C$2:C137)-1,2))</f>
        <v>15.00</v>
      </c>
      <c r="D137" s="39">
        <f t="shared" ca="1" si="11"/>
        <v>756.5</v>
      </c>
      <c r="E137" s="31">
        <f t="shared" ca="1" si="12"/>
        <v>0</v>
      </c>
      <c r="F137" s="40">
        <f t="shared" ca="1" si="13"/>
        <v>28</v>
      </c>
      <c r="G137" s="31">
        <f t="shared" ca="1" si="14"/>
        <v>0</v>
      </c>
    </row>
    <row r="138" spans="1:7" x14ac:dyDescent="0.25">
      <c r="A138" s="11">
        <f t="shared" si="10"/>
        <v>44</v>
      </c>
      <c r="B138" t="str">
        <f ca="1">TEXT(DATE(YEAR(Invoer!$A$5),1,1)+INT((ROWS(B$2:B138)-1)/2),"jjjjmmdd")</f>
        <v>19270310</v>
      </c>
      <c r="C138" s="26" t="str">
        <f>INDEX(Data,2,2+MOD(ROWS(C$2:C138)-1,2))</f>
        <v>08.00</v>
      </c>
      <c r="D138" s="39">
        <f t="shared" ca="1" si="11"/>
        <v>758.5</v>
      </c>
      <c r="E138" s="31">
        <f t="shared" ca="1" si="12"/>
        <v>0</v>
      </c>
      <c r="F138" s="40">
        <f t="shared" ca="1" si="13"/>
        <v>27</v>
      </c>
      <c r="G138" s="31">
        <f t="shared" ca="1" si="14"/>
        <v>0</v>
      </c>
    </row>
    <row r="139" spans="1:7" x14ac:dyDescent="0.25">
      <c r="A139" s="11">
        <f t="shared" si="10"/>
        <v>44</v>
      </c>
      <c r="B139" t="str">
        <f ca="1">TEXT(DATE(YEAR(Invoer!$A$5),1,1)+INT((ROWS(B$2:B139)-1)/2),"jjjjmmdd")</f>
        <v>19270310</v>
      </c>
      <c r="C139" s="26" t="str">
        <f>INDEX(Data,2,2+MOD(ROWS(C$2:C139)-1,2))</f>
        <v>15.00</v>
      </c>
      <c r="D139" s="39">
        <f t="shared" ca="1" si="11"/>
        <v>757</v>
      </c>
      <c r="E139" s="31">
        <f t="shared" ca="1" si="12"/>
        <v>0</v>
      </c>
      <c r="F139" s="40">
        <f t="shared" ca="1" si="13"/>
        <v>28</v>
      </c>
      <c r="G139" s="31">
        <f t="shared" ca="1" si="14"/>
        <v>0</v>
      </c>
    </row>
    <row r="140" spans="1:7" x14ac:dyDescent="0.25">
      <c r="A140" s="11">
        <f t="shared" si="10"/>
        <v>44</v>
      </c>
      <c r="B140" t="str">
        <f ca="1">TEXT(DATE(YEAR(Invoer!$A$5),1,1)+INT((ROWS(B$2:B140)-1)/2),"jjjjmmdd")</f>
        <v>19270311</v>
      </c>
      <c r="C140" s="26" t="str">
        <f>INDEX(Data,2,2+MOD(ROWS(C$2:C140)-1,2))</f>
        <v>08.00</v>
      </c>
      <c r="D140" s="39">
        <f t="shared" ca="1" si="11"/>
        <v>758.5</v>
      </c>
      <c r="E140" s="31">
        <f t="shared" ca="1" si="12"/>
        <v>0</v>
      </c>
      <c r="F140" s="40">
        <f t="shared" ca="1" si="13"/>
        <v>27</v>
      </c>
      <c r="G140" s="31">
        <f t="shared" ca="1" si="14"/>
        <v>0</v>
      </c>
    </row>
    <row r="141" spans="1:7" x14ac:dyDescent="0.25">
      <c r="A141" s="11">
        <f t="shared" si="10"/>
        <v>44</v>
      </c>
      <c r="B141" t="str">
        <f ca="1">TEXT(DATE(YEAR(Invoer!$A$5),1,1)+INT((ROWS(B$2:B141)-1)/2),"jjjjmmdd")</f>
        <v>19270311</v>
      </c>
      <c r="C141" s="26" t="str">
        <f>INDEX(Data,2,2+MOD(ROWS(C$2:C141)-1,2))</f>
        <v>15.00</v>
      </c>
      <c r="D141" s="39">
        <f t="shared" ca="1" si="11"/>
        <v>756.5</v>
      </c>
      <c r="E141" s="31">
        <f t="shared" ca="1" si="12"/>
        <v>0</v>
      </c>
      <c r="F141" s="40">
        <f t="shared" ca="1" si="13"/>
        <v>28</v>
      </c>
      <c r="G141" s="31">
        <f t="shared" ca="1" si="14"/>
        <v>0</v>
      </c>
    </row>
    <row r="142" spans="1:7" x14ac:dyDescent="0.25">
      <c r="A142" s="11">
        <f t="shared" si="10"/>
        <v>44</v>
      </c>
      <c r="B142" t="str">
        <f ca="1">TEXT(DATE(YEAR(Invoer!$A$5),1,1)+INT((ROWS(B$2:B142)-1)/2),"jjjjmmdd")</f>
        <v>19270312</v>
      </c>
      <c r="C142" s="26" t="str">
        <f>INDEX(Data,2,2+MOD(ROWS(C$2:C142)-1,2))</f>
        <v>08.00</v>
      </c>
      <c r="D142" s="39">
        <f t="shared" ca="1" si="11"/>
        <v>757</v>
      </c>
      <c r="E142" s="31">
        <f t="shared" ca="1" si="12"/>
        <v>0</v>
      </c>
      <c r="F142" s="40">
        <f t="shared" ca="1" si="13"/>
        <v>28</v>
      </c>
      <c r="G142" s="31">
        <f t="shared" ca="1" si="14"/>
        <v>0</v>
      </c>
    </row>
    <row r="143" spans="1:7" x14ac:dyDescent="0.25">
      <c r="A143" s="11">
        <f t="shared" si="10"/>
        <v>44</v>
      </c>
      <c r="B143" t="str">
        <f ca="1">TEXT(DATE(YEAR(Invoer!$A$5),1,1)+INT((ROWS(B$2:B143)-1)/2),"jjjjmmdd")</f>
        <v>19270312</v>
      </c>
      <c r="C143" s="26" t="str">
        <f>INDEX(Data,2,2+MOD(ROWS(C$2:C143)-1,2))</f>
        <v>15.00</v>
      </c>
      <c r="D143" s="39">
        <f t="shared" ca="1" si="11"/>
        <v>755</v>
      </c>
      <c r="E143" s="31">
        <f t="shared" ca="1" si="12"/>
        <v>0</v>
      </c>
      <c r="F143" s="40">
        <f t="shared" ca="1" si="13"/>
        <v>28.5</v>
      </c>
      <c r="G143" s="31">
        <f t="shared" ca="1" si="14"/>
        <v>0</v>
      </c>
    </row>
    <row r="144" spans="1:7" x14ac:dyDescent="0.25">
      <c r="A144" s="11">
        <f t="shared" si="10"/>
        <v>44</v>
      </c>
      <c r="B144" t="str">
        <f ca="1">TEXT(DATE(YEAR(Invoer!$A$5),1,1)+INT((ROWS(B$2:B144)-1)/2),"jjjjmmdd")</f>
        <v>19270313</v>
      </c>
      <c r="C144" s="26" t="str">
        <f>INDEX(Data,2,2+MOD(ROWS(C$2:C144)-1,2))</f>
        <v>08.00</v>
      </c>
      <c r="D144" s="39">
        <f t="shared" ca="1" si="11"/>
        <v>757</v>
      </c>
      <c r="E144" s="31">
        <f t="shared" ca="1" si="12"/>
        <v>0</v>
      </c>
      <c r="F144" s="40">
        <f t="shared" ca="1" si="13"/>
        <v>28</v>
      </c>
      <c r="G144" s="31">
        <f t="shared" ca="1" si="14"/>
        <v>0</v>
      </c>
    </row>
    <row r="145" spans="1:7" x14ac:dyDescent="0.25">
      <c r="A145" s="11">
        <f t="shared" si="10"/>
        <v>44</v>
      </c>
      <c r="B145" t="str">
        <f ca="1">TEXT(DATE(YEAR(Invoer!$A$5),1,1)+INT((ROWS(B$2:B145)-1)/2),"jjjjmmdd")</f>
        <v>19270313</v>
      </c>
      <c r="C145" s="26" t="str">
        <f>INDEX(Data,2,2+MOD(ROWS(C$2:C145)-1,2))</f>
        <v>15.00</v>
      </c>
      <c r="D145" s="39">
        <f t="shared" ca="1" si="11"/>
        <v>755</v>
      </c>
      <c r="E145" s="31">
        <f t="shared" ca="1" si="12"/>
        <v>0</v>
      </c>
      <c r="F145" s="40">
        <f t="shared" ca="1" si="13"/>
        <v>28.5</v>
      </c>
      <c r="G145" s="31">
        <f t="shared" ca="1" si="14"/>
        <v>0</v>
      </c>
    </row>
    <row r="146" spans="1:7" x14ac:dyDescent="0.25">
      <c r="A146" s="11">
        <f t="shared" si="10"/>
        <v>44</v>
      </c>
      <c r="B146" t="str">
        <f ca="1">TEXT(DATE(YEAR(Invoer!$A$5),1,1)+INT((ROWS(B$2:B146)-1)/2),"jjjjmmdd")</f>
        <v>19270314</v>
      </c>
      <c r="C146" s="26" t="str">
        <f>INDEX(Data,2,2+MOD(ROWS(C$2:C146)-1,2))</f>
        <v>08.00</v>
      </c>
      <c r="D146" s="39">
        <f t="shared" ca="1" si="11"/>
        <v>758.5</v>
      </c>
      <c r="E146" s="31">
        <f t="shared" ca="1" si="12"/>
        <v>0</v>
      </c>
      <c r="F146" s="40">
        <f t="shared" ca="1" si="13"/>
        <v>27</v>
      </c>
      <c r="G146" s="31">
        <f t="shared" ca="1" si="14"/>
        <v>0</v>
      </c>
    </row>
    <row r="147" spans="1:7" x14ac:dyDescent="0.25">
      <c r="A147" s="11">
        <f t="shared" si="10"/>
        <v>44</v>
      </c>
      <c r="B147" t="str">
        <f ca="1">TEXT(DATE(YEAR(Invoer!$A$5),1,1)+INT((ROWS(B$2:B147)-1)/2),"jjjjmmdd")</f>
        <v>19270314</v>
      </c>
      <c r="C147" s="26" t="str">
        <f>INDEX(Data,2,2+MOD(ROWS(C$2:C147)-1,2))</f>
        <v>15.00</v>
      </c>
      <c r="D147" s="39">
        <f t="shared" ca="1" si="11"/>
        <v>756</v>
      </c>
      <c r="E147" s="31">
        <f t="shared" ca="1" si="12"/>
        <v>0</v>
      </c>
      <c r="F147" s="40">
        <f t="shared" ca="1" si="13"/>
        <v>28</v>
      </c>
      <c r="G147" s="31">
        <f t="shared" ca="1" si="14"/>
        <v>0</v>
      </c>
    </row>
    <row r="148" spans="1:7" x14ac:dyDescent="0.25">
      <c r="A148" s="11">
        <f t="shared" si="10"/>
        <v>44</v>
      </c>
      <c r="B148" t="str">
        <f ca="1">TEXT(DATE(YEAR(Invoer!$A$5),1,1)+INT((ROWS(B$2:B148)-1)/2),"jjjjmmdd")</f>
        <v>19270315</v>
      </c>
      <c r="C148" s="26" t="str">
        <f>INDEX(Data,2,2+MOD(ROWS(C$2:C148)-1,2))</f>
        <v>08.00</v>
      </c>
      <c r="D148" s="39">
        <f t="shared" ca="1" si="11"/>
        <v>757.5</v>
      </c>
      <c r="E148" s="31">
        <f t="shared" ca="1" si="12"/>
        <v>0</v>
      </c>
      <c r="F148" s="40">
        <f t="shared" ca="1" si="13"/>
        <v>27</v>
      </c>
      <c r="G148" s="31">
        <f t="shared" ca="1" si="14"/>
        <v>0</v>
      </c>
    </row>
    <row r="149" spans="1:7" x14ac:dyDescent="0.25">
      <c r="A149" s="11">
        <f t="shared" si="10"/>
        <v>44</v>
      </c>
      <c r="B149" t="str">
        <f ca="1">TEXT(DATE(YEAR(Invoer!$A$5),1,1)+INT((ROWS(B$2:B149)-1)/2),"jjjjmmdd")</f>
        <v>19270315</v>
      </c>
      <c r="C149" s="26" t="str">
        <f>INDEX(Data,2,2+MOD(ROWS(C$2:C149)-1,2))</f>
        <v>15.00</v>
      </c>
      <c r="D149" s="39">
        <f t="shared" ca="1" si="11"/>
        <v>755</v>
      </c>
      <c r="E149" s="31">
        <f t="shared" ca="1" si="12"/>
        <v>0</v>
      </c>
      <c r="F149" s="40">
        <f t="shared" ca="1" si="13"/>
        <v>28</v>
      </c>
      <c r="G149" s="31">
        <f t="shared" ca="1" si="14"/>
        <v>0</v>
      </c>
    </row>
    <row r="150" spans="1:7" x14ac:dyDescent="0.25">
      <c r="A150" s="11">
        <f t="shared" si="10"/>
        <v>44</v>
      </c>
      <c r="B150" t="str">
        <f ca="1">TEXT(DATE(YEAR(Invoer!$A$5),1,1)+INT((ROWS(B$2:B150)-1)/2),"jjjjmmdd")</f>
        <v>19270316</v>
      </c>
      <c r="C150" s="26" t="str">
        <f>INDEX(Data,2,2+MOD(ROWS(C$2:C150)-1,2))</f>
        <v>08.00</v>
      </c>
      <c r="D150" s="39">
        <f t="shared" ca="1" si="11"/>
        <v>757</v>
      </c>
      <c r="E150" s="31">
        <f t="shared" ca="1" si="12"/>
        <v>0</v>
      </c>
      <c r="F150" s="40">
        <f t="shared" ca="1" si="13"/>
        <v>27</v>
      </c>
      <c r="G150" s="31">
        <f t="shared" ca="1" si="14"/>
        <v>0</v>
      </c>
    </row>
    <row r="151" spans="1:7" x14ac:dyDescent="0.25">
      <c r="A151" s="11">
        <f t="shared" si="10"/>
        <v>44</v>
      </c>
      <c r="B151" t="str">
        <f ca="1">TEXT(DATE(YEAR(Invoer!$A$5),1,1)+INT((ROWS(B$2:B151)-1)/2),"jjjjmmdd")</f>
        <v>19270316</v>
      </c>
      <c r="C151" s="26" t="str">
        <f>INDEX(Data,2,2+MOD(ROWS(C$2:C151)-1,2))</f>
        <v>15.00</v>
      </c>
      <c r="D151" s="39">
        <f t="shared" ca="1" si="11"/>
        <v>755</v>
      </c>
      <c r="E151" s="31">
        <f t="shared" ca="1" si="12"/>
        <v>0</v>
      </c>
      <c r="F151" s="40">
        <f t="shared" ca="1" si="13"/>
        <v>28.5</v>
      </c>
      <c r="G151" s="31">
        <f t="shared" ca="1" si="14"/>
        <v>0</v>
      </c>
    </row>
    <row r="152" spans="1:7" x14ac:dyDescent="0.25">
      <c r="A152" s="11">
        <f t="shared" si="10"/>
        <v>44</v>
      </c>
      <c r="B152" t="str">
        <f ca="1">TEXT(DATE(YEAR(Invoer!$A$5),1,1)+INT((ROWS(B$2:B152)-1)/2),"jjjjmmdd")</f>
        <v>19270317</v>
      </c>
      <c r="C152" s="26" t="str">
        <f>INDEX(Data,2,2+MOD(ROWS(C$2:C152)-1,2))</f>
        <v>08.00</v>
      </c>
      <c r="D152" s="39">
        <f t="shared" ca="1" si="11"/>
        <v>758</v>
      </c>
      <c r="E152" s="31">
        <f t="shared" ca="1" si="12"/>
        <v>0</v>
      </c>
      <c r="F152" s="40">
        <f t="shared" ca="1" si="13"/>
        <v>28.5</v>
      </c>
      <c r="G152" s="31">
        <f t="shared" ca="1" si="14"/>
        <v>0</v>
      </c>
    </row>
    <row r="153" spans="1:7" x14ac:dyDescent="0.25">
      <c r="A153" s="11">
        <f t="shared" si="10"/>
        <v>44</v>
      </c>
      <c r="B153" t="str">
        <f ca="1">TEXT(DATE(YEAR(Invoer!$A$5),1,1)+INT((ROWS(B$2:B153)-1)/2),"jjjjmmdd")</f>
        <v>19270317</v>
      </c>
      <c r="C153" s="26" t="str">
        <f>INDEX(Data,2,2+MOD(ROWS(C$2:C153)-1,2))</f>
        <v>15.00</v>
      </c>
      <c r="D153" s="39">
        <f t="shared" ca="1" si="11"/>
        <v>756</v>
      </c>
      <c r="E153" s="31">
        <f t="shared" ca="1" si="12"/>
        <v>0</v>
      </c>
      <c r="F153" s="40">
        <f t="shared" ca="1" si="13"/>
        <v>28</v>
      </c>
      <c r="G153" s="31">
        <f t="shared" ca="1" si="14"/>
        <v>0</v>
      </c>
    </row>
    <row r="154" spans="1:7" x14ac:dyDescent="0.25">
      <c r="A154" s="11">
        <f t="shared" si="10"/>
        <v>44</v>
      </c>
      <c r="B154" t="str">
        <f ca="1">TEXT(DATE(YEAR(Invoer!$A$5),1,1)+INT((ROWS(B$2:B154)-1)/2),"jjjjmmdd")</f>
        <v>19270318</v>
      </c>
      <c r="C154" s="26" t="str">
        <f>INDEX(Data,2,2+MOD(ROWS(C$2:C154)-1,2))</f>
        <v>08.00</v>
      </c>
      <c r="D154" s="39">
        <f t="shared" ca="1" si="11"/>
        <v>758.5</v>
      </c>
      <c r="E154" s="31">
        <f t="shared" ca="1" si="12"/>
        <v>0</v>
      </c>
      <c r="F154" s="40">
        <f t="shared" ca="1" si="13"/>
        <v>27</v>
      </c>
      <c r="G154" s="31">
        <f t="shared" ca="1" si="14"/>
        <v>0</v>
      </c>
    </row>
    <row r="155" spans="1:7" x14ac:dyDescent="0.25">
      <c r="A155" s="11">
        <f t="shared" si="10"/>
        <v>44</v>
      </c>
      <c r="B155" t="str">
        <f ca="1">TEXT(DATE(YEAR(Invoer!$A$5),1,1)+INT((ROWS(B$2:B155)-1)/2),"jjjjmmdd")</f>
        <v>19270318</v>
      </c>
      <c r="C155" s="26" t="str">
        <f>INDEX(Data,2,2+MOD(ROWS(C$2:C155)-1,2))</f>
        <v>15.00</v>
      </c>
      <c r="D155" s="39">
        <f t="shared" ca="1" si="11"/>
        <v>756.5</v>
      </c>
      <c r="E155" s="31">
        <f t="shared" ca="1" si="12"/>
        <v>0</v>
      </c>
      <c r="F155" s="40">
        <f t="shared" ca="1" si="13"/>
        <v>28</v>
      </c>
      <c r="G155" s="31">
        <f t="shared" ca="1" si="14"/>
        <v>0</v>
      </c>
    </row>
    <row r="156" spans="1:7" x14ac:dyDescent="0.25">
      <c r="A156" s="11">
        <f t="shared" si="10"/>
        <v>44</v>
      </c>
      <c r="B156" t="str">
        <f ca="1">TEXT(DATE(YEAR(Invoer!$A$5),1,1)+INT((ROWS(B$2:B156)-1)/2),"jjjjmmdd")</f>
        <v>19270319</v>
      </c>
      <c r="C156" s="26" t="str">
        <f>INDEX(Data,2,2+MOD(ROWS(C$2:C156)-1,2))</f>
        <v>08.00</v>
      </c>
      <c r="D156" s="39">
        <f t="shared" ca="1" si="11"/>
        <v>757.5</v>
      </c>
      <c r="E156" s="31">
        <f t="shared" ca="1" si="12"/>
        <v>0</v>
      </c>
      <c r="F156" s="40">
        <f t="shared" ca="1" si="13"/>
        <v>27</v>
      </c>
      <c r="G156" s="31">
        <f t="shared" ca="1" si="14"/>
        <v>0</v>
      </c>
    </row>
    <row r="157" spans="1:7" x14ac:dyDescent="0.25">
      <c r="A157" s="11">
        <f t="shared" si="10"/>
        <v>44</v>
      </c>
      <c r="B157" t="str">
        <f ca="1">TEXT(DATE(YEAR(Invoer!$A$5),1,1)+INT((ROWS(B$2:B157)-1)/2),"jjjjmmdd")</f>
        <v>19270319</v>
      </c>
      <c r="C157" s="26" t="str">
        <f>INDEX(Data,2,2+MOD(ROWS(C$2:C157)-1,2))</f>
        <v>15.00</v>
      </c>
      <c r="D157" s="39">
        <f t="shared" ca="1" si="11"/>
        <v>756</v>
      </c>
      <c r="E157" s="31">
        <f t="shared" ca="1" si="12"/>
        <v>0</v>
      </c>
      <c r="F157" s="40">
        <f t="shared" ca="1" si="13"/>
        <v>28</v>
      </c>
      <c r="G157" s="31">
        <f t="shared" ca="1" si="14"/>
        <v>0</v>
      </c>
    </row>
    <row r="158" spans="1:7" x14ac:dyDescent="0.25">
      <c r="A158" s="11">
        <f t="shared" si="10"/>
        <v>44</v>
      </c>
      <c r="B158" t="str">
        <f ca="1">TEXT(DATE(YEAR(Invoer!$A$5),1,1)+INT((ROWS(B$2:B158)-1)/2),"jjjjmmdd")</f>
        <v>19270320</v>
      </c>
      <c r="C158" s="26" t="str">
        <f>INDEX(Data,2,2+MOD(ROWS(C$2:C158)-1,2))</f>
        <v>08.00</v>
      </c>
      <c r="D158" s="39">
        <f t="shared" ca="1" si="11"/>
        <v>757.5</v>
      </c>
      <c r="E158" s="31">
        <f t="shared" ca="1" si="12"/>
        <v>0</v>
      </c>
      <c r="F158" s="40">
        <f t="shared" ca="1" si="13"/>
        <v>27</v>
      </c>
      <c r="G158" s="31">
        <f t="shared" ca="1" si="14"/>
        <v>0</v>
      </c>
    </row>
    <row r="159" spans="1:7" x14ac:dyDescent="0.25">
      <c r="A159" s="11">
        <f t="shared" si="10"/>
        <v>44</v>
      </c>
      <c r="B159" t="str">
        <f ca="1">TEXT(DATE(YEAR(Invoer!$A$5),1,1)+INT((ROWS(B$2:B159)-1)/2),"jjjjmmdd")</f>
        <v>19270320</v>
      </c>
      <c r="C159" s="26" t="str">
        <f>INDEX(Data,2,2+MOD(ROWS(C$2:C159)-1,2))</f>
        <v>15.00</v>
      </c>
      <c r="D159" s="39">
        <f t="shared" ca="1" si="11"/>
        <v>756</v>
      </c>
      <c r="E159" s="31">
        <f t="shared" ca="1" si="12"/>
        <v>0</v>
      </c>
      <c r="F159" s="40">
        <f t="shared" ca="1" si="13"/>
        <v>28</v>
      </c>
      <c r="G159" s="31">
        <f t="shared" ca="1" si="14"/>
        <v>0</v>
      </c>
    </row>
    <row r="160" spans="1:7" x14ac:dyDescent="0.25">
      <c r="A160" s="11">
        <f t="shared" si="10"/>
        <v>44</v>
      </c>
      <c r="B160" t="str">
        <f ca="1">TEXT(DATE(YEAR(Invoer!$A$5),1,1)+INT((ROWS(B$2:B160)-1)/2),"jjjjmmdd")</f>
        <v>19270321</v>
      </c>
      <c r="C160" s="26" t="str">
        <f>INDEX(Data,2,2+MOD(ROWS(C$2:C160)-1,2))</f>
        <v>08.00</v>
      </c>
      <c r="D160" s="39">
        <f t="shared" ca="1" si="11"/>
        <v>757</v>
      </c>
      <c r="E160" s="31">
        <f t="shared" ca="1" si="12"/>
        <v>0</v>
      </c>
      <c r="F160" s="40">
        <f t="shared" ca="1" si="13"/>
        <v>27</v>
      </c>
      <c r="G160" s="31">
        <f t="shared" ca="1" si="14"/>
        <v>0</v>
      </c>
    </row>
    <row r="161" spans="1:7" x14ac:dyDescent="0.25">
      <c r="A161" s="11">
        <f t="shared" si="10"/>
        <v>44</v>
      </c>
      <c r="B161" t="str">
        <f ca="1">TEXT(DATE(YEAR(Invoer!$A$5),1,1)+INT((ROWS(B$2:B161)-1)/2),"jjjjmmdd")</f>
        <v>19270321</v>
      </c>
      <c r="C161" s="26" t="str">
        <f>INDEX(Data,2,2+MOD(ROWS(C$2:C161)-1,2))</f>
        <v>15.00</v>
      </c>
      <c r="D161" s="39">
        <f t="shared" ca="1" si="11"/>
        <v>755</v>
      </c>
      <c r="E161" s="31">
        <f t="shared" ca="1" si="12"/>
        <v>0</v>
      </c>
      <c r="F161" s="40">
        <f t="shared" ca="1" si="13"/>
        <v>28.5</v>
      </c>
      <c r="G161" s="31">
        <f t="shared" ca="1" si="14"/>
        <v>0</v>
      </c>
    </row>
    <row r="162" spans="1:7" x14ac:dyDescent="0.25">
      <c r="A162" s="11">
        <f t="shared" si="10"/>
        <v>44</v>
      </c>
      <c r="B162" t="str">
        <f ca="1">TEXT(DATE(YEAR(Invoer!$A$5),1,1)+INT((ROWS(B$2:B162)-1)/2),"jjjjmmdd")</f>
        <v>19270322</v>
      </c>
      <c r="C162" s="26" t="str">
        <f>INDEX(Data,2,2+MOD(ROWS(C$2:C162)-1,2))</f>
        <v>08.00</v>
      </c>
      <c r="D162" s="39">
        <f t="shared" ca="1" si="11"/>
        <v>757</v>
      </c>
      <c r="E162" s="31">
        <f t="shared" ca="1" si="12"/>
        <v>0</v>
      </c>
      <c r="F162" s="40">
        <f t="shared" ca="1" si="13"/>
        <v>27</v>
      </c>
      <c r="G162" s="31">
        <f t="shared" ca="1" si="14"/>
        <v>0</v>
      </c>
    </row>
    <row r="163" spans="1:7" x14ac:dyDescent="0.25">
      <c r="A163" s="11">
        <f t="shared" si="10"/>
        <v>44</v>
      </c>
      <c r="B163" t="str">
        <f ca="1">TEXT(DATE(YEAR(Invoer!$A$5),1,1)+INT((ROWS(B$2:B163)-1)/2),"jjjjmmdd")</f>
        <v>19270322</v>
      </c>
      <c r="C163" s="26" t="str">
        <f>INDEX(Data,2,2+MOD(ROWS(C$2:C163)-1,2))</f>
        <v>15.00</v>
      </c>
      <c r="D163" s="39">
        <f t="shared" ca="1" si="11"/>
        <v>755</v>
      </c>
      <c r="E163" s="31">
        <f t="shared" ca="1" si="12"/>
        <v>0</v>
      </c>
      <c r="F163" s="40">
        <f t="shared" ca="1" si="13"/>
        <v>28.5</v>
      </c>
      <c r="G163" s="31">
        <f t="shared" ca="1" si="14"/>
        <v>0</v>
      </c>
    </row>
    <row r="164" spans="1:7" x14ac:dyDescent="0.25">
      <c r="A164" s="11">
        <f t="shared" si="10"/>
        <v>44</v>
      </c>
      <c r="B164" t="str">
        <f ca="1">TEXT(DATE(YEAR(Invoer!$A$5),1,1)+INT((ROWS(B$2:B164)-1)/2),"jjjjmmdd")</f>
        <v>19270323</v>
      </c>
      <c r="C164" s="26" t="str">
        <f>INDEX(Data,2,2+MOD(ROWS(C$2:C164)-1,2))</f>
        <v>08.00</v>
      </c>
      <c r="D164" s="39">
        <f t="shared" ca="1" si="11"/>
        <v>758</v>
      </c>
      <c r="E164" s="31">
        <f t="shared" ca="1" si="12"/>
        <v>0</v>
      </c>
      <c r="F164" s="40">
        <f t="shared" ca="1" si="13"/>
        <v>28.5</v>
      </c>
      <c r="G164" s="31">
        <f t="shared" ca="1" si="14"/>
        <v>0</v>
      </c>
    </row>
    <row r="165" spans="1:7" x14ac:dyDescent="0.25">
      <c r="A165" s="11">
        <f t="shared" si="10"/>
        <v>44</v>
      </c>
      <c r="B165" t="str">
        <f ca="1">TEXT(DATE(YEAR(Invoer!$A$5),1,1)+INT((ROWS(B$2:B165)-1)/2),"jjjjmmdd")</f>
        <v>19270323</v>
      </c>
      <c r="C165" s="26" t="str">
        <f>INDEX(Data,2,2+MOD(ROWS(C$2:C165)-1,2))</f>
        <v>15.00</v>
      </c>
      <c r="D165" s="39">
        <f t="shared" ca="1" si="11"/>
        <v>755.5</v>
      </c>
      <c r="E165" s="31">
        <f t="shared" ca="1" si="12"/>
        <v>0</v>
      </c>
      <c r="F165" s="40">
        <f t="shared" ca="1" si="13"/>
        <v>29</v>
      </c>
      <c r="G165" s="31">
        <f t="shared" ca="1" si="14"/>
        <v>0</v>
      </c>
    </row>
    <row r="166" spans="1:7" x14ac:dyDescent="0.25">
      <c r="A166" s="11">
        <f t="shared" si="10"/>
        <v>44</v>
      </c>
      <c r="B166" t="str">
        <f ca="1">TEXT(DATE(YEAR(Invoer!$A$5),1,1)+INT((ROWS(B$2:B166)-1)/2),"jjjjmmdd")</f>
        <v>19270324</v>
      </c>
      <c r="C166" s="26" t="str">
        <f>INDEX(Data,2,2+MOD(ROWS(C$2:C166)-1,2))</f>
        <v>08.00</v>
      </c>
      <c r="D166" s="39">
        <f t="shared" ca="1" si="11"/>
        <v>758.5</v>
      </c>
      <c r="E166" s="31">
        <f t="shared" ca="1" si="12"/>
        <v>0</v>
      </c>
      <c r="F166" s="40">
        <f t="shared" ca="1" si="13"/>
        <v>27</v>
      </c>
      <c r="G166" s="31">
        <f t="shared" ca="1" si="14"/>
        <v>0</v>
      </c>
    </row>
    <row r="167" spans="1:7" x14ac:dyDescent="0.25">
      <c r="A167" s="11">
        <f t="shared" si="10"/>
        <v>44</v>
      </c>
      <c r="B167" t="str">
        <f ca="1">TEXT(DATE(YEAR(Invoer!$A$5),1,1)+INT((ROWS(B$2:B167)-1)/2),"jjjjmmdd")</f>
        <v>19270324</v>
      </c>
      <c r="C167" s="26" t="str">
        <f>INDEX(Data,2,2+MOD(ROWS(C$2:C167)-1,2))</f>
        <v>15.00</v>
      </c>
      <c r="D167" s="39">
        <f t="shared" ca="1" si="11"/>
        <v>756.5</v>
      </c>
      <c r="E167" s="31">
        <f t="shared" ca="1" si="12"/>
        <v>0</v>
      </c>
      <c r="F167" s="40">
        <f t="shared" ca="1" si="13"/>
        <v>28</v>
      </c>
      <c r="G167" s="31">
        <f t="shared" ca="1" si="14"/>
        <v>0</v>
      </c>
    </row>
    <row r="168" spans="1:7" x14ac:dyDescent="0.25">
      <c r="A168" s="11">
        <f t="shared" si="10"/>
        <v>44</v>
      </c>
      <c r="B168" t="str">
        <f ca="1">TEXT(DATE(YEAR(Invoer!$A$5),1,1)+INT((ROWS(B$2:B168)-1)/2),"jjjjmmdd")</f>
        <v>19270325</v>
      </c>
      <c r="C168" s="26" t="str">
        <f>INDEX(Data,2,2+MOD(ROWS(C$2:C168)-1,2))</f>
        <v>08.00</v>
      </c>
      <c r="D168" s="39">
        <f t="shared" ca="1" si="11"/>
        <v>758</v>
      </c>
      <c r="E168" s="31">
        <f t="shared" ca="1" si="12"/>
        <v>0</v>
      </c>
      <c r="F168" s="40">
        <f t="shared" ca="1" si="13"/>
        <v>28.5</v>
      </c>
      <c r="G168" s="31">
        <f t="shared" ca="1" si="14"/>
        <v>0</v>
      </c>
    </row>
    <row r="169" spans="1:7" x14ac:dyDescent="0.25">
      <c r="A169" s="11">
        <f t="shared" si="10"/>
        <v>44</v>
      </c>
      <c r="B169" t="str">
        <f ca="1">TEXT(DATE(YEAR(Invoer!$A$5),1,1)+INT((ROWS(B$2:B169)-1)/2),"jjjjmmdd")</f>
        <v>19270325</v>
      </c>
      <c r="C169" s="26" t="str">
        <f>INDEX(Data,2,2+MOD(ROWS(C$2:C169)-1,2))</f>
        <v>15.00</v>
      </c>
      <c r="D169" s="39">
        <f t="shared" ca="1" si="11"/>
        <v>756</v>
      </c>
      <c r="E169" s="31">
        <f t="shared" ca="1" si="12"/>
        <v>0</v>
      </c>
      <c r="F169" s="40">
        <f t="shared" ca="1" si="13"/>
        <v>28.5</v>
      </c>
      <c r="G169" s="31">
        <f t="shared" ca="1" si="14"/>
        <v>0</v>
      </c>
    </row>
    <row r="170" spans="1:7" x14ac:dyDescent="0.25">
      <c r="A170" s="11">
        <f t="shared" si="10"/>
        <v>44</v>
      </c>
      <c r="B170" t="str">
        <f ca="1">TEXT(DATE(YEAR(Invoer!$A$5),1,1)+INT((ROWS(B$2:B170)-1)/2),"jjjjmmdd")</f>
        <v>19270326</v>
      </c>
      <c r="C170" s="26" t="str">
        <f>INDEX(Data,2,2+MOD(ROWS(C$2:C170)-1,2))</f>
        <v>08.00</v>
      </c>
      <c r="D170" s="39">
        <f t="shared" ca="1" si="11"/>
        <v>758.5</v>
      </c>
      <c r="E170" s="31">
        <f t="shared" ca="1" si="12"/>
        <v>0</v>
      </c>
      <c r="F170" s="40">
        <f t="shared" ca="1" si="13"/>
        <v>27</v>
      </c>
      <c r="G170" s="31">
        <f t="shared" ca="1" si="14"/>
        <v>0</v>
      </c>
    </row>
    <row r="171" spans="1:7" x14ac:dyDescent="0.25">
      <c r="A171" s="11">
        <f t="shared" si="10"/>
        <v>44</v>
      </c>
      <c r="B171" t="str">
        <f ca="1">TEXT(DATE(YEAR(Invoer!$A$5),1,1)+INT((ROWS(B$2:B171)-1)/2),"jjjjmmdd")</f>
        <v>19270326</v>
      </c>
      <c r="C171" s="26" t="str">
        <f>INDEX(Data,2,2+MOD(ROWS(C$2:C171)-1,2))</f>
        <v>15.00</v>
      </c>
      <c r="D171" s="39">
        <f t="shared" ca="1" si="11"/>
        <v>756.5</v>
      </c>
      <c r="E171" s="31">
        <f t="shared" ca="1" si="12"/>
        <v>0</v>
      </c>
      <c r="F171" s="40">
        <f t="shared" ca="1" si="13"/>
        <v>28</v>
      </c>
      <c r="G171" s="31">
        <f t="shared" ca="1" si="14"/>
        <v>0</v>
      </c>
    </row>
    <row r="172" spans="1:7" x14ac:dyDescent="0.25">
      <c r="A172" s="11">
        <f t="shared" si="10"/>
        <v>44</v>
      </c>
      <c r="B172" t="str">
        <f ca="1">TEXT(DATE(YEAR(Invoer!$A$5),1,1)+INT((ROWS(B$2:B172)-1)/2),"jjjjmmdd")</f>
        <v>19270327</v>
      </c>
      <c r="C172" s="26" t="str">
        <f>INDEX(Data,2,2+MOD(ROWS(C$2:C172)-1,2))</f>
        <v>08.00</v>
      </c>
      <c r="D172" s="39">
        <f t="shared" ca="1" si="11"/>
        <v>758.5</v>
      </c>
      <c r="E172" s="31">
        <f t="shared" ca="1" si="12"/>
        <v>0</v>
      </c>
      <c r="F172" s="40">
        <f t="shared" ca="1" si="13"/>
        <v>27</v>
      </c>
      <c r="G172" s="31">
        <f t="shared" ca="1" si="14"/>
        <v>0</v>
      </c>
    </row>
    <row r="173" spans="1:7" x14ac:dyDescent="0.25">
      <c r="A173" s="11">
        <f t="shared" si="10"/>
        <v>44</v>
      </c>
      <c r="B173" t="str">
        <f ca="1">TEXT(DATE(YEAR(Invoer!$A$5),1,1)+INT((ROWS(B$2:B173)-1)/2),"jjjjmmdd")</f>
        <v>19270327</v>
      </c>
      <c r="C173" s="26" t="str">
        <f>INDEX(Data,2,2+MOD(ROWS(C$2:C173)-1,2))</f>
        <v>15.00</v>
      </c>
      <c r="D173" s="39">
        <f t="shared" ca="1" si="11"/>
        <v>756.5</v>
      </c>
      <c r="E173" s="31">
        <f t="shared" ca="1" si="12"/>
        <v>0</v>
      </c>
      <c r="F173" s="40">
        <f t="shared" ca="1" si="13"/>
        <v>28</v>
      </c>
      <c r="G173" s="31">
        <f t="shared" ca="1" si="14"/>
        <v>0</v>
      </c>
    </row>
    <row r="174" spans="1:7" x14ac:dyDescent="0.25">
      <c r="A174" s="11">
        <f t="shared" si="10"/>
        <v>44</v>
      </c>
      <c r="B174" t="str">
        <f ca="1">TEXT(DATE(YEAR(Invoer!$A$5),1,1)+INT((ROWS(B$2:B174)-1)/2),"jjjjmmdd")</f>
        <v>19270328</v>
      </c>
      <c r="C174" s="26" t="str">
        <f>INDEX(Data,2,2+MOD(ROWS(C$2:C174)-1,2))</f>
        <v>08.00</v>
      </c>
      <c r="D174" s="39">
        <f t="shared" ca="1" si="11"/>
        <v>758.5</v>
      </c>
      <c r="E174" s="31">
        <f t="shared" ca="1" si="12"/>
        <v>0</v>
      </c>
      <c r="F174" s="40">
        <f t="shared" ca="1" si="13"/>
        <v>27</v>
      </c>
      <c r="G174" s="31">
        <f t="shared" ca="1" si="14"/>
        <v>0</v>
      </c>
    </row>
    <row r="175" spans="1:7" x14ac:dyDescent="0.25">
      <c r="A175" s="11">
        <f t="shared" si="10"/>
        <v>44</v>
      </c>
      <c r="B175" t="str">
        <f ca="1">TEXT(DATE(YEAR(Invoer!$A$5),1,1)+INT((ROWS(B$2:B175)-1)/2),"jjjjmmdd")</f>
        <v>19270328</v>
      </c>
      <c r="C175" s="26" t="str">
        <f>INDEX(Data,2,2+MOD(ROWS(C$2:C175)-1,2))</f>
        <v>15.00</v>
      </c>
      <c r="D175" s="39">
        <f t="shared" ca="1" si="11"/>
        <v>756.5</v>
      </c>
      <c r="E175" s="31">
        <f t="shared" ca="1" si="12"/>
        <v>0</v>
      </c>
      <c r="F175" s="40">
        <f t="shared" ca="1" si="13"/>
        <v>29</v>
      </c>
      <c r="G175" s="31">
        <f t="shared" ca="1" si="14"/>
        <v>0</v>
      </c>
    </row>
    <row r="176" spans="1:7" x14ac:dyDescent="0.25">
      <c r="A176" s="11">
        <f t="shared" si="10"/>
        <v>44</v>
      </c>
      <c r="B176" t="str">
        <f ca="1">TEXT(DATE(YEAR(Invoer!$A$5),1,1)+INT((ROWS(B$2:B176)-1)/2),"jjjjmmdd")</f>
        <v>19270329</v>
      </c>
      <c r="C176" s="26" t="str">
        <f>INDEX(Data,2,2+MOD(ROWS(C$2:C176)-1,2))</f>
        <v>08.00</v>
      </c>
      <c r="D176" s="39">
        <f t="shared" ca="1" si="11"/>
        <v>758</v>
      </c>
      <c r="E176" s="31">
        <f t="shared" ca="1" si="12"/>
        <v>0</v>
      </c>
      <c r="F176" s="40">
        <f t="shared" ca="1" si="13"/>
        <v>28</v>
      </c>
      <c r="G176" s="31">
        <f t="shared" ca="1" si="14"/>
        <v>0</v>
      </c>
    </row>
    <row r="177" spans="1:7" x14ac:dyDescent="0.25">
      <c r="A177" s="11">
        <f t="shared" si="10"/>
        <v>44</v>
      </c>
      <c r="B177" t="str">
        <f ca="1">TEXT(DATE(YEAR(Invoer!$A$5),1,1)+INT((ROWS(B$2:B177)-1)/2),"jjjjmmdd")</f>
        <v>19270329</v>
      </c>
      <c r="C177" s="26" t="str">
        <f>INDEX(Data,2,2+MOD(ROWS(C$2:C177)-1,2))</f>
        <v>15.00</v>
      </c>
      <c r="D177" s="39">
        <f t="shared" ca="1" si="11"/>
        <v>756</v>
      </c>
      <c r="E177" s="31">
        <f t="shared" ca="1" si="12"/>
        <v>0</v>
      </c>
      <c r="F177" s="40">
        <f t="shared" ca="1" si="13"/>
        <v>29</v>
      </c>
      <c r="G177" s="31">
        <f t="shared" ca="1" si="14"/>
        <v>0</v>
      </c>
    </row>
    <row r="178" spans="1:7" x14ac:dyDescent="0.25">
      <c r="A178" s="11">
        <f t="shared" si="10"/>
        <v>44</v>
      </c>
      <c r="B178" t="str">
        <f ca="1">TEXT(DATE(YEAR(Invoer!$A$5),1,1)+INT((ROWS(B$2:B178)-1)/2),"jjjjmmdd")</f>
        <v>19270330</v>
      </c>
      <c r="C178" s="26" t="str">
        <f>INDEX(Data,2,2+MOD(ROWS(C$2:C178)-1,2))</f>
        <v>08.00</v>
      </c>
      <c r="D178" s="39">
        <f t="shared" ca="1" si="11"/>
        <v>757.5</v>
      </c>
      <c r="E178" s="31">
        <f t="shared" ca="1" si="12"/>
        <v>0</v>
      </c>
      <c r="F178" s="40">
        <f t="shared" ca="1" si="13"/>
        <v>27</v>
      </c>
      <c r="G178" s="31">
        <f t="shared" ca="1" si="14"/>
        <v>0</v>
      </c>
    </row>
    <row r="179" spans="1:7" x14ac:dyDescent="0.25">
      <c r="A179" s="11">
        <f t="shared" si="10"/>
        <v>44</v>
      </c>
      <c r="B179" t="str">
        <f ca="1">TEXT(DATE(YEAR(Invoer!$A$5),1,1)+INT((ROWS(B$2:B179)-1)/2),"jjjjmmdd")</f>
        <v>19270330</v>
      </c>
      <c r="C179" s="26" t="str">
        <f>INDEX(Data,2,2+MOD(ROWS(C$2:C179)-1,2))</f>
        <v>15.00</v>
      </c>
      <c r="D179" s="39">
        <f t="shared" ca="1" si="11"/>
        <v>755.5</v>
      </c>
      <c r="E179" s="31">
        <f t="shared" ca="1" si="12"/>
        <v>0</v>
      </c>
      <c r="F179" s="40">
        <f t="shared" ca="1" si="13"/>
        <v>28</v>
      </c>
      <c r="G179" s="31">
        <f t="shared" ca="1" si="14"/>
        <v>0</v>
      </c>
    </row>
    <row r="180" spans="1:7" x14ac:dyDescent="0.25">
      <c r="A180" s="11">
        <f t="shared" si="10"/>
        <v>44</v>
      </c>
      <c r="B180" t="str">
        <f ca="1">TEXT(DATE(YEAR(Invoer!$A$5),1,1)+INT((ROWS(B$2:B180)-1)/2),"jjjjmmdd")</f>
        <v>19270331</v>
      </c>
      <c r="C180" s="26" t="str">
        <f>INDEX(Data,2,2+MOD(ROWS(C$2:C180)-1,2))</f>
        <v>08.00</v>
      </c>
      <c r="D180" s="39">
        <f t="shared" ca="1" si="11"/>
        <v>757.5</v>
      </c>
      <c r="E180" s="31">
        <f t="shared" ca="1" si="12"/>
        <v>0</v>
      </c>
      <c r="F180" s="40">
        <f t="shared" ca="1" si="13"/>
        <v>27</v>
      </c>
      <c r="G180" s="31">
        <f t="shared" ca="1" si="14"/>
        <v>0</v>
      </c>
    </row>
    <row r="181" spans="1:7" x14ac:dyDescent="0.25">
      <c r="A181" s="11">
        <f t="shared" si="10"/>
        <v>44</v>
      </c>
      <c r="B181" t="str">
        <f ca="1">TEXT(DATE(YEAR(Invoer!$A$5),1,1)+INT((ROWS(B$2:B181)-1)/2),"jjjjmmdd")</f>
        <v>19270331</v>
      </c>
      <c r="C181" s="26" t="str">
        <f>INDEX(Data,2,2+MOD(ROWS(C$2:C181)-1,2))</f>
        <v>15.00</v>
      </c>
      <c r="D181" s="39">
        <f t="shared" ca="1" si="11"/>
        <v>755.5</v>
      </c>
      <c r="E181" s="31">
        <f t="shared" ca="1" si="12"/>
        <v>0</v>
      </c>
      <c r="F181" s="40">
        <f t="shared" ca="1" si="13"/>
        <v>28</v>
      </c>
      <c r="G181" s="31">
        <f t="shared" ca="1" si="14"/>
        <v>0</v>
      </c>
    </row>
    <row r="182" spans="1:7" x14ac:dyDescent="0.25">
      <c r="A182" s="11">
        <f t="shared" si="10"/>
        <v>44</v>
      </c>
      <c r="B182" t="str">
        <f ca="1">TEXT(DATE(YEAR(Invoer!$A$5),1,1)+INT((ROWS(B$2:B182)-1)/2),"jjjjmmdd")</f>
        <v>19270401</v>
      </c>
      <c r="C182" s="26" t="str">
        <f>INDEX(Data,2,2+MOD(ROWS(C$2:C182)-1,2))</f>
        <v>08.00</v>
      </c>
      <c r="D182" s="39">
        <f t="shared" ca="1" si="11"/>
        <v>758.5</v>
      </c>
      <c r="E182" s="31">
        <f t="shared" ca="1" si="12"/>
        <v>0</v>
      </c>
      <c r="F182" s="40">
        <f t="shared" ca="1" si="13"/>
        <v>27</v>
      </c>
      <c r="G182" s="31">
        <f t="shared" ca="1" si="14"/>
        <v>0</v>
      </c>
    </row>
    <row r="183" spans="1:7" x14ac:dyDescent="0.25">
      <c r="A183" s="11">
        <f t="shared" si="10"/>
        <v>44</v>
      </c>
      <c r="B183" t="str">
        <f ca="1">TEXT(DATE(YEAR(Invoer!$A$5),1,1)+INT((ROWS(B$2:B183)-1)/2),"jjjjmmdd")</f>
        <v>19270401</v>
      </c>
      <c r="C183" s="26" t="str">
        <f>INDEX(Data,2,2+MOD(ROWS(C$2:C183)-1,2))</f>
        <v>15.00</v>
      </c>
      <c r="D183" s="39">
        <f t="shared" ca="1" si="11"/>
        <v>756.5</v>
      </c>
      <c r="E183" s="31">
        <f t="shared" ca="1" si="12"/>
        <v>0</v>
      </c>
      <c r="F183" s="40">
        <f t="shared" ca="1" si="13"/>
        <v>28</v>
      </c>
      <c r="G183" s="31">
        <f t="shared" ca="1" si="14"/>
        <v>0</v>
      </c>
    </row>
    <row r="184" spans="1:7" x14ac:dyDescent="0.25">
      <c r="A184" s="11">
        <f t="shared" si="10"/>
        <v>44</v>
      </c>
      <c r="B184" t="str">
        <f ca="1">TEXT(DATE(YEAR(Invoer!$A$5),1,1)+INT((ROWS(B$2:B184)-1)/2),"jjjjmmdd")</f>
        <v>19270402</v>
      </c>
      <c r="C184" s="26" t="str">
        <f>INDEX(Data,2,2+MOD(ROWS(C$2:C184)-1,2))</f>
        <v>08.00</v>
      </c>
      <c r="D184" s="39">
        <f t="shared" ca="1" si="11"/>
        <v>758.5</v>
      </c>
      <c r="E184" s="31">
        <f t="shared" ca="1" si="12"/>
        <v>0</v>
      </c>
      <c r="F184" s="40">
        <f t="shared" ca="1" si="13"/>
        <v>27</v>
      </c>
      <c r="G184" s="31">
        <f t="shared" ca="1" si="14"/>
        <v>0</v>
      </c>
    </row>
    <row r="185" spans="1:7" x14ac:dyDescent="0.25">
      <c r="A185" s="11">
        <f t="shared" si="10"/>
        <v>44</v>
      </c>
      <c r="B185" t="str">
        <f ca="1">TEXT(DATE(YEAR(Invoer!$A$5),1,1)+INT((ROWS(B$2:B185)-1)/2),"jjjjmmdd")</f>
        <v>19270402</v>
      </c>
      <c r="C185" s="26" t="str">
        <f>INDEX(Data,2,2+MOD(ROWS(C$2:C185)-1,2))</f>
        <v>15.00</v>
      </c>
      <c r="D185" s="39">
        <f t="shared" ca="1" si="11"/>
        <v>755.5</v>
      </c>
      <c r="E185" s="31">
        <f t="shared" ca="1" si="12"/>
        <v>0</v>
      </c>
      <c r="F185" s="40">
        <f t="shared" ca="1" si="13"/>
        <v>28</v>
      </c>
      <c r="G185" s="31">
        <f t="shared" ca="1" si="14"/>
        <v>0</v>
      </c>
    </row>
    <row r="186" spans="1:7" x14ac:dyDescent="0.25">
      <c r="A186" s="11">
        <f t="shared" si="10"/>
        <v>44</v>
      </c>
      <c r="B186" t="str">
        <f ca="1">TEXT(DATE(YEAR(Invoer!$A$5),1,1)+INT((ROWS(B$2:B186)-1)/2),"jjjjmmdd")</f>
        <v>19270403</v>
      </c>
      <c r="C186" s="26" t="str">
        <f>INDEX(Data,2,2+MOD(ROWS(C$2:C186)-1,2))</f>
        <v>08.00</v>
      </c>
      <c r="D186" s="39">
        <f t="shared" ca="1" si="11"/>
        <v>758</v>
      </c>
      <c r="E186" s="31">
        <f t="shared" ca="1" si="12"/>
        <v>0</v>
      </c>
      <c r="F186" s="40">
        <f t="shared" ca="1" si="13"/>
        <v>27.5</v>
      </c>
      <c r="G186" s="31">
        <f t="shared" ca="1" si="14"/>
        <v>0</v>
      </c>
    </row>
    <row r="187" spans="1:7" x14ac:dyDescent="0.25">
      <c r="A187" s="11">
        <f t="shared" si="10"/>
        <v>44</v>
      </c>
      <c r="B187" t="str">
        <f ca="1">TEXT(DATE(YEAR(Invoer!$A$5),1,1)+INT((ROWS(B$2:B187)-1)/2),"jjjjmmdd")</f>
        <v>19270403</v>
      </c>
      <c r="C187" s="26" t="str">
        <f>INDEX(Data,2,2+MOD(ROWS(C$2:C187)-1,2))</f>
        <v>15.00</v>
      </c>
      <c r="D187" s="39">
        <f t="shared" ca="1" si="11"/>
        <v>755.5</v>
      </c>
      <c r="E187" s="31">
        <f t="shared" ca="1" si="12"/>
        <v>0</v>
      </c>
      <c r="F187" s="40">
        <f t="shared" ca="1" si="13"/>
        <v>28.5</v>
      </c>
      <c r="G187" s="31">
        <f t="shared" ca="1" si="14"/>
        <v>0</v>
      </c>
    </row>
    <row r="188" spans="1:7" x14ac:dyDescent="0.25">
      <c r="A188" s="11">
        <f t="shared" si="10"/>
        <v>44</v>
      </c>
      <c r="B188" t="str">
        <f ca="1">TEXT(DATE(YEAR(Invoer!$A$5),1,1)+INT((ROWS(B$2:B188)-1)/2),"jjjjmmdd")</f>
        <v>19270404</v>
      </c>
      <c r="C188" s="26" t="str">
        <f>INDEX(Data,2,2+MOD(ROWS(C$2:C188)-1,2))</f>
        <v>08.00</v>
      </c>
      <c r="D188" s="39">
        <f t="shared" ca="1" si="11"/>
        <v>757</v>
      </c>
      <c r="E188" s="31">
        <f t="shared" ca="1" si="12"/>
        <v>0</v>
      </c>
      <c r="F188" s="40">
        <f t="shared" ca="1" si="13"/>
        <v>28</v>
      </c>
      <c r="G188" s="31">
        <f t="shared" ca="1" si="14"/>
        <v>0</v>
      </c>
    </row>
    <row r="189" spans="1:7" x14ac:dyDescent="0.25">
      <c r="A189" s="11">
        <f t="shared" si="10"/>
        <v>44</v>
      </c>
      <c r="B189" t="str">
        <f ca="1">TEXT(DATE(YEAR(Invoer!$A$5),1,1)+INT((ROWS(B$2:B189)-1)/2),"jjjjmmdd")</f>
        <v>19270404</v>
      </c>
      <c r="C189" s="26" t="str">
        <f>INDEX(Data,2,2+MOD(ROWS(C$2:C189)-1,2))</f>
        <v>15.00</v>
      </c>
      <c r="D189" s="39">
        <f t="shared" ca="1" si="11"/>
        <v>755.5</v>
      </c>
      <c r="E189" s="31">
        <f t="shared" ca="1" si="12"/>
        <v>0</v>
      </c>
      <c r="F189" s="40">
        <f t="shared" ca="1" si="13"/>
        <v>29</v>
      </c>
      <c r="G189" s="31">
        <f t="shared" ca="1" si="14"/>
        <v>0</v>
      </c>
    </row>
    <row r="190" spans="1:7" x14ac:dyDescent="0.25">
      <c r="A190" s="11">
        <f t="shared" si="10"/>
        <v>44</v>
      </c>
      <c r="B190" t="str">
        <f ca="1">TEXT(DATE(YEAR(Invoer!$A$5),1,1)+INT((ROWS(B$2:B190)-1)/2),"jjjjmmdd")</f>
        <v>19270405</v>
      </c>
      <c r="C190" s="26" t="str">
        <f>INDEX(Data,2,2+MOD(ROWS(C$2:C190)-1,2))</f>
        <v>08.00</v>
      </c>
      <c r="D190" s="39">
        <f t="shared" ca="1" si="11"/>
        <v>757</v>
      </c>
      <c r="E190" s="31">
        <f t="shared" ca="1" si="12"/>
        <v>0</v>
      </c>
      <c r="F190" s="40">
        <f t="shared" ca="1" si="13"/>
        <v>28</v>
      </c>
      <c r="G190" s="31">
        <f t="shared" ca="1" si="14"/>
        <v>0</v>
      </c>
    </row>
    <row r="191" spans="1:7" x14ac:dyDescent="0.25">
      <c r="A191" s="11">
        <f t="shared" si="10"/>
        <v>44</v>
      </c>
      <c r="B191" t="str">
        <f ca="1">TEXT(DATE(YEAR(Invoer!$A$5),1,1)+INT((ROWS(B$2:B191)-1)/2),"jjjjmmdd")</f>
        <v>19270405</v>
      </c>
      <c r="C191" s="26" t="str">
        <f>INDEX(Data,2,2+MOD(ROWS(C$2:C191)-1,2))</f>
        <v>15.00</v>
      </c>
      <c r="D191" s="39">
        <f t="shared" ca="1" si="11"/>
        <v>755</v>
      </c>
      <c r="E191" s="31">
        <f t="shared" ca="1" si="12"/>
        <v>0</v>
      </c>
      <c r="F191" s="40">
        <f t="shared" ca="1" si="13"/>
        <v>28.5</v>
      </c>
      <c r="G191" s="31">
        <f t="shared" ca="1" si="14"/>
        <v>0</v>
      </c>
    </row>
    <row r="192" spans="1:7" x14ac:dyDescent="0.25">
      <c r="A192" s="11">
        <f t="shared" si="10"/>
        <v>44</v>
      </c>
      <c r="B192" t="str">
        <f ca="1">TEXT(DATE(YEAR(Invoer!$A$5),1,1)+INT((ROWS(B$2:B192)-1)/2),"jjjjmmdd")</f>
        <v>19270406</v>
      </c>
      <c r="C192" s="26" t="str">
        <f>INDEX(Data,2,2+MOD(ROWS(C$2:C192)-1,2))</f>
        <v>08.00</v>
      </c>
      <c r="D192" s="39">
        <f t="shared" ca="1" si="11"/>
        <v>757</v>
      </c>
      <c r="E192" s="31">
        <f t="shared" ca="1" si="12"/>
        <v>0</v>
      </c>
      <c r="F192" s="40">
        <f t="shared" ca="1" si="13"/>
        <v>28</v>
      </c>
      <c r="G192" s="31">
        <f t="shared" ca="1" si="14"/>
        <v>0</v>
      </c>
    </row>
    <row r="193" spans="1:7" x14ac:dyDescent="0.25">
      <c r="A193" s="11">
        <f t="shared" si="10"/>
        <v>44</v>
      </c>
      <c r="B193" t="str">
        <f ca="1">TEXT(DATE(YEAR(Invoer!$A$5),1,1)+INT((ROWS(B$2:B193)-1)/2),"jjjjmmdd")</f>
        <v>19270406</v>
      </c>
      <c r="C193" s="26" t="str">
        <f>INDEX(Data,2,2+MOD(ROWS(C$2:C193)-1,2))</f>
        <v>15.00</v>
      </c>
      <c r="D193" s="39">
        <f t="shared" ca="1" si="11"/>
        <v>755.5</v>
      </c>
      <c r="E193" s="31">
        <f t="shared" ca="1" si="12"/>
        <v>0</v>
      </c>
      <c r="F193" s="40">
        <f t="shared" ca="1" si="13"/>
        <v>29</v>
      </c>
      <c r="G193" s="31">
        <f t="shared" ca="1" si="14"/>
        <v>0</v>
      </c>
    </row>
    <row r="194" spans="1:7" x14ac:dyDescent="0.25">
      <c r="A194" s="11">
        <f t="shared" ref="A194:A257" si="15">INDEX(Stations,2,1)</f>
        <v>44</v>
      </c>
      <c r="B194" t="str">
        <f ca="1">TEXT(DATE(YEAR(Invoer!$A$5),1,1)+INT((ROWS(B$2:B194)-1)/2),"jjjjmmdd")</f>
        <v>19270407</v>
      </c>
      <c r="C194" s="26" t="str">
        <f>INDEX(Data,2,2+MOD(ROWS(C$2:C194)-1,2))</f>
        <v>08.00</v>
      </c>
      <c r="D194" s="39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/10)</f>
        <v>757</v>
      </c>
      <c r="E194" s="31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40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VLOOKUP(DATEVALUE(LEFT($B194,4)&amp;"-"&amp;MID($B194,5,2)&amp;"-"&amp;RIGHT($B194,2)),Data,MATCH(LEFT(VLOOKUP(F$1,Parameters,2,FALSE()),4)&amp;"*",OFFSET(Data,0,0,1),0)+MATCH($C194,OFFSET(Data,1,0,1),0)-2,FALSE())/10)</f>
        <v>28</v>
      </c>
      <c r="G194" s="31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0</v>
      </c>
    </row>
    <row r="195" spans="1:7" x14ac:dyDescent="0.25">
      <c r="A195" s="11">
        <f t="shared" si="15"/>
        <v>44</v>
      </c>
      <c r="B195" t="str">
        <f ca="1">TEXT(DATE(YEAR(Invoer!$A$5),1,1)+INT((ROWS(B$2:B195)-1)/2),"jjjjmmdd")</f>
        <v>19270407</v>
      </c>
      <c r="C195" s="26" t="str">
        <f>INDEX(Data,2,2+MOD(ROWS(C$2:C195)-1,2))</f>
        <v>15.00</v>
      </c>
      <c r="D195" s="39">
        <f t="shared" ca="1" si="16"/>
        <v>755.5</v>
      </c>
      <c r="E195" s="31">
        <f t="shared" ca="1" si="17"/>
        <v>0</v>
      </c>
      <c r="F195" s="40">
        <f t="shared" ca="1" si="18"/>
        <v>29</v>
      </c>
      <c r="G195" s="31">
        <f t="shared" ca="1" si="19"/>
        <v>0</v>
      </c>
    </row>
    <row r="196" spans="1:7" x14ac:dyDescent="0.25">
      <c r="A196" s="11">
        <f t="shared" si="15"/>
        <v>44</v>
      </c>
      <c r="B196" t="str">
        <f ca="1">TEXT(DATE(YEAR(Invoer!$A$5),1,1)+INT((ROWS(B$2:B196)-1)/2),"jjjjmmdd")</f>
        <v>19270408</v>
      </c>
      <c r="C196" s="26" t="str">
        <f>INDEX(Data,2,2+MOD(ROWS(C$2:C196)-1,2))</f>
        <v>08.00</v>
      </c>
      <c r="D196" s="39">
        <f t="shared" ca="1" si="16"/>
        <v>756.5</v>
      </c>
      <c r="E196" s="31">
        <f t="shared" ca="1" si="17"/>
        <v>0</v>
      </c>
      <c r="F196" s="40">
        <f t="shared" ca="1" si="18"/>
        <v>27</v>
      </c>
      <c r="G196" s="31">
        <f t="shared" ca="1" si="19"/>
        <v>0</v>
      </c>
    </row>
    <row r="197" spans="1:7" x14ac:dyDescent="0.25">
      <c r="A197" s="11">
        <f t="shared" si="15"/>
        <v>44</v>
      </c>
      <c r="B197" t="str">
        <f ca="1">TEXT(DATE(YEAR(Invoer!$A$5),1,1)+INT((ROWS(B$2:B197)-1)/2),"jjjjmmdd")</f>
        <v>19270408</v>
      </c>
      <c r="C197" s="26" t="str">
        <f>INDEX(Data,2,2+MOD(ROWS(C$2:C197)-1,2))</f>
        <v>15.00</v>
      </c>
      <c r="D197" s="39">
        <f t="shared" ca="1" si="16"/>
        <v>755</v>
      </c>
      <c r="E197" s="31">
        <f t="shared" ca="1" si="17"/>
        <v>0</v>
      </c>
      <c r="F197" s="40">
        <f t="shared" ca="1" si="18"/>
        <v>29</v>
      </c>
      <c r="G197" s="31">
        <f t="shared" ca="1" si="19"/>
        <v>0</v>
      </c>
    </row>
    <row r="198" spans="1:7" x14ac:dyDescent="0.25">
      <c r="A198" s="11">
        <f t="shared" si="15"/>
        <v>44</v>
      </c>
      <c r="B198" t="str">
        <f ca="1">TEXT(DATE(YEAR(Invoer!$A$5),1,1)+INT((ROWS(B$2:B198)-1)/2),"jjjjmmdd")</f>
        <v>19270409</v>
      </c>
      <c r="C198" s="26" t="str">
        <f>INDEX(Data,2,2+MOD(ROWS(C$2:C198)-1,2))</f>
        <v>08.00</v>
      </c>
      <c r="D198" s="39">
        <f t="shared" ca="1" si="16"/>
        <v>757.5</v>
      </c>
      <c r="E198" s="31">
        <f t="shared" ca="1" si="17"/>
        <v>0</v>
      </c>
      <c r="F198" s="40">
        <f t="shared" ca="1" si="18"/>
        <v>28</v>
      </c>
      <c r="G198" s="31">
        <f t="shared" ca="1" si="19"/>
        <v>0</v>
      </c>
    </row>
    <row r="199" spans="1:7" x14ac:dyDescent="0.25">
      <c r="A199" s="11">
        <f t="shared" si="15"/>
        <v>44</v>
      </c>
      <c r="B199" t="str">
        <f ca="1">TEXT(DATE(YEAR(Invoer!$A$5),1,1)+INT((ROWS(B$2:B199)-1)/2),"jjjjmmdd")</f>
        <v>19270409</v>
      </c>
      <c r="C199" s="26" t="str">
        <f>INDEX(Data,2,2+MOD(ROWS(C$2:C199)-1,2))</f>
        <v>15.00</v>
      </c>
      <c r="D199" s="39">
        <f t="shared" ca="1" si="16"/>
        <v>754</v>
      </c>
      <c r="E199" s="31">
        <f t="shared" ca="1" si="17"/>
        <v>0</v>
      </c>
      <c r="F199" s="40">
        <f t="shared" ca="1" si="18"/>
        <v>29</v>
      </c>
      <c r="G199" s="31">
        <f t="shared" ca="1" si="19"/>
        <v>0</v>
      </c>
    </row>
    <row r="200" spans="1:7" x14ac:dyDescent="0.25">
      <c r="A200" s="11">
        <f t="shared" si="15"/>
        <v>44</v>
      </c>
      <c r="B200" t="str">
        <f ca="1">TEXT(DATE(YEAR(Invoer!$A$5),1,1)+INT((ROWS(B$2:B200)-1)/2),"jjjjmmdd")</f>
        <v>19270410</v>
      </c>
      <c r="C200" s="26" t="str">
        <f>INDEX(Data,2,2+MOD(ROWS(C$2:C200)-1,2))</f>
        <v>08.00</v>
      </c>
      <c r="D200" s="39">
        <f t="shared" ca="1" si="16"/>
        <v>757.5</v>
      </c>
      <c r="E200" s="31">
        <f t="shared" ca="1" si="17"/>
        <v>0</v>
      </c>
      <c r="F200" s="40">
        <f t="shared" ca="1" si="18"/>
        <v>28</v>
      </c>
      <c r="G200" s="31">
        <f t="shared" ca="1" si="19"/>
        <v>0</v>
      </c>
    </row>
    <row r="201" spans="1:7" x14ac:dyDescent="0.25">
      <c r="A201" s="11">
        <f t="shared" si="15"/>
        <v>44</v>
      </c>
      <c r="B201" t="str">
        <f ca="1">TEXT(DATE(YEAR(Invoer!$A$5),1,1)+INT((ROWS(B$2:B201)-1)/2),"jjjjmmdd")</f>
        <v>19270410</v>
      </c>
      <c r="C201" s="26" t="str">
        <f>INDEX(Data,2,2+MOD(ROWS(C$2:C201)-1,2))</f>
        <v>15.00</v>
      </c>
      <c r="D201" s="39">
        <f t="shared" ca="1" si="16"/>
        <v>754</v>
      </c>
      <c r="E201" s="31">
        <f t="shared" ca="1" si="17"/>
        <v>0</v>
      </c>
      <c r="F201" s="40">
        <f t="shared" ca="1" si="18"/>
        <v>29</v>
      </c>
      <c r="G201" s="31">
        <f t="shared" ca="1" si="19"/>
        <v>0</v>
      </c>
    </row>
    <row r="202" spans="1:7" x14ac:dyDescent="0.25">
      <c r="A202" s="11">
        <f t="shared" si="15"/>
        <v>44</v>
      </c>
      <c r="B202" t="str">
        <f ca="1">TEXT(DATE(YEAR(Invoer!$A$5),1,1)+INT((ROWS(B$2:B202)-1)/2),"jjjjmmdd")</f>
        <v>19270411</v>
      </c>
      <c r="C202" s="26" t="str">
        <f>INDEX(Data,2,2+MOD(ROWS(C$2:C202)-1,2))</f>
        <v>08.00</v>
      </c>
      <c r="D202" s="39">
        <f t="shared" ca="1" si="16"/>
        <v>755.5</v>
      </c>
      <c r="E202" s="31">
        <f t="shared" ca="1" si="17"/>
        <v>0</v>
      </c>
      <c r="F202" s="40">
        <f t="shared" ca="1" si="18"/>
        <v>28.5</v>
      </c>
      <c r="G202" s="31">
        <f t="shared" ca="1" si="19"/>
        <v>0</v>
      </c>
    </row>
    <row r="203" spans="1:7" x14ac:dyDescent="0.25">
      <c r="A203" s="11">
        <f t="shared" si="15"/>
        <v>44</v>
      </c>
      <c r="B203" t="str">
        <f ca="1">TEXT(DATE(YEAR(Invoer!$A$5),1,1)+INT((ROWS(B$2:B203)-1)/2),"jjjjmmdd")</f>
        <v>19270411</v>
      </c>
      <c r="C203" s="26" t="str">
        <f>INDEX(Data,2,2+MOD(ROWS(C$2:C203)-1,2))</f>
        <v>15.00</v>
      </c>
      <c r="D203" s="39">
        <f t="shared" ca="1" si="16"/>
        <v>753</v>
      </c>
      <c r="E203" s="31">
        <f t="shared" ca="1" si="17"/>
        <v>0</v>
      </c>
      <c r="F203" s="40">
        <f t="shared" ca="1" si="18"/>
        <v>29.5</v>
      </c>
      <c r="G203" s="31">
        <f t="shared" ca="1" si="19"/>
        <v>0</v>
      </c>
    </row>
    <row r="204" spans="1:7" x14ac:dyDescent="0.25">
      <c r="A204" s="11">
        <f t="shared" si="15"/>
        <v>44</v>
      </c>
      <c r="B204" t="str">
        <f ca="1">TEXT(DATE(YEAR(Invoer!$A$5),1,1)+INT((ROWS(B$2:B204)-1)/2),"jjjjmmdd")</f>
        <v>19270412</v>
      </c>
      <c r="C204" s="26" t="str">
        <f>INDEX(Data,2,2+MOD(ROWS(C$2:C204)-1,2))</f>
        <v>08.00</v>
      </c>
      <c r="D204" s="39">
        <f t="shared" ca="1" si="16"/>
        <v>756</v>
      </c>
      <c r="E204" s="31">
        <f t="shared" ca="1" si="17"/>
        <v>0</v>
      </c>
      <c r="F204" s="40">
        <f t="shared" ca="1" si="18"/>
        <v>28</v>
      </c>
      <c r="G204" s="31">
        <f t="shared" ca="1" si="19"/>
        <v>0</v>
      </c>
    </row>
    <row r="205" spans="1:7" x14ac:dyDescent="0.25">
      <c r="A205" s="11">
        <f t="shared" si="15"/>
        <v>44</v>
      </c>
      <c r="B205" t="str">
        <f ca="1">TEXT(DATE(YEAR(Invoer!$A$5),1,1)+INT((ROWS(B$2:B205)-1)/2),"jjjjmmdd")</f>
        <v>19270412</v>
      </c>
      <c r="C205" s="26" t="str">
        <f>INDEX(Data,2,2+MOD(ROWS(C$2:C205)-1,2))</f>
        <v>15.00</v>
      </c>
      <c r="D205" s="39">
        <f t="shared" ca="1" si="16"/>
        <v>754</v>
      </c>
      <c r="E205" s="31">
        <f t="shared" ca="1" si="17"/>
        <v>0</v>
      </c>
      <c r="F205" s="40">
        <f t="shared" ca="1" si="18"/>
        <v>29.5</v>
      </c>
      <c r="G205" s="31">
        <f t="shared" ca="1" si="19"/>
        <v>0</v>
      </c>
    </row>
    <row r="206" spans="1:7" x14ac:dyDescent="0.25">
      <c r="A206" s="11">
        <f t="shared" si="15"/>
        <v>44</v>
      </c>
      <c r="B206" t="str">
        <f ca="1">TEXT(DATE(YEAR(Invoer!$A$5),1,1)+INT((ROWS(B$2:B206)-1)/2),"jjjjmmdd")</f>
        <v>19270413</v>
      </c>
      <c r="C206" s="26" t="str">
        <f>INDEX(Data,2,2+MOD(ROWS(C$2:C206)-1,2))</f>
        <v>08.00</v>
      </c>
      <c r="D206" s="39">
        <f t="shared" ca="1" si="16"/>
        <v>756</v>
      </c>
      <c r="E206" s="31">
        <f t="shared" ca="1" si="17"/>
        <v>0</v>
      </c>
      <c r="F206" s="40">
        <f t="shared" ca="1" si="18"/>
        <v>28</v>
      </c>
      <c r="G206" s="31">
        <f t="shared" ca="1" si="19"/>
        <v>0</v>
      </c>
    </row>
    <row r="207" spans="1:7" x14ac:dyDescent="0.25">
      <c r="A207" s="11">
        <f t="shared" si="15"/>
        <v>44</v>
      </c>
      <c r="B207" t="str">
        <f ca="1">TEXT(DATE(YEAR(Invoer!$A$5),1,1)+INT((ROWS(B$2:B207)-1)/2),"jjjjmmdd")</f>
        <v>19270413</v>
      </c>
      <c r="C207" s="26" t="str">
        <f>INDEX(Data,2,2+MOD(ROWS(C$2:C207)-1,2))</f>
        <v>15.00</v>
      </c>
      <c r="D207" s="39">
        <f t="shared" ca="1" si="16"/>
        <v>754.5</v>
      </c>
      <c r="E207" s="31">
        <f t="shared" ca="1" si="17"/>
        <v>0</v>
      </c>
      <c r="F207" s="40">
        <f t="shared" ca="1" si="18"/>
        <v>29.5</v>
      </c>
      <c r="G207" s="31">
        <f t="shared" ca="1" si="19"/>
        <v>0</v>
      </c>
    </row>
    <row r="208" spans="1:7" x14ac:dyDescent="0.25">
      <c r="A208" s="11">
        <f t="shared" si="15"/>
        <v>44</v>
      </c>
      <c r="B208" t="str">
        <f ca="1">TEXT(DATE(YEAR(Invoer!$A$5),1,1)+INT((ROWS(B$2:B208)-1)/2),"jjjjmmdd")</f>
        <v>19270414</v>
      </c>
      <c r="C208" s="26" t="str">
        <f>INDEX(Data,2,2+MOD(ROWS(C$2:C208)-1,2))</f>
        <v>08.00</v>
      </c>
      <c r="D208" s="39">
        <f t="shared" ca="1" si="16"/>
        <v>757</v>
      </c>
      <c r="E208" s="31">
        <f t="shared" ca="1" si="17"/>
        <v>0</v>
      </c>
      <c r="F208" s="40">
        <f t="shared" ca="1" si="18"/>
        <v>28</v>
      </c>
      <c r="G208" s="31">
        <f t="shared" ca="1" si="19"/>
        <v>0</v>
      </c>
    </row>
    <row r="209" spans="1:7" x14ac:dyDescent="0.25">
      <c r="A209" s="11">
        <f t="shared" si="15"/>
        <v>44</v>
      </c>
      <c r="B209" t="str">
        <f ca="1">TEXT(DATE(YEAR(Invoer!$A$5),1,1)+INT((ROWS(B$2:B209)-1)/2),"jjjjmmdd")</f>
        <v>19270414</v>
      </c>
      <c r="C209" s="26" t="str">
        <f>INDEX(Data,2,2+MOD(ROWS(C$2:C209)-1,2))</f>
        <v>15.00</v>
      </c>
      <c r="D209" s="39">
        <f t="shared" ca="1" si="16"/>
        <v>755</v>
      </c>
      <c r="E209" s="31">
        <f t="shared" ca="1" si="17"/>
        <v>0</v>
      </c>
      <c r="F209" s="40">
        <f t="shared" ca="1" si="18"/>
        <v>29</v>
      </c>
      <c r="G209" s="31">
        <f t="shared" ca="1" si="19"/>
        <v>0</v>
      </c>
    </row>
    <row r="210" spans="1:7" x14ac:dyDescent="0.25">
      <c r="A210" s="11">
        <f t="shared" si="15"/>
        <v>44</v>
      </c>
      <c r="B210" t="str">
        <f ca="1">TEXT(DATE(YEAR(Invoer!$A$5),1,1)+INT((ROWS(B$2:B210)-1)/2),"jjjjmmdd")</f>
        <v>19270415</v>
      </c>
      <c r="C210" s="26" t="str">
        <f>INDEX(Data,2,2+MOD(ROWS(C$2:C210)-1,2))</f>
        <v>08.00</v>
      </c>
      <c r="D210" s="39">
        <f t="shared" ca="1" si="16"/>
        <v>755</v>
      </c>
      <c r="E210" s="31">
        <f t="shared" ca="1" si="17"/>
        <v>0</v>
      </c>
      <c r="F210" s="40">
        <f t="shared" ca="1" si="18"/>
        <v>28</v>
      </c>
      <c r="G210" s="31">
        <f t="shared" ca="1" si="19"/>
        <v>0</v>
      </c>
    </row>
    <row r="211" spans="1:7" x14ac:dyDescent="0.25">
      <c r="A211" s="11">
        <f t="shared" si="15"/>
        <v>44</v>
      </c>
      <c r="B211" t="str">
        <f ca="1">TEXT(DATE(YEAR(Invoer!$A$5),1,1)+INT((ROWS(B$2:B211)-1)/2),"jjjjmmdd")</f>
        <v>19270415</v>
      </c>
      <c r="C211" s="26" t="str">
        <f>INDEX(Data,2,2+MOD(ROWS(C$2:C211)-1,2))</f>
        <v>15.00</v>
      </c>
      <c r="D211" s="39">
        <f t="shared" ca="1" si="16"/>
        <v>755</v>
      </c>
      <c r="E211" s="31">
        <f t="shared" ca="1" si="17"/>
        <v>0</v>
      </c>
      <c r="F211" s="40">
        <f t="shared" ca="1" si="18"/>
        <v>29</v>
      </c>
      <c r="G211" s="31">
        <f t="shared" ca="1" si="19"/>
        <v>0</v>
      </c>
    </row>
    <row r="212" spans="1:7" x14ac:dyDescent="0.25">
      <c r="A212" s="11">
        <f t="shared" si="15"/>
        <v>44</v>
      </c>
      <c r="B212" t="str">
        <f ca="1">TEXT(DATE(YEAR(Invoer!$A$5),1,1)+INT((ROWS(B$2:B212)-1)/2),"jjjjmmdd")</f>
        <v>19270416</v>
      </c>
      <c r="C212" s="26" t="str">
        <f>INDEX(Data,2,2+MOD(ROWS(C$2:C212)-1,2))</f>
        <v>08.00</v>
      </c>
      <c r="D212" s="39">
        <f t="shared" ca="1" si="16"/>
        <v>757</v>
      </c>
      <c r="E212" s="31">
        <f t="shared" ca="1" si="17"/>
        <v>0</v>
      </c>
      <c r="F212" s="40">
        <f t="shared" ca="1" si="18"/>
        <v>28</v>
      </c>
      <c r="G212" s="31">
        <f t="shared" ca="1" si="19"/>
        <v>0</v>
      </c>
    </row>
    <row r="213" spans="1:7" x14ac:dyDescent="0.25">
      <c r="A213" s="11">
        <f t="shared" si="15"/>
        <v>44</v>
      </c>
      <c r="B213" t="str">
        <f ca="1">TEXT(DATE(YEAR(Invoer!$A$5),1,1)+INT((ROWS(B$2:B213)-1)/2),"jjjjmmdd")</f>
        <v>19270416</v>
      </c>
      <c r="C213" s="26" t="str">
        <f>INDEX(Data,2,2+MOD(ROWS(C$2:C213)-1,2))</f>
        <v>15.00</v>
      </c>
      <c r="D213" s="39">
        <f t="shared" ca="1" si="16"/>
        <v>755</v>
      </c>
      <c r="E213" s="31">
        <f t="shared" ca="1" si="17"/>
        <v>0</v>
      </c>
      <c r="F213" s="40">
        <f t="shared" ca="1" si="18"/>
        <v>29</v>
      </c>
      <c r="G213" s="31">
        <f t="shared" ca="1" si="19"/>
        <v>0</v>
      </c>
    </row>
    <row r="214" spans="1:7" x14ac:dyDescent="0.25">
      <c r="A214" s="11">
        <f t="shared" si="15"/>
        <v>44</v>
      </c>
      <c r="B214" t="str">
        <f ca="1">TEXT(DATE(YEAR(Invoer!$A$5),1,1)+INT((ROWS(B$2:B214)-1)/2),"jjjjmmdd")</f>
        <v>19270417</v>
      </c>
      <c r="C214" s="26" t="str">
        <f>INDEX(Data,2,2+MOD(ROWS(C$2:C214)-1,2))</f>
        <v>08.00</v>
      </c>
      <c r="D214" s="39">
        <f t="shared" ca="1" si="16"/>
        <v>757</v>
      </c>
      <c r="E214" s="31">
        <f t="shared" ca="1" si="17"/>
        <v>0</v>
      </c>
      <c r="F214" s="40">
        <f t="shared" ca="1" si="18"/>
        <v>28</v>
      </c>
      <c r="G214" s="31">
        <f t="shared" ca="1" si="19"/>
        <v>0</v>
      </c>
    </row>
    <row r="215" spans="1:7" x14ac:dyDescent="0.25">
      <c r="A215" s="11">
        <f t="shared" si="15"/>
        <v>44</v>
      </c>
      <c r="B215" t="str">
        <f ca="1">TEXT(DATE(YEAR(Invoer!$A$5),1,1)+INT((ROWS(B$2:B215)-1)/2),"jjjjmmdd")</f>
        <v>19270417</v>
      </c>
      <c r="C215" s="26" t="str">
        <f>INDEX(Data,2,2+MOD(ROWS(C$2:C215)-1,2))</f>
        <v>15.00</v>
      </c>
      <c r="D215" s="39">
        <f t="shared" ca="1" si="16"/>
        <v>755</v>
      </c>
      <c r="E215" s="31">
        <f t="shared" ca="1" si="17"/>
        <v>0</v>
      </c>
      <c r="F215" s="40">
        <f t="shared" ca="1" si="18"/>
        <v>29</v>
      </c>
      <c r="G215" s="31">
        <f t="shared" ca="1" si="19"/>
        <v>0</v>
      </c>
    </row>
    <row r="216" spans="1:7" x14ac:dyDescent="0.25">
      <c r="A216" s="11">
        <f t="shared" si="15"/>
        <v>44</v>
      </c>
      <c r="B216" t="str">
        <f ca="1">TEXT(DATE(YEAR(Invoer!$A$5),1,1)+INT((ROWS(B$2:B216)-1)/2),"jjjjmmdd")</f>
        <v>19270418</v>
      </c>
      <c r="C216" s="26" t="str">
        <f>INDEX(Data,2,2+MOD(ROWS(C$2:C216)-1,2))</f>
        <v>08.00</v>
      </c>
      <c r="D216" s="39">
        <f t="shared" ca="1" si="16"/>
        <v>757</v>
      </c>
      <c r="E216" s="31">
        <f t="shared" ca="1" si="17"/>
        <v>0</v>
      </c>
      <c r="F216" s="40">
        <f t="shared" ca="1" si="18"/>
        <v>28</v>
      </c>
      <c r="G216" s="31">
        <f t="shared" ca="1" si="19"/>
        <v>0</v>
      </c>
    </row>
    <row r="217" spans="1:7" x14ac:dyDescent="0.25">
      <c r="A217" s="11">
        <f t="shared" si="15"/>
        <v>44</v>
      </c>
      <c r="B217" t="str">
        <f ca="1">TEXT(DATE(YEAR(Invoer!$A$5),1,1)+INT((ROWS(B$2:B217)-1)/2),"jjjjmmdd")</f>
        <v>19270418</v>
      </c>
      <c r="C217" s="26" t="str">
        <f>INDEX(Data,2,2+MOD(ROWS(C$2:C217)-1,2))</f>
        <v>15.00</v>
      </c>
      <c r="D217" s="39">
        <f t="shared" ca="1" si="16"/>
        <v>755</v>
      </c>
      <c r="E217" s="31">
        <f t="shared" ca="1" si="17"/>
        <v>0</v>
      </c>
      <c r="F217" s="40">
        <f t="shared" ca="1" si="18"/>
        <v>29</v>
      </c>
      <c r="G217" s="31">
        <f t="shared" ca="1" si="19"/>
        <v>0</v>
      </c>
    </row>
    <row r="218" spans="1:7" x14ac:dyDescent="0.25">
      <c r="A218" s="11">
        <f t="shared" si="15"/>
        <v>44</v>
      </c>
      <c r="B218" t="str">
        <f ca="1">TEXT(DATE(YEAR(Invoer!$A$5),1,1)+INT((ROWS(B$2:B218)-1)/2),"jjjjmmdd")</f>
        <v>19270419</v>
      </c>
      <c r="C218" s="26" t="str">
        <f>INDEX(Data,2,2+MOD(ROWS(C$2:C218)-1,2))</f>
        <v>08.00</v>
      </c>
      <c r="D218" s="39">
        <f t="shared" ca="1" si="16"/>
        <v>756</v>
      </c>
      <c r="E218" s="31">
        <f t="shared" ca="1" si="17"/>
        <v>0</v>
      </c>
      <c r="F218" s="40">
        <f t="shared" ca="1" si="18"/>
        <v>28</v>
      </c>
      <c r="G218" s="31">
        <f t="shared" ca="1" si="19"/>
        <v>0</v>
      </c>
    </row>
    <row r="219" spans="1:7" x14ac:dyDescent="0.25">
      <c r="A219" s="11">
        <f t="shared" si="15"/>
        <v>44</v>
      </c>
      <c r="B219" t="str">
        <f ca="1">TEXT(DATE(YEAR(Invoer!$A$5),1,1)+INT((ROWS(B$2:B219)-1)/2),"jjjjmmdd")</f>
        <v>19270419</v>
      </c>
      <c r="C219" s="26" t="str">
        <f>INDEX(Data,2,2+MOD(ROWS(C$2:C219)-1,2))</f>
        <v>15.00</v>
      </c>
      <c r="D219" s="39">
        <f t="shared" ca="1" si="16"/>
        <v>754</v>
      </c>
      <c r="E219" s="31">
        <f t="shared" ca="1" si="17"/>
        <v>0</v>
      </c>
      <c r="F219" s="40">
        <f t="shared" ca="1" si="18"/>
        <v>29</v>
      </c>
      <c r="G219" s="31">
        <f t="shared" ca="1" si="19"/>
        <v>0</v>
      </c>
    </row>
    <row r="220" spans="1:7" x14ac:dyDescent="0.25">
      <c r="A220" s="11">
        <f t="shared" si="15"/>
        <v>44</v>
      </c>
      <c r="B220" t="str">
        <f ca="1">TEXT(DATE(YEAR(Invoer!$A$5),1,1)+INT((ROWS(B$2:B220)-1)/2),"jjjjmmdd")</f>
        <v>19270420</v>
      </c>
      <c r="C220" s="26" t="str">
        <f>INDEX(Data,2,2+MOD(ROWS(C$2:C220)-1,2))</f>
        <v>08.00</v>
      </c>
      <c r="D220" s="39">
        <f t="shared" ca="1" si="16"/>
        <v>756.5</v>
      </c>
      <c r="E220" s="31">
        <f t="shared" ca="1" si="17"/>
        <v>0</v>
      </c>
      <c r="F220" s="40">
        <f t="shared" ca="1" si="18"/>
        <v>28</v>
      </c>
      <c r="G220" s="31">
        <f t="shared" ca="1" si="19"/>
        <v>0</v>
      </c>
    </row>
    <row r="221" spans="1:7" x14ac:dyDescent="0.25">
      <c r="A221" s="11">
        <f t="shared" si="15"/>
        <v>44</v>
      </c>
      <c r="B221" t="str">
        <f ca="1">TEXT(DATE(YEAR(Invoer!$A$5),1,1)+INT((ROWS(B$2:B221)-1)/2),"jjjjmmdd")</f>
        <v>19270420</v>
      </c>
      <c r="C221" s="26" t="str">
        <f>INDEX(Data,2,2+MOD(ROWS(C$2:C221)-1,2))</f>
        <v>15.00</v>
      </c>
      <c r="D221" s="39">
        <f t="shared" ca="1" si="16"/>
        <v>755</v>
      </c>
      <c r="E221" s="31">
        <f t="shared" ca="1" si="17"/>
        <v>0</v>
      </c>
      <c r="F221" s="40">
        <f t="shared" ca="1" si="18"/>
        <v>29</v>
      </c>
      <c r="G221" s="31">
        <f t="shared" ca="1" si="19"/>
        <v>0</v>
      </c>
    </row>
    <row r="222" spans="1:7" x14ac:dyDescent="0.25">
      <c r="A222" s="11">
        <f t="shared" si="15"/>
        <v>44</v>
      </c>
      <c r="B222" t="str">
        <f ca="1">TEXT(DATE(YEAR(Invoer!$A$5),1,1)+INT((ROWS(B$2:B222)-1)/2),"jjjjmmdd")</f>
        <v>19270421</v>
      </c>
      <c r="C222" s="26" t="str">
        <f>INDEX(Data,2,2+MOD(ROWS(C$2:C222)-1,2))</f>
        <v>08.00</v>
      </c>
      <c r="D222" s="39">
        <f t="shared" ca="1" si="16"/>
        <v>757</v>
      </c>
      <c r="E222" s="31">
        <f t="shared" ca="1" si="17"/>
        <v>0</v>
      </c>
      <c r="F222" s="40">
        <f t="shared" ca="1" si="18"/>
        <v>28</v>
      </c>
      <c r="G222" s="31">
        <f t="shared" ca="1" si="19"/>
        <v>0</v>
      </c>
    </row>
    <row r="223" spans="1:7" x14ac:dyDescent="0.25">
      <c r="A223" s="11">
        <f t="shared" si="15"/>
        <v>44</v>
      </c>
      <c r="B223" t="str">
        <f ca="1">TEXT(DATE(YEAR(Invoer!$A$5),1,1)+INT((ROWS(B$2:B223)-1)/2),"jjjjmmdd")</f>
        <v>19270421</v>
      </c>
      <c r="C223" s="26" t="str">
        <f>INDEX(Data,2,2+MOD(ROWS(C$2:C223)-1,2))</f>
        <v>15.00</v>
      </c>
      <c r="D223" s="39">
        <f t="shared" ca="1" si="16"/>
        <v>755.5</v>
      </c>
      <c r="E223" s="31">
        <f t="shared" ca="1" si="17"/>
        <v>0</v>
      </c>
      <c r="F223" s="40">
        <f t="shared" ca="1" si="18"/>
        <v>29</v>
      </c>
      <c r="G223" s="31">
        <f t="shared" ca="1" si="19"/>
        <v>0</v>
      </c>
    </row>
    <row r="224" spans="1:7" x14ac:dyDescent="0.25">
      <c r="A224" s="11">
        <f t="shared" si="15"/>
        <v>44</v>
      </c>
      <c r="B224" t="str">
        <f ca="1">TEXT(DATE(YEAR(Invoer!$A$5),1,1)+INT((ROWS(B$2:B224)-1)/2),"jjjjmmdd")</f>
        <v>19270422</v>
      </c>
      <c r="C224" s="26" t="str">
        <f>INDEX(Data,2,2+MOD(ROWS(C$2:C224)-1,2))</f>
        <v>08.00</v>
      </c>
      <c r="D224" s="39">
        <f t="shared" ca="1" si="16"/>
        <v>757</v>
      </c>
      <c r="E224" s="31">
        <f t="shared" ca="1" si="17"/>
        <v>0</v>
      </c>
      <c r="F224" s="40">
        <f t="shared" ca="1" si="18"/>
        <v>28</v>
      </c>
      <c r="G224" s="31">
        <f t="shared" ca="1" si="19"/>
        <v>0</v>
      </c>
    </row>
    <row r="225" spans="1:7" x14ac:dyDescent="0.25">
      <c r="A225" s="11">
        <f t="shared" si="15"/>
        <v>44</v>
      </c>
      <c r="B225" t="str">
        <f ca="1">TEXT(DATE(YEAR(Invoer!$A$5),1,1)+INT((ROWS(B$2:B225)-1)/2),"jjjjmmdd")</f>
        <v>19270422</v>
      </c>
      <c r="C225" s="26" t="str">
        <f>INDEX(Data,2,2+MOD(ROWS(C$2:C225)-1,2))</f>
        <v>15.00</v>
      </c>
      <c r="D225" s="39">
        <f t="shared" ca="1" si="16"/>
        <v>755</v>
      </c>
      <c r="E225" s="31">
        <f t="shared" ca="1" si="17"/>
        <v>0</v>
      </c>
      <c r="F225" s="40">
        <f t="shared" ca="1" si="18"/>
        <v>29</v>
      </c>
      <c r="G225" s="31">
        <f t="shared" ca="1" si="19"/>
        <v>0</v>
      </c>
    </row>
    <row r="226" spans="1:7" x14ac:dyDescent="0.25">
      <c r="A226" s="11">
        <f t="shared" si="15"/>
        <v>44</v>
      </c>
      <c r="B226" t="str">
        <f ca="1">TEXT(DATE(YEAR(Invoer!$A$5),1,1)+INT((ROWS(B$2:B226)-1)/2),"jjjjmmdd")</f>
        <v>19270423</v>
      </c>
      <c r="C226" s="26" t="str">
        <f>INDEX(Data,2,2+MOD(ROWS(C$2:C226)-1,2))</f>
        <v>08.00</v>
      </c>
      <c r="D226" s="39">
        <f t="shared" ca="1" si="16"/>
        <v>756.5</v>
      </c>
      <c r="E226" s="31">
        <f t="shared" ca="1" si="17"/>
        <v>0</v>
      </c>
      <c r="F226" s="40">
        <f t="shared" ca="1" si="18"/>
        <v>28</v>
      </c>
      <c r="G226" s="31">
        <f t="shared" ca="1" si="19"/>
        <v>0</v>
      </c>
    </row>
    <row r="227" spans="1:7" x14ac:dyDescent="0.25">
      <c r="A227" s="11">
        <f t="shared" si="15"/>
        <v>44</v>
      </c>
      <c r="B227" t="str">
        <f ca="1">TEXT(DATE(YEAR(Invoer!$A$5),1,1)+INT((ROWS(B$2:B227)-1)/2),"jjjjmmdd")</f>
        <v>19270423</v>
      </c>
      <c r="C227" s="26" t="str">
        <f>INDEX(Data,2,2+MOD(ROWS(C$2:C227)-1,2))</f>
        <v>15.00</v>
      </c>
      <c r="D227" s="39">
        <f t="shared" ca="1" si="16"/>
        <v>754</v>
      </c>
      <c r="E227" s="31">
        <f t="shared" ca="1" si="17"/>
        <v>0</v>
      </c>
      <c r="F227" s="40">
        <f t="shared" ca="1" si="18"/>
        <v>29</v>
      </c>
      <c r="G227" s="31">
        <f t="shared" ca="1" si="19"/>
        <v>0</v>
      </c>
    </row>
    <row r="228" spans="1:7" x14ac:dyDescent="0.25">
      <c r="A228" s="11">
        <f t="shared" si="15"/>
        <v>44</v>
      </c>
      <c r="B228" t="str">
        <f ca="1">TEXT(DATE(YEAR(Invoer!$A$5),1,1)+INT((ROWS(B$2:B228)-1)/2),"jjjjmmdd")</f>
        <v>19270424</v>
      </c>
      <c r="C228" s="26" t="str">
        <f>INDEX(Data,2,2+MOD(ROWS(C$2:C228)-1,2))</f>
        <v>08.00</v>
      </c>
      <c r="D228" s="39">
        <f t="shared" ca="1" si="16"/>
        <v>756.5</v>
      </c>
      <c r="E228" s="31">
        <f t="shared" ca="1" si="17"/>
        <v>0</v>
      </c>
      <c r="F228" s="40">
        <f t="shared" ca="1" si="18"/>
        <v>28</v>
      </c>
      <c r="G228" s="31">
        <f t="shared" ca="1" si="19"/>
        <v>0</v>
      </c>
    </row>
    <row r="229" spans="1:7" x14ac:dyDescent="0.25">
      <c r="A229" s="11">
        <f t="shared" si="15"/>
        <v>44</v>
      </c>
      <c r="B229" t="str">
        <f ca="1">TEXT(DATE(YEAR(Invoer!$A$5),1,1)+INT((ROWS(B$2:B229)-1)/2),"jjjjmmdd")</f>
        <v>19270424</v>
      </c>
      <c r="C229" s="26" t="str">
        <f>INDEX(Data,2,2+MOD(ROWS(C$2:C229)-1,2))</f>
        <v>15.00</v>
      </c>
      <c r="D229" s="39">
        <f t="shared" ca="1" si="16"/>
        <v>754</v>
      </c>
      <c r="E229" s="31">
        <f t="shared" ca="1" si="17"/>
        <v>0</v>
      </c>
      <c r="F229" s="40">
        <f t="shared" ca="1" si="18"/>
        <v>29</v>
      </c>
      <c r="G229" s="31">
        <f t="shared" ca="1" si="19"/>
        <v>0</v>
      </c>
    </row>
    <row r="230" spans="1:7" x14ac:dyDescent="0.25">
      <c r="A230" s="11">
        <f t="shared" si="15"/>
        <v>44</v>
      </c>
      <c r="B230" t="str">
        <f ca="1">TEXT(DATE(YEAR(Invoer!$A$5),1,1)+INT((ROWS(B$2:B230)-1)/2),"jjjjmmdd")</f>
        <v>19270425</v>
      </c>
      <c r="C230" s="26" t="str">
        <f>INDEX(Data,2,2+MOD(ROWS(C$2:C230)-1,2))</f>
        <v>08.00</v>
      </c>
      <c r="D230" s="39">
        <f t="shared" ca="1" si="16"/>
        <v>757</v>
      </c>
      <c r="E230" s="31">
        <f t="shared" ca="1" si="17"/>
        <v>0</v>
      </c>
      <c r="F230" s="40">
        <f t="shared" ca="1" si="18"/>
        <v>28</v>
      </c>
      <c r="G230" s="31">
        <f t="shared" ca="1" si="19"/>
        <v>0</v>
      </c>
    </row>
    <row r="231" spans="1:7" x14ac:dyDescent="0.25">
      <c r="A231" s="11">
        <f t="shared" si="15"/>
        <v>44</v>
      </c>
      <c r="B231" t="str">
        <f ca="1">TEXT(DATE(YEAR(Invoer!$A$5),1,1)+INT((ROWS(B$2:B231)-1)/2),"jjjjmmdd")</f>
        <v>19270425</v>
      </c>
      <c r="C231" s="26" t="str">
        <f>INDEX(Data,2,2+MOD(ROWS(C$2:C231)-1,2))</f>
        <v>15.00</v>
      </c>
      <c r="D231" s="39">
        <f t="shared" ca="1" si="16"/>
        <v>755</v>
      </c>
      <c r="E231" s="31">
        <f t="shared" ca="1" si="17"/>
        <v>0</v>
      </c>
      <c r="F231" s="40">
        <f t="shared" ca="1" si="18"/>
        <v>29.5</v>
      </c>
      <c r="G231" s="31">
        <f t="shared" ca="1" si="19"/>
        <v>0</v>
      </c>
    </row>
    <row r="232" spans="1:7" x14ac:dyDescent="0.25">
      <c r="A232" s="11">
        <f t="shared" si="15"/>
        <v>44</v>
      </c>
      <c r="B232" t="str">
        <f ca="1">TEXT(DATE(YEAR(Invoer!$A$5),1,1)+INT((ROWS(B$2:B232)-1)/2),"jjjjmmdd")</f>
        <v>19270426</v>
      </c>
      <c r="C232" s="26" t="str">
        <f>INDEX(Data,2,2+MOD(ROWS(C$2:C232)-1,2))</f>
        <v>08.00</v>
      </c>
      <c r="D232" s="39">
        <f t="shared" ca="1" si="16"/>
        <v>757</v>
      </c>
      <c r="E232" s="31">
        <f t="shared" ca="1" si="17"/>
        <v>0</v>
      </c>
      <c r="F232" s="40">
        <f t="shared" ca="1" si="18"/>
        <v>28</v>
      </c>
      <c r="G232" s="31">
        <f t="shared" ca="1" si="19"/>
        <v>0</v>
      </c>
    </row>
    <row r="233" spans="1:7" x14ac:dyDescent="0.25">
      <c r="A233" s="11">
        <f t="shared" si="15"/>
        <v>44</v>
      </c>
      <c r="B233" t="str">
        <f ca="1">TEXT(DATE(YEAR(Invoer!$A$5),1,1)+INT((ROWS(B$2:B233)-1)/2),"jjjjmmdd")</f>
        <v>19270426</v>
      </c>
      <c r="C233" s="26" t="str">
        <f>INDEX(Data,2,2+MOD(ROWS(C$2:C233)-1,2))</f>
        <v>15.00</v>
      </c>
      <c r="D233" s="39">
        <f t="shared" ca="1" si="16"/>
        <v>755</v>
      </c>
      <c r="E233" s="31">
        <f t="shared" ca="1" si="17"/>
        <v>0</v>
      </c>
      <c r="F233" s="40">
        <f t="shared" ca="1" si="18"/>
        <v>30</v>
      </c>
      <c r="G233" s="31">
        <f t="shared" ca="1" si="19"/>
        <v>0</v>
      </c>
    </row>
    <row r="234" spans="1:7" x14ac:dyDescent="0.25">
      <c r="A234" s="11">
        <f t="shared" si="15"/>
        <v>44</v>
      </c>
      <c r="B234" t="str">
        <f ca="1">TEXT(DATE(YEAR(Invoer!$A$5),1,1)+INT((ROWS(B$2:B234)-1)/2),"jjjjmmdd")</f>
        <v>19270427</v>
      </c>
      <c r="C234" s="26" t="str">
        <f>INDEX(Data,2,2+MOD(ROWS(C$2:C234)-1,2))</f>
        <v>08.00</v>
      </c>
      <c r="D234" s="39">
        <f t="shared" ca="1" si="16"/>
        <v>757</v>
      </c>
      <c r="E234" s="31">
        <f t="shared" ca="1" si="17"/>
        <v>0</v>
      </c>
      <c r="F234" s="40">
        <f t="shared" ca="1" si="18"/>
        <v>28</v>
      </c>
      <c r="G234" s="31">
        <f t="shared" ca="1" si="19"/>
        <v>0</v>
      </c>
    </row>
    <row r="235" spans="1:7" x14ac:dyDescent="0.25">
      <c r="A235" s="11">
        <f t="shared" si="15"/>
        <v>44</v>
      </c>
      <c r="B235" t="str">
        <f ca="1">TEXT(DATE(YEAR(Invoer!$A$5),1,1)+INT((ROWS(B$2:B235)-1)/2),"jjjjmmdd")</f>
        <v>19270427</v>
      </c>
      <c r="C235" s="26" t="str">
        <f>INDEX(Data,2,2+MOD(ROWS(C$2:C235)-1,2))</f>
        <v>15.00</v>
      </c>
      <c r="D235" s="39">
        <f t="shared" ca="1" si="16"/>
        <v>754</v>
      </c>
      <c r="E235" s="31">
        <f t="shared" ca="1" si="17"/>
        <v>0</v>
      </c>
      <c r="F235" s="40">
        <f t="shared" ca="1" si="18"/>
        <v>29</v>
      </c>
      <c r="G235" s="31">
        <f t="shared" ca="1" si="19"/>
        <v>0</v>
      </c>
    </row>
    <row r="236" spans="1:7" x14ac:dyDescent="0.25">
      <c r="A236" s="11">
        <f t="shared" si="15"/>
        <v>44</v>
      </c>
      <c r="B236" t="str">
        <f ca="1">TEXT(DATE(YEAR(Invoer!$A$5),1,1)+INT((ROWS(B$2:B236)-1)/2),"jjjjmmdd")</f>
        <v>19270428</v>
      </c>
      <c r="C236" s="26" t="str">
        <f>INDEX(Data,2,2+MOD(ROWS(C$2:C236)-1,2))</f>
        <v>08.00</v>
      </c>
      <c r="D236" s="39">
        <f t="shared" ca="1" si="16"/>
        <v>756.5</v>
      </c>
      <c r="E236" s="31">
        <f t="shared" ca="1" si="17"/>
        <v>0</v>
      </c>
      <c r="F236" s="40">
        <f t="shared" ca="1" si="18"/>
        <v>28</v>
      </c>
      <c r="G236" s="31">
        <f t="shared" ca="1" si="19"/>
        <v>0</v>
      </c>
    </row>
    <row r="237" spans="1:7" x14ac:dyDescent="0.25">
      <c r="A237" s="11">
        <f t="shared" si="15"/>
        <v>44</v>
      </c>
      <c r="B237" t="str">
        <f ca="1">TEXT(DATE(YEAR(Invoer!$A$5),1,1)+INT((ROWS(B$2:B237)-1)/2),"jjjjmmdd")</f>
        <v>19270428</v>
      </c>
      <c r="C237" s="26" t="str">
        <f>INDEX(Data,2,2+MOD(ROWS(C$2:C237)-1,2))</f>
        <v>15.00</v>
      </c>
      <c r="D237" s="39">
        <f t="shared" ca="1" si="16"/>
        <v>754.5</v>
      </c>
      <c r="E237" s="31">
        <f t="shared" ca="1" si="17"/>
        <v>0</v>
      </c>
      <c r="F237" s="40">
        <f t="shared" ca="1" si="18"/>
        <v>29</v>
      </c>
      <c r="G237" s="31">
        <f t="shared" ca="1" si="19"/>
        <v>0</v>
      </c>
    </row>
    <row r="238" spans="1:7" x14ac:dyDescent="0.25">
      <c r="A238" s="11">
        <f t="shared" si="15"/>
        <v>44</v>
      </c>
      <c r="B238" t="str">
        <f ca="1">TEXT(DATE(YEAR(Invoer!$A$5),1,1)+INT((ROWS(B$2:B238)-1)/2),"jjjjmmdd")</f>
        <v>19270429</v>
      </c>
      <c r="C238" s="26" t="str">
        <f>INDEX(Data,2,2+MOD(ROWS(C$2:C238)-1,2))</f>
        <v>08.00</v>
      </c>
      <c r="D238" s="39">
        <f t="shared" ca="1" si="16"/>
        <v>756.5</v>
      </c>
      <c r="E238" s="31">
        <f t="shared" ca="1" si="17"/>
        <v>0</v>
      </c>
      <c r="F238" s="40">
        <f t="shared" ca="1" si="18"/>
        <v>28</v>
      </c>
      <c r="G238" s="31">
        <f t="shared" ca="1" si="19"/>
        <v>0</v>
      </c>
    </row>
    <row r="239" spans="1:7" x14ac:dyDescent="0.25">
      <c r="A239" s="11">
        <f t="shared" si="15"/>
        <v>44</v>
      </c>
      <c r="B239" t="str">
        <f ca="1">TEXT(DATE(YEAR(Invoer!$A$5),1,1)+INT((ROWS(B$2:B239)-1)/2),"jjjjmmdd")</f>
        <v>19270429</v>
      </c>
      <c r="C239" s="26" t="str">
        <f>INDEX(Data,2,2+MOD(ROWS(C$2:C239)-1,2))</f>
        <v>15.00</v>
      </c>
      <c r="D239" s="39">
        <f t="shared" ca="1" si="16"/>
        <v>754.5</v>
      </c>
      <c r="E239" s="31">
        <f t="shared" ca="1" si="17"/>
        <v>0</v>
      </c>
      <c r="F239" s="40">
        <f t="shared" ca="1" si="18"/>
        <v>29</v>
      </c>
      <c r="G239" s="31">
        <f t="shared" ca="1" si="19"/>
        <v>0</v>
      </c>
    </row>
    <row r="240" spans="1:7" x14ac:dyDescent="0.25">
      <c r="A240" s="11">
        <f t="shared" si="15"/>
        <v>44</v>
      </c>
      <c r="B240" t="str">
        <f ca="1">TEXT(DATE(YEAR(Invoer!$A$5),1,1)+INT((ROWS(B$2:B240)-1)/2),"jjjjmmdd")</f>
        <v>19270430</v>
      </c>
      <c r="C240" s="26" t="str">
        <f>INDEX(Data,2,2+MOD(ROWS(C$2:C240)-1,2))</f>
        <v>08.00</v>
      </c>
      <c r="D240" s="39">
        <f t="shared" ca="1" si="16"/>
        <v>756.5</v>
      </c>
      <c r="E240" s="31">
        <f t="shared" ca="1" si="17"/>
        <v>0</v>
      </c>
      <c r="F240" s="40">
        <f t="shared" ca="1" si="18"/>
        <v>28</v>
      </c>
      <c r="G240" s="31">
        <f t="shared" ca="1" si="19"/>
        <v>0</v>
      </c>
    </row>
    <row r="241" spans="1:7" x14ac:dyDescent="0.25">
      <c r="A241" s="11">
        <f t="shared" si="15"/>
        <v>44</v>
      </c>
      <c r="B241" t="str">
        <f ca="1">TEXT(DATE(YEAR(Invoer!$A$5),1,1)+INT((ROWS(B$2:B241)-1)/2),"jjjjmmdd")</f>
        <v>19270430</v>
      </c>
      <c r="C241" s="26" t="str">
        <f>INDEX(Data,2,2+MOD(ROWS(C$2:C241)-1,2))</f>
        <v>15.00</v>
      </c>
      <c r="D241" s="39">
        <f t="shared" ca="1" si="16"/>
        <v>754.5</v>
      </c>
      <c r="E241" s="31">
        <f t="shared" ca="1" si="17"/>
        <v>0</v>
      </c>
      <c r="F241" s="40">
        <f t="shared" ca="1" si="18"/>
        <v>29</v>
      </c>
      <c r="G241" s="31">
        <f t="shared" ca="1" si="19"/>
        <v>0</v>
      </c>
    </row>
    <row r="242" spans="1:7" x14ac:dyDescent="0.25">
      <c r="A242" s="11">
        <f t="shared" si="15"/>
        <v>44</v>
      </c>
      <c r="B242" t="str">
        <f ca="1">TEXT(DATE(YEAR(Invoer!$A$5),1,1)+INT((ROWS(B$2:B242)-1)/2),"jjjjmmdd")</f>
        <v>19270501</v>
      </c>
      <c r="C242" s="26" t="str">
        <f>INDEX(Data,2,2+MOD(ROWS(C$2:C242)-1,2))</f>
        <v>08.00</v>
      </c>
      <c r="D242" s="39">
        <f t="shared" ca="1" si="16"/>
        <v>756.5</v>
      </c>
      <c r="E242" s="31">
        <f t="shared" ca="1" si="17"/>
        <v>0</v>
      </c>
      <c r="F242" s="40">
        <f t="shared" ca="1" si="18"/>
        <v>28</v>
      </c>
      <c r="G242" s="31">
        <f t="shared" ca="1" si="19"/>
        <v>0</v>
      </c>
    </row>
    <row r="243" spans="1:7" x14ac:dyDescent="0.25">
      <c r="A243" s="11">
        <f t="shared" si="15"/>
        <v>44</v>
      </c>
      <c r="B243" t="str">
        <f ca="1">TEXT(DATE(YEAR(Invoer!$A$5),1,1)+INT((ROWS(B$2:B243)-1)/2),"jjjjmmdd")</f>
        <v>19270501</v>
      </c>
      <c r="C243" s="26" t="str">
        <f>INDEX(Data,2,2+MOD(ROWS(C$2:C243)-1,2))</f>
        <v>15.00</v>
      </c>
      <c r="D243" s="39">
        <f t="shared" ca="1" si="16"/>
        <v>754.5</v>
      </c>
      <c r="E243" s="31">
        <f t="shared" ca="1" si="17"/>
        <v>0</v>
      </c>
      <c r="F243" s="40">
        <f t="shared" ca="1" si="18"/>
        <v>29</v>
      </c>
      <c r="G243" s="31">
        <f t="shared" ca="1" si="19"/>
        <v>0</v>
      </c>
    </row>
    <row r="244" spans="1:7" x14ac:dyDescent="0.25">
      <c r="A244" s="11">
        <f t="shared" si="15"/>
        <v>44</v>
      </c>
      <c r="B244" t="str">
        <f ca="1">TEXT(DATE(YEAR(Invoer!$A$5),1,1)+INT((ROWS(B$2:B244)-1)/2),"jjjjmmdd")</f>
        <v>19270502</v>
      </c>
      <c r="C244" s="26" t="str">
        <f>INDEX(Data,2,2+MOD(ROWS(C$2:C244)-1,2))</f>
        <v>08.00</v>
      </c>
      <c r="D244" s="39">
        <f t="shared" ca="1" si="16"/>
        <v>756.5</v>
      </c>
      <c r="E244" s="31">
        <f t="shared" ca="1" si="17"/>
        <v>0</v>
      </c>
      <c r="F244" s="40">
        <f t="shared" ca="1" si="18"/>
        <v>28</v>
      </c>
      <c r="G244" s="31">
        <f t="shared" ca="1" si="19"/>
        <v>0</v>
      </c>
    </row>
    <row r="245" spans="1:7" x14ac:dyDescent="0.25">
      <c r="A245" s="11">
        <f t="shared" si="15"/>
        <v>44</v>
      </c>
      <c r="B245" t="str">
        <f ca="1">TEXT(DATE(YEAR(Invoer!$A$5),1,1)+INT((ROWS(B$2:B245)-1)/2),"jjjjmmdd")</f>
        <v>19270502</v>
      </c>
      <c r="C245" s="26" t="str">
        <f>INDEX(Data,2,2+MOD(ROWS(C$2:C245)-1,2))</f>
        <v>15.00</v>
      </c>
      <c r="D245" s="39">
        <f t="shared" ca="1" si="16"/>
        <v>754.5</v>
      </c>
      <c r="E245" s="31">
        <f t="shared" ca="1" si="17"/>
        <v>0</v>
      </c>
      <c r="F245" s="40">
        <f t="shared" ca="1" si="18"/>
        <v>29</v>
      </c>
      <c r="G245" s="31">
        <f t="shared" ca="1" si="19"/>
        <v>0</v>
      </c>
    </row>
    <row r="246" spans="1:7" x14ac:dyDescent="0.25">
      <c r="A246" s="11">
        <f t="shared" si="15"/>
        <v>44</v>
      </c>
      <c r="B246" t="str">
        <f ca="1">TEXT(DATE(YEAR(Invoer!$A$5),1,1)+INT((ROWS(B$2:B246)-1)/2),"jjjjmmdd")</f>
        <v>19270503</v>
      </c>
      <c r="C246" s="26" t="str">
        <f>INDEX(Data,2,2+MOD(ROWS(C$2:C246)-1,2))</f>
        <v>08.00</v>
      </c>
      <c r="D246" s="39">
        <f t="shared" ca="1" si="16"/>
        <v>757.5</v>
      </c>
      <c r="E246" s="31">
        <f t="shared" ca="1" si="17"/>
        <v>0</v>
      </c>
      <c r="F246" s="40">
        <f t="shared" ca="1" si="18"/>
        <v>28</v>
      </c>
      <c r="G246" s="31">
        <f t="shared" ca="1" si="19"/>
        <v>0</v>
      </c>
    </row>
    <row r="247" spans="1:7" x14ac:dyDescent="0.25">
      <c r="A247" s="11">
        <f t="shared" si="15"/>
        <v>44</v>
      </c>
      <c r="B247" t="str">
        <f ca="1">TEXT(DATE(YEAR(Invoer!$A$5),1,1)+INT((ROWS(B$2:B247)-1)/2),"jjjjmmdd")</f>
        <v>19270503</v>
      </c>
      <c r="C247" s="26" t="str">
        <f>INDEX(Data,2,2+MOD(ROWS(C$2:C247)-1,2))</f>
        <v>15.00</v>
      </c>
      <c r="D247" s="39">
        <f t="shared" ca="1" si="16"/>
        <v>755</v>
      </c>
      <c r="E247" s="31">
        <f t="shared" ca="1" si="17"/>
        <v>0</v>
      </c>
      <c r="F247" s="40">
        <f t="shared" ca="1" si="18"/>
        <v>30</v>
      </c>
      <c r="G247" s="31">
        <f t="shared" ca="1" si="19"/>
        <v>0</v>
      </c>
    </row>
    <row r="248" spans="1:7" x14ac:dyDescent="0.25">
      <c r="A248" s="11">
        <f t="shared" si="15"/>
        <v>44</v>
      </c>
      <c r="B248" t="str">
        <f ca="1">TEXT(DATE(YEAR(Invoer!$A$5),1,1)+INT((ROWS(B$2:B248)-1)/2),"jjjjmmdd")</f>
        <v>19270504</v>
      </c>
      <c r="C248" s="26" t="str">
        <f>INDEX(Data,2,2+MOD(ROWS(C$2:C248)-1,2))</f>
        <v>08.00</v>
      </c>
      <c r="D248" s="39">
        <f t="shared" ca="1" si="16"/>
        <v>757.5</v>
      </c>
      <c r="E248" s="31">
        <f t="shared" ca="1" si="17"/>
        <v>0</v>
      </c>
      <c r="F248" s="40">
        <f t="shared" ca="1" si="18"/>
        <v>29</v>
      </c>
      <c r="G248" s="31">
        <f t="shared" ca="1" si="19"/>
        <v>0</v>
      </c>
    </row>
    <row r="249" spans="1:7" x14ac:dyDescent="0.25">
      <c r="A249" s="11">
        <f t="shared" si="15"/>
        <v>44</v>
      </c>
      <c r="B249" t="str">
        <f ca="1">TEXT(DATE(YEAR(Invoer!$A$5),1,1)+INT((ROWS(B$2:B249)-1)/2),"jjjjmmdd")</f>
        <v>19270504</v>
      </c>
      <c r="C249" s="26" t="str">
        <f>INDEX(Data,2,2+MOD(ROWS(C$2:C249)-1,2))</f>
        <v>15.00</v>
      </c>
      <c r="D249" s="39">
        <f t="shared" ca="1" si="16"/>
        <v>755</v>
      </c>
      <c r="E249" s="31">
        <f t="shared" ca="1" si="17"/>
        <v>0</v>
      </c>
      <c r="F249" s="40">
        <f t="shared" ca="1" si="18"/>
        <v>29</v>
      </c>
      <c r="G249" s="31">
        <f t="shared" ca="1" si="19"/>
        <v>0</v>
      </c>
    </row>
    <row r="250" spans="1:7" x14ac:dyDescent="0.25">
      <c r="A250" s="11">
        <f t="shared" si="15"/>
        <v>44</v>
      </c>
      <c r="B250" t="str">
        <f ca="1">TEXT(DATE(YEAR(Invoer!$A$5),1,1)+INT((ROWS(B$2:B250)-1)/2),"jjjjmmdd")</f>
        <v>19270505</v>
      </c>
      <c r="C250" s="26" t="str">
        <f>INDEX(Data,2,2+MOD(ROWS(C$2:C250)-1,2))</f>
        <v>08.00</v>
      </c>
      <c r="D250" s="39">
        <f t="shared" ca="1" si="16"/>
        <v>758</v>
      </c>
      <c r="E250" s="31">
        <f t="shared" ca="1" si="17"/>
        <v>0</v>
      </c>
      <c r="F250" s="40">
        <f t="shared" ca="1" si="18"/>
        <v>29</v>
      </c>
      <c r="G250" s="31">
        <f t="shared" ca="1" si="19"/>
        <v>0</v>
      </c>
    </row>
    <row r="251" spans="1:7" x14ac:dyDescent="0.25">
      <c r="A251" s="11">
        <f t="shared" si="15"/>
        <v>44</v>
      </c>
      <c r="B251" t="str">
        <f ca="1">TEXT(DATE(YEAR(Invoer!$A$5),1,1)+INT((ROWS(B$2:B251)-1)/2),"jjjjmmdd")</f>
        <v>19270505</v>
      </c>
      <c r="C251" s="26" t="str">
        <f>INDEX(Data,2,2+MOD(ROWS(C$2:C251)-1,2))</f>
        <v>15.00</v>
      </c>
      <c r="D251" s="39">
        <f t="shared" ca="1" si="16"/>
        <v>756</v>
      </c>
      <c r="E251" s="31">
        <f t="shared" ca="1" si="17"/>
        <v>0</v>
      </c>
      <c r="F251" s="40">
        <f t="shared" ca="1" si="18"/>
        <v>30</v>
      </c>
      <c r="G251" s="31">
        <f t="shared" ca="1" si="19"/>
        <v>0</v>
      </c>
    </row>
    <row r="252" spans="1:7" x14ac:dyDescent="0.25">
      <c r="A252" s="11">
        <f t="shared" si="15"/>
        <v>44</v>
      </c>
      <c r="B252" t="str">
        <f ca="1">TEXT(DATE(YEAR(Invoer!$A$5),1,1)+INT((ROWS(B$2:B252)-1)/2),"jjjjmmdd")</f>
        <v>19270506</v>
      </c>
      <c r="C252" s="26" t="str">
        <f>INDEX(Data,2,2+MOD(ROWS(C$2:C252)-1,2))</f>
        <v>08.00</v>
      </c>
      <c r="D252" s="39">
        <f t="shared" ca="1" si="16"/>
        <v>757.5</v>
      </c>
      <c r="E252" s="31">
        <f t="shared" ca="1" si="17"/>
        <v>0</v>
      </c>
      <c r="F252" s="40">
        <f t="shared" ca="1" si="18"/>
        <v>29</v>
      </c>
      <c r="G252" s="31">
        <f t="shared" ca="1" si="19"/>
        <v>0</v>
      </c>
    </row>
    <row r="253" spans="1:7" x14ac:dyDescent="0.25">
      <c r="A253" s="11">
        <f t="shared" si="15"/>
        <v>44</v>
      </c>
      <c r="B253" t="str">
        <f ca="1">TEXT(DATE(YEAR(Invoer!$A$5),1,1)+INT((ROWS(B$2:B253)-1)/2),"jjjjmmdd")</f>
        <v>19270506</v>
      </c>
      <c r="C253" s="26" t="str">
        <f>INDEX(Data,2,2+MOD(ROWS(C$2:C253)-1,2))</f>
        <v>15.00</v>
      </c>
      <c r="D253" s="39">
        <f t="shared" ca="1" si="16"/>
        <v>755.5</v>
      </c>
      <c r="E253" s="31">
        <f t="shared" ca="1" si="17"/>
        <v>0</v>
      </c>
      <c r="F253" s="40">
        <f t="shared" ca="1" si="18"/>
        <v>30</v>
      </c>
      <c r="G253" s="31">
        <f t="shared" ca="1" si="19"/>
        <v>0</v>
      </c>
    </row>
    <row r="254" spans="1:7" x14ac:dyDescent="0.25">
      <c r="A254" s="11">
        <f t="shared" si="15"/>
        <v>44</v>
      </c>
      <c r="B254" t="str">
        <f ca="1">TEXT(DATE(YEAR(Invoer!$A$5),1,1)+INT((ROWS(B$2:B254)-1)/2),"jjjjmmdd")</f>
        <v>19270507</v>
      </c>
      <c r="C254" s="26" t="str">
        <f>INDEX(Data,2,2+MOD(ROWS(C$2:C254)-1,2))</f>
        <v>08.00</v>
      </c>
      <c r="D254" s="39">
        <f t="shared" ca="1" si="16"/>
        <v>756.5</v>
      </c>
      <c r="E254" s="31">
        <f t="shared" ca="1" si="17"/>
        <v>0</v>
      </c>
      <c r="F254" s="40">
        <f t="shared" ca="1" si="18"/>
        <v>29.5</v>
      </c>
      <c r="G254" s="31">
        <f t="shared" ca="1" si="19"/>
        <v>0</v>
      </c>
    </row>
    <row r="255" spans="1:7" x14ac:dyDescent="0.25">
      <c r="A255" s="11">
        <f t="shared" si="15"/>
        <v>44</v>
      </c>
      <c r="B255" t="str">
        <f ca="1">TEXT(DATE(YEAR(Invoer!$A$5),1,1)+INT((ROWS(B$2:B255)-1)/2),"jjjjmmdd")</f>
        <v>19270507</v>
      </c>
      <c r="C255" s="26" t="str">
        <f>INDEX(Data,2,2+MOD(ROWS(C$2:C255)-1,2))</f>
        <v>15.00</v>
      </c>
      <c r="D255" s="39">
        <f t="shared" ca="1" si="16"/>
        <v>755</v>
      </c>
      <c r="E255" s="31">
        <f t="shared" ca="1" si="17"/>
        <v>0</v>
      </c>
      <c r="F255" s="40">
        <f t="shared" ca="1" si="18"/>
        <v>30</v>
      </c>
      <c r="G255" s="31">
        <f t="shared" ca="1" si="19"/>
        <v>0</v>
      </c>
    </row>
    <row r="256" spans="1:7" x14ac:dyDescent="0.25">
      <c r="A256" s="11">
        <f t="shared" si="15"/>
        <v>44</v>
      </c>
      <c r="B256" t="str">
        <f ca="1">TEXT(DATE(YEAR(Invoer!$A$5),1,1)+INT((ROWS(B$2:B256)-1)/2),"jjjjmmdd")</f>
        <v>19270508</v>
      </c>
      <c r="C256" s="26" t="str">
        <f>INDEX(Data,2,2+MOD(ROWS(C$2:C256)-1,2))</f>
        <v>08.00</v>
      </c>
      <c r="D256" s="39">
        <f t="shared" ca="1" si="16"/>
        <v>756.5</v>
      </c>
      <c r="E256" s="31">
        <f t="shared" ca="1" si="17"/>
        <v>0</v>
      </c>
      <c r="F256" s="40">
        <f t="shared" ca="1" si="18"/>
        <v>29.5</v>
      </c>
      <c r="G256" s="31">
        <f t="shared" ca="1" si="19"/>
        <v>0</v>
      </c>
    </row>
    <row r="257" spans="1:7" x14ac:dyDescent="0.25">
      <c r="A257" s="11">
        <f t="shared" si="15"/>
        <v>44</v>
      </c>
      <c r="B257" t="str">
        <f ca="1">TEXT(DATE(YEAR(Invoer!$A$5),1,1)+INT((ROWS(B$2:B257)-1)/2),"jjjjmmdd")</f>
        <v>19270508</v>
      </c>
      <c r="C257" s="26" t="str">
        <f>INDEX(Data,2,2+MOD(ROWS(C$2:C257)-1,2))</f>
        <v>15.00</v>
      </c>
      <c r="D257" s="39">
        <f t="shared" ca="1" si="16"/>
        <v>755</v>
      </c>
      <c r="E257" s="31">
        <f t="shared" ca="1" si="17"/>
        <v>0</v>
      </c>
      <c r="F257" s="40">
        <f t="shared" ca="1" si="18"/>
        <v>30</v>
      </c>
      <c r="G257" s="31">
        <f t="shared" ca="1" si="19"/>
        <v>0</v>
      </c>
    </row>
    <row r="258" spans="1:7" x14ac:dyDescent="0.25">
      <c r="A258" s="11">
        <f t="shared" ref="A258:A321" si="20">INDEX(Stations,2,1)</f>
        <v>44</v>
      </c>
      <c r="B258" t="str">
        <f ca="1">TEXT(DATE(YEAR(Invoer!$A$5),1,1)+INT((ROWS(B$2:B258)-1)/2),"jjjjmmdd")</f>
        <v>19270509</v>
      </c>
      <c r="C258" s="26" t="str">
        <f>INDEX(Data,2,2+MOD(ROWS(C$2:C258)-1,2))</f>
        <v>08.00</v>
      </c>
      <c r="D258" s="39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/10)</f>
        <v>756.5</v>
      </c>
      <c r="E258" s="31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40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VLOOKUP(DATEVALUE(LEFT($B258,4)&amp;"-"&amp;MID($B258,5,2)&amp;"-"&amp;RIGHT($B258,2)),Data,MATCH(LEFT(VLOOKUP(F$1,Parameters,2,FALSE()),4)&amp;"*",OFFSET(Data,0,0,1),0)+MATCH($C258,OFFSET(Data,1,0,1),0)-2,FALSE())/10)</f>
        <v>29</v>
      </c>
      <c r="G258" s="31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0</v>
      </c>
    </row>
    <row r="259" spans="1:7" x14ac:dyDescent="0.25">
      <c r="A259" s="11">
        <f t="shared" si="20"/>
        <v>44</v>
      </c>
      <c r="B259" t="str">
        <f ca="1">TEXT(DATE(YEAR(Invoer!$A$5),1,1)+INT((ROWS(B$2:B259)-1)/2),"jjjjmmdd")</f>
        <v>19270509</v>
      </c>
      <c r="C259" s="26" t="str">
        <f>INDEX(Data,2,2+MOD(ROWS(C$2:C259)-1,2))</f>
        <v>15.00</v>
      </c>
      <c r="D259" s="39">
        <f t="shared" ca="1" si="21"/>
        <v>754.5</v>
      </c>
      <c r="E259" s="31">
        <f t="shared" ca="1" si="22"/>
        <v>0</v>
      </c>
      <c r="F259" s="40">
        <f t="shared" ca="1" si="23"/>
        <v>30</v>
      </c>
      <c r="G259" s="31">
        <f t="shared" ca="1" si="24"/>
        <v>0</v>
      </c>
    </row>
    <row r="260" spans="1:7" x14ac:dyDescent="0.25">
      <c r="A260" s="11">
        <f t="shared" si="20"/>
        <v>44</v>
      </c>
      <c r="B260" t="str">
        <f ca="1">TEXT(DATE(YEAR(Invoer!$A$5),1,1)+INT((ROWS(B$2:B260)-1)/2),"jjjjmmdd")</f>
        <v>19270510</v>
      </c>
      <c r="C260" s="26" t="str">
        <f>INDEX(Data,2,2+MOD(ROWS(C$2:C260)-1,2))</f>
        <v>08.00</v>
      </c>
      <c r="D260" s="39">
        <f t="shared" ca="1" si="21"/>
        <v>757.5</v>
      </c>
      <c r="E260" s="31">
        <f t="shared" ca="1" si="22"/>
        <v>0</v>
      </c>
      <c r="F260" s="40">
        <f t="shared" ca="1" si="23"/>
        <v>29</v>
      </c>
      <c r="G260" s="31">
        <f t="shared" ca="1" si="24"/>
        <v>0</v>
      </c>
    </row>
    <row r="261" spans="1:7" x14ac:dyDescent="0.25">
      <c r="A261" s="11">
        <f t="shared" si="20"/>
        <v>44</v>
      </c>
      <c r="B261" t="str">
        <f ca="1">TEXT(DATE(YEAR(Invoer!$A$5),1,1)+INT((ROWS(B$2:B261)-1)/2),"jjjjmmdd")</f>
        <v>19270510</v>
      </c>
      <c r="C261" s="26" t="str">
        <f>INDEX(Data,2,2+MOD(ROWS(C$2:C261)-1,2))</f>
        <v>15.00</v>
      </c>
      <c r="D261" s="39">
        <f t="shared" ca="1" si="21"/>
        <v>755</v>
      </c>
      <c r="E261" s="31">
        <f t="shared" ca="1" si="22"/>
        <v>0</v>
      </c>
      <c r="F261" s="40">
        <f t="shared" ca="1" si="23"/>
        <v>30</v>
      </c>
      <c r="G261" s="31">
        <f t="shared" ca="1" si="24"/>
        <v>0</v>
      </c>
    </row>
    <row r="262" spans="1:7" x14ac:dyDescent="0.25">
      <c r="A262" s="11">
        <f t="shared" si="20"/>
        <v>44</v>
      </c>
      <c r="B262" t="str">
        <f ca="1">TEXT(DATE(YEAR(Invoer!$A$5),1,1)+INT((ROWS(B$2:B262)-1)/2),"jjjjmmdd")</f>
        <v>19270511</v>
      </c>
      <c r="C262" s="26" t="str">
        <f>INDEX(Data,2,2+MOD(ROWS(C$2:C262)-1,2))</f>
        <v>08.00</v>
      </c>
      <c r="D262" s="39">
        <f t="shared" ca="1" si="21"/>
        <v>757.5</v>
      </c>
      <c r="E262" s="31">
        <f t="shared" ca="1" si="22"/>
        <v>0</v>
      </c>
      <c r="F262" s="40">
        <f t="shared" ca="1" si="23"/>
        <v>29</v>
      </c>
      <c r="G262" s="31">
        <f t="shared" ca="1" si="24"/>
        <v>0</v>
      </c>
    </row>
    <row r="263" spans="1:7" x14ac:dyDescent="0.25">
      <c r="A263" s="11">
        <f t="shared" si="20"/>
        <v>44</v>
      </c>
      <c r="B263" t="str">
        <f ca="1">TEXT(DATE(YEAR(Invoer!$A$5),1,1)+INT((ROWS(B$2:B263)-1)/2),"jjjjmmdd")</f>
        <v>19270511</v>
      </c>
      <c r="C263" s="26" t="str">
        <f>INDEX(Data,2,2+MOD(ROWS(C$2:C263)-1,2))</f>
        <v>15.00</v>
      </c>
      <c r="D263" s="39">
        <f t="shared" ca="1" si="21"/>
        <v>755.5</v>
      </c>
      <c r="E263" s="31">
        <f t="shared" ca="1" si="22"/>
        <v>0</v>
      </c>
      <c r="F263" s="40">
        <f t="shared" ca="1" si="23"/>
        <v>30</v>
      </c>
      <c r="G263" s="31">
        <f t="shared" ca="1" si="24"/>
        <v>0</v>
      </c>
    </row>
    <row r="264" spans="1:7" x14ac:dyDescent="0.25">
      <c r="A264" s="11">
        <f t="shared" si="20"/>
        <v>44</v>
      </c>
      <c r="B264" t="str">
        <f ca="1">TEXT(DATE(YEAR(Invoer!$A$5),1,1)+INT((ROWS(B$2:B264)-1)/2),"jjjjmmdd")</f>
        <v>19270512</v>
      </c>
      <c r="C264" s="26" t="str">
        <f>INDEX(Data,2,2+MOD(ROWS(C$2:C264)-1,2))</f>
        <v>08.00</v>
      </c>
      <c r="D264" s="39">
        <f t="shared" ca="1" si="21"/>
        <v>758</v>
      </c>
      <c r="E264" s="31">
        <f t="shared" ca="1" si="22"/>
        <v>0</v>
      </c>
      <c r="F264" s="40">
        <f t="shared" ca="1" si="23"/>
        <v>28</v>
      </c>
      <c r="G264" s="31">
        <f t="shared" ca="1" si="24"/>
        <v>0</v>
      </c>
    </row>
    <row r="265" spans="1:7" x14ac:dyDescent="0.25">
      <c r="A265" s="11">
        <f t="shared" si="20"/>
        <v>44</v>
      </c>
      <c r="B265" t="str">
        <f ca="1">TEXT(DATE(YEAR(Invoer!$A$5),1,1)+INT((ROWS(B$2:B265)-1)/2),"jjjjmmdd")</f>
        <v>19270512</v>
      </c>
      <c r="C265" s="26" t="str">
        <f>INDEX(Data,2,2+MOD(ROWS(C$2:C265)-1,2))</f>
        <v>15.00</v>
      </c>
      <c r="D265" s="39">
        <f t="shared" ca="1" si="21"/>
        <v>756.5</v>
      </c>
      <c r="E265" s="31">
        <f t="shared" ca="1" si="22"/>
        <v>0</v>
      </c>
      <c r="F265" s="40">
        <f t="shared" ca="1" si="23"/>
        <v>29.5</v>
      </c>
      <c r="G265" s="31">
        <f t="shared" ca="1" si="24"/>
        <v>0</v>
      </c>
    </row>
    <row r="266" spans="1:7" x14ac:dyDescent="0.25">
      <c r="A266" s="11">
        <f t="shared" si="20"/>
        <v>44</v>
      </c>
      <c r="B266" t="str">
        <f ca="1">TEXT(DATE(YEAR(Invoer!$A$5),1,1)+INT((ROWS(B$2:B266)-1)/2),"jjjjmmdd")</f>
        <v>19270513</v>
      </c>
      <c r="C266" s="26" t="str">
        <f>INDEX(Data,2,2+MOD(ROWS(C$2:C266)-1,2))</f>
        <v>08.00</v>
      </c>
      <c r="D266" s="39">
        <f t="shared" ca="1" si="21"/>
        <v>758</v>
      </c>
      <c r="E266" s="31">
        <f t="shared" ca="1" si="22"/>
        <v>0</v>
      </c>
      <c r="F266" s="40">
        <f t="shared" ca="1" si="23"/>
        <v>28</v>
      </c>
      <c r="G266" s="31">
        <f t="shared" ca="1" si="24"/>
        <v>0</v>
      </c>
    </row>
    <row r="267" spans="1:7" x14ac:dyDescent="0.25">
      <c r="A267" s="11">
        <f t="shared" si="20"/>
        <v>44</v>
      </c>
      <c r="B267" t="str">
        <f ca="1">TEXT(DATE(YEAR(Invoer!$A$5),1,1)+INT((ROWS(B$2:B267)-1)/2),"jjjjmmdd")</f>
        <v>19270513</v>
      </c>
      <c r="C267" s="26" t="str">
        <f>INDEX(Data,2,2+MOD(ROWS(C$2:C267)-1,2))</f>
        <v>15.00</v>
      </c>
      <c r="D267" s="39">
        <f t="shared" ca="1" si="21"/>
        <v>756.5</v>
      </c>
      <c r="E267" s="31">
        <f t="shared" ca="1" si="22"/>
        <v>0</v>
      </c>
      <c r="F267" s="40">
        <f t="shared" ca="1" si="23"/>
        <v>29.5</v>
      </c>
      <c r="G267" s="31">
        <f t="shared" ca="1" si="24"/>
        <v>0</v>
      </c>
    </row>
    <row r="268" spans="1:7" x14ac:dyDescent="0.25">
      <c r="A268" s="11">
        <f t="shared" si="20"/>
        <v>44</v>
      </c>
      <c r="B268" t="str">
        <f ca="1">TEXT(DATE(YEAR(Invoer!$A$5),1,1)+INT((ROWS(B$2:B268)-1)/2),"jjjjmmdd")</f>
        <v>19270514</v>
      </c>
      <c r="C268" s="26" t="str">
        <f>INDEX(Data,2,2+MOD(ROWS(C$2:C268)-1,2))</f>
        <v>08.00</v>
      </c>
      <c r="D268" s="39">
        <f t="shared" ca="1" si="21"/>
        <v>758.5</v>
      </c>
      <c r="E268" s="31">
        <f t="shared" ca="1" si="22"/>
        <v>0</v>
      </c>
      <c r="F268" s="40">
        <f t="shared" ca="1" si="23"/>
        <v>28</v>
      </c>
      <c r="G268" s="31">
        <f t="shared" ca="1" si="24"/>
        <v>0</v>
      </c>
    </row>
    <row r="269" spans="1:7" x14ac:dyDescent="0.25">
      <c r="A269" s="11">
        <f t="shared" si="20"/>
        <v>44</v>
      </c>
      <c r="B269" t="str">
        <f ca="1">TEXT(DATE(YEAR(Invoer!$A$5),1,1)+INT((ROWS(B$2:B269)-1)/2),"jjjjmmdd")</f>
        <v>19270514</v>
      </c>
      <c r="C269" s="26" t="str">
        <f>INDEX(Data,2,2+MOD(ROWS(C$2:C269)-1,2))</f>
        <v>15.00</v>
      </c>
      <c r="D269" s="39">
        <f t="shared" ca="1" si="21"/>
        <v>755.5</v>
      </c>
      <c r="E269" s="31">
        <f t="shared" ca="1" si="22"/>
        <v>0</v>
      </c>
      <c r="F269" s="40">
        <f t="shared" ca="1" si="23"/>
        <v>30</v>
      </c>
      <c r="G269" s="31">
        <f t="shared" ca="1" si="24"/>
        <v>0</v>
      </c>
    </row>
    <row r="270" spans="1:7" x14ac:dyDescent="0.25">
      <c r="A270" s="11">
        <f t="shared" si="20"/>
        <v>44</v>
      </c>
      <c r="B270" t="str">
        <f ca="1">TEXT(DATE(YEAR(Invoer!$A$5),1,1)+INT((ROWS(B$2:B270)-1)/2),"jjjjmmdd")</f>
        <v>19270515</v>
      </c>
      <c r="C270" s="26" t="str">
        <f>INDEX(Data,2,2+MOD(ROWS(C$2:C270)-1,2))</f>
        <v>08.00</v>
      </c>
      <c r="D270" s="39">
        <f t="shared" ca="1" si="21"/>
        <v>758.5</v>
      </c>
      <c r="E270" s="31">
        <f t="shared" ca="1" si="22"/>
        <v>0</v>
      </c>
      <c r="F270" s="40">
        <f t="shared" ca="1" si="23"/>
        <v>28</v>
      </c>
      <c r="G270" s="31">
        <f t="shared" ca="1" si="24"/>
        <v>0</v>
      </c>
    </row>
    <row r="271" spans="1:7" x14ac:dyDescent="0.25">
      <c r="A271" s="11">
        <f t="shared" si="20"/>
        <v>44</v>
      </c>
      <c r="B271" t="str">
        <f ca="1">TEXT(DATE(YEAR(Invoer!$A$5),1,1)+INT((ROWS(B$2:B271)-1)/2),"jjjjmmdd")</f>
        <v>19270515</v>
      </c>
      <c r="C271" s="26" t="str">
        <f>INDEX(Data,2,2+MOD(ROWS(C$2:C271)-1,2))</f>
        <v>15.00</v>
      </c>
      <c r="D271" s="39">
        <f t="shared" ca="1" si="21"/>
        <v>755.5</v>
      </c>
      <c r="E271" s="31">
        <f t="shared" ca="1" si="22"/>
        <v>0</v>
      </c>
      <c r="F271" s="40">
        <f t="shared" ca="1" si="23"/>
        <v>30</v>
      </c>
      <c r="G271" s="31">
        <f t="shared" ca="1" si="24"/>
        <v>0</v>
      </c>
    </row>
    <row r="272" spans="1:7" x14ac:dyDescent="0.25">
      <c r="A272" s="11">
        <f t="shared" si="20"/>
        <v>44</v>
      </c>
      <c r="B272" t="str">
        <f ca="1">TEXT(DATE(YEAR(Invoer!$A$5),1,1)+INT((ROWS(B$2:B272)-1)/2),"jjjjmmdd")</f>
        <v>19270516</v>
      </c>
      <c r="C272" s="26" t="str">
        <f>INDEX(Data,2,2+MOD(ROWS(C$2:C272)-1,2))</f>
        <v>08.00</v>
      </c>
      <c r="D272" s="39">
        <f t="shared" ca="1" si="21"/>
        <v>758.5</v>
      </c>
      <c r="E272" s="31">
        <f t="shared" ca="1" si="22"/>
        <v>0</v>
      </c>
      <c r="F272" s="40">
        <f t="shared" ca="1" si="23"/>
        <v>29</v>
      </c>
      <c r="G272" s="31">
        <f t="shared" ca="1" si="24"/>
        <v>0</v>
      </c>
    </row>
    <row r="273" spans="1:7" x14ac:dyDescent="0.25">
      <c r="A273" s="11">
        <f t="shared" si="20"/>
        <v>44</v>
      </c>
      <c r="B273" t="str">
        <f ca="1">TEXT(DATE(YEAR(Invoer!$A$5),1,1)+INT((ROWS(B$2:B273)-1)/2),"jjjjmmdd")</f>
        <v>19270516</v>
      </c>
      <c r="C273" s="26" t="str">
        <f>INDEX(Data,2,2+MOD(ROWS(C$2:C273)-1,2))</f>
        <v>15.00</v>
      </c>
      <c r="D273" s="39">
        <f t="shared" ca="1" si="21"/>
        <v>756</v>
      </c>
      <c r="E273" s="31">
        <f t="shared" ca="1" si="22"/>
        <v>0</v>
      </c>
      <c r="F273" s="40">
        <f t="shared" ca="1" si="23"/>
        <v>29</v>
      </c>
      <c r="G273" s="31">
        <f t="shared" ca="1" si="24"/>
        <v>0</v>
      </c>
    </row>
    <row r="274" spans="1:7" x14ac:dyDescent="0.25">
      <c r="A274" s="11">
        <f t="shared" si="20"/>
        <v>44</v>
      </c>
      <c r="B274" t="str">
        <f ca="1">TEXT(DATE(YEAR(Invoer!$A$5),1,1)+INT((ROWS(B$2:B274)-1)/2),"jjjjmmdd")</f>
        <v>19270517</v>
      </c>
      <c r="C274" s="26" t="str">
        <f>INDEX(Data,2,2+MOD(ROWS(C$2:C274)-1,2))</f>
        <v>08.00</v>
      </c>
      <c r="D274" s="39">
        <f t="shared" ca="1" si="21"/>
        <v>758.5</v>
      </c>
      <c r="E274" s="31">
        <f t="shared" ca="1" si="22"/>
        <v>0</v>
      </c>
      <c r="F274" s="40">
        <f t="shared" ca="1" si="23"/>
        <v>28</v>
      </c>
      <c r="G274" s="31">
        <f t="shared" ca="1" si="24"/>
        <v>0</v>
      </c>
    </row>
    <row r="275" spans="1:7" x14ac:dyDescent="0.25">
      <c r="A275" s="11">
        <f t="shared" si="20"/>
        <v>44</v>
      </c>
      <c r="B275" t="str">
        <f ca="1">TEXT(DATE(YEAR(Invoer!$A$5),1,1)+INT((ROWS(B$2:B275)-1)/2),"jjjjmmdd")</f>
        <v>19270517</v>
      </c>
      <c r="C275" s="26" t="str">
        <f>INDEX(Data,2,2+MOD(ROWS(C$2:C275)-1,2))</f>
        <v>15.00</v>
      </c>
      <c r="D275" s="39">
        <f t="shared" ca="1" si="21"/>
        <v>757</v>
      </c>
      <c r="E275" s="31">
        <f t="shared" ca="1" si="22"/>
        <v>0</v>
      </c>
      <c r="F275" s="40">
        <f t="shared" ca="1" si="23"/>
        <v>29</v>
      </c>
      <c r="G275" s="31">
        <f t="shared" ca="1" si="24"/>
        <v>0</v>
      </c>
    </row>
    <row r="276" spans="1:7" x14ac:dyDescent="0.25">
      <c r="A276" s="11">
        <f t="shared" si="20"/>
        <v>44</v>
      </c>
      <c r="B276" t="str">
        <f ca="1">TEXT(DATE(YEAR(Invoer!$A$5),1,1)+INT((ROWS(B$2:B276)-1)/2),"jjjjmmdd")</f>
        <v>19270518</v>
      </c>
      <c r="C276" s="26" t="str">
        <f>INDEX(Data,2,2+MOD(ROWS(C$2:C276)-1,2))</f>
        <v>08.00</v>
      </c>
      <c r="D276" s="39">
        <f t="shared" ca="1" si="21"/>
        <v>758.5</v>
      </c>
      <c r="E276" s="31">
        <f t="shared" ca="1" si="22"/>
        <v>0</v>
      </c>
      <c r="F276" s="40">
        <f t="shared" ca="1" si="23"/>
        <v>29</v>
      </c>
      <c r="G276" s="31">
        <f t="shared" ca="1" si="24"/>
        <v>0</v>
      </c>
    </row>
    <row r="277" spans="1:7" x14ac:dyDescent="0.25">
      <c r="A277" s="11">
        <f t="shared" si="20"/>
        <v>44</v>
      </c>
      <c r="B277" t="str">
        <f ca="1">TEXT(DATE(YEAR(Invoer!$A$5),1,1)+INT((ROWS(B$2:B277)-1)/2),"jjjjmmdd")</f>
        <v>19270518</v>
      </c>
      <c r="C277" s="26" t="str">
        <f>INDEX(Data,2,2+MOD(ROWS(C$2:C277)-1,2))</f>
        <v>15.00</v>
      </c>
      <c r="D277" s="39">
        <f t="shared" ca="1" si="21"/>
        <v>756.5</v>
      </c>
      <c r="E277" s="31">
        <f t="shared" ca="1" si="22"/>
        <v>0</v>
      </c>
      <c r="F277" s="40">
        <f t="shared" ca="1" si="23"/>
        <v>30</v>
      </c>
      <c r="G277" s="31">
        <f t="shared" ca="1" si="24"/>
        <v>0</v>
      </c>
    </row>
    <row r="278" spans="1:7" x14ac:dyDescent="0.25">
      <c r="A278" s="11">
        <f t="shared" si="20"/>
        <v>44</v>
      </c>
      <c r="B278" t="str">
        <f ca="1">TEXT(DATE(YEAR(Invoer!$A$5),1,1)+INT((ROWS(B$2:B278)-1)/2),"jjjjmmdd")</f>
        <v>19270519</v>
      </c>
      <c r="C278" s="26" t="str">
        <f>INDEX(Data,2,2+MOD(ROWS(C$2:C278)-1,2))</f>
        <v>08.00</v>
      </c>
      <c r="D278" s="39">
        <f t="shared" ca="1" si="21"/>
        <v>758</v>
      </c>
      <c r="E278" s="31">
        <f t="shared" ca="1" si="22"/>
        <v>0</v>
      </c>
      <c r="F278" s="40">
        <f t="shared" ca="1" si="23"/>
        <v>29</v>
      </c>
      <c r="G278" s="31">
        <f t="shared" ca="1" si="24"/>
        <v>0</v>
      </c>
    </row>
    <row r="279" spans="1:7" x14ac:dyDescent="0.25">
      <c r="A279" s="11">
        <f t="shared" si="20"/>
        <v>44</v>
      </c>
      <c r="B279" t="str">
        <f ca="1">TEXT(DATE(YEAR(Invoer!$A$5),1,1)+INT((ROWS(B$2:B279)-1)/2),"jjjjmmdd")</f>
        <v>19270519</v>
      </c>
      <c r="C279" s="26" t="str">
        <f>INDEX(Data,2,2+MOD(ROWS(C$2:C279)-1,2))</f>
        <v>15.00</v>
      </c>
      <c r="D279" s="39">
        <f t="shared" ca="1" si="21"/>
        <v>755.5</v>
      </c>
      <c r="E279" s="31">
        <f t="shared" ca="1" si="22"/>
        <v>0</v>
      </c>
      <c r="F279" s="40">
        <f t="shared" ca="1" si="23"/>
        <v>30</v>
      </c>
      <c r="G279" s="31">
        <f t="shared" ca="1" si="24"/>
        <v>0</v>
      </c>
    </row>
    <row r="280" spans="1:7" x14ac:dyDescent="0.25">
      <c r="A280" s="11">
        <f t="shared" si="20"/>
        <v>44</v>
      </c>
      <c r="B280" t="str">
        <f ca="1">TEXT(DATE(YEAR(Invoer!$A$5),1,1)+INT((ROWS(B$2:B280)-1)/2),"jjjjmmdd")</f>
        <v>19270520</v>
      </c>
      <c r="C280" s="26" t="str">
        <f>INDEX(Data,2,2+MOD(ROWS(C$2:C280)-1,2))</f>
        <v>08.00</v>
      </c>
      <c r="D280" s="39">
        <f t="shared" ca="1" si="21"/>
        <v>757</v>
      </c>
      <c r="E280" s="31">
        <f t="shared" ca="1" si="22"/>
        <v>0</v>
      </c>
      <c r="F280" s="40">
        <f t="shared" ca="1" si="23"/>
        <v>29</v>
      </c>
      <c r="G280" s="31">
        <f t="shared" ca="1" si="24"/>
        <v>0</v>
      </c>
    </row>
    <row r="281" spans="1:7" x14ac:dyDescent="0.25">
      <c r="A281" s="11">
        <f t="shared" si="20"/>
        <v>44</v>
      </c>
      <c r="B281" t="str">
        <f ca="1">TEXT(DATE(YEAR(Invoer!$A$5),1,1)+INT((ROWS(B$2:B281)-1)/2),"jjjjmmdd")</f>
        <v>19270520</v>
      </c>
      <c r="C281" s="26" t="str">
        <f>INDEX(Data,2,2+MOD(ROWS(C$2:C281)-1,2))</f>
        <v>15.00</v>
      </c>
      <c r="D281" s="39">
        <f t="shared" ca="1" si="21"/>
        <v>755</v>
      </c>
      <c r="E281" s="31">
        <f t="shared" ca="1" si="22"/>
        <v>0</v>
      </c>
      <c r="F281" s="40">
        <f t="shared" ca="1" si="23"/>
        <v>30</v>
      </c>
      <c r="G281" s="31">
        <f t="shared" ca="1" si="24"/>
        <v>0</v>
      </c>
    </row>
    <row r="282" spans="1:7" x14ac:dyDescent="0.25">
      <c r="A282" s="11">
        <f t="shared" si="20"/>
        <v>44</v>
      </c>
      <c r="B282" t="str">
        <f ca="1">TEXT(DATE(YEAR(Invoer!$A$5),1,1)+INT((ROWS(B$2:B282)-1)/2),"jjjjmmdd")</f>
        <v>19270521</v>
      </c>
      <c r="C282" s="26" t="str">
        <f>INDEX(Data,2,2+MOD(ROWS(C$2:C282)-1,2))</f>
        <v>08.00</v>
      </c>
      <c r="D282" s="39">
        <f t="shared" ca="1" si="21"/>
        <v>757.5</v>
      </c>
      <c r="E282" s="31">
        <f t="shared" ca="1" si="22"/>
        <v>0</v>
      </c>
      <c r="F282" s="40">
        <f t="shared" ca="1" si="23"/>
        <v>29</v>
      </c>
      <c r="G282" s="31">
        <f t="shared" ca="1" si="24"/>
        <v>0</v>
      </c>
    </row>
    <row r="283" spans="1:7" x14ac:dyDescent="0.25">
      <c r="A283" s="11">
        <f t="shared" si="20"/>
        <v>44</v>
      </c>
      <c r="B283" t="str">
        <f ca="1">TEXT(DATE(YEAR(Invoer!$A$5),1,1)+INT((ROWS(B$2:B283)-1)/2),"jjjjmmdd")</f>
        <v>19270521</v>
      </c>
      <c r="C283" s="26" t="str">
        <f>INDEX(Data,2,2+MOD(ROWS(C$2:C283)-1,2))</f>
        <v>15.00</v>
      </c>
      <c r="D283" s="39">
        <f t="shared" ca="1" si="21"/>
        <v>756</v>
      </c>
      <c r="E283" s="31">
        <f t="shared" ca="1" si="22"/>
        <v>0</v>
      </c>
      <c r="F283" s="40">
        <f t="shared" ca="1" si="23"/>
        <v>30</v>
      </c>
      <c r="G283" s="31">
        <f t="shared" ca="1" si="24"/>
        <v>0</v>
      </c>
    </row>
    <row r="284" spans="1:7" x14ac:dyDescent="0.25">
      <c r="A284" s="11">
        <f t="shared" si="20"/>
        <v>44</v>
      </c>
      <c r="B284" t="str">
        <f ca="1">TEXT(DATE(YEAR(Invoer!$A$5),1,1)+INT((ROWS(B$2:B284)-1)/2),"jjjjmmdd")</f>
        <v>19270522</v>
      </c>
      <c r="C284" s="26" t="str">
        <f>INDEX(Data,2,2+MOD(ROWS(C$2:C284)-1,2))</f>
        <v>08.00</v>
      </c>
      <c r="D284" s="39">
        <f t="shared" ca="1" si="21"/>
        <v>757.5</v>
      </c>
      <c r="E284" s="31">
        <f t="shared" ca="1" si="22"/>
        <v>0</v>
      </c>
      <c r="F284" s="40">
        <f t="shared" ca="1" si="23"/>
        <v>29</v>
      </c>
      <c r="G284" s="31">
        <f t="shared" ca="1" si="24"/>
        <v>0</v>
      </c>
    </row>
    <row r="285" spans="1:7" x14ac:dyDescent="0.25">
      <c r="A285" s="11">
        <f t="shared" si="20"/>
        <v>44</v>
      </c>
      <c r="B285" t="str">
        <f ca="1">TEXT(DATE(YEAR(Invoer!$A$5),1,1)+INT((ROWS(B$2:B285)-1)/2),"jjjjmmdd")</f>
        <v>19270522</v>
      </c>
      <c r="C285" s="26" t="str">
        <f>INDEX(Data,2,2+MOD(ROWS(C$2:C285)-1,2))</f>
        <v>15.00</v>
      </c>
      <c r="D285" s="39">
        <f t="shared" ca="1" si="21"/>
        <v>756</v>
      </c>
      <c r="E285" s="31">
        <f t="shared" ca="1" si="22"/>
        <v>0</v>
      </c>
      <c r="F285" s="40">
        <f t="shared" ca="1" si="23"/>
        <v>30</v>
      </c>
      <c r="G285" s="31">
        <f t="shared" ca="1" si="24"/>
        <v>0</v>
      </c>
    </row>
    <row r="286" spans="1:7" x14ac:dyDescent="0.25">
      <c r="A286" s="11">
        <f t="shared" si="20"/>
        <v>44</v>
      </c>
      <c r="B286" t="str">
        <f ca="1">TEXT(DATE(YEAR(Invoer!$A$5),1,1)+INT((ROWS(B$2:B286)-1)/2),"jjjjmmdd")</f>
        <v>19270523</v>
      </c>
      <c r="C286" s="26" t="str">
        <f>INDEX(Data,2,2+MOD(ROWS(C$2:C286)-1,2))</f>
        <v>08.00</v>
      </c>
      <c r="D286" s="39">
        <f t="shared" ca="1" si="21"/>
        <v>756.5</v>
      </c>
      <c r="E286" s="31">
        <f t="shared" ca="1" si="22"/>
        <v>0</v>
      </c>
      <c r="F286" s="40">
        <f t="shared" ca="1" si="23"/>
        <v>29</v>
      </c>
      <c r="G286" s="31">
        <f t="shared" ca="1" si="24"/>
        <v>0</v>
      </c>
    </row>
    <row r="287" spans="1:7" x14ac:dyDescent="0.25">
      <c r="A287" s="11">
        <f t="shared" si="20"/>
        <v>44</v>
      </c>
      <c r="B287" t="str">
        <f ca="1">TEXT(DATE(YEAR(Invoer!$A$5),1,1)+INT((ROWS(B$2:B287)-1)/2),"jjjjmmdd")</f>
        <v>19270523</v>
      </c>
      <c r="C287" s="26" t="str">
        <f>INDEX(Data,2,2+MOD(ROWS(C$2:C287)-1,2))</f>
        <v>15.00</v>
      </c>
      <c r="D287" s="39">
        <f t="shared" ca="1" si="21"/>
        <v>754.5</v>
      </c>
      <c r="E287" s="31">
        <f t="shared" ca="1" si="22"/>
        <v>0</v>
      </c>
      <c r="F287" s="40">
        <f t="shared" ca="1" si="23"/>
        <v>30</v>
      </c>
      <c r="G287" s="31">
        <f t="shared" ca="1" si="24"/>
        <v>0</v>
      </c>
    </row>
    <row r="288" spans="1:7" x14ac:dyDescent="0.25">
      <c r="A288" s="11">
        <f t="shared" si="20"/>
        <v>44</v>
      </c>
      <c r="B288" t="str">
        <f ca="1">TEXT(DATE(YEAR(Invoer!$A$5),1,1)+INT((ROWS(B$2:B288)-1)/2),"jjjjmmdd")</f>
        <v>19270524</v>
      </c>
      <c r="C288" s="26" t="str">
        <f>INDEX(Data,2,2+MOD(ROWS(C$2:C288)-1,2))</f>
        <v>08.00</v>
      </c>
      <c r="D288" s="39">
        <f t="shared" ca="1" si="21"/>
        <v>756</v>
      </c>
      <c r="E288" s="31">
        <f t="shared" ca="1" si="22"/>
        <v>0</v>
      </c>
      <c r="F288" s="40">
        <f t="shared" ca="1" si="23"/>
        <v>29</v>
      </c>
      <c r="G288" s="31">
        <f t="shared" ca="1" si="24"/>
        <v>0</v>
      </c>
    </row>
    <row r="289" spans="1:7" x14ac:dyDescent="0.25">
      <c r="A289" s="11">
        <f t="shared" si="20"/>
        <v>44</v>
      </c>
      <c r="B289" t="str">
        <f ca="1">TEXT(DATE(YEAR(Invoer!$A$5),1,1)+INT((ROWS(B$2:B289)-1)/2),"jjjjmmdd")</f>
        <v>19270524</v>
      </c>
      <c r="C289" s="26" t="str">
        <f>INDEX(Data,2,2+MOD(ROWS(C$2:C289)-1,2))</f>
        <v>15.00</v>
      </c>
      <c r="D289" s="39">
        <f t="shared" ca="1" si="21"/>
        <v>755</v>
      </c>
      <c r="E289" s="31">
        <f t="shared" ca="1" si="22"/>
        <v>0</v>
      </c>
      <c r="F289" s="40">
        <f t="shared" ca="1" si="23"/>
        <v>30</v>
      </c>
      <c r="G289" s="31">
        <f t="shared" ca="1" si="24"/>
        <v>0</v>
      </c>
    </row>
    <row r="290" spans="1:7" x14ac:dyDescent="0.25">
      <c r="A290" s="11">
        <f t="shared" si="20"/>
        <v>44</v>
      </c>
      <c r="B290" t="str">
        <f ca="1">TEXT(DATE(YEAR(Invoer!$A$5),1,1)+INT((ROWS(B$2:B290)-1)/2),"jjjjmmdd")</f>
        <v>19270525</v>
      </c>
      <c r="C290" s="26" t="str">
        <f>INDEX(Data,2,2+MOD(ROWS(C$2:C290)-1,2))</f>
        <v>08.00</v>
      </c>
      <c r="D290" s="39">
        <f t="shared" ca="1" si="21"/>
        <v>756.5</v>
      </c>
      <c r="E290" s="31">
        <f t="shared" ca="1" si="22"/>
        <v>0</v>
      </c>
      <c r="F290" s="40">
        <f t="shared" ca="1" si="23"/>
        <v>29</v>
      </c>
      <c r="G290" s="31">
        <f t="shared" ca="1" si="24"/>
        <v>0</v>
      </c>
    </row>
    <row r="291" spans="1:7" x14ac:dyDescent="0.25">
      <c r="A291" s="11">
        <f t="shared" si="20"/>
        <v>44</v>
      </c>
      <c r="B291" t="str">
        <f ca="1">TEXT(DATE(YEAR(Invoer!$A$5),1,1)+INT((ROWS(B$2:B291)-1)/2),"jjjjmmdd")</f>
        <v>19270525</v>
      </c>
      <c r="C291" s="26" t="str">
        <f>INDEX(Data,2,2+MOD(ROWS(C$2:C291)-1,2))</f>
        <v>15.00</v>
      </c>
      <c r="D291" s="39">
        <f t="shared" ca="1" si="21"/>
        <v>754.5</v>
      </c>
      <c r="E291" s="31">
        <f t="shared" ca="1" si="22"/>
        <v>0</v>
      </c>
      <c r="F291" s="40">
        <f t="shared" ca="1" si="23"/>
        <v>30</v>
      </c>
      <c r="G291" s="31">
        <f t="shared" ca="1" si="24"/>
        <v>0</v>
      </c>
    </row>
    <row r="292" spans="1:7" x14ac:dyDescent="0.25">
      <c r="A292" s="11">
        <f t="shared" si="20"/>
        <v>44</v>
      </c>
      <c r="B292" t="str">
        <f ca="1">TEXT(DATE(YEAR(Invoer!$A$5),1,1)+INT((ROWS(B$2:B292)-1)/2),"jjjjmmdd")</f>
        <v>19270526</v>
      </c>
      <c r="C292" s="26" t="str">
        <f>INDEX(Data,2,2+MOD(ROWS(C$2:C292)-1,2))</f>
        <v>08.00</v>
      </c>
      <c r="D292" s="39">
        <f t="shared" ca="1" si="21"/>
        <v>756.5</v>
      </c>
      <c r="E292" s="31">
        <f t="shared" ca="1" si="22"/>
        <v>0</v>
      </c>
      <c r="F292" s="40">
        <f t="shared" ca="1" si="23"/>
        <v>29</v>
      </c>
      <c r="G292" s="31">
        <f t="shared" ca="1" si="24"/>
        <v>0</v>
      </c>
    </row>
    <row r="293" spans="1:7" x14ac:dyDescent="0.25">
      <c r="A293" s="11">
        <f t="shared" si="20"/>
        <v>44</v>
      </c>
      <c r="B293" t="str">
        <f ca="1">TEXT(DATE(YEAR(Invoer!$A$5),1,1)+INT((ROWS(B$2:B293)-1)/2),"jjjjmmdd")</f>
        <v>19270526</v>
      </c>
      <c r="C293" s="26" t="str">
        <f>INDEX(Data,2,2+MOD(ROWS(C$2:C293)-1,2))</f>
        <v>15.00</v>
      </c>
      <c r="D293" s="39">
        <f t="shared" ca="1" si="21"/>
        <v>754.5</v>
      </c>
      <c r="E293" s="31">
        <f t="shared" ca="1" si="22"/>
        <v>0</v>
      </c>
      <c r="F293" s="40">
        <f t="shared" ca="1" si="23"/>
        <v>30</v>
      </c>
      <c r="G293" s="31">
        <f t="shared" ca="1" si="24"/>
        <v>0</v>
      </c>
    </row>
    <row r="294" spans="1:7" x14ac:dyDescent="0.25">
      <c r="A294" s="11">
        <f t="shared" si="20"/>
        <v>44</v>
      </c>
      <c r="B294" t="str">
        <f ca="1">TEXT(DATE(YEAR(Invoer!$A$5),1,1)+INT((ROWS(B$2:B294)-1)/2),"jjjjmmdd")</f>
        <v>19270527</v>
      </c>
      <c r="C294" s="26" t="str">
        <f>INDEX(Data,2,2+MOD(ROWS(C$2:C294)-1,2))</f>
        <v>08.00</v>
      </c>
      <c r="D294" s="39">
        <f t="shared" ca="1" si="21"/>
        <v>756.5</v>
      </c>
      <c r="E294" s="31">
        <f t="shared" ca="1" si="22"/>
        <v>0</v>
      </c>
      <c r="F294" s="40">
        <f t="shared" ca="1" si="23"/>
        <v>29</v>
      </c>
      <c r="G294" s="31">
        <f t="shared" ca="1" si="24"/>
        <v>0</v>
      </c>
    </row>
    <row r="295" spans="1:7" x14ac:dyDescent="0.25">
      <c r="A295" s="11">
        <f t="shared" si="20"/>
        <v>44</v>
      </c>
      <c r="B295" t="str">
        <f ca="1">TEXT(DATE(YEAR(Invoer!$A$5),1,1)+INT((ROWS(B$2:B295)-1)/2),"jjjjmmdd")</f>
        <v>19270527</v>
      </c>
      <c r="C295" s="26" t="str">
        <f>INDEX(Data,2,2+MOD(ROWS(C$2:C295)-1,2))</f>
        <v>15.00</v>
      </c>
      <c r="D295" s="39">
        <f t="shared" ca="1" si="21"/>
        <v>754</v>
      </c>
      <c r="E295" s="31">
        <f t="shared" ca="1" si="22"/>
        <v>0</v>
      </c>
      <c r="F295" s="40">
        <f t="shared" ca="1" si="23"/>
        <v>30</v>
      </c>
      <c r="G295" s="31">
        <f t="shared" ca="1" si="24"/>
        <v>0</v>
      </c>
    </row>
    <row r="296" spans="1:7" x14ac:dyDescent="0.25">
      <c r="A296" s="11">
        <f t="shared" si="20"/>
        <v>44</v>
      </c>
      <c r="B296" t="str">
        <f ca="1">TEXT(DATE(YEAR(Invoer!$A$5),1,1)+INT((ROWS(B$2:B296)-1)/2),"jjjjmmdd")</f>
        <v>19270528</v>
      </c>
      <c r="C296" s="26" t="str">
        <f>INDEX(Data,2,2+MOD(ROWS(C$2:C296)-1,2))</f>
        <v>08.00</v>
      </c>
      <c r="D296" s="39">
        <f t="shared" ca="1" si="21"/>
        <v>756</v>
      </c>
      <c r="E296" s="31">
        <f t="shared" ca="1" si="22"/>
        <v>0</v>
      </c>
      <c r="F296" s="40">
        <f t="shared" ca="1" si="23"/>
        <v>29</v>
      </c>
      <c r="G296" s="31">
        <f t="shared" ca="1" si="24"/>
        <v>0</v>
      </c>
    </row>
    <row r="297" spans="1:7" x14ac:dyDescent="0.25">
      <c r="A297" s="11">
        <f t="shared" si="20"/>
        <v>44</v>
      </c>
      <c r="B297" t="str">
        <f ca="1">TEXT(DATE(YEAR(Invoer!$A$5),1,1)+INT((ROWS(B$2:B297)-1)/2),"jjjjmmdd")</f>
        <v>19270528</v>
      </c>
      <c r="C297" s="26" t="str">
        <f>INDEX(Data,2,2+MOD(ROWS(C$2:C297)-1,2))</f>
        <v>15.00</v>
      </c>
      <c r="D297" s="39">
        <f t="shared" ca="1" si="21"/>
        <v>754.5</v>
      </c>
      <c r="E297" s="31">
        <f t="shared" ca="1" si="22"/>
        <v>0</v>
      </c>
      <c r="F297" s="40">
        <f t="shared" ca="1" si="23"/>
        <v>30</v>
      </c>
      <c r="G297" s="31">
        <f t="shared" ca="1" si="24"/>
        <v>0</v>
      </c>
    </row>
    <row r="298" spans="1:7" x14ac:dyDescent="0.25">
      <c r="A298" s="11">
        <f t="shared" si="20"/>
        <v>44</v>
      </c>
      <c r="B298" t="str">
        <f ca="1">TEXT(DATE(YEAR(Invoer!$A$5),1,1)+INT((ROWS(B$2:B298)-1)/2),"jjjjmmdd")</f>
        <v>19270529</v>
      </c>
      <c r="C298" s="26" t="str">
        <f>INDEX(Data,2,2+MOD(ROWS(C$2:C298)-1,2))</f>
        <v>08.00</v>
      </c>
      <c r="D298" s="39">
        <f t="shared" ca="1" si="21"/>
        <v>756</v>
      </c>
      <c r="E298" s="31">
        <f t="shared" ca="1" si="22"/>
        <v>0</v>
      </c>
      <c r="F298" s="40">
        <f t="shared" ca="1" si="23"/>
        <v>29</v>
      </c>
      <c r="G298" s="31">
        <f t="shared" ca="1" si="24"/>
        <v>0</v>
      </c>
    </row>
    <row r="299" spans="1:7" x14ac:dyDescent="0.25">
      <c r="A299" s="11">
        <f t="shared" si="20"/>
        <v>44</v>
      </c>
      <c r="B299" t="str">
        <f ca="1">TEXT(DATE(YEAR(Invoer!$A$5),1,1)+INT((ROWS(B$2:B299)-1)/2),"jjjjmmdd")</f>
        <v>19270529</v>
      </c>
      <c r="C299" s="26" t="str">
        <f>INDEX(Data,2,2+MOD(ROWS(C$2:C299)-1,2))</f>
        <v>15.00</v>
      </c>
      <c r="D299" s="39">
        <f t="shared" ca="1" si="21"/>
        <v>754.5</v>
      </c>
      <c r="E299" s="31">
        <f t="shared" ca="1" si="22"/>
        <v>0</v>
      </c>
      <c r="F299" s="40">
        <f t="shared" ca="1" si="23"/>
        <v>30</v>
      </c>
      <c r="G299" s="31">
        <f t="shared" ca="1" si="24"/>
        <v>0</v>
      </c>
    </row>
    <row r="300" spans="1:7" x14ac:dyDescent="0.25">
      <c r="A300" s="11">
        <f t="shared" si="20"/>
        <v>44</v>
      </c>
      <c r="B300" t="str">
        <f ca="1">TEXT(DATE(YEAR(Invoer!$A$5),1,1)+INT((ROWS(B$2:B300)-1)/2),"jjjjmmdd")</f>
        <v>19270530</v>
      </c>
      <c r="C300" s="26" t="str">
        <f>INDEX(Data,2,2+MOD(ROWS(C$2:C300)-1,2))</f>
        <v>08.00</v>
      </c>
      <c r="D300" s="39">
        <f t="shared" ca="1" si="21"/>
        <v>758.5</v>
      </c>
      <c r="E300" s="31">
        <f t="shared" ca="1" si="22"/>
        <v>0</v>
      </c>
      <c r="F300" s="40">
        <f t="shared" ca="1" si="23"/>
        <v>29</v>
      </c>
      <c r="G300" s="31">
        <f t="shared" ca="1" si="24"/>
        <v>0</v>
      </c>
    </row>
    <row r="301" spans="1:7" x14ac:dyDescent="0.25">
      <c r="A301" s="11">
        <f t="shared" si="20"/>
        <v>44</v>
      </c>
      <c r="B301" t="str">
        <f ca="1">TEXT(DATE(YEAR(Invoer!$A$5),1,1)+INT((ROWS(B$2:B301)-1)/2),"jjjjmmdd")</f>
        <v>19270530</v>
      </c>
      <c r="C301" s="26" t="str">
        <f>INDEX(Data,2,2+MOD(ROWS(C$2:C301)-1,2))</f>
        <v>15.00</v>
      </c>
      <c r="D301" s="39">
        <f t="shared" ca="1" si="21"/>
        <v>756</v>
      </c>
      <c r="E301" s="31">
        <f t="shared" ca="1" si="22"/>
        <v>0</v>
      </c>
      <c r="F301" s="40">
        <f t="shared" ca="1" si="23"/>
        <v>30</v>
      </c>
      <c r="G301" s="31">
        <f t="shared" ca="1" si="24"/>
        <v>0</v>
      </c>
    </row>
    <row r="302" spans="1:7" x14ac:dyDescent="0.25">
      <c r="A302" s="11">
        <f t="shared" si="20"/>
        <v>44</v>
      </c>
      <c r="B302" t="str">
        <f ca="1">TEXT(DATE(YEAR(Invoer!$A$5),1,1)+INT((ROWS(B$2:B302)-1)/2),"jjjjmmdd")</f>
        <v>19270531</v>
      </c>
      <c r="C302" s="26" t="str">
        <f>INDEX(Data,2,2+MOD(ROWS(C$2:C302)-1,2))</f>
        <v>08.00</v>
      </c>
      <c r="D302" s="39">
        <f t="shared" ca="1" si="21"/>
        <v>758</v>
      </c>
      <c r="E302" s="31">
        <f t="shared" ca="1" si="22"/>
        <v>0</v>
      </c>
      <c r="F302" s="40">
        <f t="shared" ca="1" si="23"/>
        <v>29</v>
      </c>
      <c r="G302" s="31">
        <f t="shared" ca="1" si="24"/>
        <v>0</v>
      </c>
    </row>
    <row r="303" spans="1:7" x14ac:dyDescent="0.25">
      <c r="A303" s="11">
        <f t="shared" si="20"/>
        <v>44</v>
      </c>
      <c r="B303" t="str">
        <f ca="1">TEXT(DATE(YEAR(Invoer!$A$5),1,1)+INT((ROWS(B$2:B303)-1)/2),"jjjjmmdd")</f>
        <v>19270531</v>
      </c>
      <c r="C303" s="26" t="str">
        <f>INDEX(Data,2,2+MOD(ROWS(C$2:C303)-1,2))</f>
        <v>15.00</v>
      </c>
      <c r="D303" s="39">
        <f t="shared" ca="1" si="21"/>
        <v>756</v>
      </c>
      <c r="E303" s="31">
        <f t="shared" ca="1" si="22"/>
        <v>0</v>
      </c>
      <c r="F303" s="40">
        <f t="shared" ca="1" si="23"/>
        <v>30</v>
      </c>
      <c r="G303" s="31">
        <f t="shared" ca="1" si="24"/>
        <v>0</v>
      </c>
    </row>
    <row r="304" spans="1:7" x14ac:dyDescent="0.25">
      <c r="A304" s="11">
        <f t="shared" si="20"/>
        <v>44</v>
      </c>
      <c r="B304" t="str">
        <f ca="1">TEXT(DATE(YEAR(Invoer!$A$5),1,1)+INT((ROWS(B$2:B304)-1)/2),"jjjjmmdd")</f>
        <v>19270601</v>
      </c>
      <c r="C304" s="26" t="str">
        <f>INDEX(Data,2,2+MOD(ROWS(C$2:C304)-1,2))</f>
        <v>08.00</v>
      </c>
      <c r="D304" s="39">
        <f t="shared" ca="1" si="21"/>
        <v>757</v>
      </c>
      <c r="E304" s="31">
        <f t="shared" ca="1" si="22"/>
        <v>0</v>
      </c>
      <c r="F304" s="40">
        <f t="shared" ca="1" si="23"/>
        <v>29</v>
      </c>
      <c r="G304" s="31">
        <f t="shared" ca="1" si="24"/>
        <v>0</v>
      </c>
    </row>
    <row r="305" spans="1:7" x14ac:dyDescent="0.25">
      <c r="A305" s="11">
        <f t="shared" si="20"/>
        <v>44</v>
      </c>
      <c r="B305" t="str">
        <f ca="1">TEXT(DATE(YEAR(Invoer!$A$5),1,1)+INT((ROWS(B$2:B305)-1)/2),"jjjjmmdd")</f>
        <v>19270601</v>
      </c>
      <c r="C305" s="26" t="str">
        <f>INDEX(Data,2,2+MOD(ROWS(C$2:C305)-1,2))</f>
        <v>15.00</v>
      </c>
      <c r="D305" s="39">
        <f t="shared" ca="1" si="21"/>
        <v>755</v>
      </c>
      <c r="E305" s="31">
        <f t="shared" ca="1" si="22"/>
        <v>0</v>
      </c>
      <c r="F305" s="40">
        <f t="shared" ca="1" si="23"/>
        <v>30</v>
      </c>
      <c r="G305" s="31">
        <f t="shared" ca="1" si="24"/>
        <v>0</v>
      </c>
    </row>
    <row r="306" spans="1:7" x14ac:dyDescent="0.25">
      <c r="A306" s="11">
        <f t="shared" si="20"/>
        <v>44</v>
      </c>
      <c r="B306" t="str">
        <f ca="1">TEXT(DATE(YEAR(Invoer!$A$5),1,1)+INT((ROWS(B$2:B306)-1)/2),"jjjjmmdd")</f>
        <v>19270602</v>
      </c>
      <c r="C306" s="26" t="str">
        <f>INDEX(Data,2,2+MOD(ROWS(C$2:C306)-1,2))</f>
        <v>08.00</v>
      </c>
      <c r="D306" s="39">
        <f t="shared" ca="1" si="21"/>
        <v>757.5</v>
      </c>
      <c r="E306" s="31">
        <f t="shared" ca="1" si="22"/>
        <v>0</v>
      </c>
      <c r="F306" s="40">
        <f t="shared" ca="1" si="23"/>
        <v>29</v>
      </c>
      <c r="G306" s="31">
        <f t="shared" ca="1" si="24"/>
        <v>0</v>
      </c>
    </row>
    <row r="307" spans="1:7" x14ac:dyDescent="0.25">
      <c r="A307" s="11">
        <f t="shared" si="20"/>
        <v>44</v>
      </c>
      <c r="B307" t="str">
        <f ca="1">TEXT(DATE(YEAR(Invoer!$A$5),1,1)+INT((ROWS(B$2:B307)-1)/2),"jjjjmmdd")</f>
        <v>19270602</v>
      </c>
      <c r="C307" s="26" t="str">
        <f>INDEX(Data,2,2+MOD(ROWS(C$2:C307)-1,2))</f>
        <v>15.00</v>
      </c>
      <c r="D307" s="39">
        <f t="shared" ca="1" si="21"/>
        <v>755</v>
      </c>
      <c r="E307" s="31">
        <f t="shared" ca="1" si="22"/>
        <v>0</v>
      </c>
      <c r="F307" s="40">
        <f t="shared" ca="1" si="23"/>
        <v>30</v>
      </c>
      <c r="G307" s="31">
        <f t="shared" ca="1" si="24"/>
        <v>0</v>
      </c>
    </row>
    <row r="308" spans="1:7" x14ac:dyDescent="0.25">
      <c r="A308" s="11">
        <f t="shared" si="20"/>
        <v>44</v>
      </c>
      <c r="B308" t="str">
        <f ca="1">TEXT(DATE(YEAR(Invoer!$A$5),1,1)+INT((ROWS(B$2:B308)-1)/2),"jjjjmmdd")</f>
        <v>19270603</v>
      </c>
      <c r="C308" s="26" t="str">
        <f>INDEX(Data,2,2+MOD(ROWS(C$2:C308)-1,2))</f>
        <v>08.00</v>
      </c>
      <c r="D308" s="39">
        <f t="shared" ca="1" si="21"/>
        <v>757.5</v>
      </c>
      <c r="E308" s="31">
        <f t="shared" ca="1" si="22"/>
        <v>0</v>
      </c>
      <c r="F308" s="40">
        <f t="shared" ca="1" si="23"/>
        <v>29</v>
      </c>
      <c r="G308" s="31">
        <f t="shared" ca="1" si="24"/>
        <v>0</v>
      </c>
    </row>
    <row r="309" spans="1:7" x14ac:dyDescent="0.25">
      <c r="A309" s="11">
        <f t="shared" si="20"/>
        <v>44</v>
      </c>
      <c r="B309" t="str">
        <f ca="1">TEXT(DATE(YEAR(Invoer!$A$5),1,1)+INT((ROWS(B$2:B309)-1)/2),"jjjjmmdd")</f>
        <v>19270603</v>
      </c>
      <c r="C309" s="26" t="str">
        <f>INDEX(Data,2,2+MOD(ROWS(C$2:C309)-1,2))</f>
        <v>15.00</v>
      </c>
      <c r="D309" s="39">
        <f t="shared" ca="1" si="21"/>
        <v>755.5</v>
      </c>
      <c r="E309" s="31">
        <f t="shared" ca="1" si="22"/>
        <v>0</v>
      </c>
      <c r="F309" s="40">
        <f t="shared" ca="1" si="23"/>
        <v>30</v>
      </c>
      <c r="G309" s="31">
        <f t="shared" ca="1" si="24"/>
        <v>0</v>
      </c>
    </row>
    <row r="310" spans="1:7" x14ac:dyDescent="0.25">
      <c r="A310" s="11">
        <f t="shared" si="20"/>
        <v>44</v>
      </c>
      <c r="B310" t="str">
        <f ca="1">TEXT(DATE(YEAR(Invoer!$A$5),1,1)+INT((ROWS(B$2:B310)-1)/2),"jjjjmmdd")</f>
        <v>19270604</v>
      </c>
      <c r="C310" s="26" t="str">
        <f>INDEX(Data,2,2+MOD(ROWS(C$2:C310)-1,2))</f>
        <v>08.00</v>
      </c>
      <c r="D310" s="39">
        <f t="shared" ca="1" si="21"/>
        <v>757</v>
      </c>
      <c r="E310" s="31">
        <f t="shared" ca="1" si="22"/>
        <v>0</v>
      </c>
      <c r="F310" s="40">
        <f t="shared" ca="1" si="23"/>
        <v>29</v>
      </c>
      <c r="G310" s="31">
        <f t="shared" ca="1" si="24"/>
        <v>0</v>
      </c>
    </row>
    <row r="311" spans="1:7" x14ac:dyDescent="0.25">
      <c r="A311" s="11">
        <f t="shared" si="20"/>
        <v>44</v>
      </c>
      <c r="B311" t="str">
        <f ca="1">TEXT(DATE(YEAR(Invoer!$A$5),1,1)+INT((ROWS(B$2:B311)-1)/2),"jjjjmmdd")</f>
        <v>19270604</v>
      </c>
      <c r="C311" s="26" t="str">
        <f>INDEX(Data,2,2+MOD(ROWS(C$2:C311)-1,2))</f>
        <v>15.00</v>
      </c>
      <c r="D311" s="39">
        <f t="shared" ca="1" si="21"/>
        <v>755</v>
      </c>
      <c r="E311" s="31">
        <f t="shared" ca="1" si="22"/>
        <v>0</v>
      </c>
      <c r="F311" s="40">
        <f t="shared" ca="1" si="23"/>
        <v>30.5</v>
      </c>
      <c r="G311" s="31">
        <f t="shared" ca="1" si="24"/>
        <v>0</v>
      </c>
    </row>
    <row r="312" spans="1:7" x14ac:dyDescent="0.25">
      <c r="A312" s="11">
        <f t="shared" si="20"/>
        <v>44</v>
      </c>
      <c r="B312" t="str">
        <f ca="1">TEXT(DATE(YEAR(Invoer!$A$5),1,1)+INT((ROWS(B$2:B312)-1)/2),"jjjjmmdd")</f>
        <v>19270605</v>
      </c>
      <c r="C312" s="26" t="str">
        <f>INDEX(Data,2,2+MOD(ROWS(C$2:C312)-1,2))</f>
        <v>08.00</v>
      </c>
      <c r="D312" s="39">
        <f t="shared" ca="1" si="21"/>
        <v>757</v>
      </c>
      <c r="E312" s="31">
        <f t="shared" ca="1" si="22"/>
        <v>0</v>
      </c>
      <c r="F312" s="40">
        <f t="shared" ca="1" si="23"/>
        <v>29</v>
      </c>
      <c r="G312" s="31">
        <f t="shared" ca="1" si="24"/>
        <v>0</v>
      </c>
    </row>
    <row r="313" spans="1:7" x14ac:dyDescent="0.25">
      <c r="A313" s="11">
        <f t="shared" si="20"/>
        <v>44</v>
      </c>
      <c r="B313" t="str">
        <f ca="1">TEXT(DATE(YEAR(Invoer!$A$5),1,1)+INT((ROWS(B$2:B313)-1)/2),"jjjjmmdd")</f>
        <v>19270605</v>
      </c>
      <c r="C313" s="26" t="str">
        <f>INDEX(Data,2,2+MOD(ROWS(C$2:C313)-1,2))</f>
        <v>15.00</v>
      </c>
      <c r="D313" s="39">
        <f t="shared" ca="1" si="21"/>
        <v>755</v>
      </c>
      <c r="E313" s="31">
        <f t="shared" ca="1" si="22"/>
        <v>0</v>
      </c>
      <c r="F313" s="40">
        <f t="shared" ca="1" si="23"/>
        <v>30</v>
      </c>
      <c r="G313" s="31">
        <f t="shared" ca="1" si="24"/>
        <v>0</v>
      </c>
    </row>
    <row r="314" spans="1:7" x14ac:dyDescent="0.25">
      <c r="A314" s="11">
        <f t="shared" si="20"/>
        <v>44</v>
      </c>
      <c r="B314" t="str">
        <f ca="1">TEXT(DATE(YEAR(Invoer!$A$5),1,1)+INT((ROWS(B$2:B314)-1)/2),"jjjjmmdd")</f>
        <v>19270606</v>
      </c>
      <c r="C314" s="26" t="str">
        <f>INDEX(Data,2,2+MOD(ROWS(C$2:C314)-1,2))</f>
        <v>08.00</v>
      </c>
      <c r="D314" s="39">
        <f t="shared" ca="1" si="21"/>
        <v>757.5</v>
      </c>
      <c r="E314" s="31">
        <f t="shared" ca="1" si="22"/>
        <v>0</v>
      </c>
      <c r="F314" s="40">
        <f t="shared" ca="1" si="23"/>
        <v>29</v>
      </c>
      <c r="G314" s="31">
        <f t="shared" ca="1" si="24"/>
        <v>0</v>
      </c>
    </row>
    <row r="315" spans="1:7" x14ac:dyDescent="0.25">
      <c r="A315" s="11">
        <f t="shared" si="20"/>
        <v>44</v>
      </c>
      <c r="B315" t="str">
        <f ca="1">TEXT(DATE(YEAR(Invoer!$A$5),1,1)+INT((ROWS(B$2:B315)-1)/2),"jjjjmmdd")</f>
        <v>19270606</v>
      </c>
      <c r="C315" s="26" t="str">
        <f>INDEX(Data,2,2+MOD(ROWS(C$2:C315)-1,2))</f>
        <v>15.00</v>
      </c>
      <c r="D315" s="39">
        <f t="shared" ca="1" si="21"/>
        <v>756.5</v>
      </c>
      <c r="E315" s="31">
        <f t="shared" ca="1" si="22"/>
        <v>0</v>
      </c>
      <c r="F315" s="40">
        <f t="shared" ca="1" si="23"/>
        <v>30</v>
      </c>
      <c r="G315" s="31">
        <f t="shared" ca="1" si="24"/>
        <v>0</v>
      </c>
    </row>
    <row r="316" spans="1:7" x14ac:dyDescent="0.25">
      <c r="A316" s="11">
        <f t="shared" si="20"/>
        <v>44</v>
      </c>
      <c r="B316" t="str">
        <f ca="1">TEXT(DATE(YEAR(Invoer!$A$5),1,1)+INT((ROWS(B$2:B316)-1)/2),"jjjjmmdd")</f>
        <v>19270607</v>
      </c>
      <c r="C316" s="26" t="str">
        <f>INDEX(Data,2,2+MOD(ROWS(C$2:C316)-1,2))</f>
        <v>08.00</v>
      </c>
      <c r="D316" s="39">
        <f t="shared" ca="1" si="21"/>
        <v>757.5</v>
      </c>
      <c r="E316" s="31">
        <f t="shared" ca="1" si="22"/>
        <v>0</v>
      </c>
      <c r="F316" s="40">
        <f t="shared" ca="1" si="23"/>
        <v>29</v>
      </c>
      <c r="G316" s="31">
        <f t="shared" ca="1" si="24"/>
        <v>0</v>
      </c>
    </row>
    <row r="317" spans="1:7" x14ac:dyDescent="0.25">
      <c r="A317" s="11">
        <f t="shared" si="20"/>
        <v>44</v>
      </c>
      <c r="B317" t="str">
        <f ca="1">TEXT(DATE(YEAR(Invoer!$A$5),1,1)+INT((ROWS(B$2:B317)-1)/2),"jjjjmmdd")</f>
        <v>19270607</v>
      </c>
      <c r="C317" s="26" t="str">
        <f>INDEX(Data,2,2+MOD(ROWS(C$2:C317)-1,2))</f>
        <v>15.00</v>
      </c>
      <c r="D317" s="39">
        <f t="shared" ca="1" si="21"/>
        <v>756.5</v>
      </c>
      <c r="E317" s="31">
        <f t="shared" ca="1" si="22"/>
        <v>0</v>
      </c>
      <c r="F317" s="40">
        <f t="shared" ca="1" si="23"/>
        <v>30</v>
      </c>
      <c r="G317" s="31">
        <f t="shared" ca="1" si="24"/>
        <v>0</v>
      </c>
    </row>
    <row r="318" spans="1:7" x14ac:dyDescent="0.25">
      <c r="A318" s="11">
        <f t="shared" si="20"/>
        <v>44</v>
      </c>
      <c r="B318" t="str">
        <f ca="1">TEXT(DATE(YEAR(Invoer!$A$5),1,1)+INT((ROWS(B$2:B318)-1)/2),"jjjjmmdd")</f>
        <v>19270608</v>
      </c>
      <c r="C318" s="26" t="str">
        <f>INDEX(Data,2,2+MOD(ROWS(C$2:C318)-1,2))</f>
        <v>08.00</v>
      </c>
      <c r="D318" s="39">
        <f t="shared" ca="1" si="21"/>
        <v>757.5</v>
      </c>
      <c r="E318" s="31">
        <f t="shared" ca="1" si="22"/>
        <v>0</v>
      </c>
      <c r="F318" s="40">
        <f t="shared" ca="1" si="23"/>
        <v>29</v>
      </c>
      <c r="G318" s="31">
        <f t="shared" ca="1" si="24"/>
        <v>0</v>
      </c>
    </row>
    <row r="319" spans="1:7" x14ac:dyDescent="0.25">
      <c r="A319" s="11">
        <f t="shared" si="20"/>
        <v>44</v>
      </c>
      <c r="B319" t="str">
        <f ca="1">TEXT(DATE(YEAR(Invoer!$A$5),1,1)+INT((ROWS(B$2:B319)-1)/2),"jjjjmmdd")</f>
        <v>19270608</v>
      </c>
      <c r="C319" s="26" t="str">
        <f>INDEX(Data,2,2+MOD(ROWS(C$2:C319)-1,2))</f>
        <v>15.00</v>
      </c>
      <c r="D319" s="39">
        <f t="shared" ca="1" si="21"/>
        <v>755.5</v>
      </c>
      <c r="E319" s="31">
        <f t="shared" ca="1" si="22"/>
        <v>0</v>
      </c>
      <c r="F319" s="40">
        <f t="shared" ca="1" si="23"/>
        <v>30</v>
      </c>
      <c r="G319" s="31">
        <f t="shared" ca="1" si="24"/>
        <v>0</v>
      </c>
    </row>
    <row r="320" spans="1:7" x14ac:dyDescent="0.25">
      <c r="A320" s="11">
        <f t="shared" si="20"/>
        <v>44</v>
      </c>
      <c r="B320" t="str">
        <f ca="1">TEXT(DATE(YEAR(Invoer!$A$5),1,1)+INT((ROWS(B$2:B320)-1)/2),"jjjjmmdd")</f>
        <v>19270609</v>
      </c>
      <c r="C320" s="26" t="str">
        <f>INDEX(Data,2,2+MOD(ROWS(C$2:C320)-1,2))</f>
        <v>08.00</v>
      </c>
      <c r="D320" s="39">
        <f t="shared" ca="1" si="21"/>
        <v>757.5</v>
      </c>
      <c r="E320" s="31">
        <f t="shared" ca="1" si="22"/>
        <v>0</v>
      </c>
      <c r="F320" s="40">
        <f t="shared" ca="1" si="23"/>
        <v>29</v>
      </c>
      <c r="G320" s="31">
        <f t="shared" ca="1" si="24"/>
        <v>0</v>
      </c>
    </row>
    <row r="321" spans="1:7" x14ac:dyDescent="0.25">
      <c r="A321" s="11">
        <f t="shared" si="20"/>
        <v>44</v>
      </c>
      <c r="B321" t="str">
        <f ca="1">TEXT(DATE(YEAR(Invoer!$A$5),1,1)+INT((ROWS(B$2:B321)-1)/2),"jjjjmmdd")</f>
        <v>19270609</v>
      </c>
      <c r="C321" s="26" t="str">
        <f>INDEX(Data,2,2+MOD(ROWS(C$2:C321)-1,2))</f>
        <v>15.00</v>
      </c>
      <c r="D321" s="39">
        <f t="shared" ca="1" si="21"/>
        <v>755.5</v>
      </c>
      <c r="E321" s="31">
        <f t="shared" ca="1" si="22"/>
        <v>0</v>
      </c>
      <c r="F321" s="40">
        <f t="shared" ca="1" si="23"/>
        <v>30</v>
      </c>
      <c r="G321" s="31">
        <f t="shared" ca="1" si="24"/>
        <v>0</v>
      </c>
    </row>
    <row r="322" spans="1:7" x14ac:dyDescent="0.25">
      <c r="A322" s="11">
        <f t="shared" ref="A322:A385" si="25">INDEX(Stations,2,1)</f>
        <v>44</v>
      </c>
      <c r="B322" t="str">
        <f ca="1">TEXT(DATE(YEAR(Invoer!$A$5),1,1)+INT((ROWS(B$2:B322)-1)/2),"jjjjmmdd")</f>
        <v>19270610</v>
      </c>
      <c r="C322" s="26" t="str">
        <f>INDEX(Data,2,2+MOD(ROWS(C$2:C322)-1,2))</f>
        <v>08.00</v>
      </c>
      <c r="D322" s="39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/10)</f>
        <v>756.5</v>
      </c>
      <c r="E322" s="31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  <c r="F322" s="40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VLOOKUP(DATEVALUE(LEFT($B322,4)&amp;"-"&amp;MID($B322,5,2)&amp;"-"&amp;RIGHT($B322,2)),Data,MATCH(LEFT(VLOOKUP(F$1,Parameters,2,FALSE()),4)&amp;"*",OFFSET(Data,0,0,1),0)+MATCH($C322,OFFSET(Data,1,0,1),0)-2,FALSE())/10)</f>
        <v>29</v>
      </c>
      <c r="G322" s="31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0</v>
      </c>
    </row>
    <row r="323" spans="1:7" x14ac:dyDescent="0.25">
      <c r="A323" s="11">
        <f t="shared" si="25"/>
        <v>44</v>
      </c>
      <c r="B323" t="str">
        <f ca="1">TEXT(DATE(YEAR(Invoer!$A$5),1,1)+INT((ROWS(B$2:B323)-1)/2),"jjjjmmdd")</f>
        <v>19270610</v>
      </c>
      <c r="C323" s="26" t="str">
        <f>INDEX(Data,2,2+MOD(ROWS(C$2:C323)-1,2))</f>
        <v>15.00</v>
      </c>
      <c r="D323" s="39">
        <f t="shared" ca="1" si="26"/>
        <v>755</v>
      </c>
      <c r="E323" s="31">
        <f t="shared" ca="1" si="27"/>
        <v>0</v>
      </c>
      <c r="F323" s="40">
        <f t="shared" ca="1" si="28"/>
        <v>30</v>
      </c>
      <c r="G323" s="31">
        <f t="shared" ca="1" si="29"/>
        <v>0</v>
      </c>
    </row>
    <row r="324" spans="1:7" x14ac:dyDescent="0.25">
      <c r="A324" s="11">
        <f t="shared" si="25"/>
        <v>44</v>
      </c>
      <c r="B324" t="str">
        <f ca="1">TEXT(DATE(YEAR(Invoer!$A$5),1,1)+INT((ROWS(B$2:B324)-1)/2),"jjjjmmdd")</f>
        <v>19270611</v>
      </c>
      <c r="C324" s="26" t="str">
        <f>INDEX(Data,2,2+MOD(ROWS(C$2:C324)-1,2))</f>
        <v>08.00</v>
      </c>
      <c r="D324" s="39">
        <f t="shared" ca="1" si="26"/>
        <v>756.5</v>
      </c>
      <c r="E324" s="31">
        <f t="shared" ca="1" si="27"/>
        <v>0</v>
      </c>
      <c r="F324" s="40">
        <f t="shared" ca="1" si="28"/>
        <v>29</v>
      </c>
      <c r="G324" s="31">
        <f t="shared" ca="1" si="29"/>
        <v>0</v>
      </c>
    </row>
    <row r="325" spans="1:7" x14ac:dyDescent="0.25">
      <c r="A325" s="11">
        <f t="shared" si="25"/>
        <v>44</v>
      </c>
      <c r="B325" t="str">
        <f ca="1">TEXT(DATE(YEAR(Invoer!$A$5),1,1)+INT((ROWS(B$2:B325)-1)/2),"jjjjmmdd")</f>
        <v>19270611</v>
      </c>
      <c r="C325" s="26" t="str">
        <f>INDEX(Data,2,2+MOD(ROWS(C$2:C325)-1,2))</f>
        <v>15.00</v>
      </c>
      <c r="D325" s="39">
        <f t="shared" ca="1" si="26"/>
        <v>754.5</v>
      </c>
      <c r="E325" s="31">
        <f t="shared" ca="1" si="27"/>
        <v>0</v>
      </c>
      <c r="F325" s="40">
        <f t="shared" ca="1" si="28"/>
        <v>30</v>
      </c>
      <c r="G325" s="31">
        <f t="shared" ca="1" si="29"/>
        <v>0</v>
      </c>
    </row>
    <row r="326" spans="1:7" x14ac:dyDescent="0.25">
      <c r="A326" s="11">
        <f t="shared" si="25"/>
        <v>44</v>
      </c>
      <c r="B326" t="str">
        <f ca="1">TEXT(DATE(YEAR(Invoer!$A$5),1,1)+INT((ROWS(B$2:B326)-1)/2),"jjjjmmdd")</f>
        <v>19270612</v>
      </c>
      <c r="C326" s="26" t="str">
        <f>INDEX(Data,2,2+MOD(ROWS(C$2:C326)-1,2))</f>
        <v>08.00</v>
      </c>
      <c r="D326" s="39">
        <f t="shared" ca="1" si="26"/>
        <v>756.5</v>
      </c>
      <c r="E326" s="31">
        <f t="shared" ca="1" si="27"/>
        <v>0</v>
      </c>
      <c r="F326" s="40">
        <f t="shared" ca="1" si="28"/>
        <v>29</v>
      </c>
      <c r="G326" s="31">
        <f t="shared" ca="1" si="29"/>
        <v>0</v>
      </c>
    </row>
    <row r="327" spans="1:7" x14ac:dyDescent="0.25">
      <c r="A327" s="11">
        <f t="shared" si="25"/>
        <v>44</v>
      </c>
      <c r="B327" t="str">
        <f ca="1">TEXT(DATE(YEAR(Invoer!$A$5),1,1)+INT((ROWS(B$2:B327)-1)/2),"jjjjmmdd")</f>
        <v>19270612</v>
      </c>
      <c r="C327" s="26" t="str">
        <f>INDEX(Data,2,2+MOD(ROWS(C$2:C327)-1,2))</f>
        <v>15.00</v>
      </c>
      <c r="D327" s="39">
        <f t="shared" ca="1" si="26"/>
        <v>754.5</v>
      </c>
      <c r="E327" s="31">
        <f t="shared" ca="1" si="27"/>
        <v>0</v>
      </c>
      <c r="F327" s="40">
        <f t="shared" ca="1" si="28"/>
        <v>30</v>
      </c>
      <c r="G327" s="31">
        <f t="shared" ca="1" si="29"/>
        <v>0</v>
      </c>
    </row>
    <row r="328" spans="1:7" x14ac:dyDescent="0.25">
      <c r="A328" s="11">
        <f t="shared" si="25"/>
        <v>44</v>
      </c>
      <c r="B328" t="str">
        <f ca="1">TEXT(DATE(YEAR(Invoer!$A$5),1,1)+INT((ROWS(B$2:B328)-1)/2),"jjjjmmdd")</f>
        <v>19270613</v>
      </c>
      <c r="C328" s="26" t="str">
        <f>INDEX(Data,2,2+MOD(ROWS(C$2:C328)-1,2))</f>
        <v>08.00</v>
      </c>
      <c r="D328" s="39">
        <f t="shared" ca="1" si="26"/>
        <v>757.5</v>
      </c>
      <c r="E328" s="31">
        <f t="shared" ca="1" si="27"/>
        <v>0</v>
      </c>
      <c r="F328" s="40">
        <f t="shared" ca="1" si="28"/>
        <v>29</v>
      </c>
      <c r="G328" s="31">
        <f t="shared" ca="1" si="29"/>
        <v>0</v>
      </c>
    </row>
    <row r="329" spans="1:7" x14ac:dyDescent="0.25">
      <c r="A329" s="11">
        <f t="shared" si="25"/>
        <v>44</v>
      </c>
      <c r="B329" t="str">
        <f ca="1">TEXT(DATE(YEAR(Invoer!$A$5),1,1)+INT((ROWS(B$2:B329)-1)/2),"jjjjmmdd")</f>
        <v>19270613</v>
      </c>
      <c r="C329" s="26" t="str">
        <f>INDEX(Data,2,2+MOD(ROWS(C$2:C329)-1,2))</f>
        <v>15.00</v>
      </c>
      <c r="D329" s="39">
        <f t="shared" ca="1" si="26"/>
        <v>757</v>
      </c>
      <c r="E329" s="31">
        <f t="shared" ca="1" si="27"/>
        <v>0</v>
      </c>
      <c r="F329" s="40">
        <f t="shared" ca="1" si="28"/>
        <v>30</v>
      </c>
      <c r="G329" s="31">
        <f t="shared" ca="1" si="29"/>
        <v>0</v>
      </c>
    </row>
    <row r="330" spans="1:7" x14ac:dyDescent="0.25">
      <c r="A330" s="11">
        <f t="shared" si="25"/>
        <v>44</v>
      </c>
      <c r="B330" t="str">
        <f ca="1">TEXT(DATE(YEAR(Invoer!$A$5),1,1)+INT((ROWS(B$2:B330)-1)/2),"jjjjmmdd")</f>
        <v>19270614</v>
      </c>
      <c r="C330" s="26" t="str">
        <f>INDEX(Data,2,2+MOD(ROWS(C$2:C330)-1,2))</f>
        <v>08.00</v>
      </c>
      <c r="D330" s="39">
        <f t="shared" ca="1" si="26"/>
        <v>757.5</v>
      </c>
      <c r="E330" s="31">
        <f t="shared" ca="1" si="27"/>
        <v>0</v>
      </c>
      <c r="F330" s="40">
        <f t="shared" ca="1" si="28"/>
        <v>29</v>
      </c>
      <c r="G330" s="31">
        <f t="shared" ca="1" si="29"/>
        <v>0</v>
      </c>
    </row>
    <row r="331" spans="1:7" x14ac:dyDescent="0.25">
      <c r="A331" s="11">
        <f t="shared" si="25"/>
        <v>44</v>
      </c>
      <c r="B331" t="str">
        <f ca="1">TEXT(DATE(YEAR(Invoer!$A$5),1,1)+INT((ROWS(B$2:B331)-1)/2),"jjjjmmdd")</f>
        <v>19270614</v>
      </c>
      <c r="C331" s="26" t="str">
        <f>INDEX(Data,2,2+MOD(ROWS(C$2:C331)-1,2))</f>
        <v>15.00</v>
      </c>
      <c r="D331" s="39">
        <f t="shared" ca="1" si="26"/>
        <v>756</v>
      </c>
      <c r="E331" s="31">
        <f t="shared" ca="1" si="27"/>
        <v>0</v>
      </c>
      <c r="F331" s="40">
        <f t="shared" ca="1" si="28"/>
        <v>30</v>
      </c>
      <c r="G331" s="31">
        <f t="shared" ca="1" si="29"/>
        <v>0</v>
      </c>
    </row>
    <row r="332" spans="1:7" x14ac:dyDescent="0.25">
      <c r="A332" s="11">
        <f t="shared" si="25"/>
        <v>44</v>
      </c>
      <c r="B332" t="str">
        <f ca="1">TEXT(DATE(YEAR(Invoer!$A$5),1,1)+INT((ROWS(B$2:B332)-1)/2),"jjjjmmdd")</f>
        <v>19270615</v>
      </c>
      <c r="C332" s="26" t="str">
        <f>INDEX(Data,2,2+MOD(ROWS(C$2:C332)-1,2))</f>
        <v>08.00</v>
      </c>
      <c r="D332" s="39">
        <f t="shared" ca="1" si="26"/>
        <v>757</v>
      </c>
      <c r="E332" s="31">
        <f t="shared" ca="1" si="27"/>
        <v>0</v>
      </c>
      <c r="F332" s="40">
        <f t="shared" ca="1" si="28"/>
        <v>29</v>
      </c>
      <c r="G332" s="31">
        <f t="shared" ca="1" si="29"/>
        <v>0</v>
      </c>
    </row>
    <row r="333" spans="1:7" x14ac:dyDescent="0.25">
      <c r="A333" s="11">
        <f t="shared" si="25"/>
        <v>44</v>
      </c>
      <c r="B333" t="str">
        <f ca="1">TEXT(DATE(YEAR(Invoer!$A$5),1,1)+INT((ROWS(B$2:B333)-1)/2),"jjjjmmdd")</f>
        <v>19270615</v>
      </c>
      <c r="C333" s="26" t="str">
        <f>INDEX(Data,2,2+MOD(ROWS(C$2:C333)-1,2))</f>
        <v>15.00</v>
      </c>
      <c r="D333" s="39">
        <f t="shared" ca="1" si="26"/>
        <v>754.5</v>
      </c>
      <c r="E333" s="31">
        <f t="shared" ca="1" si="27"/>
        <v>0</v>
      </c>
      <c r="F333" s="40">
        <f t="shared" ca="1" si="28"/>
        <v>30</v>
      </c>
      <c r="G333" s="31">
        <f t="shared" ca="1" si="29"/>
        <v>0</v>
      </c>
    </row>
    <row r="334" spans="1:7" x14ac:dyDescent="0.25">
      <c r="A334" s="11">
        <f t="shared" si="25"/>
        <v>44</v>
      </c>
      <c r="B334" t="str">
        <f ca="1">TEXT(DATE(YEAR(Invoer!$A$5),1,1)+INT((ROWS(B$2:B334)-1)/2),"jjjjmmdd")</f>
        <v>19270616</v>
      </c>
      <c r="C334" s="26" t="str">
        <f>INDEX(Data,2,2+MOD(ROWS(C$2:C334)-1,2))</f>
        <v>08.00</v>
      </c>
      <c r="D334" s="39">
        <f t="shared" ca="1" si="26"/>
        <v>756.5</v>
      </c>
      <c r="E334" s="31">
        <f t="shared" ca="1" si="27"/>
        <v>0</v>
      </c>
      <c r="F334" s="40">
        <f t="shared" ca="1" si="28"/>
        <v>29</v>
      </c>
      <c r="G334" s="31">
        <f t="shared" ca="1" si="29"/>
        <v>0</v>
      </c>
    </row>
    <row r="335" spans="1:7" x14ac:dyDescent="0.25">
      <c r="A335" s="11">
        <f t="shared" si="25"/>
        <v>44</v>
      </c>
      <c r="B335" t="str">
        <f ca="1">TEXT(DATE(YEAR(Invoer!$A$5),1,1)+INT((ROWS(B$2:B335)-1)/2),"jjjjmmdd")</f>
        <v>19270616</v>
      </c>
      <c r="C335" s="26" t="str">
        <f>INDEX(Data,2,2+MOD(ROWS(C$2:C335)-1,2))</f>
        <v>15.00</v>
      </c>
      <c r="D335" s="39">
        <f t="shared" ca="1" si="26"/>
        <v>756</v>
      </c>
      <c r="E335" s="31">
        <f t="shared" ca="1" si="27"/>
        <v>0</v>
      </c>
      <c r="F335" s="40">
        <f t="shared" ca="1" si="28"/>
        <v>30</v>
      </c>
      <c r="G335" s="31">
        <f t="shared" ca="1" si="29"/>
        <v>0</v>
      </c>
    </row>
    <row r="336" spans="1:7" x14ac:dyDescent="0.25">
      <c r="A336" s="11">
        <f t="shared" si="25"/>
        <v>44</v>
      </c>
      <c r="B336" t="str">
        <f ca="1">TEXT(DATE(YEAR(Invoer!$A$5),1,1)+INT((ROWS(B$2:B336)-1)/2),"jjjjmmdd")</f>
        <v>19270617</v>
      </c>
      <c r="C336" s="26" t="str">
        <f>INDEX(Data,2,2+MOD(ROWS(C$2:C336)-1,2))</f>
        <v>08.00</v>
      </c>
      <c r="D336" s="39">
        <f t="shared" ca="1" si="26"/>
        <v>756.5</v>
      </c>
      <c r="E336" s="31">
        <f t="shared" ca="1" si="27"/>
        <v>0</v>
      </c>
      <c r="F336" s="40">
        <f t="shared" ca="1" si="28"/>
        <v>29</v>
      </c>
      <c r="G336" s="31">
        <f t="shared" ca="1" si="29"/>
        <v>0</v>
      </c>
    </row>
    <row r="337" spans="1:7" x14ac:dyDescent="0.25">
      <c r="A337" s="11">
        <f t="shared" si="25"/>
        <v>44</v>
      </c>
      <c r="B337" t="str">
        <f ca="1">TEXT(DATE(YEAR(Invoer!$A$5),1,1)+INT((ROWS(B$2:B337)-1)/2),"jjjjmmdd")</f>
        <v>19270617</v>
      </c>
      <c r="C337" s="26" t="str">
        <f>INDEX(Data,2,2+MOD(ROWS(C$2:C337)-1,2))</f>
        <v>15.00</v>
      </c>
      <c r="D337" s="39">
        <f t="shared" ca="1" si="26"/>
        <v>756</v>
      </c>
      <c r="E337" s="31">
        <f t="shared" ca="1" si="27"/>
        <v>0</v>
      </c>
      <c r="F337" s="40">
        <f t="shared" ca="1" si="28"/>
        <v>30</v>
      </c>
      <c r="G337" s="31">
        <f t="shared" ca="1" si="29"/>
        <v>0</v>
      </c>
    </row>
    <row r="338" spans="1:7" x14ac:dyDescent="0.25">
      <c r="A338" s="11">
        <f t="shared" si="25"/>
        <v>44</v>
      </c>
      <c r="B338" t="str">
        <f ca="1">TEXT(DATE(YEAR(Invoer!$A$5),1,1)+INT((ROWS(B$2:B338)-1)/2),"jjjjmmdd")</f>
        <v>19270618</v>
      </c>
      <c r="C338" s="26" t="str">
        <f>INDEX(Data,2,2+MOD(ROWS(C$2:C338)-1,2))</f>
        <v>08.00</v>
      </c>
      <c r="D338" s="39">
        <f t="shared" ca="1" si="26"/>
        <v>758</v>
      </c>
      <c r="E338" s="31">
        <f t="shared" ca="1" si="27"/>
        <v>0</v>
      </c>
      <c r="F338" s="40">
        <f t="shared" ca="1" si="28"/>
        <v>29</v>
      </c>
      <c r="G338" s="31">
        <f t="shared" ca="1" si="29"/>
        <v>0</v>
      </c>
    </row>
    <row r="339" spans="1:7" x14ac:dyDescent="0.25">
      <c r="A339" s="11">
        <f t="shared" si="25"/>
        <v>44</v>
      </c>
      <c r="B339" t="str">
        <f ca="1">TEXT(DATE(YEAR(Invoer!$A$5),1,1)+INT((ROWS(B$2:B339)-1)/2),"jjjjmmdd")</f>
        <v>19270618</v>
      </c>
      <c r="C339" s="26" t="str">
        <f>INDEX(Data,2,2+MOD(ROWS(C$2:C339)-1,2))</f>
        <v>15.00</v>
      </c>
      <c r="D339" s="39">
        <f t="shared" ca="1" si="26"/>
        <v>756.5</v>
      </c>
      <c r="E339" s="31">
        <f t="shared" ca="1" si="27"/>
        <v>0</v>
      </c>
      <c r="F339" s="40">
        <f t="shared" ca="1" si="28"/>
        <v>30</v>
      </c>
      <c r="G339" s="31">
        <f t="shared" ca="1" si="29"/>
        <v>0</v>
      </c>
    </row>
    <row r="340" spans="1:7" x14ac:dyDescent="0.25">
      <c r="A340" s="11">
        <f t="shared" si="25"/>
        <v>44</v>
      </c>
      <c r="B340" t="str">
        <f ca="1">TEXT(DATE(YEAR(Invoer!$A$5),1,1)+INT((ROWS(B$2:B340)-1)/2),"jjjjmmdd")</f>
        <v>19270619</v>
      </c>
      <c r="C340" s="26" t="str">
        <f>INDEX(Data,2,2+MOD(ROWS(C$2:C340)-1,2))</f>
        <v>08.00</v>
      </c>
      <c r="D340" s="39">
        <f t="shared" ca="1" si="26"/>
        <v>758</v>
      </c>
      <c r="E340" s="31">
        <f t="shared" ca="1" si="27"/>
        <v>0</v>
      </c>
      <c r="F340" s="40">
        <f t="shared" ca="1" si="28"/>
        <v>29</v>
      </c>
      <c r="G340" s="31">
        <f t="shared" ca="1" si="29"/>
        <v>0</v>
      </c>
    </row>
    <row r="341" spans="1:7" x14ac:dyDescent="0.25">
      <c r="A341" s="11">
        <f t="shared" si="25"/>
        <v>44</v>
      </c>
      <c r="B341" t="str">
        <f ca="1">TEXT(DATE(YEAR(Invoer!$A$5),1,1)+INT((ROWS(B$2:B341)-1)/2),"jjjjmmdd")</f>
        <v>19270619</v>
      </c>
      <c r="C341" s="26" t="str">
        <f>INDEX(Data,2,2+MOD(ROWS(C$2:C341)-1,2))</f>
        <v>15.00</v>
      </c>
      <c r="D341" s="39">
        <f t="shared" ca="1" si="26"/>
        <v>756.5</v>
      </c>
      <c r="E341" s="31">
        <f t="shared" ca="1" si="27"/>
        <v>0</v>
      </c>
      <c r="F341" s="40">
        <f t="shared" ca="1" si="28"/>
        <v>30</v>
      </c>
      <c r="G341" s="31">
        <f t="shared" ca="1" si="29"/>
        <v>0</v>
      </c>
    </row>
    <row r="342" spans="1:7" x14ac:dyDescent="0.25">
      <c r="A342" s="11">
        <f t="shared" si="25"/>
        <v>44</v>
      </c>
      <c r="B342" t="str">
        <f ca="1">TEXT(DATE(YEAR(Invoer!$A$5),1,1)+INT((ROWS(B$2:B342)-1)/2),"jjjjmmdd")</f>
        <v>19270620</v>
      </c>
      <c r="C342" s="26" t="str">
        <f>INDEX(Data,2,2+MOD(ROWS(C$2:C342)-1,2))</f>
        <v>08.00</v>
      </c>
      <c r="D342" s="39">
        <f t="shared" ca="1" si="26"/>
        <v>757</v>
      </c>
      <c r="E342" s="31">
        <f t="shared" ca="1" si="27"/>
        <v>0</v>
      </c>
      <c r="F342" s="40">
        <f t="shared" ca="1" si="28"/>
        <v>29</v>
      </c>
      <c r="G342" s="31">
        <f t="shared" ca="1" si="29"/>
        <v>0</v>
      </c>
    </row>
    <row r="343" spans="1:7" x14ac:dyDescent="0.25">
      <c r="A343" s="11">
        <f t="shared" si="25"/>
        <v>44</v>
      </c>
      <c r="B343" t="str">
        <f ca="1">TEXT(DATE(YEAR(Invoer!$A$5),1,1)+INT((ROWS(B$2:B343)-1)/2),"jjjjmmdd")</f>
        <v>19270620</v>
      </c>
      <c r="C343" s="26" t="str">
        <f>INDEX(Data,2,2+MOD(ROWS(C$2:C343)-1,2))</f>
        <v>15.00</v>
      </c>
      <c r="D343" s="39">
        <f t="shared" ca="1" si="26"/>
        <v>755</v>
      </c>
      <c r="E343" s="31">
        <f t="shared" ca="1" si="27"/>
        <v>0</v>
      </c>
      <c r="F343" s="40">
        <f t="shared" ca="1" si="28"/>
        <v>30</v>
      </c>
      <c r="G343" s="31">
        <f t="shared" ca="1" si="29"/>
        <v>0</v>
      </c>
    </row>
    <row r="344" spans="1:7" x14ac:dyDescent="0.25">
      <c r="A344" s="11">
        <f t="shared" si="25"/>
        <v>44</v>
      </c>
      <c r="B344" t="str">
        <f ca="1">TEXT(DATE(YEAR(Invoer!$A$5),1,1)+INT((ROWS(B$2:B344)-1)/2),"jjjjmmdd")</f>
        <v>19270621</v>
      </c>
      <c r="C344" s="26" t="str">
        <f>INDEX(Data,2,2+MOD(ROWS(C$2:C344)-1,2))</f>
        <v>08.00</v>
      </c>
      <c r="D344" s="39">
        <f t="shared" ca="1" si="26"/>
        <v>757.5</v>
      </c>
      <c r="E344" s="31">
        <f t="shared" ca="1" si="27"/>
        <v>0</v>
      </c>
      <c r="F344" s="40">
        <f t="shared" ca="1" si="28"/>
        <v>29</v>
      </c>
      <c r="G344" s="31">
        <f t="shared" ca="1" si="29"/>
        <v>0</v>
      </c>
    </row>
    <row r="345" spans="1:7" x14ac:dyDescent="0.25">
      <c r="A345" s="11">
        <f t="shared" si="25"/>
        <v>44</v>
      </c>
      <c r="B345" t="str">
        <f ca="1">TEXT(DATE(YEAR(Invoer!$A$5),1,1)+INT((ROWS(B$2:B345)-1)/2),"jjjjmmdd")</f>
        <v>19270621</v>
      </c>
      <c r="C345" s="26" t="str">
        <f>INDEX(Data,2,2+MOD(ROWS(C$2:C345)-1,2))</f>
        <v>15.00</v>
      </c>
      <c r="D345" s="39">
        <f t="shared" ca="1" si="26"/>
        <v>755.5</v>
      </c>
      <c r="E345" s="31">
        <f t="shared" ca="1" si="27"/>
        <v>0</v>
      </c>
      <c r="F345" s="40">
        <f t="shared" ca="1" si="28"/>
        <v>30</v>
      </c>
      <c r="G345" s="31">
        <f t="shared" ca="1" si="29"/>
        <v>0</v>
      </c>
    </row>
    <row r="346" spans="1:7" x14ac:dyDescent="0.25">
      <c r="A346" s="11">
        <f t="shared" si="25"/>
        <v>44</v>
      </c>
      <c r="B346" t="str">
        <f ca="1">TEXT(DATE(YEAR(Invoer!$A$5),1,1)+INT((ROWS(B$2:B346)-1)/2),"jjjjmmdd")</f>
        <v>19270622</v>
      </c>
      <c r="C346" s="26" t="str">
        <f>INDEX(Data,2,2+MOD(ROWS(C$2:C346)-1,2))</f>
        <v>08.00</v>
      </c>
      <c r="D346" s="39">
        <f t="shared" ca="1" si="26"/>
        <v>757.5</v>
      </c>
      <c r="E346" s="31">
        <f t="shared" ca="1" si="27"/>
        <v>0</v>
      </c>
      <c r="F346" s="40">
        <f t="shared" ca="1" si="28"/>
        <v>29</v>
      </c>
      <c r="G346" s="31">
        <f t="shared" ca="1" si="29"/>
        <v>0</v>
      </c>
    </row>
    <row r="347" spans="1:7" x14ac:dyDescent="0.25">
      <c r="A347" s="11">
        <f t="shared" si="25"/>
        <v>44</v>
      </c>
      <c r="B347" t="str">
        <f ca="1">TEXT(DATE(YEAR(Invoer!$A$5),1,1)+INT((ROWS(B$2:B347)-1)/2),"jjjjmmdd")</f>
        <v>19270622</v>
      </c>
      <c r="C347" s="26" t="str">
        <f>INDEX(Data,2,2+MOD(ROWS(C$2:C347)-1,2))</f>
        <v>15.00</v>
      </c>
      <c r="D347" s="39">
        <f t="shared" ca="1" si="26"/>
        <v>755.5</v>
      </c>
      <c r="E347" s="31">
        <f t="shared" ca="1" si="27"/>
        <v>0</v>
      </c>
      <c r="F347" s="40">
        <f t="shared" ca="1" si="28"/>
        <v>30</v>
      </c>
      <c r="G347" s="31">
        <f t="shared" ca="1" si="29"/>
        <v>0</v>
      </c>
    </row>
    <row r="348" spans="1:7" x14ac:dyDescent="0.25">
      <c r="A348" s="11">
        <f t="shared" si="25"/>
        <v>44</v>
      </c>
      <c r="B348" t="str">
        <f ca="1">TEXT(DATE(YEAR(Invoer!$A$5),1,1)+INT((ROWS(B$2:B348)-1)/2),"jjjjmmdd")</f>
        <v>19270623</v>
      </c>
      <c r="C348" s="26" t="str">
        <f>INDEX(Data,2,2+MOD(ROWS(C$2:C348)-1,2))</f>
        <v>08.00</v>
      </c>
      <c r="D348" s="39">
        <f t="shared" ca="1" si="26"/>
        <v>757.5</v>
      </c>
      <c r="E348" s="31">
        <f t="shared" ca="1" si="27"/>
        <v>0</v>
      </c>
      <c r="F348" s="40">
        <f t="shared" ca="1" si="28"/>
        <v>29</v>
      </c>
      <c r="G348" s="31">
        <f t="shared" ca="1" si="29"/>
        <v>0</v>
      </c>
    </row>
    <row r="349" spans="1:7" x14ac:dyDescent="0.25">
      <c r="A349" s="11">
        <f t="shared" si="25"/>
        <v>44</v>
      </c>
      <c r="B349" t="str">
        <f ca="1">TEXT(DATE(YEAR(Invoer!$A$5),1,1)+INT((ROWS(B$2:B349)-1)/2),"jjjjmmdd")</f>
        <v>19270623</v>
      </c>
      <c r="C349" s="26" t="str">
        <f>INDEX(Data,2,2+MOD(ROWS(C$2:C349)-1,2))</f>
        <v>15.00</v>
      </c>
      <c r="D349" s="39">
        <f t="shared" ca="1" si="26"/>
        <v>756</v>
      </c>
      <c r="E349" s="31">
        <f t="shared" ca="1" si="27"/>
        <v>0</v>
      </c>
      <c r="F349" s="40">
        <f t="shared" ca="1" si="28"/>
        <v>30</v>
      </c>
      <c r="G349" s="31">
        <f t="shared" ca="1" si="29"/>
        <v>0</v>
      </c>
    </row>
    <row r="350" spans="1:7" x14ac:dyDescent="0.25">
      <c r="A350" s="11">
        <f t="shared" si="25"/>
        <v>44</v>
      </c>
      <c r="B350" t="str">
        <f ca="1">TEXT(DATE(YEAR(Invoer!$A$5),1,1)+INT((ROWS(B$2:B350)-1)/2),"jjjjmmdd")</f>
        <v>19270624</v>
      </c>
      <c r="C350" s="26" t="str">
        <f>INDEX(Data,2,2+MOD(ROWS(C$2:C350)-1,2))</f>
        <v>08.00</v>
      </c>
      <c r="D350" s="39">
        <f t="shared" ca="1" si="26"/>
        <v>757</v>
      </c>
      <c r="E350" s="31">
        <f t="shared" ca="1" si="27"/>
        <v>0</v>
      </c>
      <c r="F350" s="40">
        <f t="shared" ca="1" si="28"/>
        <v>29</v>
      </c>
      <c r="G350" s="31">
        <f t="shared" ca="1" si="29"/>
        <v>0</v>
      </c>
    </row>
    <row r="351" spans="1:7" x14ac:dyDescent="0.25">
      <c r="A351" s="11">
        <f t="shared" si="25"/>
        <v>44</v>
      </c>
      <c r="B351" t="str">
        <f ca="1">TEXT(DATE(YEAR(Invoer!$A$5),1,1)+INT((ROWS(B$2:B351)-1)/2),"jjjjmmdd")</f>
        <v>19270624</v>
      </c>
      <c r="C351" s="26" t="str">
        <f>INDEX(Data,2,2+MOD(ROWS(C$2:C351)-1,2))</f>
        <v>15.00</v>
      </c>
      <c r="D351" s="39">
        <f t="shared" ca="1" si="26"/>
        <v>755.5</v>
      </c>
      <c r="E351" s="31">
        <f t="shared" ca="1" si="27"/>
        <v>0</v>
      </c>
      <c r="F351" s="40">
        <f t="shared" ca="1" si="28"/>
        <v>30</v>
      </c>
      <c r="G351" s="31">
        <f t="shared" ca="1" si="29"/>
        <v>0</v>
      </c>
    </row>
    <row r="352" spans="1:7" x14ac:dyDescent="0.25">
      <c r="A352" s="11">
        <f t="shared" si="25"/>
        <v>44</v>
      </c>
      <c r="B352" t="str">
        <f ca="1">TEXT(DATE(YEAR(Invoer!$A$5),1,1)+INT((ROWS(B$2:B352)-1)/2),"jjjjmmdd")</f>
        <v>19270625</v>
      </c>
      <c r="C352" s="26" t="str">
        <f>INDEX(Data,2,2+MOD(ROWS(C$2:C352)-1,2))</f>
        <v>08.00</v>
      </c>
      <c r="D352" s="39">
        <f t="shared" ca="1" si="26"/>
        <v>758</v>
      </c>
      <c r="E352" s="31">
        <f t="shared" ca="1" si="27"/>
        <v>0</v>
      </c>
      <c r="F352" s="40">
        <f t="shared" ca="1" si="28"/>
        <v>28</v>
      </c>
      <c r="G352" s="31">
        <f t="shared" ca="1" si="29"/>
        <v>0</v>
      </c>
    </row>
    <row r="353" spans="1:7" x14ac:dyDescent="0.25">
      <c r="A353" s="11">
        <f t="shared" si="25"/>
        <v>44</v>
      </c>
      <c r="B353" t="str">
        <f ca="1">TEXT(DATE(YEAR(Invoer!$A$5),1,1)+INT((ROWS(B$2:B353)-1)/2),"jjjjmmdd")</f>
        <v>19270625</v>
      </c>
      <c r="C353" s="26" t="str">
        <f>INDEX(Data,2,2+MOD(ROWS(C$2:C353)-1,2))</f>
        <v>15.00</v>
      </c>
      <c r="D353" s="39">
        <f t="shared" ca="1" si="26"/>
        <v>755.5</v>
      </c>
      <c r="E353" s="31">
        <f t="shared" ca="1" si="27"/>
        <v>0</v>
      </c>
      <c r="F353" s="40">
        <f t="shared" ca="1" si="28"/>
        <v>29</v>
      </c>
      <c r="G353" s="31">
        <f t="shared" ca="1" si="29"/>
        <v>0</v>
      </c>
    </row>
    <row r="354" spans="1:7" x14ac:dyDescent="0.25">
      <c r="A354" s="11">
        <f t="shared" si="25"/>
        <v>44</v>
      </c>
      <c r="B354" t="str">
        <f ca="1">TEXT(DATE(YEAR(Invoer!$A$5),1,1)+INT((ROWS(B$2:B354)-1)/2),"jjjjmmdd")</f>
        <v>19270626</v>
      </c>
      <c r="C354" s="26" t="str">
        <f>INDEX(Data,2,2+MOD(ROWS(C$2:C354)-1,2))</f>
        <v>08.00</v>
      </c>
      <c r="D354" s="39">
        <f t="shared" ca="1" si="26"/>
        <v>757</v>
      </c>
      <c r="E354" s="31">
        <f t="shared" ca="1" si="27"/>
        <v>0</v>
      </c>
      <c r="F354" s="40">
        <f t="shared" ca="1" si="28"/>
        <v>29</v>
      </c>
      <c r="G354" s="31">
        <f t="shared" ca="1" si="29"/>
        <v>0</v>
      </c>
    </row>
    <row r="355" spans="1:7" x14ac:dyDescent="0.25">
      <c r="A355" s="11">
        <f t="shared" si="25"/>
        <v>44</v>
      </c>
      <c r="B355" t="str">
        <f ca="1">TEXT(DATE(YEAR(Invoer!$A$5),1,1)+INT((ROWS(B$2:B355)-1)/2),"jjjjmmdd")</f>
        <v>19270626</v>
      </c>
      <c r="C355" s="26" t="str">
        <f>INDEX(Data,2,2+MOD(ROWS(C$2:C355)-1,2))</f>
        <v>15.00</v>
      </c>
      <c r="D355" s="39">
        <f t="shared" ca="1" si="26"/>
        <v>755.5</v>
      </c>
      <c r="E355" s="31">
        <f t="shared" ca="1" si="27"/>
        <v>0</v>
      </c>
      <c r="F355" s="40">
        <f t="shared" ca="1" si="28"/>
        <v>30</v>
      </c>
      <c r="G355" s="31">
        <f t="shared" ca="1" si="29"/>
        <v>0</v>
      </c>
    </row>
    <row r="356" spans="1:7" x14ac:dyDescent="0.25">
      <c r="A356" s="11">
        <f t="shared" si="25"/>
        <v>44</v>
      </c>
      <c r="B356" t="str">
        <f ca="1">TEXT(DATE(YEAR(Invoer!$A$5),1,1)+INT((ROWS(B$2:B356)-1)/2),"jjjjmmdd")</f>
        <v>19270627</v>
      </c>
      <c r="C356" s="26" t="str">
        <f>INDEX(Data,2,2+MOD(ROWS(C$2:C356)-1,2))</f>
        <v>08.00</v>
      </c>
      <c r="D356" s="39">
        <f t="shared" ca="1" si="26"/>
        <v>757</v>
      </c>
      <c r="E356" s="31">
        <f t="shared" ca="1" si="27"/>
        <v>0</v>
      </c>
      <c r="F356" s="40">
        <f t="shared" ca="1" si="28"/>
        <v>29</v>
      </c>
      <c r="G356" s="31">
        <f t="shared" ca="1" si="29"/>
        <v>0</v>
      </c>
    </row>
    <row r="357" spans="1:7" x14ac:dyDescent="0.25">
      <c r="A357" s="11">
        <f t="shared" si="25"/>
        <v>44</v>
      </c>
      <c r="B357" t="str">
        <f ca="1">TEXT(DATE(YEAR(Invoer!$A$5),1,1)+INT((ROWS(B$2:B357)-1)/2),"jjjjmmdd")</f>
        <v>19270627</v>
      </c>
      <c r="C357" s="26" t="str">
        <f>INDEX(Data,2,2+MOD(ROWS(C$2:C357)-1,2))</f>
        <v>15.00</v>
      </c>
      <c r="D357" s="39">
        <f t="shared" ca="1" si="26"/>
        <v>755.5</v>
      </c>
      <c r="E357" s="31">
        <f t="shared" ca="1" si="27"/>
        <v>0</v>
      </c>
      <c r="F357" s="40">
        <f t="shared" ca="1" si="28"/>
        <v>29.5</v>
      </c>
      <c r="G357" s="31">
        <f t="shared" ca="1" si="29"/>
        <v>0</v>
      </c>
    </row>
    <row r="358" spans="1:7" x14ac:dyDescent="0.25">
      <c r="A358" s="11">
        <f t="shared" si="25"/>
        <v>44</v>
      </c>
      <c r="B358" t="str">
        <f ca="1">TEXT(DATE(YEAR(Invoer!$A$5),1,1)+INT((ROWS(B$2:B358)-1)/2),"jjjjmmdd")</f>
        <v>19270628</v>
      </c>
      <c r="C358" s="26" t="str">
        <f>INDEX(Data,2,2+MOD(ROWS(C$2:C358)-1,2))</f>
        <v>08.00</v>
      </c>
      <c r="D358" s="39">
        <f t="shared" ca="1" si="26"/>
        <v>758.5</v>
      </c>
      <c r="E358" s="31">
        <f t="shared" ca="1" si="27"/>
        <v>0</v>
      </c>
      <c r="F358" s="40">
        <f t="shared" ca="1" si="28"/>
        <v>28.5</v>
      </c>
      <c r="G358" s="31">
        <f t="shared" ca="1" si="29"/>
        <v>0</v>
      </c>
    </row>
    <row r="359" spans="1:7" x14ac:dyDescent="0.25">
      <c r="A359" s="11">
        <f t="shared" si="25"/>
        <v>44</v>
      </c>
      <c r="B359" t="str">
        <f ca="1">TEXT(DATE(YEAR(Invoer!$A$5),1,1)+INT((ROWS(B$2:B359)-1)/2),"jjjjmmdd")</f>
        <v>19270628</v>
      </c>
      <c r="C359" s="26" t="str">
        <f>INDEX(Data,2,2+MOD(ROWS(C$2:C359)-1,2))</f>
        <v>15.00</v>
      </c>
      <c r="D359" s="39">
        <f t="shared" ca="1" si="26"/>
        <v>757</v>
      </c>
      <c r="E359" s="31">
        <f t="shared" ca="1" si="27"/>
        <v>0</v>
      </c>
      <c r="F359" s="40">
        <f t="shared" ca="1" si="28"/>
        <v>28.5</v>
      </c>
      <c r="G359" s="31">
        <f t="shared" ca="1" si="29"/>
        <v>0</v>
      </c>
    </row>
    <row r="360" spans="1:7" x14ac:dyDescent="0.25">
      <c r="A360" s="11">
        <f t="shared" si="25"/>
        <v>44</v>
      </c>
      <c r="B360" t="str">
        <f ca="1">TEXT(DATE(YEAR(Invoer!$A$5),1,1)+INT((ROWS(B$2:B360)-1)/2),"jjjjmmdd")</f>
        <v>19270629</v>
      </c>
      <c r="C360" s="26" t="str">
        <f>INDEX(Data,2,2+MOD(ROWS(C$2:C360)-1,2))</f>
        <v>08.00</v>
      </c>
      <c r="D360" s="39">
        <f t="shared" ca="1" si="26"/>
        <v>757.5</v>
      </c>
      <c r="E360" s="31">
        <f t="shared" ca="1" si="27"/>
        <v>0</v>
      </c>
      <c r="F360" s="40">
        <f t="shared" ca="1" si="28"/>
        <v>28.5</v>
      </c>
      <c r="G360" s="31">
        <f t="shared" ca="1" si="29"/>
        <v>0</v>
      </c>
    </row>
    <row r="361" spans="1:7" x14ac:dyDescent="0.25">
      <c r="A361" s="11">
        <f t="shared" si="25"/>
        <v>44</v>
      </c>
      <c r="B361" t="str">
        <f ca="1">TEXT(DATE(YEAR(Invoer!$A$5),1,1)+INT((ROWS(B$2:B361)-1)/2),"jjjjmmdd")</f>
        <v>19270629</v>
      </c>
      <c r="C361" s="26" t="str">
        <f>INDEX(Data,2,2+MOD(ROWS(C$2:C361)-1,2))</f>
        <v>15.00</v>
      </c>
      <c r="D361" s="39">
        <f t="shared" ca="1" si="26"/>
        <v>757</v>
      </c>
      <c r="E361" s="31">
        <f t="shared" ca="1" si="27"/>
        <v>0</v>
      </c>
      <c r="F361" s="40">
        <f t="shared" ca="1" si="28"/>
        <v>28.5</v>
      </c>
      <c r="G361" s="31">
        <f t="shared" ca="1" si="29"/>
        <v>0</v>
      </c>
    </row>
    <row r="362" spans="1:7" x14ac:dyDescent="0.25">
      <c r="A362" s="11">
        <f t="shared" si="25"/>
        <v>44</v>
      </c>
      <c r="B362" t="str">
        <f ca="1">TEXT(DATE(YEAR(Invoer!$A$5),1,1)+INT((ROWS(B$2:B362)-1)/2),"jjjjmmdd")</f>
        <v>19270630</v>
      </c>
      <c r="C362" s="26" t="str">
        <f>INDEX(Data,2,2+MOD(ROWS(C$2:C362)-1,2))</f>
        <v>08.00</v>
      </c>
      <c r="D362" s="39">
        <f t="shared" ca="1" si="26"/>
        <v>757.5</v>
      </c>
      <c r="E362" s="31">
        <f t="shared" ca="1" si="27"/>
        <v>0</v>
      </c>
      <c r="F362" s="40">
        <f t="shared" ca="1" si="28"/>
        <v>28.5</v>
      </c>
      <c r="G362" s="31">
        <f t="shared" ca="1" si="29"/>
        <v>0</v>
      </c>
    </row>
    <row r="363" spans="1:7" x14ac:dyDescent="0.25">
      <c r="A363" s="11">
        <f t="shared" si="25"/>
        <v>44</v>
      </c>
      <c r="B363" t="str">
        <f ca="1">TEXT(DATE(YEAR(Invoer!$A$5),1,1)+INT((ROWS(B$2:B363)-1)/2),"jjjjmmdd")</f>
        <v>19270630</v>
      </c>
      <c r="C363" s="26" t="str">
        <f>INDEX(Data,2,2+MOD(ROWS(C$2:C363)-1,2))</f>
        <v>15.00</v>
      </c>
      <c r="D363" s="39">
        <f t="shared" ca="1" si="26"/>
        <v>755</v>
      </c>
      <c r="E363" s="31">
        <f t="shared" ca="1" si="27"/>
        <v>0</v>
      </c>
      <c r="F363" s="40">
        <f t="shared" ca="1" si="28"/>
        <v>30</v>
      </c>
      <c r="G363" s="31">
        <f t="shared" ca="1" si="29"/>
        <v>0</v>
      </c>
    </row>
    <row r="364" spans="1:7" x14ac:dyDescent="0.25">
      <c r="A364" s="11">
        <f t="shared" si="25"/>
        <v>44</v>
      </c>
      <c r="B364" t="str">
        <f ca="1">TEXT(DATE(YEAR(Invoer!$A$5),1,1)+INT((ROWS(B$2:B364)-1)/2),"jjjjmmdd")</f>
        <v>19270701</v>
      </c>
      <c r="C364" s="26" t="str">
        <f>INDEX(Data,2,2+MOD(ROWS(C$2:C364)-1,2))</f>
        <v>08.00</v>
      </c>
      <c r="D364" s="39">
        <f t="shared" ca="1" si="26"/>
        <v>758.5</v>
      </c>
      <c r="E364" s="31">
        <f t="shared" ca="1" si="27"/>
        <v>0</v>
      </c>
      <c r="F364" s="40">
        <f t="shared" ca="1" si="28"/>
        <v>28.5</v>
      </c>
      <c r="G364" s="31">
        <f t="shared" ca="1" si="29"/>
        <v>0</v>
      </c>
    </row>
    <row r="365" spans="1:7" x14ac:dyDescent="0.25">
      <c r="A365" s="11">
        <f t="shared" si="25"/>
        <v>44</v>
      </c>
      <c r="B365" t="str">
        <f ca="1">TEXT(DATE(YEAR(Invoer!$A$5),1,1)+INT((ROWS(B$2:B365)-1)/2),"jjjjmmdd")</f>
        <v>19270701</v>
      </c>
      <c r="C365" s="26" t="str">
        <f>INDEX(Data,2,2+MOD(ROWS(C$2:C365)-1,2))</f>
        <v>15.00</v>
      </c>
      <c r="D365" s="39">
        <f t="shared" ca="1" si="26"/>
        <v>755.5</v>
      </c>
      <c r="E365" s="31">
        <f t="shared" ca="1" si="27"/>
        <v>0</v>
      </c>
      <c r="F365" s="40">
        <f t="shared" ca="1" si="28"/>
        <v>30</v>
      </c>
      <c r="G365" s="31">
        <f t="shared" ca="1" si="29"/>
        <v>0</v>
      </c>
    </row>
    <row r="366" spans="1:7" x14ac:dyDescent="0.25">
      <c r="A366" s="11">
        <f t="shared" si="25"/>
        <v>44</v>
      </c>
      <c r="B366" t="str">
        <f ca="1">TEXT(DATE(YEAR(Invoer!$A$5),1,1)+INT((ROWS(B$2:B366)-1)/2),"jjjjmmdd")</f>
        <v>19270702</v>
      </c>
      <c r="C366" s="26" t="str">
        <f>INDEX(Data,2,2+MOD(ROWS(C$2:C366)-1,2))</f>
        <v>08.00</v>
      </c>
      <c r="D366" s="39">
        <f t="shared" ca="1" si="26"/>
        <v>758.5</v>
      </c>
      <c r="E366" s="31">
        <f t="shared" ca="1" si="27"/>
        <v>0</v>
      </c>
      <c r="F366" s="40">
        <f t="shared" ca="1" si="28"/>
        <v>28</v>
      </c>
      <c r="G366" s="31">
        <f t="shared" ca="1" si="29"/>
        <v>0</v>
      </c>
    </row>
    <row r="367" spans="1:7" x14ac:dyDescent="0.25">
      <c r="A367" s="11">
        <f t="shared" si="25"/>
        <v>44</v>
      </c>
      <c r="B367" t="str">
        <f ca="1">TEXT(DATE(YEAR(Invoer!$A$5),1,1)+INT((ROWS(B$2:B367)-1)/2),"jjjjmmdd")</f>
        <v>19270702</v>
      </c>
      <c r="C367" s="26" t="str">
        <f>INDEX(Data,2,2+MOD(ROWS(C$2:C367)-1,2))</f>
        <v>15.00</v>
      </c>
      <c r="D367" s="39">
        <f t="shared" ca="1" si="26"/>
        <v>755</v>
      </c>
      <c r="E367" s="31">
        <f t="shared" ca="1" si="27"/>
        <v>0</v>
      </c>
      <c r="F367" s="40">
        <f t="shared" ca="1" si="28"/>
        <v>29</v>
      </c>
      <c r="G367" s="31">
        <f t="shared" ca="1" si="29"/>
        <v>0</v>
      </c>
    </row>
    <row r="368" spans="1:7" x14ac:dyDescent="0.25">
      <c r="A368" s="11">
        <f t="shared" si="25"/>
        <v>44</v>
      </c>
      <c r="B368" t="str">
        <f ca="1">TEXT(DATE(YEAR(Invoer!$A$5),1,1)+INT((ROWS(B$2:B368)-1)/2),"jjjjmmdd")</f>
        <v>19270703</v>
      </c>
      <c r="C368" s="26" t="str">
        <f>INDEX(Data,2,2+MOD(ROWS(C$2:C368)-1,2))</f>
        <v>08.00</v>
      </c>
      <c r="D368" s="39">
        <f t="shared" ca="1" si="26"/>
        <v>758.5</v>
      </c>
      <c r="E368" s="31">
        <f t="shared" ca="1" si="27"/>
        <v>0</v>
      </c>
      <c r="F368" s="40">
        <f t="shared" ca="1" si="28"/>
        <v>28</v>
      </c>
      <c r="G368" s="31">
        <f t="shared" ca="1" si="29"/>
        <v>0</v>
      </c>
    </row>
    <row r="369" spans="1:7" x14ac:dyDescent="0.25">
      <c r="A369" s="11">
        <f t="shared" si="25"/>
        <v>44</v>
      </c>
      <c r="B369" t="str">
        <f ca="1">TEXT(DATE(YEAR(Invoer!$A$5),1,1)+INT((ROWS(B$2:B369)-1)/2),"jjjjmmdd")</f>
        <v>19270703</v>
      </c>
      <c r="C369" s="26" t="str">
        <f>INDEX(Data,2,2+MOD(ROWS(C$2:C369)-1,2))</f>
        <v>15.00</v>
      </c>
      <c r="D369" s="39">
        <f t="shared" ca="1" si="26"/>
        <v>755</v>
      </c>
      <c r="E369" s="31">
        <f t="shared" ca="1" si="27"/>
        <v>0</v>
      </c>
      <c r="F369" s="40">
        <f t="shared" ca="1" si="28"/>
        <v>29</v>
      </c>
      <c r="G369" s="31">
        <f t="shared" ca="1" si="29"/>
        <v>0</v>
      </c>
    </row>
    <row r="370" spans="1:7" x14ac:dyDescent="0.25">
      <c r="A370" s="11">
        <f t="shared" si="25"/>
        <v>44</v>
      </c>
      <c r="B370" t="str">
        <f ca="1">TEXT(DATE(YEAR(Invoer!$A$5),1,1)+INT((ROWS(B$2:B370)-1)/2),"jjjjmmdd")</f>
        <v>19270704</v>
      </c>
      <c r="C370" s="26" t="str">
        <f>INDEX(Data,2,2+MOD(ROWS(C$2:C370)-1,2))</f>
        <v>08.00</v>
      </c>
      <c r="D370" s="39">
        <f t="shared" ca="1" si="26"/>
        <v>758.5</v>
      </c>
      <c r="E370" s="31">
        <f t="shared" ca="1" si="27"/>
        <v>0</v>
      </c>
      <c r="F370" s="40">
        <f t="shared" ca="1" si="28"/>
        <v>28</v>
      </c>
      <c r="G370" s="31">
        <f t="shared" ca="1" si="29"/>
        <v>0</v>
      </c>
    </row>
    <row r="371" spans="1:7" x14ac:dyDescent="0.25">
      <c r="A371" s="11">
        <f t="shared" si="25"/>
        <v>44</v>
      </c>
      <c r="B371" t="str">
        <f ca="1">TEXT(DATE(YEAR(Invoer!$A$5),1,1)+INT((ROWS(B$2:B371)-1)/2),"jjjjmmdd")</f>
        <v>19270704</v>
      </c>
      <c r="C371" s="26" t="str">
        <f>INDEX(Data,2,2+MOD(ROWS(C$2:C371)-1,2))</f>
        <v>15.00</v>
      </c>
      <c r="D371" s="39">
        <f t="shared" ca="1" si="26"/>
        <v>757</v>
      </c>
      <c r="E371" s="31">
        <f t="shared" ca="1" si="27"/>
        <v>0</v>
      </c>
      <c r="F371" s="40">
        <f t="shared" ca="1" si="28"/>
        <v>29</v>
      </c>
      <c r="G371" s="31">
        <f t="shared" ca="1" si="29"/>
        <v>0</v>
      </c>
    </row>
    <row r="372" spans="1:7" x14ac:dyDescent="0.25">
      <c r="A372" s="11">
        <f t="shared" si="25"/>
        <v>44</v>
      </c>
      <c r="B372" t="str">
        <f ca="1">TEXT(DATE(YEAR(Invoer!$A$5),1,1)+INT((ROWS(B$2:B372)-1)/2),"jjjjmmdd")</f>
        <v>19270705</v>
      </c>
      <c r="C372" s="26" t="str">
        <f>INDEX(Data,2,2+MOD(ROWS(C$2:C372)-1,2))</f>
        <v>08.00</v>
      </c>
      <c r="D372" s="39">
        <f t="shared" ca="1" si="26"/>
        <v>758</v>
      </c>
      <c r="E372" s="31">
        <f t="shared" ca="1" si="27"/>
        <v>0</v>
      </c>
      <c r="F372" s="40">
        <f t="shared" ca="1" si="28"/>
        <v>28.5</v>
      </c>
      <c r="G372" s="31">
        <f t="shared" ca="1" si="29"/>
        <v>0</v>
      </c>
    </row>
    <row r="373" spans="1:7" x14ac:dyDescent="0.25">
      <c r="A373" s="11">
        <f t="shared" si="25"/>
        <v>44</v>
      </c>
      <c r="B373" t="str">
        <f ca="1">TEXT(DATE(YEAR(Invoer!$A$5),1,1)+INT((ROWS(B$2:B373)-1)/2),"jjjjmmdd")</f>
        <v>19270705</v>
      </c>
      <c r="C373" s="26" t="str">
        <f>INDEX(Data,2,2+MOD(ROWS(C$2:C373)-1,2))</f>
        <v>15.00</v>
      </c>
      <c r="D373" s="39">
        <f t="shared" ca="1" si="26"/>
        <v>756</v>
      </c>
      <c r="E373" s="31">
        <f t="shared" ca="1" si="27"/>
        <v>0</v>
      </c>
      <c r="F373" s="40">
        <f t="shared" ca="1" si="28"/>
        <v>30</v>
      </c>
      <c r="G373" s="31">
        <f t="shared" ca="1" si="29"/>
        <v>0</v>
      </c>
    </row>
    <row r="374" spans="1:7" x14ac:dyDescent="0.25">
      <c r="A374" s="11">
        <f t="shared" si="25"/>
        <v>44</v>
      </c>
      <c r="B374" t="str">
        <f ca="1">TEXT(DATE(YEAR(Invoer!$A$5),1,1)+INT((ROWS(B$2:B374)-1)/2),"jjjjmmdd")</f>
        <v>19270706</v>
      </c>
      <c r="C374" s="26" t="str">
        <f>INDEX(Data,2,2+MOD(ROWS(C$2:C374)-1,2))</f>
        <v>08.00</v>
      </c>
      <c r="D374" s="39">
        <f t="shared" ca="1" si="26"/>
        <v>758</v>
      </c>
      <c r="E374" s="31">
        <f t="shared" ca="1" si="27"/>
        <v>0</v>
      </c>
      <c r="F374" s="40">
        <f t="shared" ca="1" si="28"/>
        <v>28</v>
      </c>
      <c r="G374" s="31">
        <f t="shared" ca="1" si="29"/>
        <v>0</v>
      </c>
    </row>
    <row r="375" spans="1:7" x14ac:dyDescent="0.25">
      <c r="A375" s="11">
        <f t="shared" si="25"/>
        <v>44</v>
      </c>
      <c r="B375" t="str">
        <f ca="1">TEXT(DATE(YEAR(Invoer!$A$5),1,1)+INT((ROWS(B$2:B375)-1)/2),"jjjjmmdd")</f>
        <v>19270706</v>
      </c>
      <c r="C375" s="26" t="str">
        <f>INDEX(Data,2,2+MOD(ROWS(C$2:C375)-1,2))</f>
        <v>15.00</v>
      </c>
      <c r="D375" s="39">
        <f t="shared" ca="1" si="26"/>
        <v>755.5</v>
      </c>
      <c r="E375" s="31">
        <f t="shared" ca="1" si="27"/>
        <v>0</v>
      </c>
      <c r="F375" s="40">
        <f t="shared" ca="1" si="28"/>
        <v>30</v>
      </c>
      <c r="G375" s="31">
        <f t="shared" ca="1" si="29"/>
        <v>0</v>
      </c>
    </row>
    <row r="376" spans="1:7" x14ac:dyDescent="0.25">
      <c r="A376" s="11">
        <f t="shared" si="25"/>
        <v>44</v>
      </c>
      <c r="B376" t="str">
        <f ca="1">TEXT(DATE(YEAR(Invoer!$A$5),1,1)+INT((ROWS(B$2:B376)-1)/2),"jjjjmmdd")</f>
        <v>19270707</v>
      </c>
      <c r="C376" s="26" t="str">
        <f>INDEX(Data,2,2+MOD(ROWS(C$2:C376)-1,2))</f>
        <v>08.00</v>
      </c>
      <c r="D376" s="39">
        <f t="shared" ca="1" si="26"/>
        <v>758</v>
      </c>
      <c r="E376" s="31">
        <f t="shared" ca="1" si="27"/>
        <v>0</v>
      </c>
      <c r="F376" s="40">
        <f t="shared" ca="1" si="28"/>
        <v>29</v>
      </c>
      <c r="G376" s="31">
        <f t="shared" ca="1" si="29"/>
        <v>0</v>
      </c>
    </row>
    <row r="377" spans="1:7" x14ac:dyDescent="0.25">
      <c r="A377" s="11">
        <f t="shared" si="25"/>
        <v>44</v>
      </c>
      <c r="B377" t="str">
        <f ca="1">TEXT(DATE(YEAR(Invoer!$A$5),1,1)+INT((ROWS(B$2:B377)-1)/2),"jjjjmmdd")</f>
        <v>19270707</v>
      </c>
      <c r="C377" s="26" t="str">
        <f>INDEX(Data,2,2+MOD(ROWS(C$2:C377)-1,2))</f>
        <v>15.00</v>
      </c>
      <c r="D377" s="39">
        <f t="shared" ca="1" si="26"/>
        <v>755.5</v>
      </c>
      <c r="E377" s="31">
        <f t="shared" ca="1" si="27"/>
        <v>0</v>
      </c>
      <c r="F377" s="40">
        <f t="shared" ca="1" si="28"/>
        <v>30</v>
      </c>
      <c r="G377" s="31">
        <f t="shared" ca="1" si="29"/>
        <v>0</v>
      </c>
    </row>
    <row r="378" spans="1:7" x14ac:dyDescent="0.25">
      <c r="A378" s="11">
        <f t="shared" si="25"/>
        <v>44</v>
      </c>
      <c r="B378" t="str">
        <f ca="1">TEXT(DATE(YEAR(Invoer!$A$5),1,1)+INT((ROWS(B$2:B378)-1)/2),"jjjjmmdd")</f>
        <v>19270708</v>
      </c>
      <c r="C378" s="26" t="str">
        <f>INDEX(Data,2,2+MOD(ROWS(C$2:C378)-1,2))</f>
        <v>08.00</v>
      </c>
      <c r="D378" s="39">
        <f t="shared" ca="1" si="26"/>
        <v>758.5</v>
      </c>
      <c r="E378" s="31">
        <f t="shared" ca="1" si="27"/>
        <v>0</v>
      </c>
      <c r="F378" s="40">
        <f t="shared" ca="1" si="28"/>
        <v>28</v>
      </c>
      <c r="G378" s="31">
        <f t="shared" ca="1" si="29"/>
        <v>0</v>
      </c>
    </row>
    <row r="379" spans="1:7" x14ac:dyDescent="0.25">
      <c r="A379" s="11">
        <f t="shared" si="25"/>
        <v>44</v>
      </c>
      <c r="B379" t="str">
        <f ca="1">TEXT(DATE(YEAR(Invoer!$A$5),1,1)+INT((ROWS(B$2:B379)-1)/2),"jjjjmmdd")</f>
        <v>19270708</v>
      </c>
      <c r="C379" s="26" t="str">
        <f>INDEX(Data,2,2+MOD(ROWS(C$2:C379)-1,2))</f>
        <v>15.00</v>
      </c>
      <c r="D379" s="39">
        <f t="shared" ca="1" si="26"/>
        <v>757</v>
      </c>
      <c r="E379" s="31">
        <f t="shared" ca="1" si="27"/>
        <v>0</v>
      </c>
      <c r="F379" s="40">
        <f t="shared" ca="1" si="28"/>
        <v>30</v>
      </c>
      <c r="G379" s="31">
        <f t="shared" ca="1" si="29"/>
        <v>0</v>
      </c>
    </row>
    <row r="380" spans="1:7" x14ac:dyDescent="0.25">
      <c r="A380" s="11">
        <f t="shared" si="25"/>
        <v>44</v>
      </c>
      <c r="B380" t="str">
        <f ca="1">TEXT(DATE(YEAR(Invoer!$A$5),1,1)+INT((ROWS(B$2:B380)-1)/2),"jjjjmmdd")</f>
        <v>19270709</v>
      </c>
      <c r="C380" s="26" t="str">
        <f>INDEX(Data,2,2+MOD(ROWS(C$2:C380)-1,2))</f>
        <v>08.00</v>
      </c>
      <c r="D380" s="39">
        <f t="shared" ca="1" si="26"/>
        <v>758.5</v>
      </c>
      <c r="E380" s="31">
        <f t="shared" ca="1" si="27"/>
        <v>0</v>
      </c>
      <c r="F380" s="40">
        <f t="shared" ca="1" si="28"/>
        <v>28.5</v>
      </c>
      <c r="G380" s="31">
        <f t="shared" ca="1" si="29"/>
        <v>0</v>
      </c>
    </row>
    <row r="381" spans="1:7" x14ac:dyDescent="0.25">
      <c r="A381" s="11">
        <f t="shared" si="25"/>
        <v>44</v>
      </c>
      <c r="B381" t="str">
        <f ca="1">TEXT(DATE(YEAR(Invoer!$A$5),1,1)+INT((ROWS(B$2:B381)-1)/2),"jjjjmmdd")</f>
        <v>19270709</v>
      </c>
      <c r="C381" s="26" t="str">
        <f>INDEX(Data,2,2+MOD(ROWS(C$2:C381)-1,2))</f>
        <v>15.00</v>
      </c>
      <c r="D381" s="39">
        <f t="shared" ca="1" si="26"/>
        <v>756.5</v>
      </c>
      <c r="E381" s="31">
        <f t="shared" ca="1" si="27"/>
        <v>0</v>
      </c>
      <c r="F381" s="40">
        <f t="shared" ca="1" si="28"/>
        <v>30</v>
      </c>
      <c r="G381" s="31">
        <f t="shared" ca="1" si="29"/>
        <v>0</v>
      </c>
    </row>
    <row r="382" spans="1:7" x14ac:dyDescent="0.25">
      <c r="A382" s="11">
        <f t="shared" si="25"/>
        <v>44</v>
      </c>
      <c r="B382" t="str">
        <f ca="1">TEXT(DATE(YEAR(Invoer!$A$5),1,1)+INT((ROWS(B$2:B382)-1)/2),"jjjjmmdd")</f>
        <v>19270710</v>
      </c>
      <c r="C382" s="26" t="str">
        <f>INDEX(Data,2,2+MOD(ROWS(C$2:C382)-1,2))</f>
        <v>08.00</v>
      </c>
      <c r="D382" s="39">
        <f t="shared" ca="1" si="26"/>
        <v>758.5</v>
      </c>
      <c r="E382" s="31">
        <f t="shared" ca="1" si="27"/>
        <v>0</v>
      </c>
      <c r="F382" s="40">
        <f t="shared" ca="1" si="28"/>
        <v>28.5</v>
      </c>
      <c r="G382" s="31">
        <f t="shared" ca="1" si="29"/>
        <v>0</v>
      </c>
    </row>
    <row r="383" spans="1:7" x14ac:dyDescent="0.25">
      <c r="A383" s="11">
        <f t="shared" si="25"/>
        <v>44</v>
      </c>
      <c r="B383" t="str">
        <f ca="1">TEXT(DATE(YEAR(Invoer!$A$5),1,1)+INT((ROWS(B$2:B383)-1)/2),"jjjjmmdd")</f>
        <v>19270710</v>
      </c>
      <c r="C383" s="26" t="str">
        <f>INDEX(Data,2,2+MOD(ROWS(C$2:C383)-1,2))</f>
        <v>15.00</v>
      </c>
      <c r="D383" s="39">
        <f t="shared" ca="1" si="26"/>
        <v>756.5</v>
      </c>
      <c r="E383" s="31">
        <f t="shared" ca="1" si="27"/>
        <v>0</v>
      </c>
      <c r="F383" s="40">
        <f t="shared" ca="1" si="28"/>
        <v>30</v>
      </c>
      <c r="G383" s="31">
        <f t="shared" ca="1" si="29"/>
        <v>0</v>
      </c>
    </row>
    <row r="384" spans="1:7" x14ac:dyDescent="0.25">
      <c r="A384" s="11">
        <f t="shared" si="25"/>
        <v>44</v>
      </c>
      <c r="B384" t="str">
        <f ca="1">TEXT(DATE(YEAR(Invoer!$A$5),1,1)+INT((ROWS(B$2:B384)-1)/2),"jjjjmmdd")</f>
        <v>19270711</v>
      </c>
      <c r="C384" s="26" t="str">
        <f>INDEX(Data,2,2+MOD(ROWS(C$2:C384)-1,2))</f>
        <v>08.00</v>
      </c>
      <c r="D384" s="39">
        <f t="shared" ca="1" si="26"/>
        <v>758</v>
      </c>
      <c r="E384" s="31">
        <f t="shared" ca="1" si="27"/>
        <v>0</v>
      </c>
      <c r="F384" s="40">
        <f t="shared" ca="1" si="28"/>
        <v>28.5</v>
      </c>
      <c r="G384" s="31">
        <f t="shared" ca="1" si="29"/>
        <v>0</v>
      </c>
    </row>
    <row r="385" spans="1:7" x14ac:dyDescent="0.25">
      <c r="A385" s="11">
        <f t="shared" si="25"/>
        <v>44</v>
      </c>
      <c r="B385" t="str">
        <f ca="1">TEXT(DATE(YEAR(Invoer!$A$5),1,1)+INT((ROWS(B$2:B385)-1)/2),"jjjjmmdd")</f>
        <v>19270711</v>
      </c>
      <c r="C385" s="26" t="str">
        <f>INDEX(Data,2,2+MOD(ROWS(C$2:C385)-1,2))</f>
        <v>15.00</v>
      </c>
      <c r="D385" s="39">
        <f t="shared" ca="1" si="26"/>
        <v>756.5</v>
      </c>
      <c r="E385" s="31">
        <f t="shared" ca="1" si="27"/>
        <v>0</v>
      </c>
      <c r="F385" s="40">
        <f t="shared" ca="1" si="28"/>
        <v>30</v>
      </c>
      <c r="G385" s="31">
        <f t="shared" ca="1" si="29"/>
        <v>0</v>
      </c>
    </row>
    <row r="386" spans="1:7" x14ac:dyDescent="0.25">
      <c r="A386" s="11">
        <f t="shared" ref="A386:A449" si="30">INDEX(Stations,2,1)</f>
        <v>44</v>
      </c>
      <c r="B386" t="str">
        <f ca="1">TEXT(DATE(YEAR(Invoer!$A$5),1,1)+INT((ROWS(B$2:B386)-1)/2),"jjjjmmdd")</f>
        <v>19270712</v>
      </c>
      <c r="C386" s="26" t="str">
        <f>INDEX(Data,2,2+MOD(ROWS(C$2:C386)-1,2))</f>
        <v>08.00</v>
      </c>
      <c r="D386" s="39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/10)</f>
        <v>758.5</v>
      </c>
      <c r="E386" s="31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  <c r="F386" s="40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VLOOKUP(DATEVALUE(LEFT($B386,4)&amp;"-"&amp;MID($B386,5,2)&amp;"-"&amp;RIGHT($B386,2)),Data,MATCH(LEFT(VLOOKUP(F$1,Parameters,2,FALSE()),4)&amp;"*",OFFSET(Data,0,0,1),0)+MATCH($C386,OFFSET(Data,1,0,1),0)-2,FALSE())/10)</f>
        <v>28.5</v>
      </c>
      <c r="G386" s="31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0</v>
      </c>
    </row>
    <row r="387" spans="1:7" x14ac:dyDescent="0.25">
      <c r="A387" s="11">
        <f t="shared" si="30"/>
        <v>44</v>
      </c>
      <c r="B387" t="str">
        <f ca="1">TEXT(DATE(YEAR(Invoer!$A$5),1,1)+INT((ROWS(B$2:B387)-1)/2),"jjjjmmdd")</f>
        <v>19270712</v>
      </c>
      <c r="C387" s="26" t="str">
        <f>INDEX(Data,2,2+MOD(ROWS(C$2:C387)-1,2))</f>
        <v>15.00</v>
      </c>
      <c r="D387" s="39">
        <f t="shared" ca="1" si="31"/>
        <v>756.5</v>
      </c>
      <c r="E387" s="31">
        <f t="shared" ca="1" si="32"/>
        <v>0</v>
      </c>
      <c r="F387" s="40">
        <f t="shared" ca="1" si="33"/>
        <v>30</v>
      </c>
      <c r="G387" s="31">
        <f t="shared" ca="1" si="34"/>
        <v>0</v>
      </c>
    </row>
    <row r="388" spans="1:7" x14ac:dyDescent="0.25">
      <c r="A388" s="11">
        <f t="shared" si="30"/>
        <v>44</v>
      </c>
      <c r="B388" t="str">
        <f ca="1">TEXT(DATE(YEAR(Invoer!$A$5),1,1)+INT((ROWS(B$2:B388)-1)/2),"jjjjmmdd")</f>
        <v>19270713</v>
      </c>
      <c r="C388" s="26" t="str">
        <f>INDEX(Data,2,2+MOD(ROWS(C$2:C388)-1,2))</f>
        <v>08.00</v>
      </c>
      <c r="D388" s="39">
        <f t="shared" ca="1" si="31"/>
        <v>758.5</v>
      </c>
      <c r="E388" s="31">
        <f t="shared" ca="1" si="32"/>
        <v>0</v>
      </c>
      <c r="F388" s="40">
        <f t="shared" ca="1" si="33"/>
        <v>28</v>
      </c>
      <c r="G388" s="31">
        <f t="shared" ca="1" si="34"/>
        <v>0</v>
      </c>
    </row>
    <row r="389" spans="1:7" x14ac:dyDescent="0.25">
      <c r="A389" s="11">
        <f t="shared" si="30"/>
        <v>44</v>
      </c>
      <c r="B389" t="str">
        <f ca="1">TEXT(DATE(YEAR(Invoer!$A$5),1,1)+INT((ROWS(B$2:B389)-1)/2),"jjjjmmdd")</f>
        <v>19270713</v>
      </c>
      <c r="C389" s="26" t="str">
        <f>INDEX(Data,2,2+MOD(ROWS(C$2:C389)-1,2))</f>
        <v>15.00</v>
      </c>
      <c r="D389" s="39">
        <f t="shared" ca="1" si="31"/>
        <v>756.5</v>
      </c>
      <c r="E389" s="31">
        <f t="shared" ca="1" si="32"/>
        <v>0</v>
      </c>
      <c r="F389" s="40">
        <f t="shared" ca="1" si="33"/>
        <v>30</v>
      </c>
      <c r="G389" s="31">
        <f t="shared" ca="1" si="34"/>
        <v>0</v>
      </c>
    </row>
    <row r="390" spans="1:7" x14ac:dyDescent="0.25">
      <c r="A390" s="11">
        <f t="shared" si="30"/>
        <v>44</v>
      </c>
      <c r="B390" t="str">
        <f ca="1">TEXT(DATE(YEAR(Invoer!$A$5),1,1)+INT((ROWS(B$2:B390)-1)/2),"jjjjmmdd")</f>
        <v>19270714</v>
      </c>
      <c r="C390" s="26" t="str">
        <f>INDEX(Data,2,2+MOD(ROWS(C$2:C390)-1,2))</f>
        <v>08.00</v>
      </c>
      <c r="D390" s="39">
        <f t="shared" ca="1" si="31"/>
        <v>757.5</v>
      </c>
      <c r="E390" s="31">
        <f t="shared" ca="1" si="32"/>
        <v>0</v>
      </c>
      <c r="F390" s="40">
        <f t="shared" ca="1" si="33"/>
        <v>28</v>
      </c>
      <c r="G390" s="31">
        <f t="shared" ca="1" si="34"/>
        <v>0</v>
      </c>
    </row>
    <row r="391" spans="1:7" x14ac:dyDescent="0.25">
      <c r="A391" s="11">
        <f t="shared" si="30"/>
        <v>44</v>
      </c>
      <c r="B391" t="str">
        <f ca="1">TEXT(DATE(YEAR(Invoer!$A$5),1,1)+INT((ROWS(B$2:B391)-1)/2),"jjjjmmdd")</f>
        <v>19270714</v>
      </c>
      <c r="C391" s="26" t="str">
        <f>INDEX(Data,2,2+MOD(ROWS(C$2:C391)-1,2))</f>
        <v>15.00</v>
      </c>
      <c r="D391" s="39">
        <f t="shared" ca="1" si="31"/>
        <v>756</v>
      </c>
      <c r="E391" s="31">
        <f t="shared" ca="1" si="32"/>
        <v>0</v>
      </c>
      <c r="F391" s="40">
        <f t="shared" ca="1" si="33"/>
        <v>30</v>
      </c>
      <c r="G391" s="31">
        <f t="shared" ca="1" si="34"/>
        <v>0</v>
      </c>
    </row>
    <row r="392" spans="1:7" x14ac:dyDescent="0.25">
      <c r="A392" s="11">
        <f t="shared" si="30"/>
        <v>44</v>
      </c>
      <c r="B392" t="str">
        <f ca="1">TEXT(DATE(YEAR(Invoer!$A$5),1,1)+INT((ROWS(B$2:B392)-1)/2),"jjjjmmdd")</f>
        <v>19270715</v>
      </c>
      <c r="C392" s="26" t="str">
        <f>INDEX(Data,2,2+MOD(ROWS(C$2:C392)-1,2))</f>
        <v>08.00</v>
      </c>
      <c r="D392" s="39">
        <f t="shared" ca="1" si="31"/>
        <v>757.5</v>
      </c>
      <c r="E392" s="31">
        <f t="shared" ca="1" si="32"/>
        <v>0</v>
      </c>
      <c r="F392" s="40">
        <f t="shared" ca="1" si="33"/>
        <v>28.5</v>
      </c>
      <c r="G392" s="31">
        <f t="shared" ca="1" si="34"/>
        <v>0</v>
      </c>
    </row>
    <row r="393" spans="1:7" x14ac:dyDescent="0.25">
      <c r="A393" s="11">
        <f t="shared" si="30"/>
        <v>44</v>
      </c>
      <c r="B393" t="str">
        <f ca="1">TEXT(DATE(YEAR(Invoer!$A$5),1,1)+INT((ROWS(B$2:B393)-1)/2),"jjjjmmdd")</f>
        <v>19270715</v>
      </c>
      <c r="C393" s="26" t="str">
        <f>INDEX(Data,2,2+MOD(ROWS(C$2:C393)-1,2))</f>
        <v>15.00</v>
      </c>
      <c r="D393" s="39">
        <f t="shared" ca="1" si="31"/>
        <v>755.5</v>
      </c>
      <c r="E393" s="31">
        <f t="shared" ca="1" si="32"/>
        <v>0</v>
      </c>
      <c r="F393" s="40">
        <f t="shared" ca="1" si="33"/>
        <v>30</v>
      </c>
      <c r="G393" s="31">
        <f t="shared" ca="1" si="34"/>
        <v>0</v>
      </c>
    </row>
    <row r="394" spans="1:7" x14ac:dyDescent="0.25">
      <c r="A394" s="11">
        <f t="shared" si="30"/>
        <v>44</v>
      </c>
      <c r="B394" t="str">
        <f ca="1">TEXT(DATE(YEAR(Invoer!$A$5),1,1)+INT((ROWS(B$2:B394)-1)/2),"jjjjmmdd")</f>
        <v>19270716</v>
      </c>
      <c r="C394" s="26" t="str">
        <f>INDEX(Data,2,2+MOD(ROWS(C$2:C394)-1,2))</f>
        <v>08.00</v>
      </c>
      <c r="D394" s="39">
        <f t="shared" ca="1" si="31"/>
        <v>758</v>
      </c>
      <c r="E394" s="31">
        <f t="shared" ca="1" si="32"/>
        <v>0</v>
      </c>
      <c r="F394" s="40">
        <f t="shared" ca="1" si="33"/>
        <v>28.5</v>
      </c>
      <c r="G394" s="31">
        <f t="shared" ca="1" si="34"/>
        <v>0</v>
      </c>
    </row>
    <row r="395" spans="1:7" x14ac:dyDescent="0.25">
      <c r="A395" s="11">
        <f t="shared" si="30"/>
        <v>44</v>
      </c>
      <c r="B395" t="str">
        <f ca="1">TEXT(DATE(YEAR(Invoer!$A$5),1,1)+INT((ROWS(B$2:B395)-1)/2),"jjjjmmdd")</f>
        <v>19270716</v>
      </c>
      <c r="C395" s="26" t="str">
        <f>INDEX(Data,2,2+MOD(ROWS(C$2:C395)-1,2))</f>
        <v>15.00</v>
      </c>
      <c r="D395" s="39">
        <f t="shared" ca="1" si="31"/>
        <v>756.5</v>
      </c>
      <c r="E395" s="31">
        <f t="shared" ca="1" si="32"/>
        <v>0</v>
      </c>
      <c r="F395" s="40">
        <f t="shared" ca="1" si="33"/>
        <v>30</v>
      </c>
      <c r="G395" s="31">
        <f t="shared" ca="1" si="34"/>
        <v>0</v>
      </c>
    </row>
    <row r="396" spans="1:7" x14ac:dyDescent="0.25">
      <c r="A396" s="11">
        <f t="shared" si="30"/>
        <v>44</v>
      </c>
      <c r="B396" t="str">
        <f ca="1">TEXT(DATE(YEAR(Invoer!$A$5),1,1)+INT((ROWS(B$2:B396)-1)/2),"jjjjmmdd")</f>
        <v>19270717</v>
      </c>
      <c r="C396" s="26" t="str">
        <f>INDEX(Data,2,2+MOD(ROWS(C$2:C396)-1,2))</f>
        <v>08.00</v>
      </c>
      <c r="D396" s="39">
        <f t="shared" ca="1" si="31"/>
        <v>758</v>
      </c>
      <c r="E396" s="31">
        <f t="shared" ca="1" si="32"/>
        <v>0</v>
      </c>
      <c r="F396" s="40">
        <f t="shared" ca="1" si="33"/>
        <v>28.5</v>
      </c>
      <c r="G396" s="31">
        <f t="shared" ca="1" si="34"/>
        <v>0</v>
      </c>
    </row>
    <row r="397" spans="1:7" x14ac:dyDescent="0.25">
      <c r="A397" s="11">
        <f t="shared" si="30"/>
        <v>44</v>
      </c>
      <c r="B397" t="str">
        <f ca="1">TEXT(DATE(YEAR(Invoer!$A$5),1,1)+INT((ROWS(B$2:B397)-1)/2),"jjjjmmdd")</f>
        <v>19270717</v>
      </c>
      <c r="C397" s="26" t="str">
        <f>INDEX(Data,2,2+MOD(ROWS(C$2:C397)-1,2))</f>
        <v>15.00</v>
      </c>
      <c r="D397" s="39">
        <f t="shared" ca="1" si="31"/>
        <v>756.5</v>
      </c>
      <c r="E397" s="31">
        <f t="shared" ca="1" si="32"/>
        <v>0</v>
      </c>
      <c r="F397" s="40">
        <f t="shared" ca="1" si="33"/>
        <v>30</v>
      </c>
      <c r="G397" s="31">
        <f t="shared" ca="1" si="34"/>
        <v>0</v>
      </c>
    </row>
    <row r="398" spans="1:7" x14ac:dyDescent="0.25">
      <c r="A398" s="11">
        <f t="shared" si="30"/>
        <v>44</v>
      </c>
      <c r="B398" t="str">
        <f ca="1">TEXT(DATE(YEAR(Invoer!$A$5),1,1)+INT((ROWS(B$2:B398)-1)/2),"jjjjmmdd")</f>
        <v>19270718</v>
      </c>
      <c r="C398" s="26" t="str">
        <f>INDEX(Data,2,2+MOD(ROWS(C$2:C398)-1,2))</f>
        <v>08.00</v>
      </c>
      <c r="D398" s="39">
        <f t="shared" ca="1" si="31"/>
        <v>757</v>
      </c>
      <c r="E398" s="31">
        <f t="shared" ca="1" si="32"/>
        <v>0</v>
      </c>
      <c r="F398" s="40">
        <f t="shared" ca="1" si="33"/>
        <v>29</v>
      </c>
      <c r="G398" s="31">
        <f t="shared" ca="1" si="34"/>
        <v>0</v>
      </c>
    </row>
    <row r="399" spans="1:7" x14ac:dyDescent="0.25">
      <c r="A399" s="11">
        <f t="shared" si="30"/>
        <v>44</v>
      </c>
      <c r="B399" t="str">
        <f ca="1">TEXT(DATE(YEAR(Invoer!$A$5),1,1)+INT((ROWS(B$2:B399)-1)/2),"jjjjmmdd")</f>
        <v>19270718</v>
      </c>
      <c r="C399" s="26" t="str">
        <f>INDEX(Data,2,2+MOD(ROWS(C$2:C399)-1,2))</f>
        <v>15.00</v>
      </c>
      <c r="D399" s="39">
        <f t="shared" ca="1" si="31"/>
        <v>755.5</v>
      </c>
      <c r="E399" s="31">
        <f t="shared" ca="1" si="32"/>
        <v>0</v>
      </c>
      <c r="F399" s="40">
        <f t="shared" ca="1" si="33"/>
        <v>30</v>
      </c>
      <c r="G399" s="31">
        <f t="shared" ca="1" si="34"/>
        <v>0</v>
      </c>
    </row>
    <row r="400" spans="1:7" x14ac:dyDescent="0.25">
      <c r="A400" s="11">
        <f t="shared" si="30"/>
        <v>44</v>
      </c>
      <c r="B400" t="str">
        <f ca="1">TEXT(DATE(YEAR(Invoer!$A$5),1,1)+INT((ROWS(B$2:B400)-1)/2),"jjjjmmdd")</f>
        <v>19270719</v>
      </c>
      <c r="C400" s="26" t="str">
        <f>INDEX(Data,2,2+MOD(ROWS(C$2:C400)-1,2))</f>
        <v>08.00</v>
      </c>
      <c r="D400" s="39">
        <f t="shared" ca="1" si="31"/>
        <v>756.5</v>
      </c>
      <c r="E400" s="31">
        <f t="shared" ca="1" si="32"/>
        <v>0</v>
      </c>
      <c r="F400" s="40">
        <f t="shared" ca="1" si="33"/>
        <v>29</v>
      </c>
      <c r="G400" s="31">
        <f t="shared" ca="1" si="34"/>
        <v>0</v>
      </c>
    </row>
    <row r="401" spans="1:7" x14ac:dyDescent="0.25">
      <c r="A401" s="11">
        <f t="shared" si="30"/>
        <v>44</v>
      </c>
      <c r="B401" t="str">
        <f ca="1">TEXT(DATE(YEAR(Invoer!$A$5),1,1)+INT((ROWS(B$2:B401)-1)/2),"jjjjmmdd")</f>
        <v>19270719</v>
      </c>
      <c r="C401" s="26" t="str">
        <f>INDEX(Data,2,2+MOD(ROWS(C$2:C401)-1,2))</f>
        <v>15.00</v>
      </c>
      <c r="D401" s="39">
        <f t="shared" ca="1" si="31"/>
        <v>755</v>
      </c>
      <c r="E401" s="31">
        <f t="shared" ca="1" si="32"/>
        <v>0</v>
      </c>
      <c r="F401" s="40">
        <f t="shared" ca="1" si="33"/>
        <v>30</v>
      </c>
      <c r="G401" s="31">
        <f t="shared" ca="1" si="34"/>
        <v>0</v>
      </c>
    </row>
    <row r="402" spans="1:7" x14ac:dyDescent="0.25">
      <c r="A402" s="11">
        <f t="shared" si="30"/>
        <v>44</v>
      </c>
      <c r="B402" t="str">
        <f ca="1">TEXT(DATE(YEAR(Invoer!$A$5),1,1)+INT((ROWS(B$2:B402)-1)/2),"jjjjmmdd")</f>
        <v>19270720</v>
      </c>
      <c r="C402" s="26" t="str">
        <f>INDEX(Data,2,2+MOD(ROWS(C$2:C402)-1,2))</f>
        <v>08.00</v>
      </c>
      <c r="D402" s="39">
        <f t="shared" ca="1" si="31"/>
        <v>756.5</v>
      </c>
      <c r="E402" s="31">
        <f t="shared" ca="1" si="32"/>
        <v>0</v>
      </c>
      <c r="F402" s="40">
        <f t="shared" ca="1" si="33"/>
        <v>29</v>
      </c>
      <c r="G402" s="31">
        <f t="shared" ca="1" si="34"/>
        <v>0</v>
      </c>
    </row>
    <row r="403" spans="1:7" x14ac:dyDescent="0.25">
      <c r="A403" s="11">
        <f t="shared" si="30"/>
        <v>44</v>
      </c>
      <c r="B403" t="str">
        <f ca="1">TEXT(DATE(YEAR(Invoer!$A$5),1,1)+INT((ROWS(B$2:B403)-1)/2),"jjjjmmdd")</f>
        <v>19270720</v>
      </c>
      <c r="C403" s="26" t="str">
        <f>INDEX(Data,2,2+MOD(ROWS(C$2:C403)-1,2))</f>
        <v>15.00</v>
      </c>
      <c r="D403" s="39">
        <f t="shared" ca="1" si="31"/>
        <v>755</v>
      </c>
      <c r="E403" s="31">
        <f t="shared" ca="1" si="32"/>
        <v>0</v>
      </c>
      <c r="F403" s="40">
        <f t="shared" ca="1" si="33"/>
        <v>30</v>
      </c>
      <c r="G403" s="31">
        <f t="shared" ca="1" si="34"/>
        <v>0</v>
      </c>
    </row>
    <row r="404" spans="1:7" x14ac:dyDescent="0.25">
      <c r="A404" s="11">
        <f t="shared" si="30"/>
        <v>44</v>
      </c>
      <c r="B404" t="str">
        <f ca="1">TEXT(DATE(YEAR(Invoer!$A$5),1,1)+INT((ROWS(B$2:B404)-1)/2),"jjjjmmdd")</f>
        <v>19270721</v>
      </c>
      <c r="C404" s="26" t="str">
        <f>INDEX(Data,2,2+MOD(ROWS(C$2:C404)-1,2))</f>
        <v>08.00</v>
      </c>
      <c r="D404" s="39">
        <f t="shared" ca="1" si="31"/>
        <v>756.5</v>
      </c>
      <c r="E404" s="31">
        <f t="shared" ca="1" si="32"/>
        <v>0</v>
      </c>
      <c r="F404" s="40">
        <f t="shared" ca="1" si="33"/>
        <v>30</v>
      </c>
      <c r="G404" s="31">
        <f t="shared" ca="1" si="34"/>
        <v>0</v>
      </c>
    </row>
    <row r="405" spans="1:7" x14ac:dyDescent="0.25">
      <c r="A405" s="11">
        <f t="shared" si="30"/>
        <v>44</v>
      </c>
      <c r="B405" t="str">
        <f ca="1">TEXT(DATE(YEAR(Invoer!$A$5),1,1)+INT((ROWS(B$2:B405)-1)/2),"jjjjmmdd")</f>
        <v>19270721</v>
      </c>
      <c r="C405" s="26" t="str">
        <f>INDEX(Data,2,2+MOD(ROWS(C$2:C405)-1,2))</f>
        <v>15.00</v>
      </c>
      <c r="D405" s="39">
        <f t="shared" ca="1" si="31"/>
        <v>754.5</v>
      </c>
      <c r="E405" s="31">
        <f t="shared" ca="1" si="32"/>
        <v>0</v>
      </c>
      <c r="F405" s="40">
        <f t="shared" ca="1" si="33"/>
        <v>31</v>
      </c>
      <c r="G405" s="31">
        <f t="shared" ca="1" si="34"/>
        <v>0</v>
      </c>
    </row>
    <row r="406" spans="1:7" x14ac:dyDescent="0.25">
      <c r="A406" s="11">
        <f t="shared" si="30"/>
        <v>44</v>
      </c>
      <c r="B406" t="str">
        <f ca="1">TEXT(DATE(YEAR(Invoer!$A$5),1,1)+INT((ROWS(B$2:B406)-1)/2),"jjjjmmdd")</f>
        <v>19270722</v>
      </c>
      <c r="C406" s="26" t="str">
        <f>INDEX(Data,2,2+MOD(ROWS(C$2:C406)-1,2))</f>
        <v>08.00</v>
      </c>
      <c r="D406" s="39">
        <f t="shared" ca="1" si="31"/>
        <v>756.5</v>
      </c>
      <c r="E406" s="31">
        <f t="shared" ca="1" si="32"/>
        <v>0</v>
      </c>
      <c r="F406" s="40">
        <f t="shared" ca="1" si="33"/>
        <v>30</v>
      </c>
      <c r="G406" s="31">
        <f t="shared" ca="1" si="34"/>
        <v>0</v>
      </c>
    </row>
    <row r="407" spans="1:7" x14ac:dyDescent="0.25">
      <c r="A407" s="11">
        <f t="shared" si="30"/>
        <v>44</v>
      </c>
      <c r="B407" t="str">
        <f ca="1">TEXT(DATE(YEAR(Invoer!$A$5),1,1)+INT((ROWS(B$2:B407)-1)/2),"jjjjmmdd")</f>
        <v>19270722</v>
      </c>
      <c r="C407" s="26" t="str">
        <f>INDEX(Data,2,2+MOD(ROWS(C$2:C407)-1,2))</f>
        <v>15.00</v>
      </c>
      <c r="D407" s="39">
        <f t="shared" ca="1" si="31"/>
        <v>754.5</v>
      </c>
      <c r="E407" s="31">
        <f t="shared" ca="1" si="32"/>
        <v>0</v>
      </c>
      <c r="F407" s="40">
        <f t="shared" ca="1" si="33"/>
        <v>31</v>
      </c>
      <c r="G407" s="31">
        <f t="shared" ca="1" si="34"/>
        <v>0</v>
      </c>
    </row>
    <row r="408" spans="1:7" x14ac:dyDescent="0.25">
      <c r="A408" s="11">
        <f t="shared" si="30"/>
        <v>44</v>
      </c>
      <c r="B408" t="str">
        <f ca="1">TEXT(DATE(YEAR(Invoer!$A$5),1,1)+INT((ROWS(B$2:B408)-1)/2),"jjjjmmdd")</f>
        <v>19270723</v>
      </c>
      <c r="C408" s="26" t="str">
        <f>INDEX(Data,2,2+MOD(ROWS(C$2:C408)-1,2))</f>
        <v>08.00</v>
      </c>
      <c r="D408" s="39">
        <f t="shared" ca="1" si="31"/>
        <v>756.5</v>
      </c>
      <c r="E408" s="31">
        <f t="shared" ca="1" si="32"/>
        <v>0</v>
      </c>
      <c r="F408" s="40">
        <f t="shared" ca="1" si="33"/>
        <v>30</v>
      </c>
      <c r="G408" s="31">
        <f t="shared" ca="1" si="34"/>
        <v>0</v>
      </c>
    </row>
    <row r="409" spans="1:7" x14ac:dyDescent="0.25">
      <c r="A409" s="11">
        <f t="shared" si="30"/>
        <v>44</v>
      </c>
      <c r="B409" t="str">
        <f ca="1">TEXT(DATE(YEAR(Invoer!$A$5),1,1)+INT((ROWS(B$2:B409)-1)/2),"jjjjmmdd")</f>
        <v>19270723</v>
      </c>
      <c r="C409" s="26" t="str">
        <f>INDEX(Data,2,2+MOD(ROWS(C$2:C409)-1,2))</f>
        <v>15.00</v>
      </c>
      <c r="D409" s="39">
        <f t="shared" ca="1" si="31"/>
        <v>755</v>
      </c>
      <c r="E409" s="31">
        <f t="shared" ca="1" si="32"/>
        <v>0</v>
      </c>
      <c r="F409" s="40">
        <f t="shared" ca="1" si="33"/>
        <v>30.5</v>
      </c>
      <c r="G409" s="31">
        <f t="shared" ca="1" si="34"/>
        <v>0</v>
      </c>
    </row>
    <row r="410" spans="1:7" x14ac:dyDescent="0.25">
      <c r="A410" s="11">
        <f t="shared" si="30"/>
        <v>44</v>
      </c>
      <c r="B410" t="str">
        <f ca="1">TEXT(DATE(YEAR(Invoer!$A$5),1,1)+INT((ROWS(B$2:B410)-1)/2),"jjjjmmdd")</f>
        <v>19270724</v>
      </c>
      <c r="C410" s="26" t="str">
        <f>INDEX(Data,2,2+MOD(ROWS(C$2:C410)-1,2))</f>
        <v>08.00</v>
      </c>
      <c r="D410" s="39">
        <f t="shared" ca="1" si="31"/>
        <v>756.5</v>
      </c>
      <c r="E410" s="31">
        <f t="shared" ca="1" si="32"/>
        <v>0</v>
      </c>
      <c r="F410" s="40">
        <f t="shared" ca="1" si="33"/>
        <v>30</v>
      </c>
      <c r="G410" s="31">
        <f t="shared" ca="1" si="34"/>
        <v>0</v>
      </c>
    </row>
    <row r="411" spans="1:7" x14ac:dyDescent="0.25">
      <c r="A411" s="11">
        <f t="shared" si="30"/>
        <v>44</v>
      </c>
      <c r="B411" t="str">
        <f ca="1">TEXT(DATE(YEAR(Invoer!$A$5),1,1)+INT((ROWS(B$2:B411)-1)/2),"jjjjmmdd")</f>
        <v>19270724</v>
      </c>
      <c r="C411" s="26" t="str">
        <f>INDEX(Data,2,2+MOD(ROWS(C$2:C411)-1,2))</f>
        <v>15.00</v>
      </c>
      <c r="D411" s="39">
        <f t="shared" ca="1" si="31"/>
        <v>755</v>
      </c>
      <c r="E411" s="31">
        <f t="shared" ca="1" si="32"/>
        <v>0</v>
      </c>
      <c r="F411" s="40">
        <f t="shared" ca="1" si="33"/>
        <v>30.5</v>
      </c>
      <c r="G411" s="31">
        <f t="shared" ca="1" si="34"/>
        <v>0</v>
      </c>
    </row>
    <row r="412" spans="1:7" x14ac:dyDescent="0.25">
      <c r="A412" s="11">
        <f t="shared" si="30"/>
        <v>44</v>
      </c>
      <c r="B412" t="str">
        <f ca="1">TEXT(DATE(YEAR(Invoer!$A$5),1,1)+INT((ROWS(B$2:B412)-1)/2),"jjjjmmdd")</f>
        <v>19270725</v>
      </c>
      <c r="C412" s="26" t="str">
        <f>INDEX(Data,2,2+MOD(ROWS(C$2:C412)-1,2))</f>
        <v>08.00</v>
      </c>
      <c r="D412" s="39">
        <f t="shared" ca="1" si="31"/>
        <v>758</v>
      </c>
      <c r="E412" s="31">
        <f t="shared" ca="1" si="32"/>
        <v>0</v>
      </c>
      <c r="F412" s="40">
        <f t="shared" ca="1" si="33"/>
        <v>29.5</v>
      </c>
      <c r="G412" s="31">
        <f t="shared" ca="1" si="34"/>
        <v>0</v>
      </c>
    </row>
    <row r="413" spans="1:7" x14ac:dyDescent="0.25">
      <c r="A413" s="11">
        <f t="shared" si="30"/>
        <v>44</v>
      </c>
      <c r="B413" t="str">
        <f ca="1">TEXT(DATE(YEAR(Invoer!$A$5),1,1)+INT((ROWS(B$2:B413)-1)/2),"jjjjmmdd")</f>
        <v>19270725</v>
      </c>
      <c r="C413" s="26" t="str">
        <f>INDEX(Data,2,2+MOD(ROWS(C$2:C413)-1,2))</f>
        <v>15.00</v>
      </c>
      <c r="D413" s="39">
        <f t="shared" ca="1" si="31"/>
        <v>756.5</v>
      </c>
      <c r="E413" s="31">
        <f t="shared" ca="1" si="32"/>
        <v>0</v>
      </c>
      <c r="F413" s="40">
        <f t="shared" ca="1" si="33"/>
        <v>31</v>
      </c>
      <c r="G413" s="31">
        <f t="shared" ca="1" si="34"/>
        <v>0</v>
      </c>
    </row>
    <row r="414" spans="1:7" x14ac:dyDescent="0.25">
      <c r="A414" s="11">
        <f t="shared" si="30"/>
        <v>44</v>
      </c>
      <c r="B414" t="str">
        <f ca="1">TEXT(DATE(YEAR(Invoer!$A$5),1,1)+INT((ROWS(B$2:B414)-1)/2),"jjjjmmdd")</f>
        <v>19270726</v>
      </c>
      <c r="C414" s="26" t="str">
        <f>INDEX(Data,2,2+MOD(ROWS(C$2:C414)-1,2))</f>
        <v>08.00</v>
      </c>
      <c r="D414" s="39">
        <f t="shared" ca="1" si="31"/>
        <v>758.5</v>
      </c>
      <c r="E414" s="31">
        <f t="shared" ca="1" si="32"/>
        <v>0</v>
      </c>
      <c r="F414" s="40">
        <f t="shared" ca="1" si="33"/>
        <v>28.5</v>
      </c>
      <c r="G414" s="31">
        <f t="shared" ca="1" si="34"/>
        <v>0</v>
      </c>
    </row>
    <row r="415" spans="1:7" x14ac:dyDescent="0.25">
      <c r="A415" s="11">
        <f t="shared" si="30"/>
        <v>44</v>
      </c>
      <c r="B415" t="str">
        <f ca="1">TEXT(DATE(YEAR(Invoer!$A$5),1,1)+INT((ROWS(B$2:B415)-1)/2),"jjjjmmdd")</f>
        <v>19270726</v>
      </c>
      <c r="C415" s="26" t="str">
        <f>INDEX(Data,2,2+MOD(ROWS(C$2:C415)-1,2))</f>
        <v>15.00</v>
      </c>
      <c r="D415" s="39">
        <f t="shared" ca="1" si="31"/>
        <v>757</v>
      </c>
      <c r="E415" s="31">
        <f t="shared" ca="1" si="32"/>
        <v>0</v>
      </c>
      <c r="F415" s="40">
        <f t="shared" ca="1" si="33"/>
        <v>30.5</v>
      </c>
      <c r="G415" s="31">
        <f t="shared" ca="1" si="34"/>
        <v>0</v>
      </c>
    </row>
    <row r="416" spans="1:7" x14ac:dyDescent="0.25">
      <c r="A416" s="11">
        <f t="shared" si="30"/>
        <v>44</v>
      </c>
      <c r="B416" t="str">
        <f ca="1">TEXT(DATE(YEAR(Invoer!$A$5),1,1)+INT((ROWS(B$2:B416)-1)/2),"jjjjmmdd")</f>
        <v>19270727</v>
      </c>
      <c r="C416" s="26" t="str">
        <f>INDEX(Data,2,2+MOD(ROWS(C$2:C416)-1,2))</f>
        <v>08.00</v>
      </c>
      <c r="D416" s="39">
        <f t="shared" ca="1" si="31"/>
        <v>758.5</v>
      </c>
      <c r="E416" s="31">
        <f t="shared" ca="1" si="32"/>
        <v>0</v>
      </c>
      <c r="F416" s="40">
        <f t="shared" ca="1" si="33"/>
        <v>29</v>
      </c>
      <c r="G416" s="31">
        <f t="shared" ca="1" si="34"/>
        <v>0</v>
      </c>
    </row>
    <row r="417" spans="1:7" x14ac:dyDescent="0.25">
      <c r="A417" s="11">
        <f t="shared" si="30"/>
        <v>44</v>
      </c>
      <c r="B417" t="str">
        <f ca="1">TEXT(DATE(YEAR(Invoer!$A$5),1,1)+INT((ROWS(B$2:B417)-1)/2),"jjjjmmdd")</f>
        <v>19270727</v>
      </c>
      <c r="C417" s="26" t="str">
        <f>INDEX(Data,2,2+MOD(ROWS(C$2:C417)-1,2))</f>
        <v>15.00</v>
      </c>
      <c r="D417" s="39">
        <f t="shared" ca="1" si="31"/>
        <v>755</v>
      </c>
      <c r="E417" s="31">
        <f t="shared" ca="1" si="32"/>
        <v>0</v>
      </c>
      <c r="F417" s="40">
        <f t="shared" ca="1" si="33"/>
        <v>30.5</v>
      </c>
      <c r="G417" s="31">
        <f t="shared" ca="1" si="34"/>
        <v>0</v>
      </c>
    </row>
    <row r="418" spans="1:7" x14ac:dyDescent="0.25">
      <c r="A418" s="11">
        <f t="shared" si="30"/>
        <v>44</v>
      </c>
      <c r="B418" t="str">
        <f ca="1">TEXT(DATE(YEAR(Invoer!$A$5),1,1)+INT((ROWS(B$2:B418)-1)/2),"jjjjmmdd")</f>
        <v>19270728</v>
      </c>
      <c r="C418" s="26" t="str">
        <f>INDEX(Data,2,2+MOD(ROWS(C$2:C418)-1,2))</f>
        <v>08.00</v>
      </c>
      <c r="D418" s="39">
        <f t="shared" ca="1" si="31"/>
        <v>758.5</v>
      </c>
      <c r="E418" s="31">
        <f t="shared" ca="1" si="32"/>
        <v>0</v>
      </c>
      <c r="F418" s="40">
        <f t="shared" ca="1" si="33"/>
        <v>29</v>
      </c>
      <c r="G418" s="31">
        <f t="shared" ca="1" si="34"/>
        <v>0</v>
      </c>
    </row>
    <row r="419" spans="1:7" x14ac:dyDescent="0.25">
      <c r="A419" s="11">
        <f t="shared" si="30"/>
        <v>44</v>
      </c>
      <c r="B419" t="str">
        <f ca="1">TEXT(DATE(YEAR(Invoer!$A$5),1,1)+INT((ROWS(B$2:B419)-1)/2),"jjjjmmdd")</f>
        <v>19270728</v>
      </c>
      <c r="C419" s="26" t="str">
        <f>INDEX(Data,2,2+MOD(ROWS(C$2:C419)-1,2))</f>
        <v>15.00</v>
      </c>
      <c r="D419" s="39">
        <f t="shared" ca="1" si="31"/>
        <v>756.5</v>
      </c>
      <c r="E419" s="31">
        <f t="shared" ca="1" si="32"/>
        <v>0</v>
      </c>
      <c r="F419" s="40">
        <f t="shared" ca="1" si="33"/>
        <v>30.5</v>
      </c>
      <c r="G419" s="31">
        <f t="shared" ca="1" si="34"/>
        <v>0</v>
      </c>
    </row>
    <row r="420" spans="1:7" x14ac:dyDescent="0.25">
      <c r="A420" s="11">
        <f t="shared" si="30"/>
        <v>44</v>
      </c>
      <c r="B420" t="str">
        <f ca="1">TEXT(DATE(YEAR(Invoer!$A$5),1,1)+INT((ROWS(B$2:B420)-1)/2),"jjjjmmdd")</f>
        <v>19270729</v>
      </c>
      <c r="C420" s="26" t="str">
        <f>INDEX(Data,2,2+MOD(ROWS(C$2:C420)-1,2))</f>
        <v>08.00</v>
      </c>
      <c r="D420" s="39">
        <f t="shared" ca="1" si="31"/>
        <v>757.5</v>
      </c>
      <c r="E420" s="31">
        <f t="shared" ca="1" si="32"/>
        <v>0</v>
      </c>
      <c r="F420" s="40">
        <f t="shared" ca="1" si="33"/>
        <v>29</v>
      </c>
      <c r="G420" s="31">
        <f t="shared" ca="1" si="34"/>
        <v>0</v>
      </c>
    </row>
    <row r="421" spans="1:7" x14ac:dyDescent="0.25">
      <c r="A421" s="11">
        <f t="shared" si="30"/>
        <v>44</v>
      </c>
      <c r="B421" t="str">
        <f ca="1">TEXT(DATE(YEAR(Invoer!$A$5),1,1)+INT((ROWS(B$2:B421)-1)/2),"jjjjmmdd")</f>
        <v>19270729</v>
      </c>
      <c r="C421" s="26" t="str">
        <f>INDEX(Data,2,2+MOD(ROWS(C$2:C421)-1,2))</f>
        <v>15.00</v>
      </c>
      <c r="D421" s="39">
        <f t="shared" ca="1" si="31"/>
        <v>755</v>
      </c>
      <c r="E421" s="31">
        <f t="shared" ca="1" si="32"/>
        <v>0</v>
      </c>
      <c r="F421" s="40">
        <f t="shared" ca="1" si="33"/>
        <v>31</v>
      </c>
      <c r="G421" s="31">
        <f t="shared" ca="1" si="34"/>
        <v>0</v>
      </c>
    </row>
    <row r="422" spans="1:7" x14ac:dyDescent="0.25">
      <c r="A422" s="11">
        <f t="shared" si="30"/>
        <v>44</v>
      </c>
      <c r="B422" t="str">
        <f ca="1">TEXT(DATE(YEAR(Invoer!$A$5),1,1)+INT((ROWS(B$2:B422)-1)/2),"jjjjmmdd")</f>
        <v>19270730</v>
      </c>
      <c r="C422" s="26" t="str">
        <f>INDEX(Data,2,2+MOD(ROWS(C$2:C422)-1,2))</f>
        <v>08.00</v>
      </c>
      <c r="D422" s="39">
        <f t="shared" ca="1" si="31"/>
        <v>757.5</v>
      </c>
      <c r="E422" s="31">
        <f t="shared" ca="1" si="32"/>
        <v>0</v>
      </c>
      <c r="F422" s="40">
        <f t="shared" ca="1" si="33"/>
        <v>29</v>
      </c>
      <c r="G422" s="31">
        <f t="shared" ca="1" si="34"/>
        <v>0</v>
      </c>
    </row>
    <row r="423" spans="1:7" x14ac:dyDescent="0.25">
      <c r="A423" s="11">
        <f t="shared" si="30"/>
        <v>44</v>
      </c>
      <c r="B423" t="str">
        <f ca="1">TEXT(DATE(YEAR(Invoer!$A$5),1,1)+INT((ROWS(B$2:B423)-1)/2),"jjjjmmdd")</f>
        <v>19270730</v>
      </c>
      <c r="C423" s="26" t="str">
        <f>INDEX(Data,2,2+MOD(ROWS(C$2:C423)-1,2))</f>
        <v>15.00</v>
      </c>
      <c r="D423" s="39">
        <f t="shared" ca="1" si="31"/>
        <v>755.5</v>
      </c>
      <c r="E423" s="31">
        <f t="shared" ca="1" si="32"/>
        <v>0</v>
      </c>
      <c r="F423" s="40">
        <f t="shared" ca="1" si="33"/>
        <v>31</v>
      </c>
      <c r="G423" s="31">
        <f t="shared" ca="1" si="34"/>
        <v>0</v>
      </c>
    </row>
    <row r="424" spans="1:7" x14ac:dyDescent="0.25">
      <c r="A424" s="11">
        <f t="shared" si="30"/>
        <v>44</v>
      </c>
      <c r="B424" t="str">
        <f ca="1">TEXT(DATE(YEAR(Invoer!$A$5),1,1)+INT((ROWS(B$2:B424)-1)/2),"jjjjmmdd")</f>
        <v>19270731</v>
      </c>
      <c r="C424" s="26" t="str">
        <f>INDEX(Data,2,2+MOD(ROWS(C$2:C424)-1,2))</f>
        <v>08.00</v>
      </c>
      <c r="D424" s="39">
        <f t="shared" ca="1" si="31"/>
        <v>757.5</v>
      </c>
      <c r="E424" s="31">
        <f t="shared" ca="1" si="32"/>
        <v>0</v>
      </c>
      <c r="F424" s="40">
        <f t="shared" ca="1" si="33"/>
        <v>29</v>
      </c>
      <c r="G424" s="31">
        <f t="shared" ca="1" si="34"/>
        <v>0</v>
      </c>
    </row>
    <row r="425" spans="1:7" x14ac:dyDescent="0.25">
      <c r="A425" s="11">
        <f t="shared" si="30"/>
        <v>44</v>
      </c>
      <c r="B425" t="str">
        <f ca="1">TEXT(DATE(YEAR(Invoer!$A$5),1,1)+INT((ROWS(B$2:B425)-1)/2),"jjjjmmdd")</f>
        <v>19270731</v>
      </c>
      <c r="C425" s="26" t="str">
        <f>INDEX(Data,2,2+MOD(ROWS(C$2:C425)-1,2))</f>
        <v>15.00</v>
      </c>
      <c r="D425" s="39">
        <f t="shared" ca="1" si="31"/>
        <v>755.5</v>
      </c>
      <c r="E425" s="31">
        <f t="shared" ca="1" si="32"/>
        <v>0</v>
      </c>
      <c r="F425" s="40">
        <f t="shared" ca="1" si="33"/>
        <v>31</v>
      </c>
      <c r="G425" s="31">
        <f t="shared" ca="1" si="34"/>
        <v>0</v>
      </c>
    </row>
    <row r="426" spans="1:7" x14ac:dyDescent="0.25">
      <c r="A426" s="11">
        <f t="shared" si="30"/>
        <v>44</v>
      </c>
      <c r="B426" t="str">
        <f ca="1">TEXT(DATE(YEAR(Invoer!$A$5),1,1)+INT((ROWS(B$2:B426)-1)/2),"jjjjmmdd")</f>
        <v>19270801</v>
      </c>
      <c r="C426" s="26" t="str">
        <f>INDEX(Data,2,2+MOD(ROWS(C$2:C426)-1,2))</f>
        <v>08.00</v>
      </c>
      <c r="D426" s="39">
        <f t="shared" ca="1" si="31"/>
        <v>757</v>
      </c>
      <c r="E426" s="31">
        <f t="shared" ca="1" si="32"/>
        <v>0</v>
      </c>
      <c r="F426" s="40">
        <f t="shared" ca="1" si="33"/>
        <v>29</v>
      </c>
      <c r="G426" s="31">
        <f t="shared" ca="1" si="34"/>
        <v>0</v>
      </c>
    </row>
    <row r="427" spans="1:7" x14ac:dyDescent="0.25">
      <c r="A427" s="11">
        <f t="shared" si="30"/>
        <v>44</v>
      </c>
      <c r="B427" t="str">
        <f ca="1">TEXT(DATE(YEAR(Invoer!$A$5),1,1)+INT((ROWS(B$2:B427)-1)/2),"jjjjmmdd")</f>
        <v>19270801</v>
      </c>
      <c r="C427" s="26" t="str">
        <f>INDEX(Data,2,2+MOD(ROWS(C$2:C427)-1,2))</f>
        <v>15.00</v>
      </c>
      <c r="D427" s="39">
        <f t="shared" ca="1" si="31"/>
        <v>756</v>
      </c>
      <c r="E427" s="31">
        <f t="shared" ca="1" si="32"/>
        <v>0</v>
      </c>
      <c r="F427" s="40">
        <f t="shared" ca="1" si="33"/>
        <v>31</v>
      </c>
      <c r="G427" s="31">
        <f t="shared" ca="1" si="34"/>
        <v>0</v>
      </c>
    </row>
    <row r="428" spans="1:7" x14ac:dyDescent="0.25">
      <c r="A428" s="11">
        <f t="shared" si="30"/>
        <v>44</v>
      </c>
      <c r="B428" t="str">
        <f ca="1">TEXT(DATE(YEAR(Invoer!$A$5),1,1)+INT((ROWS(B$2:B428)-1)/2),"jjjjmmdd")</f>
        <v>19270802</v>
      </c>
      <c r="C428" s="26" t="str">
        <f>INDEX(Data,2,2+MOD(ROWS(C$2:C428)-1,2))</f>
        <v>08.00</v>
      </c>
      <c r="D428" s="39">
        <f t="shared" ca="1" si="31"/>
        <v>757</v>
      </c>
      <c r="E428" s="31">
        <f t="shared" ca="1" si="32"/>
        <v>0</v>
      </c>
      <c r="F428" s="40">
        <f t="shared" ca="1" si="33"/>
        <v>30</v>
      </c>
      <c r="G428" s="31">
        <f t="shared" ca="1" si="34"/>
        <v>0</v>
      </c>
    </row>
    <row r="429" spans="1:7" x14ac:dyDescent="0.25">
      <c r="A429" s="11">
        <f t="shared" si="30"/>
        <v>44</v>
      </c>
      <c r="B429" t="str">
        <f ca="1">TEXT(DATE(YEAR(Invoer!$A$5),1,1)+INT((ROWS(B$2:B429)-1)/2),"jjjjmmdd")</f>
        <v>19270802</v>
      </c>
      <c r="C429" s="26" t="str">
        <f>INDEX(Data,2,2+MOD(ROWS(C$2:C429)-1,2))</f>
        <v>15.00</v>
      </c>
      <c r="D429" s="39">
        <f t="shared" ca="1" si="31"/>
        <v>755</v>
      </c>
      <c r="E429" s="31">
        <f t="shared" ca="1" si="32"/>
        <v>0</v>
      </c>
      <c r="F429" s="40">
        <f t="shared" ca="1" si="33"/>
        <v>30.5</v>
      </c>
      <c r="G429" s="31">
        <f t="shared" ca="1" si="34"/>
        <v>0</v>
      </c>
    </row>
    <row r="430" spans="1:7" x14ac:dyDescent="0.25">
      <c r="A430" s="11">
        <f t="shared" si="30"/>
        <v>44</v>
      </c>
      <c r="B430" t="str">
        <f ca="1">TEXT(DATE(YEAR(Invoer!$A$5),1,1)+INT((ROWS(B$2:B430)-1)/2),"jjjjmmdd")</f>
        <v>19270803</v>
      </c>
      <c r="C430" s="26" t="str">
        <f>INDEX(Data,2,2+MOD(ROWS(C$2:C430)-1,2))</f>
        <v>08.00</v>
      </c>
      <c r="D430" s="39">
        <f t="shared" ca="1" si="31"/>
        <v>755.5</v>
      </c>
      <c r="E430" s="31">
        <f t="shared" ca="1" si="32"/>
        <v>0</v>
      </c>
      <c r="F430" s="40">
        <f t="shared" ca="1" si="33"/>
        <v>30</v>
      </c>
      <c r="G430" s="31">
        <f t="shared" ca="1" si="34"/>
        <v>0</v>
      </c>
    </row>
    <row r="431" spans="1:7" x14ac:dyDescent="0.25">
      <c r="A431" s="11">
        <f t="shared" si="30"/>
        <v>44</v>
      </c>
      <c r="B431" t="str">
        <f ca="1">TEXT(DATE(YEAR(Invoer!$A$5),1,1)+INT((ROWS(B$2:B431)-1)/2),"jjjjmmdd")</f>
        <v>19270803</v>
      </c>
      <c r="C431" s="26" t="str">
        <f>INDEX(Data,2,2+MOD(ROWS(C$2:C431)-1,2))</f>
        <v>15.00</v>
      </c>
      <c r="D431" s="39">
        <f t="shared" ca="1" si="31"/>
        <v>753.5</v>
      </c>
      <c r="E431" s="31">
        <f t="shared" ca="1" si="32"/>
        <v>0</v>
      </c>
      <c r="F431" s="40">
        <f t="shared" ca="1" si="33"/>
        <v>31.5</v>
      </c>
      <c r="G431" s="31">
        <f t="shared" ca="1" si="34"/>
        <v>0</v>
      </c>
    </row>
    <row r="432" spans="1:7" x14ac:dyDescent="0.25">
      <c r="A432" s="11">
        <f t="shared" si="30"/>
        <v>44</v>
      </c>
      <c r="B432" t="str">
        <f ca="1">TEXT(DATE(YEAR(Invoer!$A$5),1,1)+INT((ROWS(B$2:B432)-1)/2),"jjjjmmdd")</f>
        <v>19270804</v>
      </c>
      <c r="C432" s="26" t="str">
        <f>INDEX(Data,2,2+MOD(ROWS(C$2:C432)-1,2))</f>
        <v>08.00</v>
      </c>
      <c r="D432" s="39">
        <f t="shared" ca="1" si="31"/>
        <v>756</v>
      </c>
      <c r="E432" s="31">
        <f t="shared" ca="1" si="32"/>
        <v>0</v>
      </c>
      <c r="F432" s="40">
        <f t="shared" ca="1" si="33"/>
        <v>30</v>
      </c>
      <c r="G432" s="31">
        <f t="shared" ca="1" si="34"/>
        <v>0</v>
      </c>
    </row>
    <row r="433" spans="1:7" x14ac:dyDescent="0.25">
      <c r="A433" s="11">
        <f t="shared" si="30"/>
        <v>44</v>
      </c>
      <c r="B433" t="str">
        <f ca="1">TEXT(DATE(YEAR(Invoer!$A$5),1,1)+INT((ROWS(B$2:B433)-1)/2),"jjjjmmdd")</f>
        <v>19270804</v>
      </c>
      <c r="C433" s="26" t="str">
        <f>INDEX(Data,2,2+MOD(ROWS(C$2:C433)-1,2))</f>
        <v>15.00</v>
      </c>
      <c r="D433" s="39">
        <f t="shared" ca="1" si="31"/>
        <v>754.5</v>
      </c>
      <c r="E433" s="31">
        <f t="shared" ca="1" si="32"/>
        <v>0</v>
      </c>
      <c r="F433" s="40">
        <f t="shared" ca="1" si="33"/>
        <v>31</v>
      </c>
      <c r="G433" s="31">
        <f t="shared" ca="1" si="34"/>
        <v>0</v>
      </c>
    </row>
    <row r="434" spans="1:7" x14ac:dyDescent="0.25">
      <c r="A434" s="11">
        <f t="shared" si="30"/>
        <v>44</v>
      </c>
      <c r="B434" t="str">
        <f ca="1">TEXT(DATE(YEAR(Invoer!$A$5),1,1)+INT((ROWS(B$2:B434)-1)/2),"jjjjmmdd")</f>
        <v>19270805</v>
      </c>
      <c r="C434" s="26" t="str">
        <f>INDEX(Data,2,2+MOD(ROWS(C$2:C434)-1,2))</f>
        <v>08.00</v>
      </c>
      <c r="D434" s="39">
        <f t="shared" ca="1" si="31"/>
        <v>757</v>
      </c>
      <c r="E434" s="31">
        <f t="shared" ca="1" si="32"/>
        <v>0</v>
      </c>
      <c r="F434" s="40">
        <f t="shared" ca="1" si="33"/>
        <v>29</v>
      </c>
      <c r="G434" s="31">
        <f t="shared" ca="1" si="34"/>
        <v>0</v>
      </c>
    </row>
    <row r="435" spans="1:7" x14ac:dyDescent="0.25">
      <c r="A435" s="11">
        <f t="shared" si="30"/>
        <v>44</v>
      </c>
      <c r="B435" t="str">
        <f ca="1">TEXT(DATE(YEAR(Invoer!$A$5),1,1)+INT((ROWS(B$2:B435)-1)/2),"jjjjmmdd")</f>
        <v>19270805</v>
      </c>
      <c r="C435" s="26" t="str">
        <f>INDEX(Data,2,2+MOD(ROWS(C$2:C435)-1,2))</f>
        <v>15.00</v>
      </c>
      <c r="D435" s="39">
        <f t="shared" ca="1" si="31"/>
        <v>755.5</v>
      </c>
      <c r="E435" s="31">
        <f t="shared" ca="1" si="32"/>
        <v>0</v>
      </c>
      <c r="F435" s="40">
        <f t="shared" ca="1" si="33"/>
        <v>30.5</v>
      </c>
      <c r="G435" s="31">
        <f t="shared" ca="1" si="34"/>
        <v>0</v>
      </c>
    </row>
    <row r="436" spans="1:7" x14ac:dyDescent="0.25">
      <c r="A436" s="11">
        <f t="shared" si="30"/>
        <v>44</v>
      </c>
      <c r="B436" t="str">
        <f ca="1">TEXT(DATE(YEAR(Invoer!$A$5),1,1)+INT((ROWS(B$2:B436)-1)/2),"jjjjmmdd")</f>
        <v>19270806</v>
      </c>
      <c r="C436" s="26" t="str">
        <f>INDEX(Data,2,2+MOD(ROWS(C$2:C436)-1,2))</f>
        <v>08.00</v>
      </c>
      <c r="D436" s="39">
        <f t="shared" ca="1" si="31"/>
        <v>756.5</v>
      </c>
      <c r="E436" s="31">
        <f t="shared" ca="1" si="32"/>
        <v>0</v>
      </c>
      <c r="F436" s="40">
        <f t="shared" ca="1" si="33"/>
        <v>29</v>
      </c>
      <c r="G436" s="31">
        <f t="shared" ca="1" si="34"/>
        <v>0</v>
      </c>
    </row>
    <row r="437" spans="1:7" x14ac:dyDescent="0.25">
      <c r="A437" s="11">
        <f t="shared" si="30"/>
        <v>44</v>
      </c>
      <c r="B437" t="str">
        <f ca="1">TEXT(DATE(YEAR(Invoer!$A$5),1,1)+INT((ROWS(B$2:B437)-1)/2),"jjjjmmdd")</f>
        <v>19270806</v>
      </c>
      <c r="C437" s="26" t="str">
        <f>INDEX(Data,2,2+MOD(ROWS(C$2:C437)-1,2))</f>
        <v>15.00</v>
      </c>
      <c r="D437" s="39">
        <f t="shared" ca="1" si="31"/>
        <v>754.5</v>
      </c>
      <c r="E437" s="31">
        <f t="shared" ca="1" si="32"/>
        <v>0</v>
      </c>
      <c r="F437" s="40">
        <f t="shared" ca="1" si="33"/>
        <v>31</v>
      </c>
      <c r="G437" s="31">
        <f t="shared" ca="1" si="34"/>
        <v>0</v>
      </c>
    </row>
    <row r="438" spans="1:7" x14ac:dyDescent="0.25">
      <c r="A438" s="11">
        <f t="shared" si="30"/>
        <v>44</v>
      </c>
      <c r="B438" t="str">
        <f ca="1">TEXT(DATE(YEAR(Invoer!$A$5),1,1)+INT((ROWS(B$2:B438)-1)/2),"jjjjmmdd")</f>
        <v>19270807</v>
      </c>
      <c r="C438" s="26" t="str">
        <f>INDEX(Data,2,2+MOD(ROWS(C$2:C438)-1,2))</f>
        <v>08.00</v>
      </c>
      <c r="D438" s="39">
        <f t="shared" ca="1" si="31"/>
        <v>756.5</v>
      </c>
      <c r="E438" s="31">
        <f t="shared" ca="1" si="32"/>
        <v>0</v>
      </c>
      <c r="F438" s="40">
        <f t="shared" ca="1" si="33"/>
        <v>29</v>
      </c>
      <c r="G438" s="31">
        <f t="shared" ca="1" si="34"/>
        <v>0</v>
      </c>
    </row>
    <row r="439" spans="1:7" x14ac:dyDescent="0.25">
      <c r="A439" s="11">
        <f t="shared" si="30"/>
        <v>44</v>
      </c>
      <c r="B439" t="str">
        <f ca="1">TEXT(DATE(YEAR(Invoer!$A$5),1,1)+INT((ROWS(B$2:B439)-1)/2),"jjjjmmdd")</f>
        <v>19270807</v>
      </c>
      <c r="C439" s="26" t="str">
        <f>INDEX(Data,2,2+MOD(ROWS(C$2:C439)-1,2))</f>
        <v>15.00</v>
      </c>
      <c r="D439" s="39">
        <f t="shared" ca="1" si="31"/>
        <v>754.5</v>
      </c>
      <c r="E439" s="31">
        <f t="shared" ca="1" si="32"/>
        <v>0</v>
      </c>
      <c r="F439" s="40">
        <f t="shared" ca="1" si="33"/>
        <v>31</v>
      </c>
      <c r="G439" s="31">
        <f t="shared" ca="1" si="34"/>
        <v>0</v>
      </c>
    </row>
    <row r="440" spans="1:7" x14ac:dyDescent="0.25">
      <c r="A440" s="11">
        <f t="shared" si="30"/>
        <v>44</v>
      </c>
      <c r="B440" t="str">
        <f ca="1">TEXT(DATE(YEAR(Invoer!$A$5),1,1)+INT((ROWS(B$2:B440)-1)/2),"jjjjmmdd")</f>
        <v>19270808</v>
      </c>
      <c r="C440" s="26" t="str">
        <f>INDEX(Data,2,2+MOD(ROWS(C$2:C440)-1,2))</f>
        <v>08.00</v>
      </c>
      <c r="D440" s="39">
        <f t="shared" ca="1" si="31"/>
        <v>756.5</v>
      </c>
      <c r="E440" s="31">
        <f t="shared" ca="1" si="32"/>
        <v>0</v>
      </c>
      <c r="F440" s="40">
        <f t="shared" ca="1" si="33"/>
        <v>29.5</v>
      </c>
      <c r="G440" s="31">
        <f t="shared" ca="1" si="34"/>
        <v>0</v>
      </c>
    </row>
    <row r="441" spans="1:7" x14ac:dyDescent="0.25">
      <c r="A441" s="11">
        <f t="shared" si="30"/>
        <v>44</v>
      </c>
      <c r="B441" t="str">
        <f ca="1">TEXT(DATE(YEAR(Invoer!$A$5),1,1)+INT((ROWS(B$2:B441)-1)/2),"jjjjmmdd")</f>
        <v>19270808</v>
      </c>
      <c r="C441" s="26" t="str">
        <f>INDEX(Data,2,2+MOD(ROWS(C$2:C441)-1,2))</f>
        <v>15.00</v>
      </c>
      <c r="D441" s="39">
        <f t="shared" ca="1" si="31"/>
        <v>755</v>
      </c>
      <c r="E441" s="31">
        <f t="shared" ca="1" si="32"/>
        <v>0</v>
      </c>
      <c r="F441" s="40">
        <f t="shared" ca="1" si="33"/>
        <v>31</v>
      </c>
      <c r="G441" s="31">
        <f t="shared" ca="1" si="34"/>
        <v>0</v>
      </c>
    </row>
    <row r="442" spans="1:7" x14ac:dyDescent="0.25">
      <c r="A442" s="11">
        <f t="shared" si="30"/>
        <v>44</v>
      </c>
      <c r="B442" t="str">
        <f ca="1">TEXT(DATE(YEAR(Invoer!$A$5),1,1)+INT((ROWS(B$2:B442)-1)/2),"jjjjmmdd")</f>
        <v>19270809</v>
      </c>
      <c r="C442" s="26" t="str">
        <f>INDEX(Data,2,2+MOD(ROWS(C$2:C442)-1,2))</f>
        <v>08.00</v>
      </c>
      <c r="D442" s="39">
        <f t="shared" ca="1" si="31"/>
        <v>757.5</v>
      </c>
      <c r="E442" s="31">
        <f t="shared" ca="1" si="32"/>
        <v>0</v>
      </c>
      <c r="F442" s="40">
        <f t="shared" ca="1" si="33"/>
        <v>29</v>
      </c>
      <c r="G442" s="31">
        <f t="shared" ca="1" si="34"/>
        <v>0</v>
      </c>
    </row>
    <row r="443" spans="1:7" x14ac:dyDescent="0.25">
      <c r="A443" s="11">
        <f t="shared" si="30"/>
        <v>44</v>
      </c>
      <c r="B443" t="str">
        <f ca="1">TEXT(DATE(YEAR(Invoer!$A$5),1,1)+INT((ROWS(B$2:B443)-1)/2),"jjjjmmdd")</f>
        <v>19270809</v>
      </c>
      <c r="C443" s="26" t="str">
        <f>INDEX(Data,2,2+MOD(ROWS(C$2:C443)-1,2))</f>
        <v>15.00</v>
      </c>
      <c r="D443" s="39">
        <f t="shared" ca="1" si="31"/>
        <v>755</v>
      </c>
      <c r="E443" s="31">
        <f t="shared" ca="1" si="32"/>
        <v>0</v>
      </c>
      <c r="F443" s="40">
        <f t="shared" ca="1" si="33"/>
        <v>30</v>
      </c>
      <c r="G443" s="31">
        <f t="shared" ca="1" si="34"/>
        <v>0</v>
      </c>
    </row>
    <row r="444" spans="1:7" x14ac:dyDescent="0.25">
      <c r="A444" s="11">
        <f t="shared" si="30"/>
        <v>44</v>
      </c>
      <c r="B444" t="str">
        <f ca="1">TEXT(DATE(YEAR(Invoer!$A$5),1,1)+INT((ROWS(B$2:B444)-1)/2),"jjjjmmdd")</f>
        <v>19270810</v>
      </c>
      <c r="C444" s="26" t="str">
        <f>INDEX(Data,2,2+MOD(ROWS(C$2:C444)-1,2))</f>
        <v>08.00</v>
      </c>
      <c r="D444" s="39">
        <f t="shared" ca="1" si="31"/>
        <v>757</v>
      </c>
      <c r="E444" s="31">
        <f t="shared" ca="1" si="32"/>
        <v>0</v>
      </c>
      <c r="F444" s="40">
        <f t="shared" ca="1" si="33"/>
        <v>29</v>
      </c>
      <c r="G444" s="31">
        <f t="shared" ca="1" si="34"/>
        <v>0</v>
      </c>
    </row>
    <row r="445" spans="1:7" x14ac:dyDescent="0.25">
      <c r="A445" s="11">
        <f t="shared" si="30"/>
        <v>44</v>
      </c>
      <c r="B445" t="str">
        <f ca="1">TEXT(DATE(YEAR(Invoer!$A$5),1,1)+INT((ROWS(B$2:B445)-1)/2),"jjjjmmdd")</f>
        <v>19270810</v>
      </c>
      <c r="C445" s="26" t="str">
        <f>INDEX(Data,2,2+MOD(ROWS(C$2:C445)-1,2))</f>
        <v>15.00</v>
      </c>
      <c r="D445" s="39">
        <f t="shared" ca="1" si="31"/>
        <v>754.5</v>
      </c>
      <c r="E445" s="31">
        <f t="shared" ca="1" si="32"/>
        <v>0</v>
      </c>
      <c r="F445" s="40">
        <f t="shared" ca="1" si="33"/>
        <v>30.5</v>
      </c>
      <c r="G445" s="31">
        <f t="shared" ca="1" si="34"/>
        <v>0</v>
      </c>
    </row>
    <row r="446" spans="1:7" x14ac:dyDescent="0.25">
      <c r="A446" s="11">
        <f t="shared" si="30"/>
        <v>44</v>
      </c>
      <c r="B446" t="str">
        <f ca="1">TEXT(DATE(YEAR(Invoer!$A$5),1,1)+INT((ROWS(B$2:B446)-1)/2),"jjjjmmdd")</f>
        <v>19270811</v>
      </c>
      <c r="C446" s="26" t="str">
        <f>INDEX(Data,2,2+MOD(ROWS(C$2:C446)-1,2))</f>
        <v>08.00</v>
      </c>
      <c r="D446" s="39">
        <f t="shared" ca="1" si="31"/>
        <v>756</v>
      </c>
      <c r="E446" s="31">
        <f t="shared" ca="1" si="32"/>
        <v>0</v>
      </c>
      <c r="F446" s="40">
        <f t="shared" ca="1" si="33"/>
        <v>29.5</v>
      </c>
      <c r="G446" s="31">
        <f t="shared" ca="1" si="34"/>
        <v>0</v>
      </c>
    </row>
    <row r="447" spans="1:7" x14ac:dyDescent="0.25">
      <c r="A447" s="11">
        <f t="shared" si="30"/>
        <v>44</v>
      </c>
      <c r="B447" t="str">
        <f ca="1">TEXT(DATE(YEAR(Invoer!$A$5),1,1)+INT((ROWS(B$2:B447)-1)/2),"jjjjmmdd")</f>
        <v>19270811</v>
      </c>
      <c r="C447" s="26" t="str">
        <f>INDEX(Data,2,2+MOD(ROWS(C$2:C447)-1,2))</f>
        <v>15.00</v>
      </c>
      <c r="D447" s="39">
        <f t="shared" ca="1" si="31"/>
        <v>753.5</v>
      </c>
      <c r="E447" s="31">
        <f t="shared" ca="1" si="32"/>
        <v>0</v>
      </c>
      <c r="F447" s="40">
        <f t="shared" ca="1" si="33"/>
        <v>31</v>
      </c>
      <c r="G447" s="31">
        <f t="shared" ca="1" si="34"/>
        <v>0</v>
      </c>
    </row>
    <row r="448" spans="1:7" x14ac:dyDescent="0.25">
      <c r="A448" s="11">
        <f t="shared" si="30"/>
        <v>44</v>
      </c>
      <c r="B448" t="str">
        <f ca="1">TEXT(DATE(YEAR(Invoer!$A$5),1,1)+INT((ROWS(B$2:B448)-1)/2),"jjjjmmdd")</f>
        <v>19270812</v>
      </c>
      <c r="C448" s="26" t="str">
        <f>INDEX(Data,2,2+MOD(ROWS(C$2:C448)-1,2))</f>
        <v>08.00</v>
      </c>
      <c r="D448" s="39">
        <f t="shared" ca="1" si="31"/>
        <v>757</v>
      </c>
      <c r="E448" s="31">
        <f t="shared" ca="1" si="32"/>
        <v>0</v>
      </c>
      <c r="F448" s="40">
        <f t="shared" ca="1" si="33"/>
        <v>29.5</v>
      </c>
      <c r="G448" s="31">
        <f t="shared" ca="1" si="34"/>
        <v>0</v>
      </c>
    </row>
    <row r="449" spans="1:7" x14ac:dyDescent="0.25">
      <c r="A449" s="11">
        <f t="shared" si="30"/>
        <v>44</v>
      </c>
      <c r="B449" t="str">
        <f ca="1">TEXT(DATE(YEAR(Invoer!$A$5),1,1)+INT((ROWS(B$2:B449)-1)/2),"jjjjmmdd")</f>
        <v>19270812</v>
      </c>
      <c r="C449" s="26" t="str">
        <f>INDEX(Data,2,2+MOD(ROWS(C$2:C449)-1,2))</f>
        <v>15.00</v>
      </c>
      <c r="D449" s="39">
        <f t="shared" ca="1" si="31"/>
        <v>754</v>
      </c>
      <c r="E449" s="31">
        <f t="shared" ca="1" si="32"/>
        <v>0</v>
      </c>
      <c r="F449" s="40">
        <f t="shared" ca="1" si="33"/>
        <v>30.5</v>
      </c>
      <c r="G449" s="31">
        <f t="shared" ca="1" si="34"/>
        <v>0</v>
      </c>
    </row>
    <row r="450" spans="1:7" x14ac:dyDescent="0.25">
      <c r="A450" s="11">
        <f t="shared" ref="A450:A513" si="35">INDEX(Stations,2,1)</f>
        <v>44</v>
      </c>
      <c r="B450" t="str">
        <f ca="1">TEXT(DATE(YEAR(Invoer!$A$5),1,1)+INT((ROWS(B$2:B450)-1)/2),"jjjjmmdd")</f>
        <v>19270813</v>
      </c>
      <c r="C450" s="26" t="str">
        <f>INDEX(Data,2,2+MOD(ROWS(C$2:C450)-1,2))</f>
        <v>08.00</v>
      </c>
      <c r="D450" s="39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/10)</f>
        <v>757.5</v>
      </c>
      <c r="E450" s="31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  <c r="F450" s="40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VLOOKUP(DATEVALUE(LEFT($B450,4)&amp;"-"&amp;MID($B450,5,2)&amp;"-"&amp;RIGHT($B450,2)),Data,MATCH(LEFT(VLOOKUP(F$1,Parameters,2,FALSE()),4)&amp;"*",OFFSET(Data,0,0,1),0)+MATCH($C450,OFFSET(Data,1,0,1),0)-2,FALSE())/10)</f>
        <v>29.5</v>
      </c>
      <c r="G450" s="31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0</v>
      </c>
    </row>
    <row r="451" spans="1:7" x14ac:dyDescent="0.25">
      <c r="A451" s="11">
        <f t="shared" si="35"/>
        <v>44</v>
      </c>
      <c r="B451" t="str">
        <f ca="1">TEXT(DATE(YEAR(Invoer!$A$5),1,1)+INT((ROWS(B$2:B451)-1)/2),"jjjjmmdd")</f>
        <v>19270813</v>
      </c>
      <c r="C451" s="26" t="str">
        <f>INDEX(Data,2,2+MOD(ROWS(C$2:C451)-1,2))</f>
        <v>15.00</v>
      </c>
      <c r="D451" s="39">
        <f t="shared" ca="1" si="36"/>
        <v>755</v>
      </c>
      <c r="E451" s="31">
        <f t="shared" ca="1" si="37"/>
        <v>0</v>
      </c>
      <c r="F451" s="40">
        <f t="shared" ca="1" si="38"/>
        <v>31</v>
      </c>
      <c r="G451" s="31">
        <f t="shared" ca="1" si="39"/>
        <v>0</v>
      </c>
    </row>
    <row r="452" spans="1:7" x14ac:dyDescent="0.25">
      <c r="A452" s="11">
        <f t="shared" si="35"/>
        <v>44</v>
      </c>
      <c r="B452" t="str">
        <f ca="1">TEXT(DATE(YEAR(Invoer!$A$5),1,1)+INT((ROWS(B$2:B452)-1)/2),"jjjjmmdd")</f>
        <v>19270814</v>
      </c>
      <c r="C452" s="26" t="str">
        <f>INDEX(Data,2,2+MOD(ROWS(C$2:C452)-1,2))</f>
        <v>08.00</v>
      </c>
      <c r="D452" s="39">
        <f t="shared" ca="1" si="36"/>
        <v>757.5</v>
      </c>
      <c r="E452" s="31">
        <f t="shared" ca="1" si="37"/>
        <v>0</v>
      </c>
      <c r="F452" s="40">
        <f t="shared" ca="1" si="38"/>
        <v>29</v>
      </c>
      <c r="G452" s="31">
        <f t="shared" ca="1" si="39"/>
        <v>0</v>
      </c>
    </row>
    <row r="453" spans="1:7" x14ac:dyDescent="0.25">
      <c r="A453" s="11">
        <f t="shared" si="35"/>
        <v>44</v>
      </c>
      <c r="B453" t="str">
        <f ca="1">TEXT(DATE(YEAR(Invoer!$A$5),1,1)+INT((ROWS(B$2:B453)-1)/2),"jjjjmmdd")</f>
        <v>19270814</v>
      </c>
      <c r="C453" s="26" t="str">
        <f>INDEX(Data,2,2+MOD(ROWS(C$2:C453)-1,2))</f>
        <v>15.00</v>
      </c>
      <c r="D453" s="39">
        <f t="shared" ca="1" si="36"/>
        <v>755</v>
      </c>
      <c r="E453" s="31">
        <f t="shared" ca="1" si="37"/>
        <v>0</v>
      </c>
      <c r="F453" s="40">
        <f t="shared" ca="1" si="38"/>
        <v>31</v>
      </c>
      <c r="G453" s="31">
        <f t="shared" ca="1" si="39"/>
        <v>0</v>
      </c>
    </row>
    <row r="454" spans="1:7" x14ac:dyDescent="0.25">
      <c r="A454" s="11">
        <f t="shared" si="35"/>
        <v>44</v>
      </c>
      <c r="B454" t="str">
        <f ca="1">TEXT(DATE(YEAR(Invoer!$A$5),1,1)+INT((ROWS(B$2:B454)-1)/2),"jjjjmmdd")</f>
        <v>19270815</v>
      </c>
      <c r="C454" s="26" t="str">
        <f>INDEX(Data,2,2+MOD(ROWS(C$2:C454)-1,2))</f>
        <v>08.00</v>
      </c>
      <c r="D454" s="39">
        <f t="shared" ca="1" si="36"/>
        <v>757.5</v>
      </c>
      <c r="E454" s="31">
        <f t="shared" ca="1" si="37"/>
        <v>0</v>
      </c>
      <c r="F454" s="40">
        <f t="shared" ca="1" si="38"/>
        <v>29.5</v>
      </c>
      <c r="G454" s="31">
        <f t="shared" ca="1" si="39"/>
        <v>0</v>
      </c>
    </row>
    <row r="455" spans="1:7" x14ac:dyDescent="0.25">
      <c r="A455" s="11">
        <f t="shared" si="35"/>
        <v>44</v>
      </c>
      <c r="B455" t="str">
        <f ca="1">TEXT(DATE(YEAR(Invoer!$A$5),1,1)+INT((ROWS(B$2:B455)-1)/2),"jjjjmmdd")</f>
        <v>19270815</v>
      </c>
      <c r="C455" s="26" t="str">
        <f>INDEX(Data,2,2+MOD(ROWS(C$2:C455)-1,2))</f>
        <v>15.00</v>
      </c>
      <c r="D455" s="39">
        <f t="shared" ca="1" si="36"/>
        <v>755.5</v>
      </c>
      <c r="E455" s="31">
        <f t="shared" ca="1" si="37"/>
        <v>0</v>
      </c>
      <c r="F455" s="40">
        <f t="shared" ca="1" si="38"/>
        <v>31</v>
      </c>
      <c r="G455" s="31">
        <f t="shared" ca="1" si="39"/>
        <v>0</v>
      </c>
    </row>
    <row r="456" spans="1:7" x14ac:dyDescent="0.25">
      <c r="A456" s="11">
        <f t="shared" si="35"/>
        <v>44</v>
      </c>
      <c r="B456" t="str">
        <f ca="1">TEXT(DATE(YEAR(Invoer!$A$5),1,1)+INT((ROWS(B$2:B456)-1)/2),"jjjjmmdd")</f>
        <v>19270816</v>
      </c>
      <c r="C456" s="26" t="str">
        <f>INDEX(Data,2,2+MOD(ROWS(C$2:C456)-1,2))</f>
        <v>08.00</v>
      </c>
      <c r="D456" s="39">
        <f t="shared" ca="1" si="36"/>
        <v>757</v>
      </c>
      <c r="E456" s="31">
        <f t="shared" ca="1" si="37"/>
        <v>0</v>
      </c>
      <c r="F456" s="40">
        <f t="shared" ca="1" si="38"/>
        <v>29.5</v>
      </c>
      <c r="G456" s="31">
        <f t="shared" ca="1" si="39"/>
        <v>0</v>
      </c>
    </row>
    <row r="457" spans="1:7" x14ac:dyDescent="0.25">
      <c r="A457" s="11">
        <f t="shared" si="35"/>
        <v>44</v>
      </c>
      <c r="B457" t="str">
        <f ca="1">TEXT(DATE(YEAR(Invoer!$A$5),1,1)+INT((ROWS(B$2:B457)-1)/2),"jjjjmmdd")</f>
        <v>19270816</v>
      </c>
      <c r="C457" s="26" t="str">
        <f>INDEX(Data,2,2+MOD(ROWS(C$2:C457)-1,2))</f>
        <v>15.00</v>
      </c>
      <c r="D457" s="39">
        <f t="shared" ca="1" si="36"/>
        <v>755</v>
      </c>
      <c r="E457" s="31">
        <f t="shared" ca="1" si="37"/>
        <v>0</v>
      </c>
      <c r="F457" s="40">
        <f t="shared" ca="1" si="38"/>
        <v>31</v>
      </c>
      <c r="G457" s="31">
        <f t="shared" ca="1" si="39"/>
        <v>0</v>
      </c>
    </row>
    <row r="458" spans="1:7" x14ac:dyDescent="0.25">
      <c r="A458" s="11">
        <f t="shared" si="35"/>
        <v>44</v>
      </c>
      <c r="B458" t="str">
        <f ca="1">TEXT(DATE(YEAR(Invoer!$A$5),1,1)+INT((ROWS(B$2:B458)-1)/2),"jjjjmmdd")</f>
        <v>19270817</v>
      </c>
      <c r="C458" s="26" t="str">
        <f>INDEX(Data,2,2+MOD(ROWS(C$2:C458)-1,2))</f>
        <v>08.00</v>
      </c>
      <c r="D458" s="39">
        <f t="shared" ca="1" si="36"/>
        <v>756</v>
      </c>
      <c r="E458" s="31">
        <f t="shared" ca="1" si="37"/>
        <v>0</v>
      </c>
      <c r="F458" s="40">
        <f t="shared" ca="1" si="38"/>
        <v>29.5</v>
      </c>
      <c r="G458" s="31">
        <f t="shared" ca="1" si="39"/>
        <v>0</v>
      </c>
    </row>
    <row r="459" spans="1:7" x14ac:dyDescent="0.25">
      <c r="A459" s="11">
        <f t="shared" si="35"/>
        <v>44</v>
      </c>
      <c r="B459" t="str">
        <f ca="1">TEXT(DATE(YEAR(Invoer!$A$5),1,1)+INT((ROWS(B$2:B459)-1)/2),"jjjjmmdd")</f>
        <v>19270817</v>
      </c>
      <c r="C459" s="26" t="str">
        <f>INDEX(Data,2,2+MOD(ROWS(C$2:C459)-1,2))</f>
        <v>15.00</v>
      </c>
      <c r="D459" s="39">
        <f t="shared" ca="1" si="36"/>
        <v>755</v>
      </c>
      <c r="E459" s="31">
        <f t="shared" ca="1" si="37"/>
        <v>0</v>
      </c>
      <c r="F459" s="40">
        <f t="shared" ca="1" si="38"/>
        <v>31</v>
      </c>
      <c r="G459" s="31">
        <f t="shared" ca="1" si="39"/>
        <v>0</v>
      </c>
    </row>
    <row r="460" spans="1:7" x14ac:dyDescent="0.25">
      <c r="A460" s="11">
        <f t="shared" si="35"/>
        <v>44</v>
      </c>
      <c r="B460" t="str">
        <f ca="1">TEXT(DATE(YEAR(Invoer!$A$5),1,1)+INT((ROWS(B$2:B460)-1)/2),"jjjjmmdd")</f>
        <v>19270818</v>
      </c>
      <c r="C460" s="26" t="str">
        <f>INDEX(Data,2,2+MOD(ROWS(C$2:C460)-1,2))</f>
        <v>08.00</v>
      </c>
      <c r="D460" s="39">
        <f t="shared" ca="1" si="36"/>
        <v>757.5</v>
      </c>
      <c r="E460" s="31">
        <f t="shared" ca="1" si="37"/>
        <v>0</v>
      </c>
      <c r="F460" s="40">
        <f t="shared" ca="1" si="38"/>
        <v>29</v>
      </c>
      <c r="G460" s="31">
        <f t="shared" ca="1" si="39"/>
        <v>0</v>
      </c>
    </row>
    <row r="461" spans="1:7" x14ac:dyDescent="0.25">
      <c r="A461" s="11">
        <f t="shared" si="35"/>
        <v>44</v>
      </c>
      <c r="B461" t="str">
        <f ca="1">TEXT(DATE(YEAR(Invoer!$A$5),1,1)+INT((ROWS(B$2:B461)-1)/2),"jjjjmmdd")</f>
        <v>19270818</v>
      </c>
      <c r="C461" s="26" t="str">
        <f>INDEX(Data,2,2+MOD(ROWS(C$2:C461)-1,2))</f>
        <v>15.00</v>
      </c>
      <c r="D461" s="39">
        <f t="shared" ca="1" si="36"/>
        <v>755</v>
      </c>
      <c r="E461" s="31">
        <f t="shared" ca="1" si="37"/>
        <v>0</v>
      </c>
      <c r="F461" s="40">
        <f t="shared" ca="1" si="38"/>
        <v>30.5</v>
      </c>
      <c r="G461" s="31">
        <f t="shared" ca="1" si="39"/>
        <v>0</v>
      </c>
    </row>
    <row r="462" spans="1:7" x14ac:dyDescent="0.25">
      <c r="A462" s="11">
        <f t="shared" si="35"/>
        <v>44</v>
      </c>
      <c r="B462" t="str">
        <f ca="1">TEXT(DATE(YEAR(Invoer!$A$5),1,1)+INT((ROWS(B$2:B462)-1)/2),"jjjjmmdd")</f>
        <v>19270819</v>
      </c>
      <c r="C462" s="26" t="str">
        <f>INDEX(Data,2,2+MOD(ROWS(C$2:C462)-1,2))</f>
        <v>08.00</v>
      </c>
      <c r="D462" s="39">
        <f t="shared" ca="1" si="36"/>
        <v>757.5</v>
      </c>
      <c r="E462" s="31">
        <f t="shared" ca="1" si="37"/>
        <v>0</v>
      </c>
      <c r="F462" s="40">
        <f t="shared" ca="1" si="38"/>
        <v>28.5</v>
      </c>
      <c r="G462" s="31">
        <f t="shared" ca="1" si="39"/>
        <v>0</v>
      </c>
    </row>
    <row r="463" spans="1:7" x14ac:dyDescent="0.25">
      <c r="A463" s="11">
        <f t="shared" si="35"/>
        <v>44</v>
      </c>
      <c r="B463" t="str">
        <f ca="1">TEXT(DATE(YEAR(Invoer!$A$5),1,1)+INT((ROWS(B$2:B463)-1)/2),"jjjjmmdd")</f>
        <v>19270819</v>
      </c>
      <c r="C463" s="26" t="str">
        <f>INDEX(Data,2,2+MOD(ROWS(C$2:C463)-1,2))</f>
        <v>15.00</v>
      </c>
      <c r="D463" s="39">
        <f t="shared" ca="1" si="36"/>
        <v>755.5</v>
      </c>
      <c r="E463" s="31">
        <f t="shared" ca="1" si="37"/>
        <v>0</v>
      </c>
      <c r="F463" s="40">
        <f t="shared" ca="1" si="38"/>
        <v>30.5</v>
      </c>
      <c r="G463" s="31">
        <f t="shared" ca="1" si="39"/>
        <v>0</v>
      </c>
    </row>
    <row r="464" spans="1:7" x14ac:dyDescent="0.25">
      <c r="A464" s="11">
        <f t="shared" si="35"/>
        <v>44</v>
      </c>
      <c r="B464" t="str">
        <f ca="1">TEXT(DATE(YEAR(Invoer!$A$5),1,1)+INT((ROWS(B$2:B464)-1)/2),"jjjjmmdd")</f>
        <v>19270820</v>
      </c>
      <c r="C464" s="26" t="str">
        <f>INDEX(Data,2,2+MOD(ROWS(C$2:C464)-1,2))</f>
        <v>08.00</v>
      </c>
      <c r="D464" s="39">
        <f t="shared" ca="1" si="36"/>
        <v>756.5</v>
      </c>
      <c r="E464" s="31">
        <f t="shared" ca="1" si="37"/>
        <v>0</v>
      </c>
      <c r="F464" s="40">
        <f t="shared" ca="1" si="38"/>
        <v>29.5</v>
      </c>
      <c r="G464" s="31">
        <f t="shared" ca="1" si="39"/>
        <v>0</v>
      </c>
    </row>
    <row r="465" spans="1:7" x14ac:dyDescent="0.25">
      <c r="A465" s="11">
        <f t="shared" si="35"/>
        <v>44</v>
      </c>
      <c r="B465" t="str">
        <f ca="1">TEXT(DATE(YEAR(Invoer!$A$5),1,1)+INT((ROWS(B$2:B465)-1)/2),"jjjjmmdd")</f>
        <v>19270820</v>
      </c>
      <c r="C465" s="26" t="str">
        <f>INDEX(Data,2,2+MOD(ROWS(C$2:C465)-1,2))</f>
        <v>15.00</v>
      </c>
      <c r="D465" s="39">
        <f t="shared" ca="1" si="36"/>
        <v>754.5</v>
      </c>
      <c r="E465" s="31">
        <f t="shared" ca="1" si="37"/>
        <v>0</v>
      </c>
      <c r="F465" s="40">
        <f t="shared" ca="1" si="38"/>
        <v>31</v>
      </c>
      <c r="G465" s="31">
        <f t="shared" ca="1" si="39"/>
        <v>0</v>
      </c>
    </row>
    <row r="466" spans="1:7" x14ac:dyDescent="0.25">
      <c r="A466" s="11">
        <f t="shared" si="35"/>
        <v>44</v>
      </c>
      <c r="B466" t="str">
        <f ca="1">TEXT(DATE(YEAR(Invoer!$A$5),1,1)+INT((ROWS(B$2:B466)-1)/2),"jjjjmmdd")</f>
        <v>19270821</v>
      </c>
      <c r="C466" s="26" t="str">
        <f>INDEX(Data,2,2+MOD(ROWS(C$2:C466)-1,2))</f>
        <v>08.00</v>
      </c>
      <c r="D466" s="39">
        <f t="shared" ca="1" si="36"/>
        <v>756.5</v>
      </c>
      <c r="E466" s="31">
        <f t="shared" ca="1" si="37"/>
        <v>0</v>
      </c>
      <c r="F466" s="40">
        <f t="shared" ca="1" si="38"/>
        <v>29.5</v>
      </c>
      <c r="G466" s="31">
        <f t="shared" ca="1" si="39"/>
        <v>0</v>
      </c>
    </row>
    <row r="467" spans="1:7" x14ac:dyDescent="0.25">
      <c r="A467" s="11">
        <f t="shared" si="35"/>
        <v>44</v>
      </c>
      <c r="B467" t="str">
        <f ca="1">TEXT(DATE(YEAR(Invoer!$A$5),1,1)+INT((ROWS(B$2:B467)-1)/2),"jjjjmmdd")</f>
        <v>19270821</v>
      </c>
      <c r="C467" s="26" t="str">
        <f>INDEX(Data,2,2+MOD(ROWS(C$2:C467)-1,2))</f>
        <v>15.00</v>
      </c>
      <c r="D467" s="39">
        <f t="shared" ca="1" si="36"/>
        <v>754.5</v>
      </c>
      <c r="E467" s="31">
        <f t="shared" ca="1" si="37"/>
        <v>0</v>
      </c>
      <c r="F467" s="40">
        <f t="shared" ca="1" si="38"/>
        <v>31</v>
      </c>
      <c r="G467" s="31">
        <f t="shared" ca="1" si="39"/>
        <v>0</v>
      </c>
    </row>
    <row r="468" spans="1:7" x14ac:dyDescent="0.25">
      <c r="A468" s="11">
        <f t="shared" si="35"/>
        <v>44</v>
      </c>
      <c r="B468" t="str">
        <f ca="1">TEXT(DATE(YEAR(Invoer!$A$5),1,1)+INT((ROWS(B$2:B468)-1)/2),"jjjjmmdd")</f>
        <v>19270822</v>
      </c>
      <c r="C468" s="26" t="str">
        <f>INDEX(Data,2,2+MOD(ROWS(C$2:C468)-1,2))</f>
        <v>08.00</v>
      </c>
      <c r="D468" s="39">
        <f t="shared" ca="1" si="36"/>
        <v>757</v>
      </c>
      <c r="E468" s="31">
        <f t="shared" ca="1" si="37"/>
        <v>0</v>
      </c>
      <c r="F468" s="40">
        <f t="shared" ca="1" si="38"/>
        <v>29.5</v>
      </c>
      <c r="G468" s="31">
        <f t="shared" ca="1" si="39"/>
        <v>0</v>
      </c>
    </row>
    <row r="469" spans="1:7" x14ac:dyDescent="0.25">
      <c r="A469" s="11">
        <f t="shared" si="35"/>
        <v>44</v>
      </c>
      <c r="B469" t="str">
        <f ca="1">TEXT(DATE(YEAR(Invoer!$A$5),1,1)+INT((ROWS(B$2:B469)-1)/2),"jjjjmmdd")</f>
        <v>19270822</v>
      </c>
      <c r="C469" s="26" t="str">
        <f>INDEX(Data,2,2+MOD(ROWS(C$2:C469)-1,2))</f>
        <v>15.00</v>
      </c>
      <c r="D469" s="39">
        <f t="shared" ca="1" si="36"/>
        <v>754.5</v>
      </c>
      <c r="E469" s="31">
        <f t="shared" ca="1" si="37"/>
        <v>0</v>
      </c>
      <c r="F469" s="40">
        <f t="shared" ca="1" si="38"/>
        <v>31</v>
      </c>
      <c r="G469" s="31">
        <f t="shared" ca="1" si="39"/>
        <v>0</v>
      </c>
    </row>
    <row r="470" spans="1:7" x14ac:dyDescent="0.25">
      <c r="A470" s="11">
        <f t="shared" si="35"/>
        <v>44</v>
      </c>
      <c r="B470" t="str">
        <f ca="1">TEXT(DATE(YEAR(Invoer!$A$5),1,1)+INT((ROWS(B$2:B470)-1)/2),"jjjjmmdd")</f>
        <v>19270823</v>
      </c>
      <c r="C470" s="26" t="str">
        <f>INDEX(Data,2,2+MOD(ROWS(C$2:C470)-1,2))</f>
        <v>08.00</v>
      </c>
      <c r="D470" s="39">
        <f t="shared" ca="1" si="36"/>
        <v>757</v>
      </c>
      <c r="E470" s="31">
        <f t="shared" ca="1" si="37"/>
        <v>0</v>
      </c>
      <c r="F470" s="40">
        <f t="shared" ca="1" si="38"/>
        <v>29.5</v>
      </c>
      <c r="G470" s="31">
        <f t="shared" ca="1" si="39"/>
        <v>0</v>
      </c>
    </row>
    <row r="471" spans="1:7" x14ac:dyDescent="0.25">
      <c r="A471" s="11">
        <f t="shared" si="35"/>
        <v>44</v>
      </c>
      <c r="B471" t="str">
        <f ca="1">TEXT(DATE(YEAR(Invoer!$A$5),1,1)+INT((ROWS(B$2:B471)-1)/2),"jjjjmmdd")</f>
        <v>19270823</v>
      </c>
      <c r="C471" s="26" t="str">
        <f>INDEX(Data,2,2+MOD(ROWS(C$2:C471)-1,2))</f>
        <v>15.00</v>
      </c>
      <c r="D471" s="39">
        <f t="shared" ca="1" si="36"/>
        <v>755</v>
      </c>
      <c r="E471" s="31">
        <f t="shared" ca="1" si="37"/>
        <v>0</v>
      </c>
      <c r="F471" s="40">
        <f t="shared" ca="1" si="38"/>
        <v>31.5</v>
      </c>
      <c r="G471" s="31">
        <f t="shared" ca="1" si="39"/>
        <v>0</v>
      </c>
    </row>
    <row r="472" spans="1:7" x14ac:dyDescent="0.25">
      <c r="A472" s="11">
        <f t="shared" si="35"/>
        <v>44</v>
      </c>
      <c r="B472" t="str">
        <f ca="1">TEXT(DATE(YEAR(Invoer!$A$5),1,1)+INT((ROWS(B$2:B472)-1)/2),"jjjjmmdd")</f>
        <v>19270824</v>
      </c>
      <c r="C472" s="26" t="str">
        <f>INDEX(Data,2,2+MOD(ROWS(C$2:C472)-1,2))</f>
        <v>08.00</v>
      </c>
      <c r="D472" s="39">
        <f t="shared" ca="1" si="36"/>
        <v>756.5</v>
      </c>
      <c r="E472" s="31">
        <f t="shared" ca="1" si="37"/>
        <v>0</v>
      </c>
      <c r="F472" s="40">
        <f t="shared" ca="1" si="38"/>
        <v>29.5</v>
      </c>
      <c r="G472" s="31">
        <f t="shared" ca="1" si="39"/>
        <v>0</v>
      </c>
    </row>
    <row r="473" spans="1:7" x14ac:dyDescent="0.25">
      <c r="A473" s="11">
        <f t="shared" si="35"/>
        <v>44</v>
      </c>
      <c r="B473" t="str">
        <f ca="1">TEXT(DATE(YEAR(Invoer!$A$5),1,1)+INT((ROWS(B$2:B473)-1)/2),"jjjjmmdd")</f>
        <v>19270824</v>
      </c>
      <c r="C473" s="26" t="str">
        <f>INDEX(Data,2,2+MOD(ROWS(C$2:C473)-1,2))</f>
        <v>15.00</v>
      </c>
      <c r="D473" s="39">
        <f t="shared" ca="1" si="36"/>
        <v>754</v>
      </c>
      <c r="E473" s="31">
        <f t="shared" ca="1" si="37"/>
        <v>0</v>
      </c>
      <c r="F473" s="40">
        <f t="shared" ca="1" si="38"/>
        <v>31.5</v>
      </c>
      <c r="G473" s="31">
        <f t="shared" ca="1" si="39"/>
        <v>0</v>
      </c>
    </row>
    <row r="474" spans="1:7" x14ac:dyDescent="0.25">
      <c r="A474" s="11">
        <f t="shared" si="35"/>
        <v>44</v>
      </c>
      <c r="B474" t="str">
        <f ca="1">TEXT(DATE(YEAR(Invoer!$A$5),1,1)+INT((ROWS(B$2:B474)-1)/2),"jjjjmmdd")</f>
        <v>19270825</v>
      </c>
      <c r="C474" s="26" t="str">
        <f>INDEX(Data,2,2+MOD(ROWS(C$2:C474)-1,2))</f>
        <v>08.00</v>
      </c>
      <c r="D474" s="39">
        <f t="shared" ca="1" si="36"/>
        <v>757</v>
      </c>
      <c r="E474" s="31">
        <f t="shared" ca="1" si="37"/>
        <v>0</v>
      </c>
      <c r="F474" s="40">
        <f t="shared" ca="1" si="38"/>
        <v>29</v>
      </c>
      <c r="G474" s="31">
        <f t="shared" ca="1" si="39"/>
        <v>0</v>
      </c>
    </row>
    <row r="475" spans="1:7" x14ac:dyDescent="0.25">
      <c r="A475" s="11">
        <f t="shared" si="35"/>
        <v>44</v>
      </c>
      <c r="B475" t="str">
        <f ca="1">TEXT(DATE(YEAR(Invoer!$A$5),1,1)+INT((ROWS(B$2:B475)-1)/2),"jjjjmmdd")</f>
        <v>19270825</v>
      </c>
      <c r="C475" s="26" t="str">
        <f>INDEX(Data,2,2+MOD(ROWS(C$2:C475)-1,2))</f>
        <v>15.00</v>
      </c>
      <c r="D475" s="39">
        <f t="shared" ca="1" si="36"/>
        <v>755.5</v>
      </c>
      <c r="E475" s="31">
        <f t="shared" ca="1" si="37"/>
        <v>0</v>
      </c>
      <c r="F475" s="40">
        <f t="shared" ca="1" si="38"/>
        <v>30.5</v>
      </c>
      <c r="G475" s="31">
        <f t="shared" ca="1" si="39"/>
        <v>0</v>
      </c>
    </row>
    <row r="476" spans="1:7" x14ac:dyDescent="0.25">
      <c r="A476" s="11">
        <f t="shared" si="35"/>
        <v>44</v>
      </c>
      <c r="B476" t="str">
        <f ca="1">TEXT(DATE(YEAR(Invoer!$A$5),1,1)+INT((ROWS(B$2:B476)-1)/2),"jjjjmmdd")</f>
        <v>19270826</v>
      </c>
      <c r="C476" s="26" t="str">
        <f>INDEX(Data,2,2+MOD(ROWS(C$2:C476)-1,2))</f>
        <v>08.00</v>
      </c>
      <c r="D476" s="39">
        <f t="shared" ca="1" si="36"/>
        <v>757.5</v>
      </c>
      <c r="E476" s="31">
        <f t="shared" ca="1" si="37"/>
        <v>0</v>
      </c>
      <c r="F476" s="40">
        <f t="shared" ca="1" si="38"/>
        <v>29</v>
      </c>
      <c r="G476" s="31">
        <f t="shared" ca="1" si="39"/>
        <v>0</v>
      </c>
    </row>
    <row r="477" spans="1:7" x14ac:dyDescent="0.25">
      <c r="A477" s="11">
        <f t="shared" si="35"/>
        <v>44</v>
      </c>
      <c r="B477" t="str">
        <f ca="1">TEXT(DATE(YEAR(Invoer!$A$5),1,1)+INT((ROWS(B$2:B477)-1)/2),"jjjjmmdd")</f>
        <v>19270826</v>
      </c>
      <c r="C477" s="26" t="str">
        <f>INDEX(Data,2,2+MOD(ROWS(C$2:C477)-1,2))</f>
        <v>15.00</v>
      </c>
      <c r="D477" s="39">
        <f t="shared" ca="1" si="36"/>
        <v>755</v>
      </c>
      <c r="E477" s="31">
        <f t="shared" ca="1" si="37"/>
        <v>0</v>
      </c>
      <c r="F477" s="40">
        <f t="shared" ca="1" si="38"/>
        <v>30.5</v>
      </c>
      <c r="G477" s="31">
        <f t="shared" ca="1" si="39"/>
        <v>0</v>
      </c>
    </row>
    <row r="478" spans="1:7" x14ac:dyDescent="0.25">
      <c r="A478" s="11">
        <f t="shared" si="35"/>
        <v>44</v>
      </c>
      <c r="B478" t="str">
        <f ca="1">TEXT(DATE(YEAR(Invoer!$A$5),1,1)+INT((ROWS(B$2:B478)-1)/2),"jjjjmmdd")</f>
        <v>19270827</v>
      </c>
      <c r="C478" s="26" t="str">
        <f>INDEX(Data,2,2+MOD(ROWS(C$2:C478)-1,2))</f>
        <v>08.00</v>
      </c>
      <c r="D478" s="39">
        <f t="shared" ca="1" si="36"/>
        <v>757.5</v>
      </c>
      <c r="E478" s="31">
        <f t="shared" ca="1" si="37"/>
        <v>0</v>
      </c>
      <c r="F478" s="40">
        <f t="shared" ca="1" si="38"/>
        <v>29</v>
      </c>
      <c r="G478" s="31">
        <f t="shared" ca="1" si="39"/>
        <v>0</v>
      </c>
    </row>
    <row r="479" spans="1:7" x14ac:dyDescent="0.25">
      <c r="A479" s="11">
        <f t="shared" si="35"/>
        <v>44</v>
      </c>
      <c r="B479" t="str">
        <f ca="1">TEXT(DATE(YEAR(Invoer!$A$5),1,1)+INT((ROWS(B$2:B479)-1)/2),"jjjjmmdd")</f>
        <v>19270827</v>
      </c>
      <c r="C479" s="26" t="str">
        <f>INDEX(Data,2,2+MOD(ROWS(C$2:C479)-1,2))</f>
        <v>15.00</v>
      </c>
      <c r="D479" s="39">
        <f t="shared" ca="1" si="36"/>
        <v>755</v>
      </c>
      <c r="E479" s="31">
        <f t="shared" ca="1" si="37"/>
        <v>0</v>
      </c>
      <c r="F479" s="40">
        <f t="shared" ca="1" si="38"/>
        <v>30.5</v>
      </c>
      <c r="G479" s="31">
        <f t="shared" ca="1" si="39"/>
        <v>0</v>
      </c>
    </row>
    <row r="480" spans="1:7" x14ac:dyDescent="0.25">
      <c r="A480" s="11">
        <f t="shared" si="35"/>
        <v>44</v>
      </c>
      <c r="B480" t="str">
        <f ca="1">TEXT(DATE(YEAR(Invoer!$A$5),1,1)+INT((ROWS(B$2:B480)-1)/2),"jjjjmmdd")</f>
        <v>19270828</v>
      </c>
      <c r="C480" s="26" t="str">
        <f>INDEX(Data,2,2+MOD(ROWS(C$2:C480)-1,2))</f>
        <v>08.00</v>
      </c>
      <c r="D480" s="39">
        <f t="shared" ca="1" si="36"/>
        <v>757</v>
      </c>
      <c r="E480" s="31">
        <f t="shared" ca="1" si="37"/>
        <v>0</v>
      </c>
      <c r="F480" s="40">
        <f t="shared" ca="1" si="38"/>
        <v>29</v>
      </c>
      <c r="G480" s="31">
        <f t="shared" ca="1" si="39"/>
        <v>0</v>
      </c>
    </row>
    <row r="481" spans="1:7" x14ac:dyDescent="0.25">
      <c r="A481" s="11">
        <f t="shared" si="35"/>
        <v>44</v>
      </c>
      <c r="B481" t="str">
        <f ca="1">TEXT(DATE(YEAR(Invoer!$A$5),1,1)+INT((ROWS(B$2:B481)-1)/2),"jjjjmmdd")</f>
        <v>19270828</v>
      </c>
      <c r="C481" s="26" t="str">
        <f>INDEX(Data,2,2+MOD(ROWS(C$2:C481)-1,2))</f>
        <v>15.00</v>
      </c>
      <c r="D481" s="39">
        <f t="shared" ca="1" si="36"/>
        <v>755</v>
      </c>
      <c r="E481" s="31">
        <f t="shared" ca="1" si="37"/>
        <v>0</v>
      </c>
      <c r="F481" s="40">
        <f t="shared" ca="1" si="38"/>
        <v>30.5</v>
      </c>
      <c r="G481" s="31">
        <f t="shared" ca="1" si="39"/>
        <v>0</v>
      </c>
    </row>
    <row r="482" spans="1:7" x14ac:dyDescent="0.25">
      <c r="A482" s="11">
        <f t="shared" si="35"/>
        <v>44</v>
      </c>
      <c r="B482" t="str">
        <f ca="1">TEXT(DATE(YEAR(Invoer!$A$5),1,1)+INT((ROWS(B$2:B482)-1)/2),"jjjjmmdd")</f>
        <v>19270829</v>
      </c>
      <c r="C482" s="26" t="str">
        <f>INDEX(Data,2,2+MOD(ROWS(C$2:C482)-1,2))</f>
        <v>08.00</v>
      </c>
      <c r="D482" s="39">
        <f t="shared" ca="1" si="36"/>
        <v>755.5</v>
      </c>
      <c r="E482" s="31">
        <f t="shared" ca="1" si="37"/>
        <v>0</v>
      </c>
      <c r="F482" s="40">
        <f t="shared" ca="1" si="38"/>
        <v>29.5</v>
      </c>
      <c r="G482" s="31">
        <f t="shared" ca="1" si="39"/>
        <v>0</v>
      </c>
    </row>
    <row r="483" spans="1:7" x14ac:dyDescent="0.25">
      <c r="A483" s="11">
        <f t="shared" si="35"/>
        <v>44</v>
      </c>
      <c r="B483" t="str">
        <f ca="1">TEXT(DATE(YEAR(Invoer!$A$5),1,1)+INT((ROWS(B$2:B483)-1)/2),"jjjjmmdd")</f>
        <v>19270829</v>
      </c>
      <c r="C483" s="26" t="str">
        <f>INDEX(Data,2,2+MOD(ROWS(C$2:C483)-1,2))</f>
        <v>15.00</v>
      </c>
      <c r="D483" s="39">
        <f t="shared" ca="1" si="36"/>
        <v>753.5</v>
      </c>
      <c r="E483" s="31">
        <f t="shared" ca="1" si="37"/>
        <v>0</v>
      </c>
      <c r="F483" s="40">
        <f t="shared" ca="1" si="38"/>
        <v>30</v>
      </c>
      <c r="G483" s="31">
        <f t="shared" ca="1" si="39"/>
        <v>0</v>
      </c>
    </row>
    <row r="484" spans="1:7" x14ac:dyDescent="0.25">
      <c r="A484" s="11">
        <f t="shared" si="35"/>
        <v>44</v>
      </c>
      <c r="B484" t="str">
        <f ca="1">TEXT(DATE(YEAR(Invoer!$A$5),1,1)+INT((ROWS(B$2:B484)-1)/2),"jjjjmmdd")</f>
        <v>19270830</v>
      </c>
      <c r="C484" s="26" t="str">
        <f>INDEX(Data,2,2+MOD(ROWS(C$2:C484)-1,2))</f>
        <v>08.00</v>
      </c>
      <c r="D484" s="39">
        <f t="shared" ca="1" si="36"/>
        <v>755.5</v>
      </c>
      <c r="E484" s="31">
        <f t="shared" ca="1" si="37"/>
        <v>0</v>
      </c>
      <c r="F484" s="40">
        <f t="shared" ca="1" si="38"/>
        <v>29.5</v>
      </c>
      <c r="G484" s="31">
        <f t="shared" ca="1" si="39"/>
        <v>0</v>
      </c>
    </row>
    <row r="485" spans="1:7" x14ac:dyDescent="0.25">
      <c r="A485" s="11">
        <f t="shared" si="35"/>
        <v>44</v>
      </c>
      <c r="B485" t="str">
        <f ca="1">TEXT(DATE(YEAR(Invoer!$A$5),1,1)+INT((ROWS(B$2:B485)-1)/2),"jjjjmmdd")</f>
        <v>19270830</v>
      </c>
      <c r="C485" s="26" t="str">
        <f>INDEX(Data,2,2+MOD(ROWS(C$2:C485)-1,2))</f>
        <v>15.00</v>
      </c>
      <c r="D485" s="39">
        <f t="shared" ca="1" si="36"/>
        <v>753.5</v>
      </c>
      <c r="E485" s="31">
        <f t="shared" ca="1" si="37"/>
        <v>0</v>
      </c>
      <c r="F485" s="40">
        <f t="shared" ca="1" si="38"/>
        <v>31</v>
      </c>
      <c r="G485" s="31">
        <f t="shared" ca="1" si="39"/>
        <v>0</v>
      </c>
    </row>
    <row r="486" spans="1:7" x14ac:dyDescent="0.25">
      <c r="A486" s="11">
        <f t="shared" si="35"/>
        <v>44</v>
      </c>
      <c r="B486" t="str">
        <f ca="1">TEXT(DATE(YEAR(Invoer!$A$5),1,1)+INT((ROWS(B$2:B486)-1)/2),"jjjjmmdd")</f>
        <v>19270831</v>
      </c>
      <c r="C486" s="26" t="str">
        <f>INDEX(Data,2,2+MOD(ROWS(C$2:C486)-1,2))</f>
        <v>08.00</v>
      </c>
      <c r="D486" s="39">
        <f t="shared" ca="1" si="36"/>
        <v>755.5</v>
      </c>
      <c r="E486" s="31">
        <f t="shared" ca="1" si="37"/>
        <v>0</v>
      </c>
      <c r="F486" s="40">
        <f t="shared" ca="1" si="38"/>
        <v>29.5</v>
      </c>
      <c r="G486" s="31">
        <f t="shared" ca="1" si="39"/>
        <v>0</v>
      </c>
    </row>
    <row r="487" spans="1:7" x14ac:dyDescent="0.25">
      <c r="A487" s="11">
        <f t="shared" si="35"/>
        <v>44</v>
      </c>
      <c r="B487" t="str">
        <f ca="1">TEXT(DATE(YEAR(Invoer!$A$5),1,1)+INT((ROWS(B$2:B487)-1)/2),"jjjjmmdd")</f>
        <v>19270831</v>
      </c>
      <c r="C487" s="26" t="str">
        <f>INDEX(Data,2,2+MOD(ROWS(C$2:C487)-1,2))</f>
        <v>15.00</v>
      </c>
      <c r="D487" s="39">
        <f t="shared" ca="1" si="36"/>
        <v>753.5</v>
      </c>
      <c r="E487" s="31">
        <f t="shared" ca="1" si="37"/>
        <v>0</v>
      </c>
      <c r="F487" s="40">
        <f t="shared" ca="1" si="38"/>
        <v>31</v>
      </c>
      <c r="G487" s="31">
        <f t="shared" ca="1" si="39"/>
        <v>0</v>
      </c>
    </row>
    <row r="488" spans="1:7" x14ac:dyDescent="0.25">
      <c r="A488" s="11">
        <f t="shared" si="35"/>
        <v>44</v>
      </c>
      <c r="B488" t="str">
        <f ca="1">TEXT(DATE(YEAR(Invoer!$A$5),1,1)+INT((ROWS(B$2:B488)-1)/2),"jjjjmmdd")</f>
        <v>19270901</v>
      </c>
      <c r="C488" s="26" t="str">
        <f>INDEX(Data,2,2+MOD(ROWS(C$2:C488)-1,2))</f>
        <v>08.00</v>
      </c>
      <c r="D488" s="39">
        <f t="shared" ca="1" si="36"/>
        <v>755.5</v>
      </c>
      <c r="E488" s="31">
        <f t="shared" ca="1" si="37"/>
        <v>0</v>
      </c>
      <c r="F488" s="40">
        <f t="shared" ca="1" si="38"/>
        <v>30</v>
      </c>
      <c r="G488" s="31">
        <f t="shared" ca="1" si="39"/>
        <v>0</v>
      </c>
    </row>
    <row r="489" spans="1:7" x14ac:dyDescent="0.25">
      <c r="A489" s="11">
        <f t="shared" si="35"/>
        <v>44</v>
      </c>
      <c r="B489" t="str">
        <f ca="1">TEXT(DATE(YEAR(Invoer!$A$5),1,1)+INT((ROWS(B$2:B489)-1)/2),"jjjjmmdd")</f>
        <v>19270901</v>
      </c>
      <c r="C489" s="26" t="str">
        <f>INDEX(Data,2,2+MOD(ROWS(C$2:C489)-1,2))</f>
        <v>15.00</v>
      </c>
      <c r="D489" s="39">
        <f t="shared" ca="1" si="36"/>
        <v>753.5</v>
      </c>
      <c r="E489" s="31">
        <f t="shared" ca="1" si="37"/>
        <v>0</v>
      </c>
      <c r="F489" s="40">
        <f t="shared" ca="1" si="38"/>
        <v>31.5</v>
      </c>
      <c r="G489" s="31">
        <f t="shared" ca="1" si="39"/>
        <v>0</v>
      </c>
    </row>
    <row r="490" spans="1:7" x14ac:dyDescent="0.25">
      <c r="A490" s="11">
        <f t="shared" si="35"/>
        <v>44</v>
      </c>
      <c r="B490" t="str">
        <f ca="1">TEXT(DATE(YEAR(Invoer!$A$5),1,1)+INT((ROWS(B$2:B490)-1)/2),"jjjjmmdd")</f>
        <v>19270902</v>
      </c>
      <c r="C490" s="26" t="str">
        <f>INDEX(Data,2,2+MOD(ROWS(C$2:C490)-1,2))</f>
        <v>08.00</v>
      </c>
      <c r="D490" s="39">
        <f t="shared" ca="1" si="36"/>
        <v>755</v>
      </c>
      <c r="E490" s="31">
        <f t="shared" ca="1" si="37"/>
        <v>0</v>
      </c>
      <c r="F490" s="40">
        <f t="shared" ca="1" si="38"/>
        <v>30.5</v>
      </c>
      <c r="G490" s="31">
        <f t="shared" ca="1" si="39"/>
        <v>0</v>
      </c>
    </row>
    <row r="491" spans="1:7" x14ac:dyDescent="0.25">
      <c r="A491" s="11">
        <f t="shared" si="35"/>
        <v>44</v>
      </c>
      <c r="B491" t="str">
        <f ca="1">TEXT(DATE(YEAR(Invoer!$A$5),1,1)+INT((ROWS(B$2:B491)-1)/2),"jjjjmmdd")</f>
        <v>19270902</v>
      </c>
      <c r="C491" s="26" t="str">
        <f>INDEX(Data,2,2+MOD(ROWS(C$2:C491)-1,2))</f>
        <v>15.00</v>
      </c>
      <c r="D491" s="39">
        <f t="shared" ca="1" si="36"/>
        <v>753.5</v>
      </c>
      <c r="E491" s="31">
        <f t="shared" ca="1" si="37"/>
        <v>0</v>
      </c>
      <c r="F491" s="40">
        <f t="shared" ca="1" si="38"/>
        <v>31.5</v>
      </c>
      <c r="G491" s="31">
        <f t="shared" ca="1" si="39"/>
        <v>0</v>
      </c>
    </row>
    <row r="492" spans="1:7" x14ac:dyDescent="0.25">
      <c r="A492" s="11">
        <f t="shared" si="35"/>
        <v>44</v>
      </c>
      <c r="B492" t="str">
        <f ca="1">TEXT(DATE(YEAR(Invoer!$A$5),1,1)+INT((ROWS(B$2:B492)-1)/2),"jjjjmmdd")</f>
        <v>19270903</v>
      </c>
      <c r="C492" s="26" t="str">
        <f>INDEX(Data,2,2+MOD(ROWS(C$2:C492)-1,2))</f>
        <v>08.00</v>
      </c>
      <c r="D492" s="39">
        <f t="shared" ca="1" si="36"/>
        <v>754.5</v>
      </c>
      <c r="E492" s="31">
        <f t="shared" ca="1" si="37"/>
        <v>0</v>
      </c>
      <c r="F492" s="40">
        <f t="shared" ca="1" si="38"/>
        <v>30.5</v>
      </c>
      <c r="G492" s="31">
        <f t="shared" ca="1" si="39"/>
        <v>0</v>
      </c>
    </row>
    <row r="493" spans="1:7" x14ac:dyDescent="0.25">
      <c r="A493" s="11">
        <f t="shared" si="35"/>
        <v>44</v>
      </c>
      <c r="B493" t="str">
        <f ca="1">TEXT(DATE(YEAR(Invoer!$A$5),1,1)+INT((ROWS(B$2:B493)-1)/2),"jjjjmmdd")</f>
        <v>19270903</v>
      </c>
      <c r="C493" s="26" t="str">
        <f>INDEX(Data,2,2+MOD(ROWS(C$2:C493)-1,2))</f>
        <v>15.00</v>
      </c>
      <c r="D493" s="39">
        <f t="shared" ca="1" si="36"/>
        <v>753.5</v>
      </c>
      <c r="E493" s="31">
        <f t="shared" ca="1" si="37"/>
        <v>0</v>
      </c>
      <c r="F493" s="40">
        <f t="shared" ca="1" si="38"/>
        <v>31.5</v>
      </c>
      <c r="G493" s="31">
        <f t="shared" ca="1" si="39"/>
        <v>0</v>
      </c>
    </row>
    <row r="494" spans="1:7" x14ac:dyDescent="0.25">
      <c r="A494" s="11">
        <f t="shared" si="35"/>
        <v>44</v>
      </c>
      <c r="B494" t="str">
        <f ca="1">TEXT(DATE(YEAR(Invoer!$A$5),1,1)+INT((ROWS(B$2:B494)-1)/2),"jjjjmmdd")</f>
        <v>19270904</v>
      </c>
      <c r="C494" s="26" t="str">
        <f>INDEX(Data,2,2+MOD(ROWS(C$2:C494)-1,2))</f>
        <v>08.00</v>
      </c>
      <c r="D494" s="39">
        <f t="shared" ca="1" si="36"/>
        <v>754.5</v>
      </c>
      <c r="E494" s="31">
        <f t="shared" ca="1" si="37"/>
        <v>0</v>
      </c>
      <c r="F494" s="40">
        <f t="shared" ca="1" si="38"/>
        <v>30.5</v>
      </c>
      <c r="G494" s="31">
        <f t="shared" ca="1" si="39"/>
        <v>0</v>
      </c>
    </row>
    <row r="495" spans="1:7" x14ac:dyDescent="0.25">
      <c r="A495" s="11">
        <f t="shared" si="35"/>
        <v>44</v>
      </c>
      <c r="B495" t="str">
        <f ca="1">TEXT(DATE(YEAR(Invoer!$A$5),1,1)+INT((ROWS(B$2:B495)-1)/2),"jjjjmmdd")</f>
        <v>19270904</v>
      </c>
      <c r="C495" s="26" t="str">
        <f>INDEX(Data,2,2+MOD(ROWS(C$2:C495)-1,2))</f>
        <v>15.00</v>
      </c>
      <c r="D495" s="39">
        <f t="shared" ca="1" si="36"/>
        <v>753.5</v>
      </c>
      <c r="E495" s="31">
        <f t="shared" ca="1" si="37"/>
        <v>0</v>
      </c>
      <c r="F495" s="40">
        <f t="shared" ca="1" si="38"/>
        <v>31.5</v>
      </c>
      <c r="G495" s="31">
        <f t="shared" ca="1" si="39"/>
        <v>0</v>
      </c>
    </row>
    <row r="496" spans="1:7" x14ac:dyDescent="0.25">
      <c r="A496" s="11">
        <f t="shared" si="35"/>
        <v>44</v>
      </c>
      <c r="B496" t="str">
        <f ca="1">TEXT(DATE(YEAR(Invoer!$A$5),1,1)+INT((ROWS(B$2:B496)-1)/2),"jjjjmmdd")</f>
        <v>19270905</v>
      </c>
      <c r="C496" s="26" t="str">
        <f>INDEX(Data,2,2+MOD(ROWS(C$2:C496)-1,2))</f>
        <v>08.00</v>
      </c>
      <c r="D496" s="39">
        <f t="shared" ca="1" si="36"/>
        <v>755.5</v>
      </c>
      <c r="E496" s="31">
        <f t="shared" ca="1" si="37"/>
        <v>0</v>
      </c>
      <c r="F496" s="40">
        <f t="shared" ca="1" si="38"/>
        <v>30</v>
      </c>
      <c r="G496" s="31">
        <f t="shared" ca="1" si="39"/>
        <v>0</v>
      </c>
    </row>
    <row r="497" spans="1:7" x14ac:dyDescent="0.25">
      <c r="A497" s="11">
        <f t="shared" si="35"/>
        <v>44</v>
      </c>
      <c r="B497" t="str">
        <f ca="1">TEXT(DATE(YEAR(Invoer!$A$5),1,1)+INT((ROWS(B$2:B497)-1)/2),"jjjjmmdd")</f>
        <v>19270905</v>
      </c>
      <c r="C497" s="26" t="str">
        <f>INDEX(Data,2,2+MOD(ROWS(C$2:C497)-1,2))</f>
        <v>15.00</v>
      </c>
      <c r="D497" s="39">
        <f t="shared" ca="1" si="36"/>
        <v>753.5</v>
      </c>
      <c r="E497" s="31">
        <f t="shared" ca="1" si="37"/>
        <v>0</v>
      </c>
      <c r="F497" s="40">
        <f t="shared" ca="1" si="38"/>
        <v>31.5</v>
      </c>
      <c r="G497" s="31">
        <f t="shared" ca="1" si="39"/>
        <v>0</v>
      </c>
    </row>
    <row r="498" spans="1:7" x14ac:dyDescent="0.25">
      <c r="A498" s="11">
        <f t="shared" si="35"/>
        <v>44</v>
      </c>
      <c r="B498" t="str">
        <f ca="1">TEXT(DATE(YEAR(Invoer!$A$5),1,1)+INT((ROWS(B$2:B498)-1)/2),"jjjjmmdd")</f>
        <v>19270906</v>
      </c>
      <c r="C498" s="26" t="str">
        <f>INDEX(Data,2,2+MOD(ROWS(C$2:C498)-1,2))</f>
        <v>08.00</v>
      </c>
      <c r="D498" s="39">
        <f t="shared" ca="1" si="36"/>
        <v>755</v>
      </c>
      <c r="E498" s="31">
        <f t="shared" ca="1" si="37"/>
        <v>0</v>
      </c>
      <c r="F498" s="40">
        <f t="shared" ca="1" si="38"/>
        <v>31</v>
      </c>
      <c r="G498" s="31">
        <f t="shared" ca="1" si="39"/>
        <v>0</v>
      </c>
    </row>
    <row r="499" spans="1:7" x14ac:dyDescent="0.25">
      <c r="A499" s="11">
        <f t="shared" si="35"/>
        <v>44</v>
      </c>
      <c r="B499" t="str">
        <f ca="1">TEXT(DATE(YEAR(Invoer!$A$5),1,1)+INT((ROWS(B$2:B499)-1)/2),"jjjjmmdd")</f>
        <v>19270906</v>
      </c>
      <c r="C499" s="26" t="str">
        <f>INDEX(Data,2,2+MOD(ROWS(C$2:C499)-1,2))</f>
        <v>15.00</v>
      </c>
      <c r="D499" s="39">
        <f t="shared" ca="1" si="36"/>
        <v>753.5</v>
      </c>
      <c r="E499" s="31">
        <f t="shared" ca="1" si="37"/>
        <v>0</v>
      </c>
      <c r="F499" s="40">
        <f t="shared" ca="1" si="38"/>
        <v>32</v>
      </c>
      <c r="G499" s="31">
        <f t="shared" ca="1" si="39"/>
        <v>0</v>
      </c>
    </row>
    <row r="500" spans="1:7" x14ac:dyDescent="0.25">
      <c r="A500" s="11">
        <f t="shared" si="35"/>
        <v>44</v>
      </c>
      <c r="B500" t="str">
        <f ca="1">TEXT(DATE(YEAR(Invoer!$A$5),1,1)+INT((ROWS(B$2:B500)-1)/2),"jjjjmmdd")</f>
        <v>19270907</v>
      </c>
      <c r="C500" s="26" t="str">
        <f>INDEX(Data,2,2+MOD(ROWS(C$2:C500)-1,2))</f>
        <v>08.00</v>
      </c>
      <c r="D500" s="39">
        <f t="shared" ca="1" si="36"/>
        <v>755.5</v>
      </c>
      <c r="E500" s="31">
        <f t="shared" ca="1" si="37"/>
        <v>0</v>
      </c>
      <c r="F500" s="40">
        <f t="shared" ca="1" si="38"/>
        <v>30</v>
      </c>
      <c r="G500" s="31">
        <f t="shared" ca="1" si="39"/>
        <v>0</v>
      </c>
    </row>
    <row r="501" spans="1:7" x14ac:dyDescent="0.25">
      <c r="A501" s="11">
        <f t="shared" si="35"/>
        <v>44</v>
      </c>
      <c r="B501" t="str">
        <f ca="1">TEXT(DATE(YEAR(Invoer!$A$5),1,1)+INT((ROWS(B$2:B501)-1)/2),"jjjjmmdd")</f>
        <v>19270907</v>
      </c>
      <c r="C501" s="26" t="str">
        <f>INDEX(Data,2,2+MOD(ROWS(C$2:C501)-1,2))</f>
        <v>15.00</v>
      </c>
      <c r="D501" s="39">
        <f t="shared" ca="1" si="36"/>
        <v>754</v>
      </c>
      <c r="E501" s="31">
        <f t="shared" ca="1" si="37"/>
        <v>0</v>
      </c>
      <c r="F501" s="40">
        <f t="shared" ca="1" si="38"/>
        <v>31.5</v>
      </c>
      <c r="G501" s="31">
        <f t="shared" ca="1" si="39"/>
        <v>0</v>
      </c>
    </row>
    <row r="502" spans="1:7" x14ac:dyDescent="0.25">
      <c r="A502" s="11">
        <f t="shared" si="35"/>
        <v>44</v>
      </c>
      <c r="B502" t="str">
        <f ca="1">TEXT(DATE(YEAR(Invoer!$A$5),1,1)+INT((ROWS(B$2:B502)-1)/2),"jjjjmmdd")</f>
        <v>19270908</v>
      </c>
      <c r="C502" s="26" t="str">
        <f>INDEX(Data,2,2+MOD(ROWS(C$2:C502)-1,2))</f>
        <v>08.00</v>
      </c>
      <c r="D502" s="39">
        <f t="shared" ca="1" si="36"/>
        <v>756</v>
      </c>
      <c r="E502" s="31">
        <f t="shared" ca="1" si="37"/>
        <v>0</v>
      </c>
      <c r="F502" s="40">
        <f t="shared" ca="1" si="38"/>
        <v>30</v>
      </c>
      <c r="G502" s="31">
        <f t="shared" ca="1" si="39"/>
        <v>0</v>
      </c>
    </row>
    <row r="503" spans="1:7" x14ac:dyDescent="0.25">
      <c r="A503" s="11">
        <f t="shared" si="35"/>
        <v>44</v>
      </c>
      <c r="B503" t="str">
        <f ca="1">TEXT(DATE(YEAR(Invoer!$A$5),1,1)+INT((ROWS(B$2:B503)-1)/2),"jjjjmmdd")</f>
        <v>19270908</v>
      </c>
      <c r="C503" s="26" t="str">
        <f>INDEX(Data,2,2+MOD(ROWS(C$2:C503)-1,2))</f>
        <v>15.00</v>
      </c>
      <c r="D503" s="39">
        <f t="shared" ca="1" si="36"/>
        <v>755</v>
      </c>
      <c r="E503" s="31">
        <f t="shared" ca="1" si="37"/>
        <v>0</v>
      </c>
      <c r="F503" s="40">
        <f t="shared" ca="1" si="38"/>
        <v>31</v>
      </c>
      <c r="G503" s="31">
        <f t="shared" ca="1" si="39"/>
        <v>0</v>
      </c>
    </row>
    <row r="504" spans="1:7" x14ac:dyDescent="0.25">
      <c r="A504" s="11">
        <f t="shared" si="35"/>
        <v>44</v>
      </c>
      <c r="B504" t="str">
        <f ca="1">TEXT(DATE(YEAR(Invoer!$A$5),1,1)+INT((ROWS(B$2:B504)-1)/2),"jjjjmmdd")</f>
        <v>19270909</v>
      </c>
      <c r="C504" s="26" t="str">
        <f>INDEX(Data,2,2+MOD(ROWS(C$2:C504)-1,2))</f>
        <v>08.00</v>
      </c>
      <c r="D504" s="39">
        <f t="shared" ca="1" si="36"/>
        <v>756.5</v>
      </c>
      <c r="E504" s="31">
        <f t="shared" ca="1" si="37"/>
        <v>0</v>
      </c>
      <c r="F504" s="40">
        <f t="shared" ca="1" si="38"/>
        <v>29.5</v>
      </c>
      <c r="G504" s="31">
        <f t="shared" ca="1" si="39"/>
        <v>0</v>
      </c>
    </row>
    <row r="505" spans="1:7" x14ac:dyDescent="0.25">
      <c r="A505" s="11">
        <f t="shared" si="35"/>
        <v>44</v>
      </c>
      <c r="B505" t="str">
        <f ca="1">TEXT(DATE(YEAR(Invoer!$A$5),1,1)+INT((ROWS(B$2:B505)-1)/2),"jjjjmmdd")</f>
        <v>19270909</v>
      </c>
      <c r="C505" s="26" t="str">
        <f>INDEX(Data,2,2+MOD(ROWS(C$2:C505)-1,2))</f>
        <v>15.00</v>
      </c>
      <c r="D505" s="39">
        <f t="shared" ca="1" si="36"/>
        <v>754.5</v>
      </c>
      <c r="E505" s="31">
        <f t="shared" ca="1" si="37"/>
        <v>0</v>
      </c>
      <c r="F505" s="40">
        <f t="shared" ca="1" si="38"/>
        <v>31.5</v>
      </c>
      <c r="G505" s="31">
        <f t="shared" ca="1" si="39"/>
        <v>0</v>
      </c>
    </row>
    <row r="506" spans="1:7" x14ac:dyDescent="0.25">
      <c r="A506" s="11">
        <f t="shared" si="35"/>
        <v>44</v>
      </c>
      <c r="B506" t="str">
        <f ca="1">TEXT(DATE(YEAR(Invoer!$A$5),1,1)+INT((ROWS(B$2:B506)-1)/2),"jjjjmmdd")</f>
        <v>19270910</v>
      </c>
      <c r="C506" s="26" t="str">
        <f>INDEX(Data,2,2+MOD(ROWS(C$2:C506)-1,2))</f>
        <v>08.00</v>
      </c>
      <c r="D506" s="39">
        <f t="shared" ca="1" si="36"/>
        <v>756.5</v>
      </c>
      <c r="E506" s="31">
        <f t="shared" ca="1" si="37"/>
        <v>0</v>
      </c>
      <c r="F506" s="40">
        <f t="shared" ca="1" si="38"/>
        <v>29.5</v>
      </c>
      <c r="G506" s="31">
        <f t="shared" ca="1" si="39"/>
        <v>0</v>
      </c>
    </row>
    <row r="507" spans="1:7" x14ac:dyDescent="0.25">
      <c r="A507" s="11">
        <f t="shared" si="35"/>
        <v>44</v>
      </c>
      <c r="B507" t="str">
        <f ca="1">TEXT(DATE(YEAR(Invoer!$A$5),1,1)+INT((ROWS(B$2:B507)-1)/2),"jjjjmmdd")</f>
        <v>19270910</v>
      </c>
      <c r="C507" s="26" t="str">
        <f>INDEX(Data,2,2+MOD(ROWS(C$2:C507)-1,2))</f>
        <v>15.00</v>
      </c>
      <c r="D507" s="39">
        <f t="shared" ca="1" si="36"/>
        <v>754</v>
      </c>
      <c r="E507" s="31">
        <f t="shared" ca="1" si="37"/>
        <v>0</v>
      </c>
      <c r="F507" s="40">
        <f t="shared" ca="1" si="38"/>
        <v>31.5</v>
      </c>
      <c r="G507" s="31">
        <f t="shared" ca="1" si="39"/>
        <v>0</v>
      </c>
    </row>
    <row r="508" spans="1:7" x14ac:dyDescent="0.25">
      <c r="A508" s="11">
        <f t="shared" si="35"/>
        <v>44</v>
      </c>
      <c r="B508" t="str">
        <f ca="1">TEXT(DATE(YEAR(Invoer!$A$5),1,1)+INT((ROWS(B$2:B508)-1)/2),"jjjjmmdd")</f>
        <v>19270911</v>
      </c>
      <c r="C508" s="26" t="str">
        <f>INDEX(Data,2,2+MOD(ROWS(C$2:C508)-1,2))</f>
        <v>08.00</v>
      </c>
      <c r="D508" s="39">
        <f t="shared" ca="1" si="36"/>
        <v>756.5</v>
      </c>
      <c r="E508" s="31">
        <f t="shared" ca="1" si="37"/>
        <v>0</v>
      </c>
      <c r="F508" s="40">
        <f t="shared" ca="1" si="38"/>
        <v>29.5</v>
      </c>
      <c r="G508" s="31">
        <f t="shared" ca="1" si="39"/>
        <v>0</v>
      </c>
    </row>
    <row r="509" spans="1:7" x14ac:dyDescent="0.25">
      <c r="A509" s="11">
        <f t="shared" si="35"/>
        <v>44</v>
      </c>
      <c r="B509" t="str">
        <f ca="1">TEXT(DATE(YEAR(Invoer!$A$5),1,1)+INT((ROWS(B$2:B509)-1)/2),"jjjjmmdd")</f>
        <v>19270911</v>
      </c>
      <c r="C509" s="26" t="str">
        <f>INDEX(Data,2,2+MOD(ROWS(C$2:C509)-1,2))</f>
        <v>15.00</v>
      </c>
      <c r="D509" s="39">
        <f t="shared" ca="1" si="36"/>
        <v>754</v>
      </c>
      <c r="E509" s="31">
        <f t="shared" ca="1" si="37"/>
        <v>0</v>
      </c>
      <c r="F509" s="40">
        <f t="shared" ca="1" si="38"/>
        <v>31.5</v>
      </c>
      <c r="G509" s="31">
        <f t="shared" ca="1" si="39"/>
        <v>0</v>
      </c>
    </row>
    <row r="510" spans="1:7" x14ac:dyDescent="0.25">
      <c r="A510" s="11">
        <f t="shared" si="35"/>
        <v>44</v>
      </c>
      <c r="B510" t="str">
        <f ca="1">TEXT(DATE(YEAR(Invoer!$A$5),1,1)+INT((ROWS(B$2:B510)-1)/2),"jjjjmmdd")</f>
        <v>19270912</v>
      </c>
      <c r="C510" s="26" t="str">
        <f>INDEX(Data,2,2+MOD(ROWS(C$2:C510)-1,2))</f>
        <v>08.00</v>
      </c>
      <c r="D510" s="39">
        <f t="shared" ca="1" si="36"/>
        <v>756.5</v>
      </c>
      <c r="E510" s="31">
        <f t="shared" ca="1" si="37"/>
        <v>0</v>
      </c>
      <c r="F510" s="40">
        <f t="shared" ca="1" si="38"/>
        <v>29.5</v>
      </c>
      <c r="G510" s="31">
        <f t="shared" ca="1" si="39"/>
        <v>0</v>
      </c>
    </row>
    <row r="511" spans="1:7" x14ac:dyDescent="0.25">
      <c r="A511" s="11">
        <f t="shared" si="35"/>
        <v>44</v>
      </c>
      <c r="B511" t="str">
        <f ca="1">TEXT(DATE(YEAR(Invoer!$A$5),1,1)+INT((ROWS(B$2:B511)-1)/2),"jjjjmmdd")</f>
        <v>19270912</v>
      </c>
      <c r="C511" s="26" t="str">
        <f>INDEX(Data,2,2+MOD(ROWS(C$2:C511)-1,2))</f>
        <v>15.00</v>
      </c>
      <c r="D511" s="39">
        <f t="shared" ca="1" si="36"/>
        <v>754</v>
      </c>
      <c r="E511" s="31">
        <f t="shared" ca="1" si="37"/>
        <v>0</v>
      </c>
      <c r="F511" s="40">
        <f t="shared" ca="1" si="38"/>
        <v>31.5</v>
      </c>
      <c r="G511" s="31">
        <f t="shared" ca="1" si="39"/>
        <v>0</v>
      </c>
    </row>
    <row r="512" spans="1:7" x14ac:dyDescent="0.25">
      <c r="A512" s="11">
        <f t="shared" si="35"/>
        <v>44</v>
      </c>
      <c r="B512" t="str">
        <f ca="1">TEXT(DATE(YEAR(Invoer!$A$5),1,1)+INT((ROWS(B$2:B512)-1)/2),"jjjjmmdd")</f>
        <v>19270913</v>
      </c>
      <c r="C512" s="26" t="str">
        <f>INDEX(Data,2,2+MOD(ROWS(C$2:C512)-1,2))</f>
        <v>08.00</v>
      </c>
      <c r="D512" s="39">
        <f t="shared" ca="1" si="36"/>
        <v>756.5</v>
      </c>
      <c r="E512" s="31">
        <f t="shared" ca="1" si="37"/>
        <v>0</v>
      </c>
      <c r="F512" s="40">
        <f t="shared" ca="1" si="38"/>
        <v>29.5</v>
      </c>
      <c r="G512" s="31">
        <f t="shared" ca="1" si="39"/>
        <v>0</v>
      </c>
    </row>
    <row r="513" spans="1:7" x14ac:dyDescent="0.25">
      <c r="A513" s="11">
        <f t="shared" si="35"/>
        <v>44</v>
      </c>
      <c r="B513" t="str">
        <f ca="1">TEXT(DATE(YEAR(Invoer!$A$5),1,1)+INT((ROWS(B$2:B513)-1)/2),"jjjjmmdd")</f>
        <v>19270913</v>
      </c>
      <c r="C513" s="26" t="str">
        <f>INDEX(Data,2,2+MOD(ROWS(C$2:C513)-1,2))</f>
        <v>15.00</v>
      </c>
      <c r="D513" s="39">
        <f t="shared" ca="1" si="36"/>
        <v>754</v>
      </c>
      <c r="E513" s="31">
        <f t="shared" ca="1" si="37"/>
        <v>0</v>
      </c>
      <c r="F513" s="40">
        <f t="shared" ca="1" si="38"/>
        <v>31.5</v>
      </c>
      <c r="G513" s="31">
        <f t="shared" ca="1" si="39"/>
        <v>0</v>
      </c>
    </row>
    <row r="514" spans="1:7" x14ac:dyDescent="0.25">
      <c r="A514" s="11">
        <f t="shared" ref="A514:A577" si="40">INDEX(Stations,2,1)</f>
        <v>44</v>
      </c>
      <c r="B514" t="str">
        <f ca="1">TEXT(DATE(YEAR(Invoer!$A$5),1,1)+INT((ROWS(B$2:B514)-1)/2),"jjjjmmdd")</f>
        <v>19270914</v>
      </c>
      <c r="C514" s="26" t="str">
        <f>INDEX(Data,2,2+MOD(ROWS(C$2:C514)-1,2))</f>
        <v>08.00</v>
      </c>
      <c r="D514" s="39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/10)</f>
        <v>755.5</v>
      </c>
      <c r="E514" s="31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0</v>
      </c>
      <c r="F514" s="40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VLOOKUP(DATEVALUE(LEFT($B514,4)&amp;"-"&amp;MID($B514,5,2)&amp;"-"&amp;RIGHT($B514,2)),Data,MATCH(LEFT(VLOOKUP(F$1,Parameters,2,FALSE()),4)&amp;"*",OFFSET(Data,0,0,1),0)+MATCH($C514,OFFSET(Data,1,0,1),0)-2,FALSE())/10)</f>
        <v>30</v>
      </c>
      <c r="G514" s="31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0</v>
      </c>
    </row>
    <row r="515" spans="1:7" x14ac:dyDescent="0.25">
      <c r="A515" s="11">
        <f t="shared" si="40"/>
        <v>44</v>
      </c>
      <c r="B515" t="str">
        <f ca="1">TEXT(DATE(YEAR(Invoer!$A$5),1,1)+INT((ROWS(B$2:B515)-1)/2),"jjjjmmdd")</f>
        <v>19270914</v>
      </c>
      <c r="C515" s="26" t="str">
        <f>INDEX(Data,2,2+MOD(ROWS(C$2:C515)-1,2))</f>
        <v>15.00</v>
      </c>
      <c r="D515" s="39">
        <f t="shared" ca="1" si="41"/>
        <v>755</v>
      </c>
      <c r="E515" s="31">
        <f t="shared" ca="1" si="42"/>
        <v>0</v>
      </c>
      <c r="F515" s="40">
        <f t="shared" ca="1" si="43"/>
        <v>31.5</v>
      </c>
      <c r="G515" s="31">
        <f t="shared" ca="1" si="44"/>
        <v>0</v>
      </c>
    </row>
    <row r="516" spans="1:7" x14ac:dyDescent="0.25">
      <c r="A516" s="11">
        <f t="shared" si="40"/>
        <v>44</v>
      </c>
      <c r="B516" t="str">
        <f ca="1">TEXT(DATE(YEAR(Invoer!$A$5),1,1)+INT((ROWS(B$2:B516)-1)/2),"jjjjmmdd")</f>
        <v>19270915</v>
      </c>
      <c r="C516" s="26" t="str">
        <f>INDEX(Data,2,2+MOD(ROWS(C$2:C516)-1,2))</f>
        <v>08.00</v>
      </c>
      <c r="D516" s="39">
        <f t="shared" ca="1" si="41"/>
        <v>755</v>
      </c>
      <c r="E516" s="31">
        <f t="shared" ca="1" si="42"/>
        <v>0</v>
      </c>
      <c r="F516" s="40">
        <f t="shared" ca="1" si="43"/>
        <v>30</v>
      </c>
      <c r="G516" s="31">
        <f t="shared" ca="1" si="44"/>
        <v>0</v>
      </c>
    </row>
    <row r="517" spans="1:7" x14ac:dyDescent="0.25">
      <c r="A517" s="11">
        <f t="shared" si="40"/>
        <v>44</v>
      </c>
      <c r="B517" t="str">
        <f ca="1">TEXT(DATE(YEAR(Invoer!$A$5),1,1)+INT((ROWS(B$2:B517)-1)/2),"jjjjmmdd")</f>
        <v>19270915</v>
      </c>
      <c r="C517" s="26" t="str">
        <f>INDEX(Data,2,2+MOD(ROWS(C$2:C517)-1,2))</f>
        <v>15.00</v>
      </c>
      <c r="D517" s="39">
        <f t="shared" ca="1" si="41"/>
        <v>754</v>
      </c>
      <c r="E517" s="31">
        <f t="shared" ca="1" si="42"/>
        <v>0</v>
      </c>
      <c r="F517" s="40">
        <f t="shared" ca="1" si="43"/>
        <v>31.5</v>
      </c>
      <c r="G517" s="31">
        <f t="shared" ca="1" si="44"/>
        <v>0</v>
      </c>
    </row>
    <row r="518" spans="1:7" x14ac:dyDescent="0.25">
      <c r="A518" s="11">
        <f t="shared" si="40"/>
        <v>44</v>
      </c>
      <c r="B518" t="str">
        <f ca="1">TEXT(DATE(YEAR(Invoer!$A$5),1,1)+INT((ROWS(B$2:B518)-1)/2),"jjjjmmdd")</f>
        <v>19270916</v>
      </c>
      <c r="C518" s="26" t="str">
        <f>INDEX(Data,2,2+MOD(ROWS(C$2:C518)-1,2))</f>
        <v>08.00</v>
      </c>
      <c r="D518" s="39">
        <f t="shared" ca="1" si="41"/>
        <v>755.5</v>
      </c>
      <c r="E518" s="31">
        <f t="shared" ca="1" si="42"/>
        <v>0</v>
      </c>
      <c r="F518" s="40">
        <f t="shared" ca="1" si="43"/>
        <v>30.5</v>
      </c>
      <c r="G518" s="31">
        <f t="shared" ca="1" si="44"/>
        <v>0</v>
      </c>
    </row>
    <row r="519" spans="1:7" x14ac:dyDescent="0.25">
      <c r="A519" s="11">
        <f t="shared" si="40"/>
        <v>44</v>
      </c>
      <c r="B519" t="str">
        <f ca="1">TEXT(DATE(YEAR(Invoer!$A$5),1,1)+INT((ROWS(B$2:B519)-1)/2),"jjjjmmdd")</f>
        <v>19270916</v>
      </c>
      <c r="C519" s="26" t="str">
        <f>INDEX(Data,2,2+MOD(ROWS(C$2:C519)-1,2))</f>
        <v>15.00</v>
      </c>
      <c r="D519" s="39">
        <f t="shared" ca="1" si="41"/>
        <v>753</v>
      </c>
      <c r="E519" s="31">
        <f t="shared" ca="1" si="42"/>
        <v>0</v>
      </c>
      <c r="F519" s="40">
        <f t="shared" ca="1" si="43"/>
        <v>31.5</v>
      </c>
      <c r="G519" s="31">
        <f t="shared" ca="1" si="44"/>
        <v>0</v>
      </c>
    </row>
    <row r="520" spans="1:7" x14ac:dyDescent="0.25">
      <c r="A520" s="11">
        <f t="shared" si="40"/>
        <v>44</v>
      </c>
      <c r="B520" t="str">
        <f ca="1">TEXT(DATE(YEAR(Invoer!$A$5),1,1)+INT((ROWS(B$2:B520)-1)/2),"jjjjmmdd")</f>
        <v>19270917</v>
      </c>
      <c r="C520" s="26" t="str">
        <f>INDEX(Data,2,2+MOD(ROWS(C$2:C520)-1,2))</f>
        <v>08.00</v>
      </c>
      <c r="D520" s="39">
        <f t="shared" ca="1" si="41"/>
        <v>755.5</v>
      </c>
      <c r="E520" s="31">
        <f t="shared" ca="1" si="42"/>
        <v>0</v>
      </c>
      <c r="F520" s="40">
        <f t="shared" ca="1" si="43"/>
        <v>30.5</v>
      </c>
      <c r="G520" s="31">
        <f t="shared" ca="1" si="44"/>
        <v>0</v>
      </c>
    </row>
    <row r="521" spans="1:7" x14ac:dyDescent="0.25">
      <c r="A521" s="11">
        <f t="shared" si="40"/>
        <v>44</v>
      </c>
      <c r="B521" t="str">
        <f ca="1">TEXT(DATE(YEAR(Invoer!$A$5),1,1)+INT((ROWS(B$2:B521)-1)/2),"jjjjmmdd")</f>
        <v>19270917</v>
      </c>
      <c r="C521" s="26" t="str">
        <f>INDEX(Data,2,2+MOD(ROWS(C$2:C521)-1,2))</f>
        <v>15.00</v>
      </c>
      <c r="D521" s="39">
        <f t="shared" ca="1" si="41"/>
        <v>753</v>
      </c>
      <c r="E521" s="31">
        <f t="shared" ca="1" si="42"/>
        <v>0</v>
      </c>
      <c r="F521" s="40">
        <f t="shared" ca="1" si="43"/>
        <v>31.5</v>
      </c>
      <c r="G521" s="31">
        <f t="shared" ca="1" si="44"/>
        <v>0</v>
      </c>
    </row>
    <row r="522" spans="1:7" x14ac:dyDescent="0.25">
      <c r="A522" s="11">
        <f t="shared" si="40"/>
        <v>44</v>
      </c>
      <c r="B522" t="str">
        <f ca="1">TEXT(DATE(YEAR(Invoer!$A$5),1,1)+INT((ROWS(B$2:B522)-1)/2),"jjjjmmdd")</f>
        <v>19270918</v>
      </c>
      <c r="C522" s="26" t="str">
        <f>INDEX(Data,2,2+MOD(ROWS(C$2:C522)-1,2))</f>
        <v>08.00</v>
      </c>
      <c r="D522" s="39">
        <f t="shared" ca="1" si="41"/>
        <v>755.5</v>
      </c>
      <c r="E522" s="31">
        <f t="shared" ca="1" si="42"/>
        <v>0</v>
      </c>
      <c r="F522" s="40">
        <f t="shared" ca="1" si="43"/>
        <v>30.5</v>
      </c>
      <c r="G522" s="31">
        <f t="shared" ca="1" si="44"/>
        <v>0</v>
      </c>
    </row>
    <row r="523" spans="1:7" x14ac:dyDescent="0.25">
      <c r="A523" s="11">
        <f t="shared" si="40"/>
        <v>44</v>
      </c>
      <c r="B523" t="str">
        <f ca="1">TEXT(DATE(YEAR(Invoer!$A$5),1,1)+INT((ROWS(B$2:B523)-1)/2),"jjjjmmdd")</f>
        <v>19270918</v>
      </c>
      <c r="C523" s="26" t="str">
        <f>INDEX(Data,2,2+MOD(ROWS(C$2:C523)-1,2))</f>
        <v>15.00</v>
      </c>
      <c r="D523" s="39">
        <f t="shared" ca="1" si="41"/>
        <v>753</v>
      </c>
      <c r="E523" s="31">
        <f t="shared" ca="1" si="42"/>
        <v>0</v>
      </c>
      <c r="F523" s="40">
        <f t="shared" ca="1" si="43"/>
        <v>31.5</v>
      </c>
      <c r="G523" s="31">
        <f t="shared" ca="1" si="44"/>
        <v>0</v>
      </c>
    </row>
    <row r="524" spans="1:7" x14ac:dyDescent="0.25">
      <c r="A524" s="11">
        <f t="shared" si="40"/>
        <v>44</v>
      </c>
      <c r="B524" t="str">
        <f ca="1">TEXT(DATE(YEAR(Invoer!$A$5),1,1)+INT((ROWS(B$2:B524)-1)/2),"jjjjmmdd")</f>
        <v>19270919</v>
      </c>
      <c r="C524" s="26" t="str">
        <f>INDEX(Data,2,2+MOD(ROWS(C$2:C524)-1,2))</f>
        <v>08.00</v>
      </c>
      <c r="D524" s="39">
        <f t="shared" ca="1" si="41"/>
        <v>755.5</v>
      </c>
      <c r="E524" s="31">
        <f t="shared" ca="1" si="42"/>
        <v>0</v>
      </c>
      <c r="F524" s="40">
        <f t="shared" ca="1" si="43"/>
        <v>30</v>
      </c>
      <c r="G524" s="31">
        <f t="shared" ca="1" si="44"/>
        <v>0</v>
      </c>
    </row>
    <row r="525" spans="1:7" x14ac:dyDescent="0.25">
      <c r="A525" s="11">
        <f t="shared" si="40"/>
        <v>44</v>
      </c>
      <c r="B525" t="str">
        <f ca="1">TEXT(DATE(YEAR(Invoer!$A$5),1,1)+INT((ROWS(B$2:B525)-1)/2),"jjjjmmdd")</f>
        <v>19270919</v>
      </c>
      <c r="C525" s="26" t="str">
        <f>INDEX(Data,2,2+MOD(ROWS(C$2:C525)-1,2))</f>
        <v>15.00</v>
      </c>
      <c r="D525" s="39">
        <f t="shared" ca="1" si="41"/>
        <v>753.5</v>
      </c>
      <c r="E525" s="31">
        <f t="shared" ca="1" si="42"/>
        <v>0</v>
      </c>
      <c r="F525" s="40">
        <f t="shared" ca="1" si="43"/>
        <v>31.5</v>
      </c>
      <c r="G525" s="31">
        <f t="shared" ca="1" si="44"/>
        <v>0</v>
      </c>
    </row>
    <row r="526" spans="1:7" x14ac:dyDescent="0.25">
      <c r="A526" s="11">
        <f t="shared" si="40"/>
        <v>44</v>
      </c>
      <c r="B526" t="str">
        <f ca="1">TEXT(DATE(YEAR(Invoer!$A$5),1,1)+INT((ROWS(B$2:B526)-1)/2),"jjjjmmdd")</f>
        <v>19270920</v>
      </c>
      <c r="C526" s="26" t="str">
        <f>INDEX(Data,2,2+MOD(ROWS(C$2:C526)-1,2))</f>
        <v>08.00</v>
      </c>
      <c r="D526" s="39">
        <f t="shared" ca="1" si="41"/>
        <v>756</v>
      </c>
      <c r="E526" s="31">
        <f t="shared" ca="1" si="42"/>
        <v>0</v>
      </c>
      <c r="F526" s="40">
        <f t="shared" ca="1" si="43"/>
        <v>30</v>
      </c>
      <c r="G526" s="31">
        <f t="shared" ca="1" si="44"/>
        <v>0</v>
      </c>
    </row>
    <row r="527" spans="1:7" x14ac:dyDescent="0.25">
      <c r="A527" s="11">
        <f t="shared" si="40"/>
        <v>44</v>
      </c>
      <c r="B527" t="str">
        <f ca="1">TEXT(DATE(YEAR(Invoer!$A$5),1,1)+INT((ROWS(B$2:B527)-1)/2),"jjjjmmdd")</f>
        <v>19270920</v>
      </c>
      <c r="C527" s="26" t="str">
        <f>INDEX(Data,2,2+MOD(ROWS(C$2:C527)-1,2))</f>
        <v>15.00</v>
      </c>
      <c r="D527" s="39">
        <f t="shared" ca="1" si="41"/>
        <v>755</v>
      </c>
      <c r="E527" s="31">
        <f t="shared" ca="1" si="42"/>
        <v>0</v>
      </c>
      <c r="F527" s="40">
        <f t="shared" ca="1" si="43"/>
        <v>31.5</v>
      </c>
      <c r="G527" s="31">
        <f t="shared" ca="1" si="44"/>
        <v>0</v>
      </c>
    </row>
    <row r="528" spans="1:7" x14ac:dyDescent="0.25">
      <c r="A528" s="11">
        <f t="shared" si="40"/>
        <v>44</v>
      </c>
      <c r="B528" t="str">
        <f ca="1">TEXT(DATE(YEAR(Invoer!$A$5),1,1)+INT((ROWS(B$2:B528)-1)/2),"jjjjmmdd")</f>
        <v>19270921</v>
      </c>
      <c r="C528" s="26" t="str">
        <f>INDEX(Data,2,2+MOD(ROWS(C$2:C528)-1,2))</f>
        <v>08.00</v>
      </c>
      <c r="D528" s="39">
        <f t="shared" ca="1" si="41"/>
        <v>755.5</v>
      </c>
      <c r="E528" s="31">
        <f t="shared" ca="1" si="42"/>
        <v>0</v>
      </c>
      <c r="F528" s="40">
        <f t="shared" ca="1" si="43"/>
        <v>30.5</v>
      </c>
      <c r="G528" s="31">
        <f t="shared" ca="1" si="44"/>
        <v>0</v>
      </c>
    </row>
    <row r="529" spans="1:7" x14ac:dyDescent="0.25">
      <c r="A529" s="11">
        <f t="shared" si="40"/>
        <v>44</v>
      </c>
      <c r="B529" t="str">
        <f ca="1">TEXT(DATE(YEAR(Invoer!$A$5),1,1)+INT((ROWS(B$2:B529)-1)/2),"jjjjmmdd")</f>
        <v>19270921</v>
      </c>
      <c r="C529" s="26" t="str">
        <f>INDEX(Data,2,2+MOD(ROWS(C$2:C529)-1,2))</f>
        <v>15.00</v>
      </c>
      <c r="D529" s="39">
        <f t="shared" ca="1" si="41"/>
        <v>754</v>
      </c>
      <c r="E529" s="31">
        <f t="shared" ca="1" si="42"/>
        <v>0</v>
      </c>
      <c r="F529" s="40">
        <f t="shared" ca="1" si="43"/>
        <v>31</v>
      </c>
      <c r="G529" s="31">
        <f t="shared" ca="1" si="44"/>
        <v>0</v>
      </c>
    </row>
    <row r="530" spans="1:7" x14ac:dyDescent="0.25">
      <c r="A530" s="11">
        <f t="shared" si="40"/>
        <v>44</v>
      </c>
      <c r="B530" t="str">
        <f ca="1">TEXT(DATE(YEAR(Invoer!$A$5),1,1)+INT((ROWS(B$2:B530)-1)/2),"jjjjmmdd")</f>
        <v>19270922</v>
      </c>
      <c r="C530" s="26" t="str">
        <f>INDEX(Data,2,2+MOD(ROWS(C$2:C530)-1,2))</f>
        <v>08.00</v>
      </c>
      <c r="D530" s="39">
        <f t="shared" ca="1" si="41"/>
        <v>756</v>
      </c>
      <c r="E530" s="31">
        <f t="shared" ca="1" si="42"/>
        <v>0</v>
      </c>
      <c r="F530" s="40">
        <f t="shared" ca="1" si="43"/>
        <v>30</v>
      </c>
      <c r="G530" s="31">
        <f t="shared" ca="1" si="44"/>
        <v>0</v>
      </c>
    </row>
    <row r="531" spans="1:7" x14ac:dyDescent="0.25">
      <c r="A531" s="11">
        <f t="shared" si="40"/>
        <v>44</v>
      </c>
      <c r="B531" t="str">
        <f ca="1">TEXT(DATE(YEAR(Invoer!$A$5),1,1)+INT((ROWS(B$2:B531)-1)/2),"jjjjmmdd")</f>
        <v>19270922</v>
      </c>
      <c r="C531" s="26" t="str">
        <f>INDEX(Data,2,2+MOD(ROWS(C$2:C531)-1,2))</f>
        <v>15.00</v>
      </c>
      <c r="D531" s="39">
        <f t="shared" ca="1" si="41"/>
        <v>753.5</v>
      </c>
      <c r="E531" s="31">
        <f t="shared" ca="1" si="42"/>
        <v>0</v>
      </c>
      <c r="F531" s="40">
        <f t="shared" ca="1" si="43"/>
        <v>31.5</v>
      </c>
      <c r="G531" s="31">
        <f t="shared" ca="1" si="44"/>
        <v>0</v>
      </c>
    </row>
    <row r="532" spans="1:7" x14ac:dyDescent="0.25">
      <c r="A532" s="11">
        <f t="shared" si="40"/>
        <v>44</v>
      </c>
      <c r="B532" t="str">
        <f ca="1">TEXT(DATE(YEAR(Invoer!$A$5),1,1)+INT((ROWS(B$2:B532)-1)/2),"jjjjmmdd")</f>
        <v>19270923</v>
      </c>
      <c r="C532" s="26" t="str">
        <f>INDEX(Data,2,2+MOD(ROWS(C$2:C532)-1,2))</f>
        <v>08.00</v>
      </c>
      <c r="D532" s="39">
        <f t="shared" ca="1" si="41"/>
        <v>755.5</v>
      </c>
      <c r="E532" s="31">
        <f t="shared" ca="1" si="42"/>
        <v>0</v>
      </c>
      <c r="F532" s="40">
        <f t="shared" ca="1" si="43"/>
        <v>29.5</v>
      </c>
      <c r="G532" s="31">
        <f t="shared" ca="1" si="44"/>
        <v>0</v>
      </c>
    </row>
    <row r="533" spans="1:7" x14ac:dyDescent="0.25">
      <c r="A533" s="11">
        <f t="shared" si="40"/>
        <v>44</v>
      </c>
      <c r="B533" t="str">
        <f ca="1">TEXT(DATE(YEAR(Invoer!$A$5),1,1)+INT((ROWS(B$2:B533)-1)/2),"jjjjmmdd")</f>
        <v>19270923</v>
      </c>
      <c r="C533" s="26" t="str">
        <f>INDEX(Data,2,2+MOD(ROWS(C$2:C533)-1,2))</f>
        <v>15.00</v>
      </c>
      <c r="D533" s="39">
        <f t="shared" ca="1" si="41"/>
        <v>753.5</v>
      </c>
      <c r="E533" s="31">
        <f t="shared" ca="1" si="42"/>
        <v>0</v>
      </c>
      <c r="F533" s="40">
        <f t="shared" ca="1" si="43"/>
        <v>31.5</v>
      </c>
      <c r="G533" s="31">
        <f t="shared" ca="1" si="44"/>
        <v>0</v>
      </c>
    </row>
    <row r="534" spans="1:7" x14ac:dyDescent="0.25">
      <c r="A534" s="11">
        <f t="shared" si="40"/>
        <v>44</v>
      </c>
      <c r="B534" t="str">
        <f ca="1">TEXT(DATE(YEAR(Invoer!$A$5),1,1)+INT((ROWS(B$2:B534)-1)/2),"jjjjmmdd")</f>
        <v>19270924</v>
      </c>
      <c r="C534" s="26" t="str">
        <f>INDEX(Data,2,2+MOD(ROWS(C$2:C534)-1,2))</f>
        <v>08.00</v>
      </c>
      <c r="D534" s="39">
        <f t="shared" ca="1" si="41"/>
        <v>755.5</v>
      </c>
      <c r="E534" s="31">
        <f t="shared" ca="1" si="42"/>
        <v>0</v>
      </c>
      <c r="F534" s="40">
        <f t="shared" ca="1" si="43"/>
        <v>30</v>
      </c>
      <c r="G534" s="31">
        <f t="shared" ca="1" si="44"/>
        <v>0</v>
      </c>
    </row>
    <row r="535" spans="1:7" x14ac:dyDescent="0.25">
      <c r="A535" s="11">
        <f t="shared" si="40"/>
        <v>44</v>
      </c>
      <c r="B535" t="str">
        <f ca="1">TEXT(DATE(YEAR(Invoer!$A$5),1,1)+INT((ROWS(B$2:B535)-1)/2),"jjjjmmdd")</f>
        <v>19270924</v>
      </c>
      <c r="C535" s="26" t="str">
        <f>INDEX(Data,2,2+MOD(ROWS(C$2:C535)-1,2))</f>
        <v>15.00</v>
      </c>
      <c r="D535" s="39">
        <f t="shared" ca="1" si="41"/>
        <v>752.5</v>
      </c>
      <c r="E535" s="31">
        <f t="shared" ca="1" si="42"/>
        <v>0</v>
      </c>
      <c r="F535" s="40">
        <f t="shared" ca="1" si="43"/>
        <v>32</v>
      </c>
      <c r="G535" s="31">
        <f t="shared" ca="1" si="44"/>
        <v>0</v>
      </c>
    </row>
    <row r="536" spans="1:7" x14ac:dyDescent="0.25">
      <c r="A536" s="11">
        <f t="shared" si="40"/>
        <v>44</v>
      </c>
      <c r="B536" t="str">
        <f ca="1">TEXT(DATE(YEAR(Invoer!$A$5),1,1)+INT((ROWS(B$2:B536)-1)/2),"jjjjmmdd")</f>
        <v>19270925</v>
      </c>
      <c r="C536" s="26" t="str">
        <f>INDEX(Data,2,2+MOD(ROWS(C$2:C536)-1,2))</f>
        <v>08.00</v>
      </c>
      <c r="D536" s="39">
        <f t="shared" ca="1" si="41"/>
        <v>756</v>
      </c>
      <c r="E536" s="31">
        <f t="shared" ca="1" si="42"/>
        <v>0</v>
      </c>
      <c r="F536" s="40">
        <f t="shared" ca="1" si="43"/>
        <v>31</v>
      </c>
      <c r="G536" s="31">
        <f t="shared" ca="1" si="44"/>
        <v>0</v>
      </c>
    </row>
    <row r="537" spans="1:7" x14ac:dyDescent="0.25">
      <c r="A537" s="11">
        <f t="shared" si="40"/>
        <v>44</v>
      </c>
      <c r="B537" t="str">
        <f ca="1">TEXT(DATE(YEAR(Invoer!$A$5),1,1)+INT((ROWS(B$2:B537)-1)/2),"jjjjmmdd")</f>
        <v>19270925</v>
      </c>
      <c r="C537" s="26" t="str">
        <f>INDEX(Data,2,2+MOD(ROWS(C$2:C537)-1,2))</f>
        <v>15.00</v>
      </c>
      <c r="D537" s="39">
        <f t="shared" ca="1" si="41"/>
        <v>754</v>
      </c>
      <c r="E537" s="31">
        <f t="shared" ca="1" si="42"/>
        <v>0</v>
      </c>
      <c r="F537" s="40">
        <f t="shared" ca="1" si="43"/>
        <v>31.5</v>
      </c>
      <c r="G537" s="31">
        <f t="shared" ca="1" si="44"/>
        <v>0</v>
      </c>
    </row>
    <row r="538" spans="1:7" x14ac:dyDescent="0.25">
      <c r="A538" s="11">
        <f t="shared" si="40"/>
        <v>44</v>
      </c>
      <c r="B538" t="str">
        <f ca="1">TEXT(DATE(YEAR(Invoer!$A$5),1,1)+INT((ROWS(B$2:B538)-1)/2),"jjjjmmdd")</f>
        <v>19270926</v>
      </c>
      <c r="C538" s="26" t="str">
        <f>INDEX(Data,2,2+MOD(ROWS(C$2:C538)-1,2))</f>
        <v>08.00</v>
      </c>
      <c r="D538" s="39">
        <f t="shared" ca="1" si="41"/>
        <v>756</v>
      </c>
      <c r="E538" s="31">
        <f t="shared" ca="1" si="42"/>
        <v>0</v>
      </c>
      <c r="F538" s="40">
        <f t="shared" ca="1" si="43"/>
        <v>31</v>
      </c>
      <c r="G538" s="31">
        <f t="shared" ca="1" si="44"/>
        <v>0</v>
      </c>
    </row>
    <row r="539" spans="1:7" x14ac:dyDescent="0.25">
      <c r="A539" s="11">
        <f t="shared" si="40"/>
        <v>44</v>
      </c>
      <c r="B539" t="str">
        <f ca="1">TEXT(DATE(YEAR(Invoer!$A$5),1,1)+INT((ROWS(B$2:B539)-1)/2),"jjjjmmdd")</f>
        <v>19270926</v>
      </c>
      <c r="C539" s="26" t="str">
        <f>INDEX(Data,2,2+MOD(ROWS(C$2:C539)-1,2))</f>
        <v>15.00</v>
      </c>
      <c r="D539" s="39">
        <f t="shared" ca="1" si="41"/>
        <v>754</v>
      </c>
      <c r="E539" s="31">
        <f t="shared" ca="1" si="42"/>
        <v>0</v>
      </c>
      <c r="F539" s="40">
        <f t="shared" ca="1" si="43"/>
        <v>31</v>
      </c>
      <c r="G539" s="31">
        <f t="shared" ca="1" si="44"/>
        <v>0</v>
      </c>
    </row>
    <row r="540" spans="1:7" x14ac:dyDescent="0.25">
      <c r="A540" s="11">
        <f t="shared" si="40"/>
        <v>44</v>
      </c>
      <c r="B540" t="str">
        <f ca="1">TEXT(DATE(YEAR(Invoer!$A$5),1,1)+INT((ROWS(B$2:B540)-1)/2),"jjjjmmdd")</f>
        <v>19270927</v>
      </c>
      <c r="C540" s="26" t="str">
        <f>INDEX(Data,2,2+MOD(ROWS(C$2:C540)-1,2))</f>
        <v>08.00</v>
      </c>
      <c r="D540" s="39">
        <f t="shared" ca="1" si="41"/>
        <v>756</v>
      </c>
      <c r="E540" s="31">
        <f t="shared" ca="1" si="42"/>
        <v>0</v>
      </c>
      <c r="F540" s="40">
        <f t="shared" ca="1" si="43"/>
        <v>30</v>
      </c>
      <c r="G540" s="31">
        <f t="shared" ca="1" si="44"/>
        <v>0</v>
      </c>
    </row>
    <row r="541" spans="1:7" x14ac:dyDescent="0.25">
      <c r="A541" s="11">
        <f t="shared" si="40"/>
        <v>44</v>
      </c>
      <c r="B541" t="str">
        <f ca="1">TEXT(DATE(YEAR(Invoer!$A$5),1,1)+INT((ROWS(B$2:B541)-1)/2),"jjjjmmdd")</f>
        <v>19270927</v>
      </c>
      <c r="C541" s="26" t="str">
        <f>INDEX(Data,2,2+MOD(ROWS(C$2:C541)-1,2))</f>
        <v>15.00</v>
      </c>
      <c r="D541" s="39">
        <f t="shared" ca="1" si="41"/>
        <v>754.5</v>
      </c>
      <c r="E541" s="31">
        <f t="shared" ca="1" si="42"/>
        <v>0</v>
      </c>
      <c r="F541" s="40">
        <f t="shared" ca="1" si="43"/>
        <v>31</v>
      </c>
      <c r="G541" s="31">
        <f t="shared" ca="1" si="44"/>
        <v>0</v>
      </c>
    </row>
    <row r="542" spans="1:7" x14ac:dyDescent="0.25">
      <c r="A542" s="11">
        <f t="shared" si="40"/>
        <v>44</v>
      </c>
      <c r="B542" t="str">
        <f ca="1">TEXT(DATE(YEAR(Invoer!$A$5),1,1)+INT((ROWS(B$2:B542)-1)/2),"jjjjmmdd")</f>
        <v>19270928</v>
      </c>
      <c r="C542" s="26" t="str">
        <f>INDEX(Data,2,2+MOD(ROWS(C$2:C542)-1,2))</f>
        <v>08.00</v>
      </c>
      <c r="D542" s="39">
        <f t="shared" ca="1" si="41"/>
        <v>755.5</v>
      </c>
      <c r="E542" s="31">
        <f t="shared" ca="1" si="42"/>
        <v>0</v>
      </c>
      <c r="F542" s="40">
        <f t="shared" ca="1" si="43"/>
        <v>30</v>
      </c>
      <c r="G542" s="31">
        <f t="shared" ca="1" si="44"/>
        <v>0</v>
      </c>
    </row>
    <row r="543" spans="1:7" x14ac:dyDescent="0.25">
      <c r="A543" s="11">
        <f t="shared" si="40"/>
        <v>44</v>
      </c>
      <c r="B543" t="str">
        <f ca="1">TEXT(DATE(YEAR(Invoer!$A$5),1,1)+INT((ROWS(B$2:B543)-1)/2),"jjjjmmdd")</f>
        <v>19270928</v>
      </c>
      <c r="C543" s="26" t="str">
        <f>INDEX(Data,2,2+MOD(ROWS(C$2:C543)-1,2))</f>
        <v>15.00</v>
      </c>
      <c r="D543" s="39">
        <f t="shared" ca="1" si="41"/>
        <v>753</v>
      </c>
      <c r="E543" s="31">
        <f t="shared" ca="1" si="42"/>
        <v>0</v>
      </c>
      <c r="F543" s="40">
        <f t="shared" ca="1" si="43"/>
        <v>32</v>
      </c>
      <c r="G543" s="31">
        <f t="shared" ca="1" si="44"/>
        <v>0</v>
      </c>
    </row>
    <row r="544" spans="1:7" x14ac:dyDescent="0.25">
      <c r="A544" s="11">
        <f t="shared" si="40"/>
        <v>44</v>
      </c>
      <c r="B544" t="str">
        <f ca="1">TEXT(DATE(YEAR(Invoer!$A$5),1,1)+INT((ROWS(B$2:B544)-1)/2),"jjjjmmdd")</f>
        <v>19270929</v>
      </c>
      <c r="C544" s="26" t="str">
        <f>INDEX(Data,2,2+MOD(ROWS(C$2:C544)-1,2))</f>
        <v>08.00</v>
      </c>
      <c r="D544" s="39">
        <f t="shared" ca="1" si="41"/>
        <v>754.5</v>
      </c>
      <c r="E544" s="31">
        <f t="shared" ca="1" si="42"/>
        <v>0</v>
      </c>
      <c r="F544" s="40">
        <f t="shared" ca="1" si="43"/>
        <v>31.5</v>
      </c>
      <c r="G544" s="31">
        <f t="shared" ca="1" si="44"/>
        <v>0</v>
      </c>
    </row>
    <row r="545" spans="1:7" x14ac:dyDescent="0.25">
      <c r="A545" s="11">
        <f t="shared" si="40"/>
        <v>44</v>
      </c>
      <c r="B545" t="str">
        <f ca="1">TEXT(DATE(YEAR(Invoer!$A$5),1,1)+INT((ROWS(B$2:B545)-1)/2),"jjjjmmdd")</f>
        <v>19270929</v>
      </c>
      <c r="C545" s="26" t="str">
        <f>INDEX(Data,2,2+MOD(ROWS(C$2:C545)-1,2))</f>
        <v>15.00</v>
      </c>
      <c r="D545" s="39">
        <f t="shared" ca="1" si="41"/>
        <v>753</v>
      </c>
      <c r="E545" s="31">
        <f t="shared" ca="1" si="42"/>
        <v>0</v>
      </c>
      <c r="F545" s="40">
        <f t="shared" ca="1" si="43"/>
        <v>32</v>
      </c>
      <c r="G545" s="31">
        <f t="shared" ca="1" si="44"/>
        <v>0</v>
      </c>
    </row>
    <row r="546" spans="1:7" x14ac:dyDescent="0.25">
      <c r="A546" s="11">
        <f t="shared" si="40"/>
        <v>44</v>
      </c>
      <c r="B546" t="str">
        <f ca="1">TEXT(DATE(YEAR(Invoer!$A$5),1,1)+INT((ROWS(B$2:B546)-1)/2),"jjjjmmdd")</f>
        <v>19270930</v>
      </c>
      <c r="C546" s="26" t="str">
        <f>INDEX(Data,2,2+MOD(ROWS(C$2:C546)-1,2))</f>
        <v>08.00</v>
      </c>
      <c r="D546" s="39">
        <f t="shared" ca="1" si="41"/>
        <v>754.5</v>
      </c>
      <c r="E546" s="31">
        <f t="shared" ca="1" si="42"/>
        <v>0</v>
      </c>
      <c r="F546" s="40">
        <f t="shared" ca="1" si="43"/>
        <v>31.5</v>
      </c>
      <c r="G546" s="31">
        <f t="shared" ca="1" si="44"/>
        <v>0</v>
      </c>
    </row>
    <row r="547" spans="1:7" x14ac:dyDescent="0.25">
      <c r="A547" s="11">
        <f t="shared" si="40"/>
        <v>44</v>
      </c>
      <c r="B547" t="str">
        <f ca="1">TEXT(DATE(YEAR(Invoer!$A$5),1,1)+INT((ROWS(B$2:B547)-1)/2),"jjjjmmdd")</f>
        <v>19270930</v>
      </c>
      <c r="C547" s="26" t="str">
        <f>INDEX(Data,2,2+MOD(ROWS(C$2:C547)-1,2))</f>
        <v>15.00</v>
      </c>
      <c r="D547" s="39">
        <f t="shared" ca="1" si="41"/>
        <v>753</v>
      </c>
      <c r="E547" s="31">
        <f t="shared" ca="1" si="42"/>
        <v>0</v>
      </c>
      <c r="F547" s="40">
        <f t="shared" ca="1" si="43"/>
        <v>32</v>
      </c>
      <c r="G547" s="31">
        <f t="shared" ca="1" si="44"/>
        <v>0</v>
      </c>
    </row>
    <row r="548" spans="1:7" x14ac:dyDescent="0.25">
      <c r="A548" s="11">
        <f t="shared" si="40"/>
        <v>44</v>
      </c>
      <c r="B548" t="str">
        <f ca="1">TEXT(DATE(YEAR(Invoer!$A$5),1,1)+INT((ROWS(B$2:B548)-1)/2),"jjjjmmdd")</f>
        <v>19271001</v>
      </c>
      <c r="C548" s="26" t="str">
        <f>INDEX(Data,2,2+MOD(ROWS(C$2:C548)-1,2))</f>
        <v>08.00</v>
      </c>
      <c r="D548" s="39">
        <f t="shared" ca="1" si="41"/>
        <v>755.5</v>
      </c>
      <c r="E548" s="31">
        <f t="shared" ca="1" si="42"/>
        <v>0</v>
      </c>
      <c r="F548" s="40">
        <f t="shared" ca="1" si="43"/>
        <v>31</v>
      </c>
      <c r="G548" s="31">
        <f t="shared" ca="1" si="44"/>
        <v>0</v>
      </c>
    </row>
    <row r="549" spans="1:7" x14ac:dyDescent="0.25">
      <c r="A549" s="11">
        <f t="shared" si="40"/>
        <v>44</v>
      </c>
      <c r="B549" t="str">
        <f ca="1">TEXT(DATE(YEAR(Invoer!$A$5),1,1)+INT((ROWS(B$2:B549)-1)/2),"jjjjmmdd")</f>
        <v>19271001</v>
      </c>
      <c r="C549" s="26" t="str">
        <f>INDEX(Data,2,2+MOD(ROWS(C$2:C549)-1,2))</f>
        <v>15.00</v>
      </c>
      <c r="D549" s="39">
        <f t="shared" ca="1" si="41"/>
        <v>754</v>
      </c>
      <c r="E549" s="31">
        <f t="shared" ca="1" si="42"/>
        <v>0</v>
      </c>
      <c r="F549" s="40">
        <f t="shared" ca="1" si="43"/>
        <v>32</v>
      </c>
      <c r="G549" s="31">
        <f t="shared" ca="1" si="44"/>
        <v>0</v>
      </c>
    </row>
    <row r="550" spans="1:7" x14ac:dyDescent="0.25">
      <c r="A550" s="11">
        <f t="shared" si="40"/>
        <v>44</v>
      </c>
      <c r="B550" t="str">
        <f ca="1">TEXT(DATE(YEAR(Invoer!$A$5),1,1)+INT((ROWS(B$2:B550)-1)/2),"jjjjmmdd")</f>
        <v>19271002</v>
      </c>
      <c r="C550" s="26" t="str">
        <f>INDEX(Data,2,2+MOD(ROWS(C$2:C550)-1,2))</f>
        <v>08.00</v>
      </c>
      <c r="D550" s="39">
        <f t="shared" ca="1" si="41"/>
        <v>755.5</v>
      </c>
      <c r="E550" s="31">
        <f t="shared" ca="1" si="42"/>
        <v>0</v>
      </c>
      <c r="F550" s="40">
        <f t="shared" ca="1" si="43"/>
        <v>31</v>
      </c>
      <c r="G550" s="31">
        <f t="shared" ca="1" si="44"/>
        <v>0</v>
      </c>
    </row>
    <row r="551" spans="1:7" x14ac:dyDescent="0.25">
      <c r="A551" s="11">
        <f t="shared" si="40"/>
        <v>44</v>
      </c>
      <c r="B551" t="str">
        <f ca="1">TEXT(DATE(YEAR(Invoer!$A$5),1,1)+INT((ROWS(B$2:B551)-1)/2),"jjjjmmdd")</f>
        <v>19271002</v>
      </c>
      <c r="C551" s="26" t="str">
        <f>INDEX(Data,2,2+MOD(ROWS(C$2:C551)-1,2))</f>
        <v>15.00</v>
      </c>
      <c r="D551" s="39">
        <f t="shared" ca="1" si="41"/>
        <v>754</v>
      </c>
      <c r="E551" s="31">
        <f t="shared" ca="1" si="42"/>
        <v>0</v>
      </c>
      <c r="F551" s="40">
        <f t="shared" ca="1" si="43"/>
        <v>32</v>
      </c>
      <c r="G551" s="31">
        <f t="shared" ca="1" si="44"/>
        <v>0</v>
      </c>
    </row>
    <row r="552" spans="1:7" x14ac:dyDescent="0.25">
      <c r="A552" s="11">
        <f t="shared" si="40"/>
        <v>44</v>
      </c>
      <c r="B552" t="str">
        <f ca="1">TEXT(DATE(YEAR(Invoer!$A$5),1,1)+INT((ROWS(B$2:B552)-1)/2),"jjjjmmdd")</f>
        <v>19271003</v>
      </c>
      <c r="C552" s="26" t="str">
        <f>INDEX(Data,2,2+MOD(ROWS(C$2:C552)-1,2))</f>
        <v>08.00</v>
      </c>
      <c r="D552" s="39">
        <f t="shared" ca="1" si="41"/>
        <v>756</v>
      </c>
      <c r="E552" s="31">
        <f t="shared" ca="1" si="42"/>
        <v>0</v>
      </c>
      <c r="F552" s="40">
        <f t="shared" ca="1" si="43"/>
        <v>30.5</v>
      </c>
      <c r="G552" s="31">
        <f t="shared" ca="1" si="44"/>
        <v>0</v>
      </c>
    </row>
    <row r="553" spans="1:7" x14ac:dyDescent="0.25">
      <c r="A553" s="11">
        <f t="shared" si="40"/>
        <v>44</v>
      </c>
      <c r="B553" t="str">
        <f ca="1">TEXT(DATE(YEAR(Invoer!$A$5),1,1)+INT((ROWS(B$2:B553)-1)/2),"jjjjmmdd")</f>
        <v>19271003</v>
      </c>
      <c r="C553" s="26" t="str">
        <f>INDEX(Data,2,2+MOD(ROWS(C$2:C553)-1,2))</f>
        <v>15.00</v>
      </c>
      <c r="D553" s="39">
        <f t="shared" ca="1" si="41"/>
        <v>754.5</v>
      </c>
      <c r="E553" s="31">
        <f t="shared" ca="1" si="42"/>
        <v>0</v>
      </c>
      <c r="F553" s="40">
        <f t="shared" ca="1" si="43"/>
        <v>32</v>
      </c>
      <c r="G553" s="31">
        <f t="shared" ca="1" si="44"/>
        <v>0</v>
      </c>
    </row>
    <row r="554" spans="1:7" x14ac:dyDescent="0.25">
      <c r="A554" s="11">
        <f t="shared" si="40"/>
        <v>44</v>
      </c>
      <c r="B554" t="str">
        <f ca="1">TEXT(DATE(YEAR(Invoer!$A$5),1,1)+INT((ROWS(B$2:B554)-1)/2),"jjjjmmdd")</f>
        <v>19271004</v>
      </c>
      <c r="C554" s="26" t="str">
        <f>INDEX(Data,2,2+MOD(ROWS(C$2:C554)-1,2))</f>
        <v>08.00</v>
      </c>
      <c r="D554" s="39">
        <f t="shared" ca="1" si="41"/>
        <v>756</v>
      </c>
      <c r="E554" s="31">
        <f t="shared" ca="1" si="42"/>
        <v>0</v>
      </c>
      <c r="F554" s="40">
        <f t="shared" ca="1" si="43"/>
        <v>30.5</v>
      </c>
      <c r="G554" s="31">
        <f t="shared" ca="1" si="44"/>
        <v>0</v>
      </c>
    </row>
    <row r="555" spans="1:7" x14ac:dyDescent="0.25">
      <c r="A555" s="11">
        <f t="shared" si="40"/>
        <v>44</v>
      </c>
      <c r="B555" t="str">
        <f ca="1">TEXT(DATE(YEAR(Invoer!$A$5),1,1)+INT((ROWS(B$2:B555)-1)/2),"jjjjmmdd")</f>
        <v>19271004</v>
      </c>
      <c r="C555" s="26" t="str">
        <f>INDEX(Data,2,2+MOD(ROWS(C$2:C555)-1,2))</f>
        <v>15.00</v>
      </c>
      <c r="D555" s="39">
        <f t="shared" ca="1" si="41"/>
        <v>753.5</v>
      </c>
      <c r="E555" s="31">
        <f t="shared" ca="1" si="42"/>
        <v>0</v>
      </c>
      <c r="F555" s="40">
        <f t="shared" ca="1" si="43"/>
        <v>32</v>
      </c>
      <c r="G555" s="31">
        <f t="shared" ca="1" si="44"/>
        <v>0</v>
      </c>
    </row>
    <row r="556" spans="1:7" x14ac:dyDescent="0.25">
      <c r="A556" s="11">
        <f t="shared" si="40"/>
        <v>44</v>
      </c>
      <c r="B556" t="str">
        <f ca="1">TEXT(DATE(YEAR(Invoer!$A$5),1,1)+INT((ROWS(B$2:B556)-1)/2),"jjjjmmdd")</f>
        <v>19271005</v>
      </c>
      <c r="C556" s="26" t="str">
        <f>INDEX(Data,2,2+MOD(ROWS(C$2:C556)-1,2))</f>
        <v>08.00</v>
      </c>
      <c r="D556" s="39">
        <f t="shared" ca="1" si="41"/>
        <v>756</v>
      </c>
      <c r="E556" s="31">
        <f t="shared" ca="1" si="42"/>
        <v>0</v>
      </c>
      <c r="F556" s="40">
        <f t="shared" ca="1" si="43"/>
        <v>31</v>
      </c>
      <c r="G556" s="31">
        <f t="shared" ca="1" si="44"/>
        <v>0</v>
      </c>
    </row>
    <row r="557" spans="1:7" x14ac:dyDescent="0.25">
      <c r="A557" s="11">
        <f t="shared" si="40"/>
        <v>44</v>
      </c>
      <c r="B557" t="str">
        <f ca="1">TEXT(DATE(YEAR(Invoer!$A$5),1,1)+INT((ROWS(B$2:B557)-1)/2),"jjjjmmdd")</f>
        <v>19271005</v>
      </c>
      <c r="C557" s="26" t="str">
        <f>INDEX(Data,2,2+MOD(ROWS(C$2:C557)-1,2))</f>
        <v>15.00</v>
      </c>
      <c r="D557" s="39">
        <f t="shared" ca="1" si="41"/>
        <v>753</v>
      </c>
      <c r="E557" s="31">
        <f t="shared" ca="1" si="42"/>
        <v>0</v>
      </c>
      <c r="F557" s="40">
        <f t="shared" ca="1" si="43"/>
        <v>32</v>
      </c>
      <c r="G557" s="31">
        <f t="shared" ca="1" si="44"/>
        <v>0</v>
      </c>
    </row>
    <row r="558" spans="1:7" x14ac:dyDescent="0.25">
      <c r="A558" s="11">
        <f t="shared" si="40"/>
        <v>44</v>
      </c>
      <c r="B558" t="str">
        <f ca="1">TEXT(DATE(YEAR(Invoer!$A$5),1,1)+INT((ROWS(B$2:B558)-1)/2),"jjjjmmdd")</f>
        <v>19271006</v>
      </c>
      <c r="C558" s="26" t="str">
        <f>INDEX(Data,2,2+MOD(ROWS(C$2:C558)-1,2))</f>
        <v>08.00</v>
      </c>
      <c r="D558" s="39">
        <f t="shared" ca="1" si="41"/>
        <v>755.5</v>
      </c>
      <c r="E558" s="31">
        <f t="shared" ca="1" si="42"/>
        <v>0</v>
      </c>
      <c r="F558" s="40">
        <f t="shared" ca="1" si="43"/>
        <v>31</v>
      </c>
      <c r="G558" s="31">
        <f t="shared" ca="1" si="44"/>
        <v>0</v>
      </c>
    </row>
    <row r="559" spans="1:7" x14ac:dyDescent="0.25">
      <c r="A559" s="11">
        <f t="shared" si="40"/>
        <v>44</v>
      </c>
      <c r="B559" t="str">
        <f ca="1">TEXT(DATE(YEAR(Invoer!$A$5),1,1)+INT((ROWS(B$2:B559)-1)/2),"jjjjmmdd")</f>
        <v>19271006</v>
      </c>
      <c r="C559" s="26" t="str">
        <f>INDEX(Data,2,2+MOD(ROWS(C$2:C559)-1,2))</f>
        <v>15.00</v>
      </c>
      <c r="D559" s="39">
        <f t="shared" ca="1" si="41"/>
        <v>754</v>
      </c>
      <c r="E559" s="31">
        <f t="shared" ca="1" si="42"/>
        <v>0</v>
      </c>
      <c r="F559" s="40">
        <f t="shared" ca="1" si="43"/>
        <v>32</v>
      </c>
      <c r="G559" s="31">
        <f t="shared" ca="1" si="44"/>
        <v>0</v>
      </c>
    </row>
    <row r="560" spans="1:7" x14ac:dyDescent="0.25">
      <c r="A560" s="11">
        <f t="shared" si="40"/>
        <v>44</v>
      </c>
      <c r="B560" t="str">
        <f ca="1">TEXT(DATE(YEAR(Invoer!$A$5),1,1)+INT((ROWS(B$2:B560)-1)/2),"jjjjmmdd")</f>
        <v>19271007</v>
      </c>
      <c r="C560" s="26" t="str">
        <f>INDEX(Data,2,2+MOD(ROWS(C$2:C560)-1,2))</f>
        <v>08.00</v>
      </c>
      <c r="D560" s="39">
        <f t="shared" ca="1" si="41"/>
        <v>756</v>
      </c>
      <c r="E560" s="31">
        <f t="shared" ca="1" si="42"/>
        <v>0</v>
      </c>
      <c r="F560" s="40">
        <f t="shared" ca="1" si="43"/>
        <v>31</v>
      </c>
      <c r="G560" s="31">
        <f t="shared" ca="1" si="44"/>
        <v>0</v>
      </c>
    </row>
    <row r="561" spans="1:7" x14ac:dyDescent="0.25">
      <c r="A561" s="11">
        <f t="shared" si="40"/>
        <v>44</v>
      </c>
      <c r="B561" t="str">
        <f ca="1">TEXT(DATE(YEAR(Invoer!$A$5),1,1)+INT((ROWS(B$2:B561)-1)/2),"jjjjmmdd")</f>
        <v>19271007</v>
      </c>
      <c r="C561" s="26" t="str">
        <f>INDEX(Data,2,2+MOD(ROWS(C$2:C561)-1,2))</f>
        <v>15.00</v>
      </c>
      <c r="D561" s="39">
        <f t="shared" ca="1" si="41"/>
        <v>755</v>
      </c>
      <c r="E561" s="31">
        <f t="shared" ca="1" si="42"/>
        <v>0</v>
      </c>
      <c r="F561" s="40">
        <f t="shared" ca="1" si="43"/>
        <v>32</v>
      </c>
      <c r="G561" s="31">
        <f t="shared" ca="1" si="44"/>
        <v>0</v>
      </c>
    </row>
    <row r="562" spans="1:7" x14ac:dyDescent="0.25">
      <c r="A562" s="11">
        <f t="shared" si="40"/>
        <v>44</v>
      </c>
      <c r="B562" t="str">
        <f ca="1">TEXT(DATE(YEAR(Invoer!$A$5),1,1)+INT((ROWS(B$2:B562)-1)/2),"jjjjmmdd")</f>
        <v>19271008</v>
      </c>
      <c r="C562" s="26" t="str">
        <f>INDEX(Data,2,2+MOD(ROWS(C$2:C562)-1,2))</f>
        <v>08.00</v>
      </c>
      <c r="D562" s="39">
        <f t="shared" ca="1" si="41"/>
        <v>754.5</v>
      </c>
      <c r="E562" s="31">
        <f t="shared" ca="1" si="42"/>
        <v>0</v>
      </c>
      <c r="F562" s="40">
        <f t="shared" ca="1" si="43"/>
        <v>31</v>
      </c>
      <c r="G562" s="31">
        <f t="shared" ca="1" si="44"/>
        <v>0</v>
      </c>
    </row>
    <row r="563" spans="1:7" x14ac:dyDescent="0.25">
      <c r="A563" s="11">
        <f t="shared" si="40"/>
        <v>44</v>
      </c>
      <c r="B563" t="str">
        <f ca="1">TEXT(DATE(YEAR(Invoer!$A$5),1,1)+INT((ROWS(B$2:B563)-1)/2),"jjjjmmdd")</f>
        <v>19271008</v>
      </c>
      <c r="C563" s="26" t="str">
        <f>INDEX(Data,2,2+MOD(ROWS(C$2:C563)-1,2))</f>
        <v>15.00</v>
      </c>
      <c r="D563" s="39">
        <f t="shared" ca="1" si="41"/>
        <v>752</v>
      </c>
      <c r="E563" s="31">
        <f t="shared" ca="1" si="42"/>
        <v>0</v>
      </c>
      <c r="F563" s="40">
        <f t="shared" ca="1" si="43"/>
        <v>32</v>
      </c>
      <c r="G563" s="31">
        <f t="shared" ca="1" si="44"/>
        <v>0</v>
      </c>
    </row>
    <row r="564" spans="1:7" x14ac:dyDescent="0.25">
      <c r="A564" s="11">
        <f t="shared" si="40"/>
        <v>44</v>
      </c>
      <c r="B564" t="str">
        <f ca="1">TEXT(DATE(YEAR(Invoer!$A$5),1,1)+INT((ROWS(B$2:B564)-1)/2),"jjjjmmdd")</f>
        <v>19271009</v>
      </c>
      <c r="C564" s="26" t="str">
        <f>INDEX(Data,2,2+MOD(ROWS(C$2:C564)-1,2))</f>
        <v>08.00</v>
      </c>
      <c r="D564" s="39">
        <f t="shared" ca="1" si="41"/>
        <v>754.5</v>
      </c>
      <c r="E564" s="31">
        <f t="shared" ca="1" si="42"/>
        <v>0</v>
      </c>
      <c r="F564" s="40">
        <f t="shared" ca="1" si="43"/>
        <v>31</v>
      </c>
      <c r="G564" s="31">
        <f t="shared" ca="1" si="44"/>
        <v>0</v>
      </c>
    </row>
    <row r="565" spans="1:7" x14ac:dyDescent="0.25">
      <c r="A565" s="11">
        <f t="shared" si="40"/>
        <v>44</v>
      </c>
      <c r="B565" t="str">
        <f ca="1">TEXT(DATE(YEAR(Invoer!$A$5),1,1)+INT((ROWS(B$2:B565)-1)/2),"jjjjmmdd")</f>
        <v>19271009</v>
      </c>
      <c r="C565" s="26" t="str">
        <f>INDEX(Data,2,2+MOD(ROWS(C$2:C565)-1,2))</f>
        <v>15.00</v>
      </c>
      <c r="D565" s="39">
        <f t="shared" ca="1" si="41"/>
        <v>752</v>
      </c>
      <c r="E565" s="31">
        <f t="shared" ca="1" si="42"/>
        <v>0</v>
      </c>
      <c r="F565" s="40">
        <f t="shared" ca="1" si="43"/>
        <v>32</v>
      </c>
      <c r="G565" s="31">
        <f t="shared" ca="1" si="44"/>
        <v>0</v>
      </c>
    </row>
    <row r="566" spans="1:7" x14ac:dyDescent="0.25">
      <c r="A566" s="11">
        <f t="shared" si="40"/>
        <v>44</v>
      </c>
      <c r="B566" t="str">
        <f ca="1">TEXT(DATE(YEAR(Invoer!$A$5),1,1)+INT((ROWS(B$2:B566)-1)/2),"jjjjmmdd")</f>
        <v>19271010</v>
      </c>
      <c r="C566" s="26" t="str">
        <f>INDEX(Data,2,2+MOD(ROWS(C$2:C566)-1,2))</f>
        <v>08.00</v>
      </c>
      <c r="D566" s="39">
        <f t="shared" ca="1" si="41"/>
        <v>755.5</v>
      </c>
      <c r="E566" s="31">
        <f t="shared" ca="1" si="42"/>
        <v>0</v>
      </c>
      <c r="F566" s="40">
        <f t="shared" ca="1" si="43"/>
        <v>31</v>
      </c>
      <c r="G566" s="31">
        <f t="shared" ca="1" si="44"/>
        <v>0</v>
      </c>
    </row>
    <row r="567" spans="1:7" x14ac:dyDescent="0.25">
      <c r="A567" s="11">
        <f t="shared" si="40"/>
        <v>44</v>
      </c>
      <c r="B567" t="str">
        <f ca="1">TEXT(DATE(YEAR(Invoer!$A$5),1,1)+INT((ROWS(B$2:B567)-1)/2),"jjjjmmdd")</f>
        <v>19271010</v>
      </c>
      <c r="C567" s="26" t="str">
        <f>INDEX(Data,2,2+MOD(ROWS(C$2:C567)-1,2))</f>
        <v>15.00</v>
      </c>
      <c r="D567" s="39">
        <f t="shared" ca="1" si="41"/>
        <v>752.5</v>
      </c>
      <c r="E567" s="31">
        <f t="shared" ca="1" si="42"/>
        <v>0</v>
      </c>
      <c r="F567" s="40">
        <f t="shared" ca="1" si="43"/>
        <v>32</v>
      </c>
      <c r="G567" s="31">
        <f t="shared" ca="1" si="44"/>
        <v>0</v>
      </c>
    </row>
    <row r="568" spans="1:7" x14ac:dyDescent="0.25">
      <c r="A568" s="11">
        <f t="shared" si="40"/>
        <v>44</v>
      </c>
      <c r="B568" t="str">
        <f ca="1">TEXT(DATE(YEAR(Invoer!$A$5),1,1)+INT((ROWS(B$2:B568)-1)/2),"jjjjmmdd")</f>
        <v>19271011</v>
      </c>
      <c r="C568" s="26" t="str">
        <f>INDEX(Data,2,2+MOD(ROWS(C$2:C568)-1,2))</f>
        <v>08.00</v>
      </c>
      <c r="D568" s="39">
        <f t="shared" ca="1" si="41"/>
        <v>755.5</v>
      </c>
      <c r="E568" s="31">
        <f t="shared" ca="1" si="42"/>
        <v>0</v>
      </c>
      <c r="F568" s="40">
        <f t="shared" ca="1" si="43"/>
        <v>31</v>
      </c>
      <c r="G568" s="31">
        <f t="shared" ca="1" si="44"/>
        <v>0</v>
      </c>
    </row>
    <row r="569" spans="1:7" x14ac:dyDescent="0.25">
      <c r="A569" s="11">
        <f t="shared" si="40"/>
        <v>44</v>
      </c>
      <c r="B569" t="str">
        <f ca="1">TEXT(DATE(YEAR(Invoer!$A$5),1,1)+INT((ROWS(B$2:B569)-1)/2),"jjjjmmdd")</f>
        <v>19271011</v>
      </c>
      <c r="C569" s="26" t="str">
        <f>INDEX(Data,2,2+MOD(ROWS(C$2:C569)-1,2))</f>
        <v>15.00</v>
      </c>
      <c r="D569" s="39">
        <f t="shared" ca="1" si="41"/>
        <v>753</v>
      </c>
      <c r="E569" s="31">
        <f t="shared" ca="1" si="42"/>
        <v>0</v>
      </c>
      <c r="F569" s="40">
        <f t="shared" ca="1" si="43"/>
        <v>32</v>
      </c>
      <c r="G569" s="31">
        <f t="shared" ca="1" si="44"/>
        <v>0</v>
      </c>
    </row>
    <row r="570" spans="1:7" x14ac:dyDescent="0.25">
      <c r="A570" s="11">
        <f t="shared" si="40"/>
        <v>44</v>
      </c>
      <c r="B570" t="str">
        <f ca="1">TEXT(DATE(YEAR(Invoer!$A$5),1,1)+INT((ROWS(B$2:B570)-1)/2),"jjjjmmdd")</f>
        <v>19271012</v>
      </c>
      <c r="C570" s="26" t="str">
        <f>INDEX(Data,2,2+MOD(ROWS(C$2:C570)-1,2))</f>
        <v>08.00</v>
      </c>
      <c r="D570" s="39">
        <f t="shared" ca="1" si="41"/>
        <v>755.5</v>
      </c>
      <c r="E570" s="31">
        <f t="shared" ca="1" si="42"/>
        <v>0</v>
      </c>
      <c r="F570" s="40">
        <f t="shared" ca="1" si="43"/>
        <v>31</v>
      </c>
      <c r="G570" s="31">
        <f t="shared" ca="1" si="44"/>
        <v>0</v>
      </c>
    </row>
    <row r="571" spans="1:7" x14ac:dyDescent="0.25">
      <c r="A571" s="11">
        <f t="shared" si="40"/>
        <v>44</v>
      </c>
      <c r="B571" t="str">
        <f ca="1">TEXT(DATE(YEAR(Invoer!$A$5),1,1)+INT((ROWS(B$2:B571)-1)/2),"jjjjmmdd")</f>
        <v>19271012</v>
      </c>
      <c r="C571" s="26" t="str">
        <f>INDEX(Data,2,2+MOD(ROWS(C$2:C571)-1,2))</f>
        <v>15.00</v>
      </c>
      <c r="D571" s="39">
        <f t="shared" ca="1" si="41"/>
        <v>752.5</v>
      </c>
      <c r="E571" s="31">
        <f t="shared" ca="1" si="42"/>
        <v>0</v>
      </c>
      <c r="F571" s="40">
        <f t="shared" ca="1" si="43"/>
        <v>32</v>
      </c>
      <c r="G571" s="31">
        <f t="shared" ca="1" si="44"/>
        <v>0</v>
      </c>
    </row>
    <row r="572" spans="1:7" x14ac:dyDescent="0.25">
      <c r="A572" s="11">
        <f t="shared" si="40"/>
        <v>44</v>
      </c>
      <c r="B572" t="str">
        <f ca="1">TEXT(DATE(YEAR(Invoer!$A$5),1,1)+INT((ROWS(B$2:B572)-1)/2),"jjjjmmdd")</f>
        <v>19271013</v>
      </c>
      <c r="C572" s="26" t="str">
        <f>INDEX(Data,2,2+MOD(ROWS(C$2:C572)-1,2))</f>
        <v>08.00</v>
      </c>
      <c r="D572" s="39">
        <f t="shared" ca="1" si="41"/>
        <v>755.5</v>
      </c>
      <c r="E572" s="31">
        <f t="shared" ca="1" si="42"/>
        <v>0</v>
      </c>
      <c r="F572" s="40">
        <f t="shared" ca="1" si="43"/>
        <v>31</v>
      </c>
      <c r="G572" s="31">
        <f t="shared" ca="1" si="44"/>
        <v>0</v>
      </c>
    </row>
    <row r="573" spans="1:7" x14ac:dyDescent="0.25">
      <c r="A573" s="11">
        <f t="shared" si="40"/>
        <v>44</v>
      </c>
      <c r="B573" t="str">
        <f ca="1">TEXT(DATE(YEAR(Invoer!$A$5),1,1)+INT((ROWS(B$2:B573)-1)/2),"jjjjmmdd")</f>
        <v>19271013</v>
      </c>
      <c r="C573" s="26" t="str">
        <f>INDEX(Data,2,2+MOD(ROWS(C$2:C573)-1,2))</f>
        <v>15.00</v>
      </c>
      <c r="D573" s="39">
        <f t="shared" ca="1" si="41"/>
        <v>753</v>
      </c>
      <c r="E573" s="31">
        <f t="shared" ca="1" si="42"/>
        <v>0</v>
      </c>
      <c r="F573" s="40">
        <f t="shared" ca="1" si="43"/>
        <v>32</v>
      </c>
      <c r="G573" s="31">
        <f t="shared" ca="1" si="44"/>
        <v>0</v>
      </c>
    </row>
    <row r="574" spans="1:7" x14ac:dyDescent="0.25">
      <c r="A574" s="11">
        <f t="shared" si="40"/>
        <v>44</v>
      </c>
      <c r="B574" t="str">
        <f ca="1">TEXT(DATE(YEAR(Invoer!$A$5),1,1)+INT((ROWS(B$2:B574)-1)/2),"jjjjmmdd")</f>
        <v>19271014</v>
      </c>
      <c r="C574" s="26" t="str">
        <f>INDEX(Data,2,2+MOD(ROWS(C$2:C574)-1,2))</f>
        <v>08.00</v>
      </c>
      <c r="D574" s="39">
        <f t="shared" ca="1" si="41"/>
        <v>755.5</v>
      </c>
      <c r="E574" s="31">
        <f t="shared" ca="1" si="42"/>
        <v>0</v>
      </c>
      <c r="F574" s="40">
        <f t="shared" ca="1" si="43"/>
        <v>31</v>
      </c>
      <c r="G574" s="31">
        <f t="shared" ca="1" si="44"/>
        <v>0</v>
      </c>
    </row>
    <row r="575" spans="1:7" x14ac:dyDescent="0.25">
      <c r="A575" s="11">
        <f t="shared" si="40"/>
        <v>44</v>
      </c>
      <c r="B575" t="str">
        <f ca="1">TEXT(DATE(YEAR(Invoer!$A$5),1,1)+INT((ROWS(B$2:B575)-1)/2),"jjjjmmdd")</f>
        <v>19271014</v>
      </c>
      <c r="C575" s="26" t="str">
        <f>INDEX(Data,2,2+MOD(ROWS(C$2:C575)-1,2))</f>
        <v>15.00</v>
      </c>
      <c r="D575" s="39">
        <f t="shared" ca="1" si="41"/>
        <v>753</v>
      </c>
      <c r="E575" s="31">
        <f t="shared" ca="1" si="42"/>
        <v>0</v>
      </c>
      <c r="F575" s="40">
        <f t="shared" ca="1" si="43"/>
        <v>32</v>
      </c>
      <c r="G575" s="31">
        <f t="shared" ca="1" si="44"/>
        <v>0</v>
      </c>
    </row>
    <row r="576" spans="1:7" x14ac:dyDescent="0.25">
      <c r="A576" s="11">
        <f t="shared" si="40"/>
        <v>44</v>
      </c>
      <c r="B576" t="str">
        <f ca="1">TEXT(DATE(YEAR(Invoer!$A$5),1,1)+INT((ROWS(B$2:B576)-1)/2),"jjjjmmdd")</f>
        <v>19271015</v>
      </c>
      <c r="C576" s="26" t="str">
        <f>INDEX(Data,2,2+MOD(ROWS(C$2:C576)-1,2))</f>
        <v>08.00</v>
      </c>
      <c r="D576" s="39">
        <f t="shared" ca="1" si="41"/>
        <v>755.5</v>
      </c>
      <c r="E576" s="31">
        <f t="shared" ca="1" si="42"/>
        <v>0</v>
      </c>
      <c r="F576" s="40">
        <f t="shared" ca="1" si="43"/>
        <v>31</v>
      </c>
      <c r="G576" s="31">
        <f t="shared" ca="1" si="44"/>
        <v>0</v>
      </c>
    </row>
    <row r="577" spans="1:7" x14ac:dyDescent="0.25">
      <c r="A577" s="11">
        <f t="shared" si="40"/>
        <v>44</v>
      </c>
      <c r="B577" t="str">
        <f ca="1">TEXT(DATE(YEAR(Invoer!$A$5),1,1)+INT((ROWS(B$2:B577)-1)/2),"jjjjmmdd")</f>
        <v>19271015</v>
      </c>
      <c r="C577" s="26" t="str">
        <f>INDEX(Data,2,2+MOD(ROWS(C$2:C577)-1,2))</f>
        <v>15.00</v>
      </c>
      <c r="D577" s="39">
        <f t="shared" ca="1" si="41"/>
        <v>752.5</v>
      </c>
      <c r="E577" s="31">
        <f t="shared" ca="1" si="42"/>
        <v>0</v>
      </c>
      <c r="F577" s="40">
        <f t="shared" ca="1" si="43"/>
        <v>32</v>
      </c>
      <c r="G577" s="31">
        <f t="shared" ca="1" si="44"/>
        <v>0</v>
      </c>
    </row>
    <row r="578" spans="1:7" x14ac:dyDescent="0.25">
      <c r="A578" s="11">
        <f t="shared" ref="A578:A641" si="45">INDEX(Stations,2,1)</f>
        <v>44</v>
      </c>
      <c r="B578" t="str">
        <f ca="1">TEXT(DATE(YEAR(Invoer!$A$5),1,1)+INT((ROWS(B$2:B578)-1)/2),"jjjjmmdd")</f>
        <v>19271016</v>
      </c>
      <c r="C578" s="26" t="str">
        <f>INDEX(Data,2,2+MOD(ROWS(C$2:C578)-1,2))</f>
        <v>08.00</v>
      </c>
      <c r="D578" s="39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/10)</f>
        <v>754</v>
      </c>
      <c r="E578" s="31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  <c r="F578" s="40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VLOOKUP(DATEVALUE(LEFT($B578,4)&amp;"-"&amp;MID($B578,5,2)&amp;"-"&amp;RIGHT($B578,2)),Data,MATCH(LEFT(VLOOKUP(F$1,Parameters,2,FALSE()),4)&amp;"*",OFFSET(Data,0,0,1),0)+MATCH($C578,OFFSET(Data,1,0,1),0)-2,FALSE())/10)</f>
        <v>31</v>
      </c>
      <c r="G578" s="31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0</v>
      </c>
    </row>
    <row r="579" spans="1:7" x14ac:dyDescent="0.25">
      <c r="A579" s="11">
        <f t="shared" si="45"/>
        <v>44</v>
      </c>
      <c r="B579" t="str">
        <f ca="1">TEXT(DATE(YEAR(Invoer!$A$5),1,1)+INT((ROWS(B$2:B579)-1)/2),"jjjjmmdd")</f>
        <v>19271016</v>
      </c>
      <c r="C579" s="26" t="str">
        <f>INDEX(Data,2,2+MOD(ROWS(C$2:C579)-1,2))</f>
        <v>15.00</v>
      </c>
      <c r="D579" s="39">
        <f t="shared" ca="1" si="46"/>
        <v>751</v>
      </c>
      <c r="E579" s="31">
        <f t="shared" ca="1" si="47"/>
        <v>0</v>
      </c>
      <c r="F579" s="40">
        <f t="shared" ca="1" si="48"/>
        <v>32</v>
      </c>
      <c r="G579" s="31">
        <f t="shared" ca="1" si="49"/>
        <v>0</v>
      </c>
    </row>
    <row r="580" spans="1:7" x14ac:dyDescent="0.25">
      <c r="A580" s="11">
        <f t="shared" si="45"/>
        <v>44</v>
      </c>
      <c r="B580" t="str">
        <f ca="1">TEXT(DATE(YEAR(Invoer!$A$5),1,1)+INT((ROWS(B$2:B580)-1)/2),"jjjjmmdd")</f>
        <v>19271017</v>
      </c>
      <c r="C580" s="26" t="str">
        <f>INDEX(Data,2,2+MOD(ROWS(C$2:C580)-1,2))</f>
        <v>08.00</v>
      </c>
      <c r="D580" s="39">
        <f t="shared" ca="1" si="46"/>
        <v>754.5</v>
      </c>
      <c r="E580" s="31">
        <f t="shared" ca="1" si="47"/>
        <v>0</v>
      </c>
      <c r="F580" s="40">
        <f t="shared" ca="1" si="48"/>
        <v>30.5</v>
      </c>
      <c r="G580" s="31">
        <f t="shared" ca="1" si="49"/>
        <v>0</v>
      </c>
    </row>
    <row r="581" spans="1:7" x14ac:dyDescent="0.25">
      <c r="A581" s="11">
        <f t="shared" si="45"/>
        <v>44</v>
      </c>
      <c r="B581" t="str">
        <f ca="1">TEXT(DATE(YEAR(Invoer!$A$5),1,1)+INT((ROWS(B$2:B581)-1)/2),"jjjjmmdd")</f>
        <v>19271017</v>
      </c>
      <c r="C581" s="26" t="str">
        <f>INDEX(Data,2,2+MOD(ROWS(C$2:C581)-1,2))</f>
        <v>15.00</v>
      </c>
      <c r="D581" s="39">
        <f t="shared" ca="1" si="46"/>
        <v>752.5</v>
      </c>
      <c r="E581" s="31">
        <f t="shared" ca="1" si="47"/>
        <v>0</v>
      </c>
      <c r="F581" s="40">
        <f t="shared" ca="1" si="48"/>
        <v>30.5</v>
      </c>
      <c r="G581" s="31">
        <f t="shared" ca="1" si="49"/>
        <v>0</v>
      </c>
    </row>
    <row r="582" spans="1:7" x14ac:dyDescent="0.25">
      <c r="A582" s="11">
        <f t="shared" si="45"/>
        <v>44</v>
      </c>
      <c r="B582" t="str">
        <f ca="1">TEXT(DATE(YEAR(Invoer!$A$5),1,1)+INT((ROWS(B$2:B582)-1)/2),"jjjjmmdd")</f>
        <v>19271018</v>
      </c>
      <c r="C582" s="26" t="str">
        <f>INDEX(Data,2,2+MOD(ROWS(C$2:C582)-1,2))</f>
        <v>08.00</v>
      </c>
      <c r="D582" s="39">
        <f t="shared" ca="1" si="46"/>
        <v>755.5</v>
      </c>
      <c r="E582" s="31">
        <f t="shared" ca="1" si="47"/>
        <v>0</v>
      </c>
      <c r="F582" s="40">
        <f t="shared" ca="1" si="48"/>
        <v>30.5</v>
      </c>
      <c r="G582" s="31">
        <f t="shared" ca="1" si="49"/>
        <v>0</v>
      </c>
    </row>
    <row r="583" spans="1:7" x14ac:dyDescent="0.25">
      <c r="A583" s="11">
        <f t="shared" si="45"/>
        <v>44</v>
      </c>
      <c r="B583" t="str">
        <f ca="1">TEXT(DATE(YEAR(Invoer!$A$5),1,1)+INT((ROWS(B$2:B583)-1)/2),"jjjjmmdd")</f>
        <v>19271018</v>
      </c>
      <c r="C583" s="26" t="str">
        <f>INDEX(Data,2,2+MOD(ROWS(C$2:C583)-1,2))</f>
        <v>15.00</v>
      </c>
      <c r="D583" s="39">
        <f t="shared" ca="1" si="46"/>
        <v>753.5</v>
      </c>
      <c r="E583" s="31">
        <f t="shared" ca="1" si="47"/>
        <v>0</v>
      </c>
      <c r="F583" s="40">
        <f t="shared" ca="1" si="48"/>
        <v>31</v>
      </c>
      <c r="G583" s="31">
        <f t="shared" ca="1" si="49"/>
        <v>0</v>
      </c>
    </row>
    <row r="584" spans="1:7" x14ac:dyDescent="0.25">
      <c r="A584" s="11">
        <f t="shared" si="45"/>
        <v>44</v>
      </c>
      <c r="B584" t="str">
        <f ca="1">TEXT(DATE(YEAR(Invoer!$A$5),1,1)+INT((ROWS(B$2:B584)-1)/2),"jjjjmmdd")</f>
        <v>19271019</v>
      </c>
      <c r="C584" s="26" t="str">
        <f>INDEX(Data,2,2+MOD(ROWS(C$2:C584)-1,2))</f>
        <v>08.00</v>
      </c>
      <c r="D584" s="39">
        <f t="shared" ca="1" si="46"/>
        <v>756</v>
      </c>
      <c r="E584" s="31">
        <f t="shared" ca="1" si="47"/>
        <v>0</v>
      </c>
      <c r="F584" s="40">
        <f t="shared" ca="1" si="48"/>
        <v>30.5</v>
      </c>
      <c r="G584" s="31">
        <f t="shared" ca="1" si="49"/>
        <v>0</v>
      </c>
    </row>
    <row r="585" spans="1:7" x14ac:dyDescent="0.25">
      <c r="A585" s="11">
        <f t="shared" si="45"/>
        <v>44</v>
      </c>
      <c r="B585" t="str">
        <f ca="1">TEXT(DATE(YEAR(Invoer!$A$5),1,1)+INT((ROWS(B$2:B585)-1)/2),"jjjjmmdd")</f>
        <v>19271019</v>
      </c>
      <c r="C585" s="26" t="str">
        <f>INDEX(Data,2,2+MOD(ROWS(C$2:C585)-1,2))</f>
        <v>15.00</v>
      </c>
      <c r="D585" s="39">
        <f t="shared" ca="1" si="46"/>
        <v>753.5</v>
      </c>
      <c r="E585" s="31">
        <f t="shared" ca="1" si="47"/>
        <v>0</v>
      </c>
      <c r="F585" s="40">
        <f t="shared" ca="1" si="48"/>
        <v>31.5</v>
      </c>
      <c r="G585" s="31">
        <f t="shared" ca="1" si="49"/>
        <v>0</v>
      </c>
    </row>
    <row r="586" spans="1:7" x14ac:dyDescent="0.25">
      <c r="A586" s="11">
        <f t="shared" si="45"/>
        <v>44</v>
      </c>
      <c r="B586" t="str">
        <f ca="1">TEXT(DATE(YEAR(Invoer!$A$5),1,1)+INT((ROWS(B$2:B586)-1)/2),"jjjjmmdd")</f>
        <v>19271020</v>
      </c>
      <c r="C586" s="26" t="str">
        <f>INDEX(Data,2,2+MOD(ROWS(C$2:C586)-1,2))</f>
        <v>08.00</v>
      </c>
      <c r="D586" s="39">
        <f t="shared" ca="1" si="46"/>
        <v>756</v>
      </c>
      <c r="E586" s="31">
        <f t="shared" ca="1" si="47"/>
        <v>0</v>
      </c>
      <c r="F586" s="40">
        <f t="shared" ca="1" si="48"/>
        <v>30</v>
      </c>
      <c r="G586" s="31">
        <f t="shared" ca="1" si="49"/>
        <v>0</v>
      </c>
    </row>
    <row r="587" spans="1:7" x14ac:dyDescent="0.25">
      <c r="A587" s="11">
        <f t="shared" si="45"/>
        <v>44</v>
      </c>
      <c r="B587" t="str">
        <f ca="1">TEXT(DATE(YEAR(Invoer!$A$5),1,1)+INT((ROWS(B$2:B587)-1)/2),"jjjjmmdd")</f>
        <v>19271020</v>
      </c>
      <c r="C587" s="26" t="str">
        <f>INDEX(Data,2,2+MOD(ROWS(C$2:C587)-1,2))</f>
        <v>15.00</v>
      </c>
      <c r="D587" s="39">
        <f t="shared" ca="1" si="46"/>
        <v>754</v>
      </c>
      <c r="E587" s="31">
        <f t="shared" ca="1" si="47"/>
        <v>0</v>
      </c>
      <c r="F587" s="40">
        <f t="shared" ca="1" si="48"/>
        <v>31.5</v>
      </c>
      <c r="G587" s="31">
        <f t="shared" ca="1" si="49"/>
        <v>0</v>
      </c>
    </row>
    <row r="588" spans="1:7" x14ac:dyDescent="0.25">
      <c r="A588" s="11">
        <f t="shared" si="45"/>
        <v>44</v>
      </c>
      <c r="B588" t="str">
        <f ca="1">TEXT(DATE(YEAR(Invoer!$A$5),1,1)+INT((ROWS(B$2:B588)-1)/2),"jjjjmmdd")</f>
        <v>19271021</v>
      </c>
      <c r="C588" s="26" t="str">
        <f>INDEX(Data,2,2+MOD(ROWS(C$2:C588)-1,2))</f>
        <v>08.00</v>
      </c>
      <c r="D588" s="39">
        <f t="shared" ca="1" si="46"/>
        <v>757</v>
      </c>
      <c r="E588" s="31">
        <f t="shared" ca="1" si="47"/>
        <v>0</v>
      </c>
      <c r="F588" s="40">
        <f t="shared" ca="1" si="48"/>
        <v>29.5</v>
      </c>
      <c r="G588" s="31">
        <f t="shared" ca="1" si="49"/>
        <v>0</v>
      </c>
    </row>
    <row r="589" spans="1:7" x14ac:dyDescent="0.25">
      <c r="A589" s="11">
        <f t="shared" si="45"/>
        <v>44</v>
      </c>
      <c r="B589" t="str">
        <f ca="1">TEXT(DATE(YEAR(Invoer!$A$5),1,1)+INT((ROWS(B$2:B589)-1)/2),"jjjjmmdd")</f>
        <v>19271021</v>
      </c>
      <c r="C589" s="26" t="str">
        <f>INDEX(Data,2,2+MOD(ROWS(C$2:C589)-1,2))</f>
        <v>15.00</v>
      </c>
      <c r="D589" s="39">
        <f t="shared" ca="1" si="46"/>
        <v>755</v>
      </c>
      <c r="E589" s="31">
        <f t="shared" ca="1" si="47"/>
        <v>0</v>
      </c>
      <c r="F589" s="40">
        <f t="shared" ca="1" si="48"/>
        <v>31</v>
      </c>
      <c r="G589" s="31">
        <f t="shared" ca="1" si="49"/>
        <v>0</v>
      </c>
    </row>
    <row r="590" spans="1:7" x14ac:dyDescent="0.25">
      <c r="A590" s="11">
        <f t="shared" si="45"/>
        <v>44</v>
      </c>
      <c r="B590" t="str">
        <f ca="1">TEXT(DATE(YEAR(Invoer!$A$5),1,1)+INT((ROWS(B$2:B590)-1)/2),"jjjjmmdd")</f>
        <v>19271022</v>
      </c>
      <c r="C590" s="26" t="str">
        <f>INDEX(Data,2,2+MOD(ROWS(C$2:C590)-1,2))</f>
        <v>08.00</v>
      </c>
      <c r="D590" s="39">
        <f t="shared" ca="1" si="46"/>
        <v>757.5</v>
      </c>
      <c r="E590" s="31">
        <f t="shared" ca="1" si="47"/>
        <v>0</v>
      </c>
      <c r="F590" s="40">
        <f t="shared" ca="1" si="48"/>
        <v>28.5</v>
      </c>
      <c r="G590" s="31">
        <f t="shared" ca="1" si="49"/>
        <v>0</v>
      </c>
    </row>
    <row r="591" spans="1:7" x14ac:dyDescent="0.25">
      <c r="A591" s="11">
        <f t="shared" si="45"/>
        <v>44</v>
      </c>
      <c r="B591" t="str">
        <f ca="1">TEXT(DATE(YEAR(Invoer!$A$5),1,1)+INT((ROWS(B$2:B591)-1)/2),"jjjjmmdd")</f>
        <v>19271022</v>
      </c>
      <c r="C591" s="26" t="str">
        <f>INDEX(Data,2,2+MOD(ROWS(C$2:C591)-1,2))</f>
        <v>15.00</v>
      </c>
      <c r="D591" s="39">
        <f t="shared" ca="1" si="46"/>
        <v>755</v>
      </c>
      <c r="E591" s="31">
        <f t="shared" ca="1" si="47"/>
        <v>0</v>
      </c>
      <c r="F591" s="40">
        <f t="shared" ca="1" si="48"/>
        <v>30.5</v>
      </c>
      <c r="G591" s="31">
        <f t="shared" ca="1" si="49"/>
        <v>0</v>
      </c>
    </row>
    <row r="592" spans="1:7" x14ac:dyDescent="0.25">
      <c r="A592" s="11">
        <f t="shared" si="45"/>
        <v>44</v>
      </c>
      <c r="B592" t="str">
        <f ca="1">TEXT(DATE(YEAR(Invoer!$A$5),1,1)+INT((ROWS(B$2:B592)-1)/2),"jjjjmmdd")</f>
        <v>19271023</v>
      </c>
      <c r="C592" s="26" t="str">
        <f>INDEX(Data,2,2+MOD(ROWS(C$2:C592)-1,2))</f>
        <v>08.00</v>
      </c>
      <c r="D592" s="39">
        <f t="shared" ca="1" si="46"/>
        <v>756.5</v>
      </c>
      <c r="E592" s="31">
        <f t="shared" ca="1" si="47"/>
        <v>0</v>
      </c>
      <c r="F592" s="40">
        <f t="shared" ca="1" si="48"/>
        <v>30</v>
      </c>
      <c r="G592" s="31">
        <f t="shared" ca="1" si="49"/>
        <v>0</v>
      </c>
    </row>
    <row r="593" spans="1:7" x14ac:dyDescent="0.25">
      <c r="A593" s="11">
        <f t="shared" si="45"/>
        <v>44</v>
      </c>
      <c r="B593" t="str">
        <f ca="1">TEXT(DATE(YEAR(Invoer!$A$5),1,1)+INT((ROWS(B$2:B593)-1)/2),"jjjjmmdd")</f>
        <v>19271023</v>
      </c>
      <c r="C593" s="26" t="str">
        <f>INDEX(Data,2,2+MOD(ROWS(C$2:C593)-1,2))</f>
        <v>15.00</v>
      </c>
      <c r="D593" s="39">
        <f t="shared" ca="1" si="46"/>
        <v>755</v>
      </c>
      <c r="E593" s="31">
        <f t="shared" ca="1" si="47"/>
        <v>0</v>
      </c>
      <c r="F593" s="40">
        <f t="shared" ca="1" si="48"/>
        <v>31</v>
      </c>
      <c r="G593" s="31">
        <f t="shared" ca="1" si="49"/>
        <v>0</v>
      </c>
    </row>
    <row r="594" spans="1:7" x14ac:dyDescent="0.25">
      <c r="A594" s="11">
        <f t="shared" si="45"/>
        <v>44</v>
      </c>
      <c r="B594" t="str">
        <f ca="1">TEXT(DATE(YEAR(Invoer!$A$5),1,1)+INT((ROWS(B$2:B594)-1)/2),"jjjjmmdd")</f>
        <v>19271024</v>
      </c>
      <c r="C594" s="26" t="str">
        <f>INDEX(Data,2,2+MOD(ROWS(C$2:C594)-1,2))</f>
        <v>08.00</v>
      </c>
      <c r="D594" s="39">
        <f t="shared" ca="1" si="46"/>
        <v>756.5</v>
      </c>
      <c r="E594" s="31">
        <f t="shared" ca="1" si="47"/>
        <v>0</v>
      </c>
      <c r="F594" s="40">
        <f t="shared" ca="1" si="48"/>
        <v>30</v>
      </c>
      <c r="G594" s="31">
        <f t="shared" ca="1" si="49"/>
        <v>0</v>
      </c>
    </row>
    <row r="595" spans="1:7" x14ac:dyDescent="0.25">
      <c r="A595" s="11">
        <f t="shared" si="45"/>
        <v>44</v>
      </c>
      <c r="B595" t="str">
        <f ca="1">TEXT(DATE(YEAR(Invoer!$A$5),1,1)+INT((ROWS(B$2:B595)-1)/2),"jjjjmmdd")</f>
        <v>19271024</v>
      </c>
      <c r="C595" s="26" t="str">
        <f>INDEX(Data,2,2+MOD(ROWS(C$2:C595)-1,2))</f>
        <v>15.00</v>
      </c>
      <c r="D595" s="39">
        <f t="shared" ca="1" si="46"/>
        <v>754</v>
      </c>
      <c r="E595" s="31">
        <f t="shared" ca="1" si="47"/>
        <v>0</v>
      </c>
      <c r="F595" s="40">
        <f t="shared" ca="1" si="48"/>
        <v>31.5</v>
      </c>
      <c r="G595" s="31">
        <f t="shared" ca="1" si="49"/>
        <v>0</v>
      </c>
    </row>
    <row r="596" spans="1:7" x14ac:dyDescent="0.25">
      <c r="A596" s="11">
        <f t="shared" si="45"/>
        <v>44</v>
      </c>
      <c r="B596" t="str">
        <f ca="1">TEXT(DATE(YEAR(Invoer!$A$5),1,1)+INT((ROWS(B$2:B596)-1)/2),"jjjjmmdd")</f>
        <v>19271025</v>
      </c>
      <c r="C596" s="26" t="str">
        <f>INDEX(Data,2,2+MOD(ROWS(C$2:C596)-1,2))</f>
        <v>08.00</v>
      </c>
      <c r="D596" s="39">
        <f t="shared" ca="1" si="46"/>
        <v>755</v>
      </c>
      <c r="E596" s="31">
        <f t="shared" ca="1" si="47"/>
        <v>0</v>
      </c>
      <c r="F596" s="40">
        <f t="shared" ca="1" si="48"/>
        <v>30.5</v>
      </c>
      <c r="G596" s="31">
        <f t="shared" ca="1" si="49"/>
        <v>0</v>
      </c>
    </row>
    <row r="597" spans="1:7" x14ac:dyDescent="0.25">
      <c r="A597" s="11">
        <f t="shared" si="45"/>
        <v>44</v>
      </c>
      <c r="B597" t="str">
        <f ca="1">TEXT(DATE(YEAR(Invoer!$A$5),1,1)+INT((ROWS(B$2:B597)-1)/2),"jjjjmmdd")</f>
        <v>19271025</v>
      </c>
      <c r="C597" s="26" t="str">
        <f>INDEX(Data,2,2+MOD(ROWS(C$2:C597)-1,2))</f>
        <v>15.00</v>
      </c>
      <c r="D597" s="39">
        <f t="shared" ca="1" si="46"/>
        <v>753</v>
      </c>
      <c r="E597" s="31">
        <f t="shared" ca="1" si="47"/>
        <v>0</v>
      </c>
      <c r="F597" s="40">
        <f t="shared" ca="1" si="48"/>
        <v>31.5</v>
      </c>
      <c r="G597" s="31">
        <f t="shared" ca="1" si="49"/>
        <v>0</v>
      </c>
    </row>
    <row r="598" spans="1:7" x14ac:dyDescent="0.25">
      <c r="A598" s="11">
        <f t="shared" si="45"/>
        <v>44</v>
      </c>
      <c r="B598" t="str">
        <f ca="1">TEXT(DATE(YEAR(Invoer!$A$5),1,1)+INT((ROWS(B$2:B598)-1)/2),"jjjjmmdd")</f>
        <v>19271026</v>
      </c>
      <c r="C598" s="26" t="str">
        <f>INDEX(Data,2,2+MOD(ROWS(C$2:C598)-1,2))</f>
        <v>08.00</v>
      </c>
      <c r="D598" s="39">
        <f t="shared" ca="1" si="46"/>
        <v>755.5</v>
      </c>
      <c r="E598" s="31">
        <f t="shared" ca="1" si="47"/>
        <v>0</v>
      </c>
      <c r="F598" s="40">
        <f t="shared" ca="1" si="48"/>
        <v>30.5</v>
      </c>
      <c r="G598" s="31">
        <f t="shared" ca="1" si="49"/>
        <v>0</v>
      </c>
    </row>
    <row r="599" spans="1:7" x14ac:dyDescent="0.25">
      <c r="A599" s="11">
        <f t="shared" si="45"/>
        <v>44</v>
      </c>
      <c r="B599" t="str">
        <f ca="1">TEXT(DATE(YEAR(Invoer!$A$5),1,1)+INT((ROWS(B$2:B599)-1)/2),"jjjjmmdd")</f>
        <v>19271026</v>
      </c>
      <c r="C599" s="26" t="str">
        <f>INDEX(Data,2,2+MOD(ROWS(C$2:C599)-1,2))</f>
        <v>15.00</v>
      </c>
      <c r="D599" s="39">
        <f t="shared" ca="1" si="46"/>
        <v>753</v>
      </c>
      <c r="E599" s="31">
        <f t="shared" ca="1" si="47"/>
        <v>0</v>
      </c>
      <c r="F599" s="40">
        <f t="shared" ca="1" si="48"/>
        <v>31.5</v>
      </c>
      <c r="G599" s="31">
        <f t="shared" ca="1" si="49"/>
        <v>0</v>
      </c>
    </row>
    <row r="600" spans="1:7" x14ac:dyDescent="0.25">
      <c r="A600" s="11">
        <f t="shared" si="45"/>
        <v>44</v>
      </c>
      <c r="B600" t="str">
        <f ca="1">TEXT(DATE(YEAR(Invoer!$A$5),1,1)+INT((ROWS(B$2:B600)-1)/2),"jjjjmmdd")</f>
        <v>19271027</v>
      </c>
      <c r="C600" s="26" t="str">
        <f>INDEX(Data,2,2+MOD(ROWS(C$2:C600)-1,2))</f>
        <v>08.00</v>
      </c>
      <c r="D600" s="39">
        <f t="shared" ca="1" si="46"/>
        <v>756</v>
      </c>
      <c r="E600" s="31">
        <f t="shared" ca="1" si="47"/>
        <v>0</v>
      </c>
      <c r="F600" s="40">
        <f t="shared" ca="1" si="48"/>
        <v>30</v>
      </c>
      <c r="G600" s="31">
        <f t="shared" ca="1" si="49"/>
        <v>0</v>
      </c>
    </row>
    <row r="601" spans="1:7" x14ac:dyDescent="0.25">
      <c r="A601" s="11">
        <f t="shared" si="45"/>
        <v>44</v>
      </c>
      <c r="B601" t="str">
        <f ca="1">TEXT(DATE(YEAR(Invoer!$A$5),1,1)+INT((ROWS(B$2:B601)-1)/2),"jjjjmmdd")</f>
        <v>19271027</v>
      </c>
      <c r="C601" s="26" t="str">
        <f>INDEX(Data,2,2+MOD(ROWS(C$2:C601)-1,2))</f>
        <v>15.00</v>
      </c>
      <c r="D601" s="39">
        <f t="shared" ca="1" si="46"/>
        <v>754</v>
      </c>
      <c r="E601" s="31">
        <f t="shared" ca="1" si="47"/>
        <v>0</v>
      </c>
      <c r="F601" s="40">
        <f t="shared" ca="1" si="48"/>
        <v>31.5</v>
      </c>
      <c r="G601" s="31">
        <f t="shared" ca="1" si="49"/>
        <v>0</v>
      </c>
    </row>
    <row r="602" spans="1:7" x14ac:dyDescent="0.25">
      <c r="A602" s="11">
        <f t="shared" si="45"/>
        <v>44</v>
      </c>
      <c r="B602" t="str">
        <f ca="1">TEXT(DATE(YEAR(Invoer!$A$5),1,1)+INT((ROWS(B$2:B602)-1)/2),"jjjjmmdd")</f>
        <v>19271028</v>
      </c>
      <c r="C602" s="26" t="str">
        <f>INDEX(Data,2,2+MOD(ROWS(C$2:C602)-1,2))</f>
        <v>08.00</v>
      </c>
      <c r="D602" s="39">
        <f t="shared" ca="1" si="46"/>
        <v>756</v>
      </c>
      <c r="E602" s="31">
        <f t="shared" ca="1" si="47"/>
        <v>0</v>
      </c>
      <c r="F602" s="40">
        <f t="shared" ca="1" si="48"/>
        <v>30</v>
      </c>
      <c r="G602" s="31">
        <f t="shared" ca="1" si="49"/>
        <v>0</v>
      </c>
    </row>
    <row r="603" spans="1:7" x14ac:dyDescent="0.25">
      <c r="A603" s="11">
        <f t="shared" si="45"/>
        <v>44</v>
      </c>
      <c r="B603" t="str">
        <f ca="1">TEXT(DATE(YEAR(Invoer!$A$5),1,1)+INT((ROWS(B$2:B603)-1)/2),"jjjjmmdd")</f>
        <v>19271028</v>
      </c>
      <c r="C603" s="26" t="str">
        <f>INDEX(Data,2,2+MOD(ROWS(C$2:C603)-1,2))</f>
        <v>15.00</v>
      </c>
      <c r="D603" s="39">
        <f t="shared" ca="1" si="46"/>
        <v>754</v>
      </c>
      <c r="E603" s="31">
        <f t="shared" ca="1" si="47"/>
        <v>0</v>
      </c>
      <c r="F603" s="40">
        <f t="shared" ca="1" si="48"/>
        <v>31.5</v>
      </c>
      <c r="G603" s="31">
        <f t="shared" ca="1" si="49"/>
        <v>0</v>
      </c>
    </row>
    <row r="604" spans="1:7" x14ac:dyDescent="0.25">
      <c r="A604" s="11">
        <f t="shared" si="45"/>
        <v>44</v>
      </c>
      <c r="B604" t="str">
        <f ca="1">TEXT(DATE(YEAR(Invoer!$A$5),1,1)+INT((ROWS(B$2:B604)-1)/2),"jjjjmmdd")</f>
        <v>19271029</v>
      </c>
      <c r="C604" s="26" t="str">
        <f>INDEX(Data,2,2+MOD(ROWS(C$2:C604)-1,2))</f>
        <v>08.00</v>
      </c>
      <c r="D604" s="39">
        <f t="shared" ca="1" si="46"/>
        <v>755.5</v>
      </c>
      <c r="E604" s="31">
        <f t="shared" ca="1" si="47"/>
        <v>0</v>
      </c>
      <c r="F604" s="40">
        <f t="shared" ca="1" si="48"/>
        <v>30</v>
      </c>
      <c r="G604" s="31">
        <f t="shared" ca="1" si="49"/>
        <v>0</v>
      </c>
    </row>
    <row r="605" spans="1:7" x14ac:dyDescent="0.25">
      <c r="A605" s="11">
        <f t="shared" si="45"/>
        <v>44</v>
      </c>
      <c r="B605" t="str">
        <f ca="1">TEXT(DATE(YEAR(Invoer!$A$5),1,1)+INT((ROWS(B$2:B605)-1)/2),"jjjjmmdd")</f>
        <v>19271029</v>
      </c>
      <c r="C605" s="26" t="str">
        <f>INDEX(Data,2,2+MOD(ROWS(C$2:C605)-1,2))</f>
        <v>15.00</v>
      </c>
      <c r="D605" s="39">
        <f t="shared" ca="1" si="46"/>
        <v>753.5</v>
      </c>
      <c r="E605" s="31">
        <f t="shared" ca="1" si="47"/>
        <v>0</v>
      </c>
      <c r="F605" s="40">
        <f t="shared" ca="1" si="48"/>
        <v>31.5</v>
      </c>
      <c r="G605" s="31">
        <f t="shared" ca="1" si="49"/>
        <v>0</v>
      </c>
    </row>
    <row r="606" spans="1:7" x14ac:dyDescent="0.25">
      <c r="A606" s="11">
        <f t="shared" si="45"/>
        <v>44</v>
      </c>
      <c r="B606" t="str">
        <f ca="1">TEXT(DATE(YEAR(Invoer!$A$5),1,1)+INT((ROWS(B$2:B606)-1)/2),"jjjjmmdd")</f>
        <v>19271030</v>
      </c>
      <c r="C606" s="26" t="str">
        <f>INDEX(Data,2,2+MOD(ROWS(C$2:C606)-1,2))</f>
        <v>08.00</v>
      </c>
      <c r="D606" s="39">
        <f t="shared" ca="1" si="46"/>
        <v>756</v>
      </c>
      <c r="E606" s="31">
        <f t="shared" ca="1" si="47"/>
        <v>0</v>
      </c>
      <c r="F606" s="40">
        <f t="shared" ca="1" si="48"/>
        <v>30</v>
      </c>
      <c r="G606" s="31">
        <f t="shared" ca="1" si="49"/>
        <v>0</v>
      </c>
    </row>
    <row r="607" spans="1:7" x14ac:dyDescent="0.25">
      <c r="A607" s="11">
        <f t="shared" si="45"/>
        <v>44</v>
      </c>
      <c r="B607" t="str">
        <f ca="1">TEXT(DATE(YEAR(Invoer!$A$5),1,1)+INT((ROWS(B$2:B607)-1)/2),"jjjjmmdd")</f>
        <v>19271030</v>
      </c>
      <c r="C607" s="26" t="str">
        <f>INDEX(Data,2,2+MOD(ROWS(C$2:C607)-1,2))</f>
        <v>15.00</v>
      </c>
      <c r="D607" s="39">
        <f t="shared" ca="1" si="46"/>
        <v>754</v>
      </c>
      <c r="E607" s="31">
        <f t="shared" ca="1" si="47"/>
        <v>0</v>
      </c>
      <c r="F607" s="40">
        <f t="shared" ca="1" si="48"/>
        <v>31.5</v>
      </c>
      <c r="G607" s="31">
        <f t="shared" ca="1" si="49"/>
        <v>0</v>
      </c>
    </row>
    <row r="608" spans="1:7" x14ac:dyDescent="0.25">
      <c r="A608" s="11">
        <f t="shared" si="45"/>
        <v>44</v>
      </c>
      <c r="B608" t="str">
        <f ca="1">TEXT(DATE(YEAR(Invoer!$A$5),1,1)+INT((ROWS(B$2:B608)-1)/2),"jjjjmmdd")</f>
        <v>19271031</v>
      </c>
      <c r="C608" s="26" t="str">
        <f>INDEX(Data,2,2+MOD(ROWS(C$2:C608)-1,2))</f>
        <v>08.00</v>
      </c>
      <c r="D608" s="39">
        <f t="shared" ca="1" si="46"/>
        <v>756</v>
      </c>
      <c r="E608" s="31">
        <f t="shared" ca="1" si="47"/>
        <v>0</v>
      </c>
      <c r="F608" s="40">
        <f t="shared" ca="1" si="48"/>
        <v>30</v>
      </c>
      <c r="G608" s="31">
        <f t="shared" ca="1" si="49"/>
        <v>0</v>
      </c>
    </row>
    <row r="609" spans="1:7" x14ac:dyDescent="0.25">
      <c r="A609" s="11">
        <f t="shared" si="45"/>
        <v>44</v>
      </c>
      <c r="B609" t="str">
        <f ca="1">TEXT(DATE(YEAR(Invoer!$A$5),1,1)+INT((ROWS(B$2:B609)-1)/2),"jjjjmmdd")</f>
        <v>19271031</v>
      </c>
      <c r="C609" s="26" t="str">
        <f>INDEX(Data,2,2+MOD(ROWS(C$2:C609)-1,2))</f>
        <v>15.00</v>
      </c>
      <c r="D609" s="39">
        <f t="shared" ca="1" si="46"/>
        <v>754</v>
      </c>
      <c r="E609" s="31">
        <f t="shared" ca="1" si="47"/>
        <v>0</v>
      </c>
      <c r="F609" s="40">
        <f t="shared" ca="1" si="48"/>
        <v>31.5</v>
      </c>
      <c r="G609" s="31">
        <f t="shared" ca="1" si="49"/>
        <v>0</v>
      </c>
    </row>
    <row r="610" spans="1:7" x14ac:dyDescent="0.25">
      <c r="A610" s="11">
        <f t="shared" si="45"/>
        <v>44</v>
      </c>
      <c r="B610" t="str">
        <f ca="1">TEXT(DATE(YEAR(Invoer!$A$5),1,1)+INT((ROWS(B$2:B610)-1)/2),"jjjjmmdd")</f>
        <v>19271101</v>
      </c>
      <c r="C610" s="26" t="str">
        <f>INDEX(Data,2,2+MOD(ROWS(C$2:C610)-1,2))</f>
        <v>08.00</v>
      </c>
      <c r="D610" s="39">
        <f t="shared" ca="1" si="46"/>
        <v>757</v>
      </c>
      <c r="E610" s="31">
        <f t="shared" ca="1" si="47"/>
        <v>0</v>
      </c>
      <c r="F610" s="40">
        <f t="shared" ca="1" si="48"/>
        <v>29.5</v>
      </c>
      <c r="G610" s="31">
        <f t="shared" ca="1" si="49"/>
        <v>0</v>
      </c>
    </row>
    <row r="611" spans="1:7" x14ac:dyDescent="0.25">
      <c r="A611" s="11">
        <f t="shared" si="45"/>
        <v>44</v>
      </c>
      <c r="B611" t="str">
        <f ca="1">TEXT(DATE(YEAR(Invoer!$A$5),1,1)+INT((ROWS(B$2:B611)-1)/2),"jjjjmmdd")</f>
        <v>19271101</v>
      </c>
      <c r="C611" s="26" t="str">
        <f>INDEX(Data,2,2+MOD(ROWS(C$2:C611)-1,2))</f>
        <v>15.00</v>
      </c>
      <c r="D611" s="39">
        <f t="shared" ca="1" si="46"/>
        <v>754.5</v>
      </c>
      <c r="E611" s="31">
        <f t="shared" ca="1" si="47"/>
        <v>0</v>
      </c>
      <c r="F611" s="40">
        <f t="shared" ca="1" si="48"/>
        <v>30.5</v>
      </c>
      <c r="G611" s="31">
        <f t="shared" ca="1" si="49"/>
        <v>0</v>
      </c>
    </row>
    <row r="612" spans="1:7" x14ac:dyDescent="0.25">
      <c r="A612" s="11">
        <f t="shared" si="45"/>
        <v>44</v>
      </c>
      <c r="B612" t="str">
        <f ca="1">TEXT(DATE(YEAR(Invoer!$A$5),1,1)+INT((ROWS(B$2:B612)-1)/2),"jjjjmmdd")</f>
        <v>19271102</v>
      </c>
      <c r="C612" s="26" t="str">
        <f>INDEX(Data,2,2+MOD(ROWS(C$2:C612)-1,2))</f>
        <v>08.00</v>
      </c>
      <c r="D612" s="39">
        <f t="shared" ca="1" si="46"/>
        <v>756.5</v>
      </c>
      <c r="E612" s="31">
        <f t="shared" ca="1" si="47"/>
        <v>0</v>
      </c>
      <c r="F612" s="40">
        <f t="shared" ca="1" si="48"/>
        <v>29.5</v>
      </c>
      <c r="G612" s="31">
        <f t="shared" ca="1" si="49"/>
        <v>0</v>
      </c>
    </row>
    <row r="613" spans="1:7" x14ac:dyDescent="0.25">
      <c r="A613" s="11">
        <f t="shared" si="45"/>
        <v>44</v>
      </c>
      <c r="B613" t="str">
        <f ca="1">TEXT(DATE(YEAR(Invoer!$A$5),1,1)+INT((ROWS(B$2:B613)-1)/2),"jjjjmmdd")</f>
        <v>19271102</v>
      </c>
      <c r="C613" s="26" t="str">
        <f>INDEX(Data,2,2+MOD(ROWS(C$2:C613)-1,2))</f>
        <v>15.00</v>
      </c>
      <c r="D613" s="39">
        <f t="shared" ca="1" si="46"/>
        <v>754</v>
      </c>
      <c r="E613" s="31">
        <f t="shared" ca="1" si="47"/>
        <v>0</v>
      </c>
      <c r="F613" s="40">
        <f t="shared" ca="1" si="48"/>
        <v>31</v>
      </c>
      <c r="G613" s="31">
        <f t="shared" ca="1" si="49"/>
        <v>0</v>
      </c>
    </row>
    <row r="614" spans="1:7" x14ac:dyDescent="0.25">
      <c r="A614" s="11">
        <f t="shared" si="45"/>
        <v>44</v>
      </c>
      <c r="B614" t="str">
        <f ca="1">TEXT(DATE(YEAR(Invoer!$A$5),1,1)+INT((ROWS(B$2:B614)-1)/2),"jjjjmmdd")</f>
        <v>19271103</v>
      </c>
      <c r="C614" s="26" t="str">
        <f>INDEX(Data,2,2+MOD(ROWS(C$2:C614)-1,2))</f>
        <v>08.00</v>
      </c>
      <c r="D614" s="39">
        <f t="shared" ca="1" si="46"/>
        <v>755.5</v>
      </c>
      <c r="E614" s="31">
        <f t="shared" ca="1" si="47"/>
        <v>0</v>
      </c>
      <c r="F614" s="40">
        <f t="shared" ca="1" si="48"/>
        <v>30</v>
      </c>
      <c r="G614" s="31">
        <f t="shared" ca="1" si="49"/>
        <v>0</v>
      </c>
    </row>
    <row r="615" spans="1:7" x14ac:dyDescent="0.25">
      <c r="A615" s="11">
        <f t="shared" si="45"/>
        <v>44</v>
      </c>
      <c r="B615" t="str">
        <f ca="1">TEXT(DATE(YEAR(Invoer!$A$5),1,1)+INT((ROWS(B$2:B615)-1)/2),"jjjjmmdd")</f>
        <v>19271103</v>
      </c>
      <c r="C615" s="26" t="str">
        <f>INDEX(Data,2,2+MOD(ROWS(C$2:C615)-1,2))</f>
        <v>15.00</v>
      </c>
      <c r="D615" s="39">
        <f t="shared" ca="1" si="46"/>
        <v>752.5</v>
      </c>
      <c r="E615" s="31">
        <f t="shared" ca="1" si="47"/>
        <v>0</v>
      </c>
      <c r="F615" s="40">
        <f t="shared" ca="1" si="48"/>
        <v>32</v>
      </c>
      <c r="G615" s="31">
        <f t="shared" ca="1" si="49"/>
        <v>0</v>
      </c>
    </row>
    <row r="616" spans="1:7" x14ac:dyDescent="0.25">
      <c r="A616" s="11">
        <f t="shared" si="45"/>
        <v>44</v>
      </c>
      <c r="B616" t="str">
        <f ca="1">TEXT(DATE(YEAR(Invoer!$A$5),1,1)+INT((ROWS(B$2:B616)-1)/2),"jjjjmmdd")</f>
        <v>19271104</v>
      </c>
      <c r="C616" s="26" t="str">
        <f>INDEX(Data,2,2+MOD(ROWS(C$2:C616)-1,2))</f>
        <v>08.00</v>
      </c>
      <c r="D616" s="39">
        <f t="shared" ca="1" si="46"/>
        <v>754.5</v>
      </c>
      <c r="E616" s="31">
        <f t="shared" ca="1" si="47"/>
        <v>0</v>
      </c>
      <c r="F616" s="40">
        <f t="shared" ca="1" si="48"/>
        <v>30.5</v>
      </c>
      <c r="G616" s="31">
        <f t="shared" ca="1" si="49"/>
        <v>0</v>
      </c>
    </row>
    <row r="617" spans="1:7" x14ac:dyDescent="0.25">
      <c r="A617" s="11">
        <f t="shared" si="45"/>
        <v>44</v>
      </c>
      <c r="B617" t="str">
        <f ca="1">TEXT(DATE(YEAR(Invoer!$A$5),1,1)+INT((ROWS(B$2:B617)-1)/2),"jjjjmmdd")</f>
        <v>19271104</v>
      </c>
      <c r="C617" s="26" t="str">
        <f>INDEX(Data,2,2+MOD(ROWS(C$2:C617)-1,2))</f>
        <v>15.00</v>
      </c>
      <c r="D617" s="39">
        <f t="shared" ca="1" si="46"/>
        <v>752.5</v>
      </c>
      <c r="E617" s="31">
        <f t="shared" ca="1" si="47"/>
        <v>0</v>
      </c>
      <c r="F617" s="40">
        <f t="shared" ca="1" si="48"/>
        <v>32</v>
      </c>
      <c r="G617" s="31">
        <f t="shared" ca="1" si="49"/>
        <v>0</v>
      </c>
    </row>
    <row r="618" spans="1:7" x14ac:dyDescent="0.25">
      <c r="A618" s="11">
        <f t="shared" si="45"/>
        <v>44</v>
      </c>
      <c r="B618" t="str">
        <f ca="1">TEXT(DATE(YEAR(Invoer!$A$5),1,1)+INT((ROWS(B$2:B618)-1)/2),"jjjjmmdd")</f>
        <v>19271105</v>
      </c>
      <c r="C618" s="26" t="str">
        <f>INDEX(Data,2,2+MOD(ROWS(C$2:C618)-1,2))</f>
        <v>08.00</v>
      </c>
      <c r="D618" s="39">
        <f t="shared" ca="1" si="46"/>
        <v>756</v>
      </c>
      <c r="E618" s="31">
        <f t="shared" ca="1" si="47"/>
        <v>0</v>
      </c>
      <c r="F618" s="40">
        <f t="shared" ca="1" si="48"/>
        <v>30</v>
      </c>
      <c r="G618" s="31">
        <f t="shared" ca="1" si="49"/>
        <v>0</v>
      </c>
    </row>
    <row r="619" spans="1:7" x14ac:dyDescent="0.25">
      <c r="A619" s="11">
        <f t="shared" si="45"/>
        <v>44</v>
      </c>
      <c r="B619" t="str">
        <f ca="1">TEXT(DATE(YEAR(Invoer!$A$5),1,1)+INT((ROWS(B$2:B619)-1)/2),"jjjjmmdd")</f>
        <v>19271105</v>
      </c>
      <c r="C619" s="26" t="str">
        <f>INDEX(Data,2,2+MOD(ROWS(C$2:C619)-1,2))</f>
        <v>15.00</v>
      </c>
      <c r="D619" s="39">
        <f t="shared" ca="1" si="46"/>
        <v>753.5</v>
      </c>
      <c r="E619" s="31">
        <f t="shared" ca="1" si="47"/>
        <v>0</v>
      </c>
      <c r="F619" s="40">
        <f t="shared" ca="1" si="48"/>
        <v>30.5</v>
      </c>
      <c r="G619" s="31">
        <f t="shared" ca="1" si="49"/>
        <v>0</v>
      </c>
    </row>
    <row r="620" spans="1:7" x14ac:dyDescent="0.25">
      <c r="A620" s="11">
        <f t="shared" si="45"/>
        <v>44</v>
      </c>
      <c r="B620" t="str">
        <f ca="1">TEXT(DATE(YEAR(Invoer!$A$5),1,1)+INT((ROWS(B$2:B620)-1)/2),"jjjjmmdd")</f>
        <v>19271106</v>
      </c>
      <c r="C620" s="26" t="str">
        <f>INDEX(Data,2,2+MOD(ROWS(C$2:C620)-1,2))</f>
        <v>08.00</v>
      </c>
      <c r="D620" s="39">
        <f t="shared" ca="1" si="46"/>
        <v>756</v>
      </c>
      <c r="E620" s="31">
        <f t="shared" ca="1" si="47"/>
        <v>0</v>
      </c>
      <c r="F620" s="40">
        <f t="shared" ca="1" si="48"/>
        <v>30</v>
      </c>
      <c r="G620" s="31">
        <f t="shared" ca="1" si="49"/>
        <v>0</v>
      </c>
    </row>
    <row r="621" spans="1:7" x14ac:dyDescent="0.25">
      <c r="A621" s="11">
        <f t="shared" si="45"/>
        <v>44</v>
      </c>
      <c r="B621" t="str">
        <f ca="1">TEXT(DATE(YEAR(Invoer!$A$5),1,1)+INT((ROWS(B$2:B621)-1)/2),"jjjjmmdd")</f>
        <v>19271106</v>
      </c>
      <c r="C621" s="26" t="str">
        <f>INDEX(Data,2,2+MOD(ROWS(C$2:C621)-1,2))</f>
        <v>15.00</v>
      </c>
      <c r="D621" s="39">
        <f t="shared" ca="1" si="46"/>
        <v>753.5</v>
      </c>
      <c r="E621" s="31">
        <f t="shared" ca="1" si="47"/>
        <v>0</v>
      </c>
      <c r="F621" s="40">
        <f t="shared" ca="1" si="48"/>
        <v>30.5</v>
      </c>
      <c r="G621" s="31">
        <f t="shared" ca="1" si="49"/>
        <v>0</v>
      </c>
    </row>
    <row r="622" spans="1:7" x14ac:dyDescent="0.25">
      <c r="A622" s="11">
        <f t="shared" si="45"/>
        <v>44</v>
      </c>
      <c r="B622" t="str">
        <f ca="1">TEXT(DATE(YEAR(Invoer!$A$5),1,1)+INT((ROWS(B$2:B622)-1)/2),"jjjjmmdd")</f>
        <v>19271107</v>
      </c>
      <c r="C622" s="26" t="str">
        <f>INDEX(Data,2,2+MOD(ROWS(C$2:C622)-1,2))</f>
        <v>08.00</v>
      </c>
      <c r="D622" s="39">
        <f t="shared" ca="1" si="46"/>
        <v>756</v>
      </c>
      <c r="E622" s="31">
        <f t="shared" ca="1" si="47"/>
        <v>0</v>
      </c>
      <c r="F622" s="40">
        <f t="shared" ca="1" si="48"/>
        <v>30</v>
      </c>
      <c r="G622" s="31">
        <f t="shared" ca="1" si="49"/>
        <v>0</v>
      </c>
    </row>
    <row r="623" spans="1:7" x14ac:dyDescent="0.25">
      <c r="A623" s="11">
        <f t="shared" si="45"/>
        <v>44</v>
      </c>
      <c r="B623" t="str">
        <f ca="1">TEXT(DATE(YEAR(Invoer!$A$5),1,1)+INT((ROWS(B$2:B623)-1)/2),"jjjjmmdd")</f>
        <v>19271107</v>
      </c>
      <c r="C623" s="26" t="str">
        <f>INDEX(Data,2,2+MOD(ROWS(C$2:C623)-1,2))</f>
        <v>15.00</v>
      </c>
      <c r="D623" s="39">
        <f t="shared" ca="1" si="46"/>
        <v>753.5</v>
      </c>
      <c r="E623" s="31">
        <f t="shared" ca="1" si="47"/>
        <v>0</v>
      </c>
      <c r="F623" s="40">
        <f t="shared" ca="1" si="48"/>
        <v>31</v>
      </c>
      <c r="G623" s="31">
        <f t="shared" ca="1" si="49"/>
        <v>0</v>
      </c>
    </row>
    <row r="624" spans="1:7" x14ac:dyDescent="0.25">
      <c r="A624" s="11">
        <f t="shared" si="45"/>
        <v>44</v>
      </c>
      <c r="B624" t="str">
        <f ca="1">TEXT(DATE(YEAR(Invoer!$A$5),1,1)+INT((ROWS(B$2:B624)-1)/2),"jjjjmmdd")</f>
        <v>19271108</v>
      </c>
      <c r="C624" s="26" t="str">
        <f>INDEX(Data,2,2+MOD(ROWS(C$2:C624)-1,2))</f>
        <v>08.00</v>
      </c>
      <c r="D624" s="39">
        <f t="shared" ca="1" si="46"/>
        <v>756</v>
      </c>
      <c r="E624" s="31">
        <f t="shared" ca="1" si="47"/>
        <v>0</v>
      </c>
      <c r="F624" s="40">
        <f t="shared" ca="1" si="48"/>
        <v>30</v>
      </c>
      <c r="G624" s="31">
        <f t="shared" ca="1" si="49"/>
        <v>0</v>
      </c>
    </row>
    <row r="625" spans="1:7" x14ac:dyDescent="0.25">
      <c r="A625" s="11">
        <f t="shared" si="45"/>
        <v>44</v>
      </c>
      <c r="B625" t="str">
        <f ca="1">TEXT(DATE(YEAR(Invoer!$A$5),1,1)+INT((ROWS(B$2:B625)-1)/2),"jjjjmmdd")</f>
        <v>19271108</v>
      </c>
      <c r="C625" s="26" t="str">
        <f>INDEX(Data,2,2+MOD(ROWS(C$2:C625)-1,2))</f>
        <v>15.00</v>
      </c>
      <c r="D625" s="39">
        <f t="shared" ca="1" si="46"/>
        <v>754</v>
      </c>
      <c r="E625" s="31">
        <f t="shared" ca="1" si="47"/>
        <v>0</v>
      </c>
      <c r="F625" s="40">
        <f t="shared" ca="1" si="48"/>
        <v>31</v>
      </c>
      <c r="G625" s="31">
        <f t="shared" ca="1" si="49"/>
        <v>0</v>
      </c>
    </row>
    <row r="626" spans="1:7" x14ac:dyDescent="0.25">
      <c r="A626" s="11">
        <f t="shared" si="45"/>
        <v>44</v>
      </c>
      <c r="B626" t="str">
        <f ca="1">TEXT(DATE(YEAR(Invoer!$A$5),1,1)+INT((ROWS(B$2:B626)-1)/2),"jjjjmmdd")</f>
        <v>19271109</v>
      </c>
      <c r="C626" s="26" t="str">
        <f>INDEX(Data,2,2+MOD(ROWS(C$2:C626)-1,2))</f>
        <v>08.00</v>
      </c>
      <c r="D626" s="39">
        <f t="shared" ca="1" si="46"/>
        <v>757</v>
      </c>
      <c r="E626" s="31">
        <f t="shared" ca="1" si="47"/>
        <v>0</v>
      </c>
      <c r="F626" s="40">
        <f t="shared" ca="1" si="48"/>
        <v>29</v>
      </c>
      <c r="G626" s="31">
        <f t="shared" ca="1" si="49"/>
        <v>0</v>
      </c>
    </row>
    <row r="627" spans="1:7" x14ac:dyDescent="0.25">
      <c r="A627" s="11">
        <f t="shared" si="45"/>
        <v>44</v>
      </c>
      <c r="B627" t="str">
        <f ca="1">TEXT(DATE(YEAR(Invoer!$A$5),1,1)+INT((ROWS(B$2:B627)-1)/2),"jjjjmmdd")</f>
        <v>19271109</v>
      </c>
      <c r="C627" s="26" t="str">
        <f>INDEX(Data,2,2+MOD(ROWS(C$2:C627)-1,2))</f>
        <v>15.00</v>
      </c>
      <c r="D627" s="39">
        <f t="shared" ca="1" si="46"/>
        <v>754.5</v>
      </c>
      <c r="E627" s="31">
        <f t="shared" ca="1" si="47"/>
        <v>0</v>
      </c>
      <c r="F627" s="40">
        <f t="shared" ca="1" si="48"/>
        <v>31</v>
      </c>
      <c r="G627" s="31">
        <f t="shared" ca="1" si="49"/>
        <v>0</v>
      </c>
    </row>
    <row r="628" spans="1:7" x14ac:dyDescent="0.25">
      <c r="A628" s="11">
        <f t="shared" si="45"/>
        <v>44</v>
      </c>
      <c r="B628" t="str">
        <f ca="1">TEXT(DATE(YEAR(Invoer!$A$5),1,1)+INT((ROWS(B$2:B628)-1)/2),"jjjjmmdd")</f>
        <v>19271110</v>
      </c>
      <c r="C628" s="26" t="str">
        <f>INDEX(Data,2,2+MOD(ROWS(C$2:C628)-1,2))</f>
        <v>08.00</v>
      </c>
      <c r="D628" s="39">
        <f t="shared" ca="1" si="46"/>
        <v>757</v>
      </c>
      <c r="E628" s="31">
        <f t="shared" ca="1" si="47"/>
        <v>0</v>
      </c>
      <c r="F628" s="40">
        <f t="shared" ca="1" si="48"/>
        <v>29</v>
      </c>
      <c r="G628" s="31">
        <f t="shared" ca="1" si="49"/>
        <v>0</v>
      </c>
    </row>
    <row r="629" spans="1:7" x14ac:dyDescent="0.25">
      <c r="A629" s="11">
        <f t="shared" si="45"/>
        <v>44</v>
      </c>
      <c r="B629" t="str">
        <f ca="1">TEXT(DATE(YEAR(Invoer!$A$5),1,1)+INT((ROWS(B$2:B629)-1)/2),"jjjjmmdd")</f>
        <v>19271110</v>
      </c>
      <c r="C629" s="26" t="str">
        <f>INDEX(Data,2,2+MOD(ROWS(C$2:C629)-1,2))</f>
        <v>15.00</v>
      </c>
      <c r="D629" s="39">
        <f t="shared" ca="1" si="46"/>
        <v>755</v>
      </c>
      <c r="E629" s="31">
        <f t="shared" ca="1" si="47"/>
        <v>0</v>
      </c>
      <c r="F629" s="40">
        <f t="shared" ca="1" si="48"/>
        <v>31</v>
      </c>
      <c r="G629" s="31">
        <f t="shared" ca="1" si="49"/>
        <v>0</v>
      </c>
    </row>
    <row r="630" spans="1:7" x14ac:dyDescent="0.25">
      <c r="A630" s="11">
        <f t="shared" si="45"/>
        <v>44</v>
      </c>
      <c r="B630" t="str">
        <f ca="1">TEXT(DATE(YEAR(Invoer!$A$5),1,1)+INT((ROWS(B$2:B630)-1)/2),"jjjjmmdd")</f>
        <v>19271111</v>
      </c>
      <c r="C630" s="26" t="str">
        <f>INDEX(Data,2,2+MOD(ROWS(C$2:C630)-1,2))</f>
        <v>08.00</v>
      </c>
      <c r="D630" s="39">
        <f t="shared" ca="1" si="46"/>
        <v>756</v>
      </c>
      <c r="E630" s="31">
        <f t="shared" ca="1" si="47"/>
        <v>0</v>
      </c>
      <c r="F630" s="40">
        <f t="shared" ca="1" si="48"/>
        <v>30</v>
      </c>
      <c r="G630" s="31">
        <f t="shared" ca="1" si="49"/>
        <v>0</v>
      </c>
    </row>
    <row r="631" spans="1:7" x14ac:dyDescent="0.25">
      <c r="A631" s="11">
        <f t="shared" si="45"/>
        <v>44</v>
      </c>
      <c r="B631" t="str">
        <f ca="1">TEXT(DATE(YEAR(Invoer!$A$5),1,1)+INT((ROWS(B$2:B631)-1)/2),"jjjjmmdd")</f>
        <v>19271111</v>
      </c>
      <c r="C631" s="26" t="str">
        <f>INDEX(Data,2,2+MOD(ROWS(C$2:C631)-1,2))</f>
        <v>15.00</v>
      </c>
      <c r="D631" s="39">
        <f t="shared" ca="1" si="46"/>
        <v>754</v>
      </c>
      <c r="E631" s="31">
        <f t="shared" ca="1" si="47"/>
        <v>0</v>
      </c>
      <c r="F631" s="40">
        <f t="shared" ca="1" si="48"/>
        <v>31.5</v>
      </c>
      <c r="G631" s="31">
        <f t="shared" ca="1" si="49"/>
        <v>0</v>
      </c>
    </row>
    <row r="632" spans="1:7" x14ac:dyDescent="0.25">
      <c r="A632" s="11">
        <f t="shared" si="45"/>
        <v>44</v>
      </c>
      <c r="B632" t="str">
        <f ca="1">TEXT(DATE(YEAR(Invoer!$A$5),1,1)+INT((ROWS(B$2:B632)-1)/2),"jjjjmmdd")</f>
        <v>19271112</v>
      </c>
      <c r="C632" s="26" t="str">
        <f>INDEX(Data,2,2+MOD(ROWS(C$2:C632)-1,2))</f>
        <v>08.00</v>
      </c>
      <c r="D632" s="39">
        <f t="shared" ca="1" si="46"/>
        <v>755</v>
      </c>
      <c r="E632" s="31">
        <f t="shared" ca="1" si="47"/>
        <v>0</v>
      </c>
      <c r="F632" s="40">
        <f t="shared" ca="1" si="48"/>
        <v>30</v>
      </c>
      <c r="G632" s="31">
        <f t="shared" ca="1" si="49"/>
        <v>0</v>
      </c>
    </row>
    <row r="633" spans="1:7" x14ac:dyDescent="0.25">
      <c r="A633" s="11">
        <f t="shared" si="45"/>
        <v>44</v>
      </c>
      <c r="B633" t="str">
        <f ca="1">TEXT(DATE(YEAR(Invoer!$A$5),1,1)+INT((ROWS(B$2:B633)-1)/2),"jjjjmmdd")</f>
        <v>19271112</v>
      </c>
      <c r="C633" s="26" t="str">
        <f>INDEX(Data,2,2+MOD(ROWS(C$2:C633)-1,2))</f>
        <v>15.00</v>
      </c>
      <c r="D633" s="39">
        <f t="shared" ca="1" si="46"/>
        <v>754</v>
      </c>
      <c r="E633" s="31">
        <f t="shared" ca="1" si="47"/>
        <v>0</v>
      </c>
      <c r="F633" s="40">
        <f t="shared" ca="1" si="48"/>
        <v>31.5</v>
      </c>
      <c r="G633" s="31">
        <f t="shared" ca="1" si="49"/>
        <v>0</v>
      </c>
    </row>
    <row r="634" spans="1:7" x14ac:dyDescent="0.25">
      <c r="A634" s="11">
        <f t="shared" si="45"/>
        <v>44</v>
      </c>
      <c r="B634" t="str">
        <f ca="1">TEXT(DATE(YEAR(Invoer!$A$5),1,1)+INT((ROWS(B$2:B634)-1)/2),"jjjjmmdd")</f>
        <v>19271113</v>
      </c>
      <c r="C634" s="26" t="str">
        <f>INDEX(Data,2,2+MOD(ROWS(C$2:C634)-1,2))</f>
        <v>08.00</v>
      </c>
      <c r="D634" s="39">
        <f t="shared" ca="1" si="46"/>
        <v>755.5</v>
      </c>
      <c r="E634" s="31">
        <f t="shared" ca="1" si="47"/>
        <v>0</v>
      </c>
      <c r="F634" s="40">
        <f t="shared" ca="1" si="48"/>
        <v>30.5</v>
      </c>
      <c r="G634" s="31">
        <f t="shared" ca="1" si="49"/>
        <v>0</v>
      </c>
    </row>
    <row r="635" spans="1:7" x14ac:dyDescent="0.25">
      <c r="A635" s="11">
        <f t="shared" si="45"/>
        <v>44</v>
      </c>
      <c r="B635" t="str">
        <f ca="1">TEXT(DATE(YEAR(Invoer!$A$5),1,1)+INT((ROWS(B$2:B635)-1)/2),"jjjjmmdd")</f>
        <v>19271113</v>
      </c>
      <c r="C635" s="26" t="str">
        <f>INDEX(Data,2,2+MOD(ROWS(C$2:C635)-1,2))</f>
        <v>15.00</v>
      </c>
      <c r="D635" s="39">
        <f t="shared" ca="1" si="46"/>
        <v>754</v>
      </c>
      <c r="E635" s="31">
        <f t="shared" ca="1" si="47"/>
        <v>0</v>
      </c>
      <c r="F635" s="40">
        <f t="shared" ca="1" si="48"/>
        <v>31.5</v>
      </c>
      <c r="G635" s="31">
        <f t="shared" ca="1" si="49"/>
        <v>0</v>
      </c>
    </row>
    <row r="636" spans="1:7" x14ac:dyDescent="0.25">
      <c r="A636" s="11">
        <f t="shared" si="45"/>
        <v>44</v>
      </c>
      <c r="B636" t="str">
        <f ca="1">TEXT(DATE(YEAR(Invoer!$A$5),1,1)+INT((ROWS(B$2:B636)-1)/2),"jjjjmmdd")</f>
        <v>19271114</v>
      </c>
      <c r="C636" s="26" t="str">
        <f>INDEX(Data,2,2+MOD(ROWS(C$2:C636)-1,2))</f>
        <v>08.00</v>
      </c>
      <c r="D636" s="39">
        <f t="shared" ca="1" si="46"/>
        <v>755.5</v>
      </c>
      <c r="E636" s="31">
        <f t="shared" ca="1" si="47"/>
        <v>0</v>
      </c>
      <c r="F636" s="40">
        <f t="shared" ca="1" si="48"/>
        <v>30.5</v>
      </c>
      <c r="G636" s="31">
        <f t="shared" ca="1" si="49"/>
        <v>0</v>
      </c>
    </row>
    <row r="637" spans="1:7" x14ac:dyDescent="0.25">
      <c r="A637" s="11">
        <f t="shared" si="45"/>
        <v>44</v>
      </c>
      <c r="B637" t="str">
        <f ca="1">TEXT(DATE(YEAR(Invoer!$A$5),1,1)+INT((ROWS(B$2:B637)-1)/2),"jjjjmmdd")</f>
        <v>19271114</v>
      </c>
      <c r="C637" s="26" t="str">
        <f>INDEX(Data,2,2+MOD(ROWS(C$2:C637)-1,2))</f>
        <v>15.00</v>
      </c>
      <c r="D637" s="39">
        <f t="shared" ca="1" si="46"/>
        <v>752.5</v>
      </c>
      <c r="E637" s="31">
        <f t="shared" ca="1" si="47"/>
        <v>0</v>
      </c>
      <c r="F637" s="40">
        <f t="shared" ca="1" si="48"/>
        <v>31</v>
      </c>
      <c r="G637" s="31">
        <f t="shared" ca="1" si="49"/>
        <v>0</v>
      </c>
    </row>
    <row r="638" spans="1:7" x14ac:dyDescent="0.25">
      <c r="A638" s="11">
        <f t="shared" si="45"/>
        <v>44</v>
      </c>
      <c r="B638" t="str">
        <f ca="1">TEXT(DATE(YEAR(Invoer!$A$5),1,1)+INT((ROWS(B$2:B638)-1)/2),"jjjjmmdd")</f>
        <v>19271115</v>
      </c>
      <c r="C638" s="26" t="str">
        <f>INDEX(Data,2,2+MOD(ROWS(C$2:C638)-1,2))</f>
        <v>08.00</v>
      </c>
      <c r="D638" s="39">
        <f t="shared" ca="1" si="46"/>
        <v>755.4</v>
      </c>
      <c r="E638" s="31">
        <f t="shared" ca="1" si="47"/>
        <v>0</v>
      </c>
      <c r="F638" s="40">
        <f t="shared" ca="1" si="48"/>
        <v>30</v>
      </c>
      <c r="G638" s="31">
        <f t="shared" ca="1" si="49"/>
        <v>0</v>
      </c>
    </row>
    <row r="639" spans="1:7" x14ac:dyDescent="0.25">
      <c r="A639" s="11">
        <f t="shared" si="45"/>
        <v>44</v>
      </c>
      <c r="B639" t="str">
        <f ca="1">TEXT(DATE(YEAR(Invoer!$A$5),1,1)+INT((ROWS(B$2:B639)-1)/2),"jjjjmmdd")</f>
        <v>19271115</v>
      </c>
      <c r="C639" s="26" t="str">
        <f>INDEX(Data,2,2+MOD(ROWS(C$2:C639)-1,2))</f>
        <v>15.00</v>
      </c>
      <c r="D639" s="39">
        <f t="shared" ca="1" si="46"/>
        <v>751.5</v>
      </c>
      <c r="E639" s="31">
        <f t="shared" ca="1" si="47"/>
        <v>0</v>
      </c>
      <c r="F639" s="40">
        <f t="shared" ca="1" si="48"/>
        <v>31.5</v>
      </c>
      <c r="G639" s="31">
        <f t="shared" ca="1" si="49"/>
        <v>0</v>
      </c>
    </row>
    <row r="640" spans="1:7" x14ac:dyDescent="0.25">
      <c r="A640" s="11">
        <f t="shared" si="45"/>
        <v>44</v>
      </c>
      <c r="B640" t="str">
        <f ca="1">TEXT(DATE(YEAR(Invoer!$A$5),1,1)+INT((ROWS(B$2:B640)-1)/2),"jjjjmmdd")</f>
        <v>19271116</v>
      </c>
      <c r="C640" s="26" t="str">
        <f>INDEX(Data,2,2+MOD(ROWS(C$2:C640)-1,2))</f>
        <v>08.00</v>
      </c>
      <c r="D640" s="39">
        <f t="shared" ca="1" si="46"/>
        <v>754</v>
      </c>
      <c r="E640" s="31">
        <f t="shared" ca="1" si="47"/>
        <v>0</v>
      </c>
      <c r="F640" s="40">
        <f t="shared" ca="1" si="48"/>
        <v>30.5</v>
      </c>
      <c r="G640" s="31">
        <f t="shared" ca="1" si="49"/>
        <v>0</v>
      </c>
    </row>
    <row r="641" spans="1:7" x14ac:dyDescent="0.25">
      <c r="A641" s="11">
        <f t="shared" si="45"/>
        <v>44</v>
      </c>
      <c r="B641" t="str">
        <f ca="1">TEXT(DATE(YEAR(Invoer!$A$5),1,1)+INT((ROWS(B$2:B641)-1)/2),"jjjjmmdd")</f>
        <v>19271116</v>
      </c>
      <c r="C641" s="26" t="str">
        <f>INDEX(Data,2,2+MOD(ROWS(C$2:C641)-1,2))</f>
        <v>15.00</v>
      </c>
      <c r="D641" s="39">
        <f t="shared" ca="1" si="46"/>
        <v>752</v>
      </c>
      <c r="E641" s="31">
        <f t="shared" ca="1" si="47"/>
        <v>0</v>
      </c>
      <c r="F641" s="40">
        <f t="shared" ca="1" si="48"/>
        <v>32</v>
      </c>
      <c r="G641" s="31">
        <f t="shared" ca="1" si="49"/>
        <v>0</v>
      </c>
    </row>
    <row r="642" spans="1:7" x14ac:dyDescent="0.25">
      <c r="A642" s="11">
        <f t="shared" ref="A642:A705" si="50">INDEX(Stations,2,1)</f>
        <v>44</v>
      </c>
      <c r="B642" t="str">
        <f ca="1">TEXT(DATE(YEAR(Invoer!$A$5),1,1)+INT((ROWS(B$2:B642)-1)/2),"jjjjmmdd")</f>
        <v>19271117</v>
      </c>
      <c r="C642" s="26" t="str">
        <f>INDEX(Data,2,2+MOD(ROWS(C$2:C642)-1,2))</f>
        <v>08.00</v>
      </c>
      <c r="D642" s="39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/10)</f>
        <v>753</v>
      </c>
      <c r="E642" s="31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  <c r="F642" s="40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VLOOKUP(DATEVALUE(LEFT($B642,4)&amp;"-"&amp;MID($B642,5,2)&amp;"-"&amp;RIGHT($B642,2)),Data,MATCH(LEFT(VLOOKUP(F$1,Parameters,2,FALSE()),4)&amp;"*",OFFSET(Data,0,0,1),0)+MATCH($C642,OFFSET(Data,1,0,1),0)-2,FALSE())/10)</f>
        <v>31.5</v>
      </c>
      <c r="G642" s="31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0</v>
      </c>
    </row>
    <row r="643" spans="1:7" x14ac:dyDescent="0.25">
      <c r="A643" s="11">
        <f t="shared" si="50"/>
        <v>44</v>
      </c>
      <c r="B643" t="str">
        <f ca="1">TEXT(DATE(YEAR(Invoer!$A$5),1,1)+INT((ROWS(B$2:B643)-1)/2),"jjjjmmdd")</f>
        <v>19271117</v>
      </c>
      <c r="C643" s="26" t="str">
        <f>INDEX(Data,2,2+MOD(ROWS(C$2:C643)-1,2))</f>
        <v>15.00</v>
      </c>
      <c r="D643" s="39">
        <f t="shared" ca="1" si="51"/>
        <v>751</v>
      </c>
      <c r="E643" s="31">
        <f t="shared" ca="1" si="52"/>
        <v>0</v>
      </c>
      <c r="F643" s="40">
        <f t="shared" ca="1" si="53"/>
        <v>32</v>
      </c>
      <c r="G643" s="31">
        <f t="shared" ca="1" si="54"/>
        <v>0</v>
      </c>
    </row>
    <row r="644" spans="1:7" x14ac:dyDescent="0.25">
      <c r="A644" s="11">
        <f t="shared" si="50"/>
        <v>44</v>
      </c>
      <c r="B644" t="str">
        <f ca="1">TEXT(DATE(YEAR(Invoer!$A$5),1,1)+INT((ROWS(B$2:B644)-1)/2),"jjjjmmdd")</f>
        <v>19271118</v>
      </c>
      <c r="C644" s="26" t="str">
        <f>INDEX(Data,2,2+MOD(ROWS(C$2:C644)-1,2))</f>
        <v>08.00</v>
      </c>
      <c r="D644" s="39">
        <f t="shared" ca="1" si="51"/>
        <v>754</v>
      </c>
      <c r="E644" s="31">
        <f t="shared" ca="1" si="52"/>
        <v>0</v>
      </c>
      <c r="F644" s="40">
        <f t="shared" ca="1" si="53"/>
        <v>30</v>
      </c>
      <c r="G644" s="31">
        <f t="shared" ca="1" si="54"/>
        <v>0</v>
      </c>
    </row>
    <row r="645" spans="1:7" x14ac:dyDescent="0.25">
      <c r="A645" s="11">
        <f t="shared" si="50"/>
        <v>44</v>
      </c>
      <c r="B645" t="str">
        <f ca="1">TEXT(DATE(YEAR(Invoer!$A$5),1,1)+INT((ROWS(B$2:B645)-1)/2),"jjjjmmdd")</f>
        <v>19271118</v>
      </c>
      <c r="C645" s="26" t="str">
        <f>INDEX(Data,2,2+MOD(ROWS(C$2:C645)-1,2))</f>
        <v>15.00</v>
      </c>
      <c r="D645" s="39">
        <f t="shared" ca="1" si="51"/>
        <v>752</v>
      </c>
      <c r="E645" s="31">
        <f t="shared" ca="1" si="52"/>
        <v>0</v>
      </c>
      <c r="F645" s="40">
        <f t="shared" ca="1" si="53"/>
        <v>31.5</v>
      </c>
      <c r="G645" s="31">
        <f t="shared" ca="1" si="54"/>
        <v>0</v>
      </c>
    </row>
    <row r="646" spans="1:7" x14ac:dyDescent="0.25">
      <c r="A646" s="11">
        <f t="shared" si="50"/>
        <v>44</v>
      </c>
      <c r="B646" t="str">
        <f ca="1">TEXT(DATE(YEAR(Invoer!$A$5),1,1)+INT((ROWS(B$2:B646)-1)/2),"jjjjmmdd")</f>
        <v>19271119</v>
      </c>
      <c r="C646" s="26" t="str">
        <f>INDEX(Data,2,2+MOD(ROWS(C$2:C646)-1,2))</f>
        <v>08.00</v>
      </c>
      <c r="D646" s="39">
        <f t="shared" ca="1" si="51"/>
        <v>755</v>
      </c>
      <c r="E646" s="31">
        <f t="shared" ca="1" si="52"/>
        <v>0</v>
      </c>
      <c r="F646" s="40">
        <f t="shared" ca="1" si="53"/>
        <v>30</v>
      </c>
      <c r="G646" s="31">
        <f t="shared" ca="1" si="54"/>
        <v>0</v>
      </c>
    </row>
    <row r="647" spans="1:7" x14ac:dyDescent="0.25">
      <c r="A647" s="11">
        <f t="shared" si="50"/>
        <v>44</v>
      </c>
      <c r="B647" t="str">
        <f ca="1">TEXT(DATE(YEAR(Invoer!$A$5),1,1)+INT((ROWS(B$2:B647)-1)/2),"jjjjmmdd")</f>
        <v>19271119</v>
      </c>
      <c r="C647" s="26" t="str">
        <f>INDEX(Data,2,2+MOD(ROWS(C$2:C647)-1,2))</f>
        <v>15.00</v>
      </c>
      <c r="D647" s="39">
        <f t="shared" ca="1" si="51"/>
        <v>752</v>
      </c>
      <c r="E647" s="31">
        <f t="shared" ca="1" si="52"/>
        <v>0</v>
      </c>
      <c r="F647" s="40">
        <f t="shared" ca="1" si="53"/>
        <v>31.5</v>
      </c>
      <c r="G647" s="31">
        <f t="shared" ca="1" si="54"/>
        <v>0</v>
      </c>
    </row>
    <row r="648" spans="1:7" x14ac:dyDescent="0.25">
      <c r="A648" s="11">
        <f t="shared" si="50"/>
        <v>44</v>
      </c>
      <c r="B648" t="str">
        <f ca="1">TEXT(DATE(YEAR(Invoer!$A$5),1,1)+INT((ROWS(B$2:B648)-1)/2),"jjjjmmdd")</f>
        <v>19271120</v>
      </c>
      <c r="C648" s="26" t="str">
        <f>INDEX(Data,2,2+MOD(ROWS(C$2:C648)-1,2))</f>
        <v>08.00</v>
      </c>
      <c r="D648" s="39">
        <f t="shared" ca="1" si="51"/>
        <v>755</v>
      </c>
      <c r="E648" s="31">
        <f t="shared" ca="1" si="52"/>
        <v>0</v>
      </c>
      <c r="F648" s="40">
        <f t="shared" ca="1" si="53"/>
        <v>30</v>
      </c>
      <c r="G648" s="31">
        <f t="shared" ca="1" si="54"/>
        <v>0</v>
      </c>
    </row>
    <row r="649" spans="1:7" x14ac:dyDescent="0.25">
      <c r="A649" s="11">
        <f t="shared" si="50"/>
        <v>44</v>
      </c>
      <c r="B649" t="str">
        <f ca="1">TEXT(DATE(YEAR(Invoer!$A$5),1,1)+INT((ROWS(B$2:B649)-1)/2),"jjjjmmdd")</f>
        <v>19271120</v>
      </c>
      <c r="C649" s="26" t="str">
        <f>INDEX(Data,2,2+MOD(ROWS(C$2:C649)-1,2))</f>
        <v>15.00</v>
      </c>
      <c r="D649" s="39">
        <f t="shared" ca="1" si="51"/>
        <v>752</v>
      </c>
      <c r="E649" s="31">
        <f t="shared" ca="1" si="52"/>
        <v>0</v>
      </c>
      <c r="F649" s="40">
        <f t="shared" ca="1" si="53"/>
        <v>31.5</v>
      </c>
      <c r="G649" s="31">
        <f t="shared" ca="1" si="54"/>
        <v>0</v>
      </c>
    </row>
    <row r="650" spans="1:7" x14ac:dyDescent="0.25">
      <c r="A650" s="11">
        <f t="shared" si="50"/>
        <v>44</v>
      </c>
      <c r="B650" t="str">
        <f ca="1">TEXT(DATE(YEAR(Invoer!$A$5),1,1)+INT((ROWS(B$2:B650)-1)/2),"jjjjmmdd")</f>
        <v>19271121</v>
      </c>
      <c r="C650" s="26" t="str">
        <f>INDEX(Data,2,2+MOD(ROWS(C$2:C650)-1,2))</f>
        <v>08.00</v>
      </c>
      <c r="D650" s="39">
        <f t="shared" ca="1" si="51"/>
        <v>755.5</v>
      </c>
      <c r="E650" s="31">
        <f t="shared" ca="1" si="52"/>
        <v>0</v>
      </c>
      <c r="F650" s="40">
        <f t="shared" ca="1" si="53"/>
        <v>28.5</v>
      </c>
      <c r="G650" s="31">
        <f t="shared" ca="1" si="54"/>
        <v>0</v>
      </c>
    </row>
    <row r="651" spans="1:7" x14ac:dyDescent="0.25">
      <c r="A651" s="11">
        <f t="shared" si="50"/>
        <v>44</v>
      </c>
      <c r="B651" t="str">
        <f ca="1">TEXT(DATE(YEAR(Invoer!$A$5),1,1)+INT((ROWS(B$2:B651)-1)/2),"jjjjmmdd")</f>
        <v>19271121</v>
      </c>
      <c r="C651" s="26" t="str">
        <f>INDEX(Data,2,2+MOD(ROWS(C$2:C651)-1,2))</f>
        <v>15.00</v>
      </c>
      <c r="D651" s="39">
        <f t="shared" ca="1" si="51"/>
        <v>753.5</v>
      </c>
      <c r="E651" s="31">
        <f t="shared" ca="1" si="52"/>
        <v>0</v>
      </c>
      <c r="F651" s="40">
        <f t="shared" ca="1" si="53"/>
        <v>29</v>
      </c>
      <c r="G651" s="31">
        <f t="shared" ca="1" si="54"/>
        <v>0</v>
      </c>
    </row>
    <row r="652" spans="1:7" x14ac:dyDescent="0.25">
      <c r="A652" s="11">
        <f t="shared" si="50"/>
        <v>44</v>
      </c>
      <c r="B652" t="str">
        <f ca="1">TEXT(DATE(YEAR(Invoer!$A$5),1,1)+INT((ROWS(B$2:B652)-1)/2),"jjjjmmdd")</f>
        <v>19271122</v>
      </c>
      <c r="C652" s="26" t="str">
        <f>INDEX(Data,2,2+MOD(ROWS(C$2:C652)-1,2))</f>
        <v>08.00</v>
      </c>
      <c r="D652" s="39">
        <f t="shared" ca="1" si="51"/>
        <v>757</v>
      </c>
      <c r="E652" s="31">
        <f t="shared" ca="1" si="52"/>
        <v>0</v>
      </c>
      <c r="F652" s="40">
        <f t="shared" ca="1" si="53"/>
        <v>29</v>
      </c>
      <c r="G652" s="31">
        <f t="shared" ca="1" si="54"/>
        <v>0</v>
      </c>
    </row>
    <row r="653" spans="1:7" x14ac:dyDescent="0.25">
      <c r="A653" s="11">
        <f t="shared" si="50"/>
        <v>44</v>
      </c>
      <c r="B653" t="str">
        <f ca="1">TEXT(DATE(YEAR(Invoer!$A$5),1,1)+INT((ROWS(B$2:B653)-1)/2),"jjjjmmdd")</f>
        <v>19271122</v>
      </c>
      <c r="C653" s="26" t="str">
        <f>INDEX(Data,2,2+MOD(ROWS(C$2:C653)-1,2))</f>
        <v>15.00</v>
      </c>
      <c r="D653" s="39">
        <f t="shared" ca="1" si="51"/>
        <v>754</v>
      </c>
      <c r="E653" s="31">
        <f t="shared" ca="1" si="52"/>
        <v>0</v>
      </c>
      <c r="F653" s="40">
        <f t="shared" ca="1" si="53"/>
        <v>30</v>
      </c>
      <c r="G653" s="31">
        <f t="shared" ca="1" si="54"/>
        <v>0</v>
      </c>
    </row>
    <row r="654" spans="1:7" x14ac:dyDescent="0.25">
      <c r="A654" s="11">
        <f t="shared" si="50"/>
        <v>44</v>
      </c>
      <c r="B654" t="str">
        <f ca="1">TEXT(DATE(YEAR(Invoer!$A$5),1,1)+INT((ROWS(B$2:B654)-1)/2),"jjjjmmdd")</f>
        <v>19271123</v>
      </c>
      <c r="C654" s="26" t="str">
        <f>INDEX(Data,2,2+MOD(ROWS(C$2:C654)-1,2))</f>
        <v>08.00</v>
      </c>
      <c r="D654" s="39">
        <f t="shared" ca="1" si="51"/>
        <v>756</v>
      </c>
      <c r="E654" s="31">
        <f t="shared" ca="1" si="52"/>
        <v>0</v>
      </c>
      <c r="F654" s="40">
        <f t="shared" ca="1" si="53"/>
        <v>29</v>
      </c>
      <c r="G654" s="31">
        <f t="shared" ca="1" si="54"/>
        <v>0</v>
      </c>
    </row>
    <row r="655" spans="1:7" x14ac:dyDescent="0.25">
      <c r="A655" s="11">
        <f t="shared" si="50"/>
        <v>44</v>
      </c>
      <c r="B655" t="str">
        <f ca="1">TEXT(DATE(YEAR(Invoer!$A$5),1,1)+INT((ROWS(B$2:B655)-1)/2),"jjjjmmdd")</f>
        <v>19271123</v>
      </c>
      <c r="C655" s="26" t="str">
        <f>INDEX(Data,2,2+MOD(ROWS(C$2:C655)-1,2))</f>
        <v>15.00</v>
      </c>
      <c r="D655" s="39">
        <f t="shared" ca="1" si="51"/>
        <v>755</v>
      </c>
      <c r="E655" s="31">
        <f t="shared" ca="1" si="52"/>
        <v>0</v>
      </c>
      <c r="F655" s="40">
        <f t="shared" ca="1" si="53"/>
        <v>30</v>
      </c>
      <c r="G655" s="31">
        <f t="shared" ca="1" si="54"/>
        <v>0</v>
      </c>
    </row>
    <row r="656" spans="1:7" x14ac:dyDescent="0.25">
      <c r="A656" s="11">
        <f t="shared" si="50"/>
        <v>44</v>
      </c>
      <c r="B656" t="str">
        <f ca="1">TEXT(DATE(YEAR(Invoer!$A$5),1,1)+INT((ROWS(B$2:B656)-1)/2),"jjjjmmdd")</f>
        <v>19271124</v>
      </c>
      <c r="C656" s="26" t="str">
        <f>INDEX(Data,2,2+MOD(ROWS(C$2:C656)-1,2))</f>
        <v>08.00</v>
      </c>
      <c r="D656" s="39">
        <f t="shared" ca="1" si="51"/>
        <v>755</v>
      </c>
      <c r="E656" s="31">
        <f t="shared" ca="1" si="52"/>
        <v>0</v>
      </c>
      <c r="F656" s="40">
        <f t="shared" ca="1" si="53"/>
        <v>29</v>
      </c>
      <c r="G656" s="31">
        <f t="shared" ca="1" si="54"/>
        <v>0</v>
      </c>
    </row>
    <row r="657" spans="1:7" x14ac:dyDescent="0.25">
      <c r="A657" s="11">
        <f t="shared" si="50"/>
        <v>44</v>
      </c>
      <c r="B657" t="str">
        <f ca="1">TEXT(DATE(YEAR(Invoer!$A$5),1,1)+INT((ROWS(B$2:B657)-1)/2),"jjjjmmdd")</f>
        <v>19271124</v>
      </c>
      <c r="C657" s="26" t="str">
        <f>INDEX(Data,2,2+MOD(ROWS(C$2:C657)-1,2))</f>
        <v>15.00</v>
      </c>
      <c r="D657" s="39">
        <f t="shared" ca="1" si="51"/>
        <v>753</v>
      </c>
      <c r="E657" s="31">
        <f t="shared" ca="1" si="52"/>
        <v>0</v>
      </c>
      <c r="F657" s="40">
        <f t="shared" ca="1" si="53"/>
        <v>30</v>
      </c>
      <c r="G657" s="31">
        <f t="shared" ca="1" si="54"/>
        <v>0</v>
      </c>
    </row>
    <row r="658" spans="1:7" x14ac:dyDescent="0.25">
      <c r="A658" s="11">
        <f t="shared" si="50"/>
        <v>44</v>
      </c>
      <c r="B658" t="str">
        <f ca="1">TEXT(DATE(YEAR(Invoer!$A$5),1,1)+INT((ROWS(B$2:B658)-1)/2),"jjjjmmdd")</f>
        <v>19271125</v>
      </c>
      <c r="C658" s="26" t="str">
        <f>INDEX(Data,2,2+MOD(ROWS(C$2:C658)-1,2))</f>
        <v>08.00</v>
      </c>
      <c r="D658" s="39">
        <f t="shared" ca="1" si="51"/>
        <v>755</v>
      </c>
      <c r="E658" s="31">
        <f t="shared" ca="1" si="52"/>
        <v>0</v>
      </c>
      <c r="F658" s="40">
        <f t="shared" ca="1" si="53"/>
        <v>29</v>
      </c>
      <c r="G658" s="31">
        <f t="shared" ca="1" si="54"/>
        <v>0</v>
      </c>
    </row>
    <row r="659" spans="1:7" x14ac:dyDescent="0.25">
      <c r="A659" s="11">
        <f t="shared" si="50"/>
        <v>44</v>
      </c>
      <c r="B659" t="str">
        <f ca="1">TEXT(DATE(YEAR(Invoer!$A$5),1,1)+INT((ROWS(B$2:B659)-1)/2),"jjjjmmdd")</f>
        <v>19271125</v>
      </c>
      <c r="C659" s="26" t="str">
        <f>INDEX(Data,2,2+MOD(ROWS(C$2:C659)-1,2))</f>
        <v>15.00</v>
      </c>
      <c r="D659" s="39">
        <f t="shared" ca="1" si="51"/>
        <v>752.5</v>
      </c>
      <c r="E659" s="31">
        <f t="shared" ca="1" si="52"/>
        <v>0</v>
      </c>
      <c r="F659" s="40">
        <f t="shared" ca="1" si="53"/>
        <v>30</v>
      </c>
      <c r="G659" s="31">
        <f t="shared" ca="1" si="54"/>
        <v>0</v>
      </c>
    </row>
    <row r="660" spans="1:7" x14ac:dyDescent="0.25">
      <c r="A660" s="11">
        <f t="shared" si="50"/>
        <v>44</v>
      </c>
      <c r="B660" t="str">
        <f ca="1">TEXT(DATE(YEAR(Invoer!$A$5),1,1)+INT((ROWS(B$2:B660)-1)/2),"jjjjmmdd")</f>
        <v>19271126</v>
      </c>
      <c r="C660" s="26" t="str">
        <f>INDEX(Data,2,2+MOD(ROWS(C$2:C660)-1,2))</f>
        <v>08.00</v>
      </c>
      <c r="D660" s="39">
        <f t="shared" ca="1" si="51"/>
        <v>754.5</v>
      </c>
      <c r="E660" s="31">
        <f t="shared" ca="1" si="52"/>
        <v>0</v>
      </c>
      <c r="F660" s="40">
        <f t="shared" ca="1" si="53"/>
        <v>29</v>
      </c>
      <c r="G660" s="31">
        <f t="shared" ca="1" si="54"/>
        <v>0</v>
      </c>
    </row>
    <row r="661" spans="1:7" x14ac:dyDescent="0.25">
      <c r="A661" s="11">
        <f t="shared" si="50"/>
        <v>44</v>
      </c>
      <c r="B661" t="str">
        <f ca="1">TEXT(DATE(YEAR(Invoer!$A$5),1,1)+INT((ROWS(B$2:B661)-1)/2),"jjjjmmdd")</f>
        <v>19271126</v>
      </c>
      <c r="C661" s="26" t="str">
        <f>INDEX(Data,2,2+MOD(ROWS(C$2:C661)-1,2))</f>
        <v>15.00</v>
      </c>
      <c r="D661" s="39">
        <f t="shared" ca="1" si="51"/>
        <v>753</v>
      </c>
      <c r="E661" s="31">
        <f t="shared" ca="1" si="52"/>
        <v>0</v>
      </c>
      <c r="F661" s="40">
        <f t="shared" ca="1" si="53"/>
        <v>30</v>
      </c>
      <c r="G661" s="31">
        <f t="shared" ca="1" si="54"/>
        <v>0</v>
      </c>
    </row>
    <row r="662" spans="1:7" x14ac:dyDescent="0.25">
      <c r="A662" s="11">
        <f t="shared" si="50"/>
        <v>44</v>
      </c>
      <c r="B662" t="str">
        <f ca="1">TEXT(DATE(YEAR(Invoer!$A$5),1,1)+INT((ROWS(B$2:B662)-1)/2),"jjjjmmdd")</f>
        <v>19271127</v>
      </c>
      <c r="C662" s="26" t="str">
        <f>INDEX(Data,2,2+MOD(ROWS(C$2:C662)-1,2))</f>
        <v>08.00</v>
      </c>
      <c r="D662" s="39">
        <f t="shared" ca="1" si="51"/>
        <v>754.5</v>
      </c>
      <c r="E662" s="31">
        <f t="shared" ca="1" si="52"/>
        <v>0</v>
      </c>
      <c r="F662" s="40">
        <f t="shared" ca="1" si="53"/>
        <v>29</v>
      </c>
      <c r="G662" s="31">
        <f t="shared" ca="1" si="54"/>
        <v>0</v>
      </c>
    </row>
    <row r="663" spans="1:7" x14ac:dyDescent="0.25">
      <c r="A663" s="11">
        <f t="shared" si="50"/>
        <v>44</v>
      </c>
      <c r="B663" t="str">
        <f ca="1">TEXT(DATE(YEAR(Invoer!$A$5),1,1)+INT((ROWS(B$2:B663)-1)/2),"jjjjmmdd")</f>
        <v>19271127</v>
      </c>
      <c r="C663" s="26" t="str">
        <f>INDEX(Data,2,2+MOD(ROWS(C$2:C663)-1,2))</f>
        <v>15.00</v>
      </c>
      <c r="D663" s="39">
        <f t="shared" ca="1" si="51"/>
        <v>753</v>
      </c>
      <c r="E663" s="31">
        <f t="shared" ca="1" si="52"/>
        <v>0</v>
      </c>
      <c r="F663" s="40">
        <f t="shared" ca="1" si="53"/>
        <v>30</v>
      </c>
      <c r="G663" s="31">
        <f t="shared" ca="1" si="54"/>
        <v>0</v>
      </c>
    </row>
    <row r="664" spans="1:7" x14ac:dyDescent="0.25">
      <c r="A664" s="11">
        <f t="shared" si="50"/>
        <v>44</v>
      </c>
      <c r="B664" t="str">
        <f ca="1">TEXT(DATE(YEAR(Invoer!$A$5),1,1)+INT((ROWS(B$2:B664)-1)/2),"jjjjmmdd")</f>
        <v>19271128</v>
      </c>
      <c r="C664" s="26" t="str">
        <f>INDEX(Data,2,2+MOD(ROWS(C$2:C664)-1,2))</f>
        <v>08.00</v>
      </c>
      <c r="D664" s="39">
        <f t="shared" ca="1" si="51"/>
        <v>754.5</v>
      </c>
      <c r="E664" s="31">
        <f t="shared" ca="1" si="52"/>
        <v>0</v>
      </c>
      <c r="F664" s="40">
        <f t="shared" ca="1" si="53"/>
        <v>29</v>
      </c>
      <c r="G664" s="31">
        <f t="shared" ca="1" si="54"/>
        <v>0</v>
      </c>
    </row>
    <row r="665" spans="1:7" x14ac:dyDescent="0.25">
      <c r="A665" s="11">
        <f t="shared" si="50"/>
        <v>44</v>
      </c>
      <c r="B665" t="str">
        <f ca="1">TEXT(DATE(YEAR(Invoer!$A$5),1,1)+INT((ROWS(B$2:B665)-1)/2),"jjjjmmdd")</f>
        <v>19271128</v>
      </c>
      <c r="C665" s="26" t="str">
        <f>INDEX(Data,2,2+MOD(ROWS(C$2:C665)-1,2))</f>
        <v>15.00</v>
      </c>
      <c r="D665" s="39">
        <f t="shared" ca="1" si="51"/>
        <v>752.5</v>
      </c>
      <c r="E665" s="31">
        <f t="shared" ca="1" si="52"/>
        <v>0</v>
      </c>
      <c r="F665" s="40">
        <f t="shared" ca="1" si="53"/>
        <v>30</v>
      </c>
      <c r="G665" s="31">
        <f t="shared" ca="1" si="54"/>
        <v>0</v>
      </c>
    </row>
    <row r="666" spans="1:7" x14ac:dyDescent="0.25">
      <c r="A666" s="11">
        <f t="shared" si="50"/>
        <v>44</v>
      </c>
      <c r="B666" t="str">
        <f ca="1">TEXT(DATE(YEAR(Invoer!$A$5),1,1)+INT((ROWS(B$2:B666)-1)/2),"jjjjmmdd")</f>
        <v>19271129</v>
      </c>
      <c r="C666" s="26" t="str">
        <f>INDEX(Data,2,2+MOD(ROWS(C$2:C666)-1,2))</f>
        <v>08.00</v>
      </c>
      <c r="D666" s="39">
        <f t="shared" ca="1" si="51"/>
        <v>754.5</v>
      </c>
      <c r="E666" s="31">
        <f t="shared" ca="1" si="52"/>
        <v>0</v>
      </c>
      <c r="F666" s="40">
        <f t="shared" ca="1" si="53"/>
        <v>29</v>
      </c>
      <c r="G666" s="31">
        <f t="shared" ca="1" si="54"/>
        <v>0</v>
      </c>
    </row>
    <row r="667" spans="1:7" x14ac:dyDescent="0.25">
      <c r="A667" s="11">
        <f t="shared" si="50"/>
        <v>44</v>
      </c>
      <c r="B667" t="str">
        <f ca="1">TEXT(DATE(YEAR(Invoer!$A$5),1,1)+INT((ROWS(B$2:B667)-1)/2),"jjjjmmdd")</f>
        <v>19271129</v>
      </c>
      <c r="C667" s="26" t="str">
        <f>INDEX(Data,2,2+MOD(ROWS(C$2:C667)-1,2))</f>
        <v>15.00</v>
      </c>
      <c r="D667" s="39">
        <f t="shared" ca="1" si="51"/>
        <v>752.5</v>
      </c>
      <c r="E667" s="31">
        <f t="shared" ca="1" si="52"/>
        <v>0</v>
      </c>
      <c r="F667" s="40">
        <f t="shared" ca="1" si="53"/>
        <v>30</v>
      </c>
      <c r="G667" s="31">
        <f t="shared" ca="1" si="54"/>
        <v>0</v>
      </c>
    </row>
    <row r="668" spans="1:7" x14ac:dyDescent="0.25">
      <c r="A668" s="11">
        <f t="shared" si="50"/>
        <v>44</v>
      </c>
      <c r="B668" t="str">
        <f ca="1">TEXT(DATE(YEAR(Invoer!$A$5),1,1)+INT((ROWS(B$2:B668)-1)/2),"jjjjmmdd")</f>
        <v>19271130</v>
      </c>
      <c r="C668" s="26" t="str">
        <f>INDEX(Data,2,2+MOD(ROWS(C$2:C668)-1,2))</f>
        <v>08.00</v>
      </c>
      <c r="D668" s="39">
        <f t="shared" ca="1" si="51"/>
        <v>754.5</v>
      </c>
      <c r="E668" s="31">
        <f t="shared" ca="1" si="52"/>
        <v>0</v>
      </c>
      <c r="F668" s="40">
        <f t="shared" ca="1" si="53"/>
        <v>29</v>
      </c>
      <c r="G668" s="31">
        <f t="shared" ca="1" si="54"/>
        <v>0</v>
      </c>
    </row>
    <row r="669" spans="1:7" x14ac:dyDescent="0.25">
      <c r="A669" s="11">
        <f t="shared" si="50"/>
        <v>44</v>
      </c>
      <c r="B669" t="str">
        <f ca="1">TEXT(DATE(YEAR(Invoer!$A$5),1,1)+INT((ROWS(B$2:B669)-1)/2),"jjjjmmdd")</f>
        <v>19271130</v>
      </c>
      <c r="C669" s="26" t="str">
        <f>INDEX(Data,2,2+MOD(ROWS(C$2:C669)-1,2))</f>
        <v>15.00</v>
      </c>
      <c r="D669" s="39">
        <f t="shared" ca="1" si="51"/>
        <v>752.5</v>
      </c>
      <c r="E669" s="31">
        <f t="shared" ca="1" si="52"/>
        <v>0</v>
      </c>
      <c r="F669" s="40">
        <f t="shared" ca="1" si="53"/>
        <v>30</v>
      </c>
      <c r="G669" s="31">
        <f t="shared" ca="1" si="54"/>
        <v>0</v>
      </c>
    </row>
    <row r="670" spans="1:7" x14ac:dyDescent="0.25">
      <c r="A670" s="11">
        <f t="shared" si="50"/>
        <v>44</v>
      </c>
      <c r="B670" t="str">
        <f ca="1">TEXT(DATE(YEAR(Invoer!$A$5),1,1)+INT((ROWS(B$2:B670)-1)/2),"jjjjmmdd")</f>
        <v>19271201</v>
      </c>
      <c r="C670" s="26" t="str">
        <f>INDEX(Data,2,2+MOD(ROWS(C$2:C670)-1,2))</f>
        <v>08.00</v>
      </c>
      <c r="D670" s="39">
        <f t="shared" ca="1" si="51"/>
        <v>754.5</v>
      </c>
      <c r="E670" s="31">
        <f t="shared" ca="1" si="52"/>
        <v>0</v>
      </c>
      <c r="F670" s="40">
        <f t="shared" ca="1" si="53"/>
        <v>28.5</v>
      </c>
      <c r="G670" s="31">
        <f t="shared" ca="1" si="54"/>
        <v>0</v>
      </c>
    </row>
    <row r="671" spans="1:7" x14ac:dyDescent="0.25">
      <c r="A671" s="11">
        <f t="shared" si="50"/>
        <v>44</v>
      </c>
      <c r="B671" t="str">
        <f ca="1">TEXT(DATE(YEAR(Invoer!$A$5),1,1)+INT((ROWS(B$2:B671)-1)/2),"jjjjmmdd")</f>
        <v>19271201</v>
      </c>
      <c r="C671" s="26" t="str">
        <f>INDEX(Data,2,2+MOD(ROWS(C$2:C671)-1,2))</f>
        <v>15.00</v>
      </c>
      <c r="D671" s="39">
        <f t="shared" ca="1" si="51"/>
        <v>752.5</v>
      </c>
      <c r="E671" s="31">
        <f t="shared" ca="1" si="52"/>
        <v>0</v>
      </c>
      <c r="F671" s="40">
        <f t="shared" ca="1" si="53"/>
        <v>30</v>
      </c>
      <c r="G671" s="31">
        <f t="shared" ca="1" si="54"/>
        <v>0</v>
      </c>
    </row>
    <row r="672" spans="1:7" x14ac:dyDescent="0.25">
      <c r="A672" s="11">
        <f t="shared" si="50"/>
        <v>44</v>
      </c>
      <c r="B672" t="str">
        <f ca="1">TEXT(DATE(YEAR(Invoer!$A$5),1,1)+INT((ROWS(B$2:B672)-1)/2),"jjjjmmdd")</f>
        <v>19271202</v>
      </c>
      <c r="C672" s="26" t="str">
        <f>INDEX(Data,2,2+MOD(ROWS(C$2:C672)-1,2))</f>
        <v>08.00</v>
      </c>
      <c r="D672" s="39">
        <f t="shared" ca="1" si="51"/>
        <v>754.5</v>
      </c>
      <c r="E672" s="31">
        <f t="shared" ca="1" si="52"/>
        <v>0</v>
      </c>
      <c r="F672" s="40">
        <f t="shared" ca="1" si="53"/>
        <v>28.5</v>
      </c>
      <c r="G672" s="31">
        <f t="shared" ca="1" si="54"/>
        <v>0</v>
      </c>
    </row>
    <row r="673" spans="1:7" x14ac:dyDescent="0.25">
      <c r="A673" s="11">
        <f t="shared" si="50"/>
        <v>44</v>
      </c>
      <c r="B673" t="str">
        <f ca="1">TEXT(DATE(YEAR(Invoer!$A$5),1,1)+INT((ROWS(B$2:B673)-1)/2),"jjjjmmdd")</f>
        <v>19271202</v>
      </c>
      <c r="C673" s="26" t="str">
        <f>INDEX(Data,2,2+MOD(ROWS(C$2:C673)-1,2))</f>
        <v>15.00</v>
      </c>
      <c r="D673" s="39">
        <f t="shared" ca="1" si="51"/>
        <v>752.5</v>
      </c>
      <c r="E673" s="31">
        <f t="shared" ca="1" si="52"/>
        <v>0</v>
      </c>
      <c r="F673" s="40">
        <f t="shared" ca="1" si="53"/>
        <v>30</v>
      </c>
      <c r="G673" s="31">
        <f t="shared" ca="1" si="54"/>
        <v>0</v>
      </c>
    </row>
    <row r="674" spans="1:7" x14ac:dyDescent="0.25">
      <c r="A674" s="11">
        <f t="shared" si="50"/>
        <v>44</v>
      </c>
      <c r="B674" t="str">
        <f ca="1">TEXT(DATE(YEAR(Invoer!$A$5),1,1)+INT((ROWS(B$2:B674)-1)/2),"jjjjmmdd")</f>
        <v>19271203</v>
      </c>
      <c r="C674" s="26" t="str">
        <f>INDEX(Data,2,2+MOD(ROWS(C$2:C674)-1,2))</f>
        <v>08.00</v>
      </c>
      <c r="D674" s="39">
        <f t="shared" ca="1" si="51"/>
        <v>756</v>
      </c>
      <c r="E674" s="31">
        <f t="shared" ca="1" si="52"/>
        <v>0</v>
      </c>
      <c r="F674" s="40">
        <f t="shared" ca="1" si="53"/>
        <v>27</v>
      </c>
      <c r="G674" s="31">
        <f t="shared" ca="1" si="54"/>
        <v>0</v>
      </c>
    </row>
    <row r="675" spans="1:7" x14ac:dyDescent="0.25">
      <c r="A675" s="11">
        <f t="shared" si="50"/>
        <v>44</v>
      </c>
      <c r="B675" t="str">
        <f ca="1">TEXT(DATE(YEAR(Invoer!$A$5),1,1)+INT((ROWS(B$2:B675)-1)/2),"jjjjmmdd")</f>
        <v>19271203</v>
      </c>
      <c r="C675" s="26" t="str">
        <f>INDEX(Data,2,2+MOD(ROWS(C$2:C675)-1,2))</f>
        <v>15.00</v>
      </c>
      <c r="D675" s="39">
        <f t="shared" ca="1" si="51"/>
        <v>754.5</v>
      </c>
      <c r="E675" s="31">
        <f t="shared" ca="1" si="52"/>
        <v>0</v>
      </c>
      <c r="F675" s="40">
        <f t="shared" ca="1" si="53"/>
        <v>29</v>
      </c>
      <c r="G675" s="31">
        <f t="shared" ca="1" si="54"/>
        <v>0</v>
      </c>
    </row>
    <row r="676" spans="1:7" x14ac:dyDescent="0.25">
      <c r="A676" s="11">
        <f t="shared" si="50"/>
        <v>44</v>
      </c>
      <c r="B676" t="str">
        <f ca="1">TEXT(DATE(YEAR(Invoer!$A$5),1,1)+INT((ROWS(B$2:B676)-1)/2),"jjjjmmdd")</f>
        <v>19271204</v>
      </c>
      <c r="C676" s="26" t="str">
        <f>INDEX(Data,2,2+MOD(ROWS(C$2:C676)-1,2))</f>
        <v>08.00</v>
      </c>
      <c r="D676" s="39">
        <f t="shared" ca="1" si="51"/>
        <v>756</v>
      </c>
      <c r="E676" s="31">
        <f t="shared" ca="1" si="52"/>
        <v>0</v>
      </c>
      <c r="F676" s="40">
        <f t="shared" ca="1" si="53"/>
        <v>27.5</v>
      </c>
      <c r="G676" s="31">
        <f t="shared" ca="1" si="54"/>
        <v>0</v>
      </c>
    </row>
    <row r="677" spans="1:7" x14ac:dyDescent="0.25">
      <c r="A677" s="11">
        <f t="shared" si="50"/>
        <v>44</v>
      </c>
      <c r="B677" t="str">
        <f ca="1">TEXT(DATE(YEAR(Invoer!$A$5),1,1)+INT((ROWS(B$2:B677)-1)/2),"jjjjmmdd")</f>
        <v>19271204</v>
      </c>
      <c r="C677" s="26" t="str">
        <f>INDEX(Data,2,2+MOD(ROWS(C$2:C677)-1,2))</f>
        <v>15.00</v>
      </c>
      <c r="D677" s="39">
        <f t="shared" ca="1" si="51"/>
        <v>754.5</v>
      </c>
      <c r="E677" s="31">
        <f t="shared" ca="1" si="52"/>
        <v>0</v>
      </c>
      <c r="F677" s="40">
        <f t="shared" ca="1" si="53"/>
        <v>29</v>
      </c>
      <c r="G677" s="31">
        <f t="shared" ca="1" si="54"/>
        <v>0</v>
      </c>
    </row>
    <row r="678" spans="1:7" x14ac:dyDescent="0.25">
      <c r="A678" s="11">
        <f t="shared" si="50"/>
        <v>44</v>
      </c>
      <c r="B678" t="str">
        <f ca="1">TEXT(DATE(YEAR(Invoer!$A$5),1,1)+INT((ROWS(B$2:B678)-1)/2),"jjjjmmdd")</f>
        <v>19271205</v>
      </c>
      <c r="C678" s="26" t="str">
        <f>INDEX(Data,2,2+MOD(ROWS(C$2:C678)-1,2))</f>
        <v>08.00</v>
      </c>
      <c r="D678" s="39">
        <f t="shared" ca="1" si="51"/>
        <v>757</v>
      </c>
      <c r="E678" s="31">
        <f t="shared" ca="1" si="52"/>
        <v>0</v>
      </c>
      <c r="F678" s="40">
        <f t="shared" ca="1" si="53"/>
        <v>27.5</v>
      </c>
      <c r="G678" s="31">
        <f t="shared" ca="1" si="54"/>
        <v>0</v>
      </c>
    </row>
    <row r="679" spans="1:7" x14ac:dyDescent="0.25">
      <c r="A679" s="11">
        <f t="shared" si="50"/>
        <v>44</v>
      </c>
      <c r="B679" t="str">
        <f ca="1">TEXT(DATE(YEAR(Invoer!$A$5),1,1)+INT((ROWS(B$2:B679)-1)/2),"jjjjmmdd")</f>
        <v>19271205</v>
      </c>
      <c r="C679" s="26" t="str">
        <f>INDEX(Data,2,2+MOD(ROWS(C$2:C679)-1,2))</f>
        <v>15.00</v>
      </c>
      <c r="D679" s="39">
        <f t="shared" ca="1" si="51"/>
        <v>755</v>
      </c>
      <c r="E679" s="31">
        <f t="shared" ca="1" si="52"/>
        <v>0</v>
      </c>
      <c r="F679" s="40">
        <f t="shared" ca="1" si="53"/>
        <v>28.5</v>
      </c>
      <c r="G679" s="31">
        <f t="shared" ca="1" si="54"/>
        <v>0</v>
      </c>
    </row>
    <row r="680" spans="1:7" x14ac:dyDescent="0.25">
      <c r="A680" s="11">
        <f t="shared" si="50"/>
        <v>44</v>
      </c>
      <c r="B680" t="str">
        <f ca="1">TEXT(DATE(YEAR(Invoer!$A$5),1,1)+INT((ROWS(B$2:B680)-1)/2),"jjjjmmdd")</f>
        <v>19271206</v>
      </c>
      <c r="C680" s="26" t="str">
        <f>INDEX(Data,2,2+MOD(ROWS(C$2:C680)-1,2))</f>
        <v>08.00</v>
      </c>
      <c r="D680" s="39">
        <f t="shared" ca="1" si="51"/>
        <v>756.5</v>
      </c>
      <c r="E680" s="31">
        <f t="shared" ca="1" si="52"/>
        <v>0</v>
      </c>
      <c r="F680" s="40">
        <f t="shared" ca="1" si="53"/>
        <v>27</v>
      </c>
      <c r="G680" s="31">
        <f t="shared" ca="1" si="54"/>
        <v>0</v>
      </c>
    </row>
    <row r="681" spans="1:7" x14ac:dyDescent="0.25">
      <c r="A681" s="11">
        <f t="shared" si="50"/>
        <v>44</v>
      </c>
      <c r="B681" t="str">
        <f ca="1">TEXT(DATE(YEAR(Invoer!$A$5),1,1)+INT((ROWS(B$2:B681)-1)/2),"jjjjmmdd")</f>
        <v>19271206</v>
      </c>
      <c r="C681" s="26" t="str">
        <f>INDEX(Data,2,2+MOD(ROWS(C$2:C681)-1,2))</f>
        <v>15.00</v>
      </c>
      <c r="D681" s="39">
        <f t="shared" ca="1" si="51"/>
        <v>754.5</v>
      </c>
      <c r="E681" s="31">
        <f t="shared" ca="1" si="52"/>
        <v>0</v>
      </c>
      <c r="F681" s="40">
        <f t="shared" ca="1" si="53"/>
        <v>29</v>
      </c>
      <c r="G681" s="31">
        <f t="shared" ca="1" si="54"/>
        <v>0</v>
      </c>
    </row>
    <row r="682" spans="1:7" x14ac:dyDescent="0.25">
      <c r="A682" s="11">
        <f t="shared" si="50"/>
        <v>44</v>
      </c>
      <c r="B682" t="str">
        <f ca="1">TEXT(DATE(YEAR(Invoer!$A$5),1,1)+INT((ROWS(B$2:B682)-1)/2),"jjjjmmdd")</f>
        <v>19271207</v>
      </c>
      <c r="C682" s="26" t="str">
        <f>INDEX(Data,2,2+MOD(ROWS(C$2:C682)-1,2))</f>
        <v>08.00</v>
      </c>
      <c r="D682" s="39">
        <f t="shared" ca="1" si="51"/>
        <v>755.5</v>
      </c>
      <c r="E682" s="31">
        <f t="shared" ca="1" si="52"/>
        <v>0</v>
      </c>
      <c r="F682" s="40">
        <f t="shared" ca="1" si="53"/>
        <v>28</v>
      </c>
      <c r="G682" s="31">
        <f t="shared" ca="1" si="54"/>
        <v>0</v>
      </c>
    </row>
    <row r="683" spans="1:7" x14ac:dyDescent="0.25">
      <c r="A683" s="11">
        <f t="shared" si="50"/>
        <v>44</v>
      </c>
      <c r="B683" t="str">
        <f ca="1">TEXT(DATE(YEAR(Invoer!$A$5),1,1)+INT((ROWS(B$2:B683)-1)/2),"jjjjmmdd")</f>
        <v>19271207</v>
      </c>
      <c r="C683" s="26" t="str">
        <f>INDEX(Data,2,2+MOD(ROWS(C$2:C683)-1,2))</f>
        <v>15.00</v>
      </c>
      <c r="D683" s="39">
        <f t="shared" ca="1" si="51"/>
        <v>754.5</v>
      </c>
      <c r="E683" s="31">
        <f t="shared" ca="1" si="52"/>
        <v>0</v>
      </c>
      <c r="F683" s="40">
        <f t="shared" ca="1" si="53"/>
        <v>29</v>
      </c>
      <c r="G683" s="31">
        <f t="shared" ca="1" si="54"/>
        <v>0</v>
      </c>
    </row>
    <row r="684" spans="1:7" x14ac:dyDescent="0.25">
      <c r="A684" s="11">
        <f t="shared" si="50"/>
        <v>44</v>
      </c>
      <c r="B684" t="str">
        <f ca="1">TEXT(DATE(YEAR(Invoer!$A$5),1,1)+INT((ROWS(B$2:B684)-1)/2),"jjjjmmdd")</f>
        <v>19271208</v>
      </c>
      <c r="C684" s="26" t="str">
        <f>INDEX(Data,2,2+MOD(ROWS(C$2:C684)-1,2))</f>
        <v>08.00</v>
      </c>
      <c r="D684" s="39">
        <f t="shared" ca="1" si="51"/>
        <v>756.5</v>
      </c>
      <c r="E684" s="31">
        <f t="shared" ca="1" si="52"/>
        <v>0</v>
      </c>
      <c r="F684" s="40">
        <f t="shared" ca="1" si="53"/>
        <v>27.5</v>
      </c>
      <c r="G684" s="31">
        <f t="shared" ca="1" si="54"/>
        <v>0</v>
      </c>
    </row>
    <row r="685" spans="1:7" x14ac:dyDescent="0.25">
      <c r="A685" s="11">
        <f t="shared" si="50"/>
        <v>44</v>
      </c>
      <c r="B685" t="str">
        <f ca="1">TEXT(DATE(YEAR(Invoer!$A$5),1,1)+INT((ROWS(B$2:B685)-1)/2),"jjjjmmdd")</f>
        <v>19271208</v>
      </c>
      <c r="C685" s="26" t="str">
        <f>INDEX(Data,2,2+MOD(ROWS(C$2:C685)-1,2))</f>
        <v>15.00</v>
      </c>
      <c r="D685" s="39">
        <f t="shared" ca="1" si="51"/>
        <v>754.5</v>
      </c>
      <c r="E685" s="31">
        <f t="shared" ca="1" si="52"/>
        <v>0</v>
      </c>
      <c r="F685" s="40">
        <f t="shared" ca="1" si="53"/>
        <v>29</v>
      </c>
      <c r="G685" s="31">
        <f t="shared" ca="1" si="54"/>
        <v>0</v>
      </c>
    </row>
    <row r="686" spans="1:7" x14ac:dyDescent="0.25">
      <c r="A686" s="11">
        <f t="shared" si="50"/>
        <v>44</v>
      </c>
      <c r="B686" t="str">
        <f ca="1">TEXT(DATE(YEAR(Invoer!$A$5),1,1)+INT((ROWS(B$2:B686)-1)/2),"jjjjmmdd")</f>
        <v>19271209</v>
      </c>
      <c r="C686" s="26" t="str">
        <f>INDEX(Data,2,2+MOD(ROWS(C$2:C686)-1,2))</f>
        <v>08.00</v>
      </c>
      <c r="D686" s="39">
        <f t="shared" ca="1" si="51"/>
        <v>756.5</v>
      </c>
      <c r="E686" s="31">
        <f t="shared" ca="1" si="52"/>
        <v>0</v>
      </c>
      <c r="F686" s="40">
        <f t="shared" ca="1" si="53"/>
        <v>27.5</v>
      </c>
      <c r="G686" s="31">
        <f t="shared" ca="1" si="54"/>
        <v>0</v>
      </c>
    </row>
    <row r="687" spans="1:7" x14ac:dyDescent="0.25">
      <c r="A687" s="11">
        <f t="shared" si="50"/>
        <v>44</v>
      </c>
      <c r="B687" t="str">
        <f ca="1">TEXT(DATE(YEAR(Invoer!$A$5),1,1)+INT((ROWS(B$2:B687)-1)/2),"jjjjmmdd")</f>
        <v>19271209</v>
      </c>
      <c r="C687" s="26" t="str">
        <f>INDEX(Data,2,2+MOD(ROWS(C$2:C687)-1,2))</f>
        <v>15.00</v>
      </c>
      <c r="D687" s="39">
        <f t="shared" ca="1" si="51"/>
        <v>755.5</v>
      </c>
      <c r="E687" s="31">
        <f t="shared" ca="1" si="52"/>
        <v>0</v>
      </c>
      <c r="F687" s="40">
        <f t="shared" ca="1" si="53"/>
        <v>28.5</v>
      </c>
      <c r="G687" s="31">
        <f t="shared" ca="1" si="54"/>
        <v>0</v>
      </c>
    </row>
    <row r="688" spans="1:7" x14ac:dyDescent="0.25">
      <c r="A688" s="11">
        <f t="shared" si="50"/>
        <v>44</v>
      </c>
      <c r="B688" t="str">
        <f ca="1">TEXT(DATE(YEAR(Invoer!$A$5),1,1)+INT((ROWS(B$2:B688)-1)/2),"jjjjmmdd")</f>
        <v>19271210</v>
      </c>
      <c r="C688" s="26" t="str">
        <f>INDEX(Data,2,2+MOD(ROWS(C$2:C688)-1,2))</f>
        <v>08.00</v>
      </c>
      <c r="D688" s="39">
        <f t="shared" ca="1" si="51"/>
        <v>757.5</v>
      </c>
      <c r="E688" s="31">
        <f t="shared" ca="1" si="52"/>
        <v>0</v>
      </c>
      <c r="F688" s="40">
        <f t="shared" ca="1" si="53"/>
        <v>27</v>
      </c>
      <c r="G688" s="31">
        <f t="shared" ca="1" si="54"/>
        <v>0</v>
      </c>
    </row>
    <row r="689" spans="1:7" x14ac:dyDescent="0.25">
      <c r="A689" s="11">
        <f t="shared" si="50"/>
        <v>44</v>
      </c>
      <c r="B689" t="str">
        <f ca="1">TEXT(DATE(YEAR(Invoer!$A$5),1,1)+INT((ROWS(B$2:B689)-1)/2),"jjjjmmdd")</f>
        <v>19271210</v>
      </c>
      <c r="C689" s="26" t="str">
        <f>INDEX(Data,2,2+MOD(ROWS(C$2:C689)-1,2))</f>
        <v>15.00</v>
      </c>
      <c r="D689" s="39">
        <f t="shared" ca="1" si="51"/>
        <v>756</v>
      </c>
      <c r="E689" s="31">
        <f t="shared" ca="1" si="52"/>
        <v>0</v>
      </c>
      <c r="F689" s="40">
        <f t="shared" ca="1" si="53"/>
        <v>29</v>
      </c>
      <c r="G689" s="31">
        <f t="shared" ca="1" si="54"/>
        <v>0</v>
      </c>
    </row>
    <row r="690" spans="1:7" x14ac:dyDescent="0.25">
      <c r="A690" s="11">
        <f t="shared" si="50"/>
        <v>44</v>
      </c>
      <c r="B690" t="str">
        <f ca="1">TEXT(DATE(YEAR(Invoer!$A$5),1,1)+INT((ROWS(B$2:B690)-1)/2),"jjjjmmdd")</f>
        <v>19271211</v>
      </c>
      <c r="C690" s="26" t="str">
        <f>INDEX(Data,2,2+MOD(ROWS(C$2:C690)-1,2))</f>
        <v>08.00</v>
      </c>
      <c r="D690" s="39">
        <f t="shared" ca="1" si="51"/>
        <v>757.5</v>
      </c>
      <c r="E690" s="31">
        <f t="shared" ca="1" si="52"/>
        <v>0</v>
      </c>
      <c r="F690" s="40">
        <f t="shared" ca="1" si="53"/>
        <v>27</v>
      </c>
      <c r="G690" s="31">
        <f t="shared" ca="1" si="54"/>
        <v>0</v>
      </c>
    </row>
    <row r="691" spans="1:7" x14ac:dyDescent="0.25">
      <c r="A691" s="11">
        <f t="shared" si="50"/>
        <v>44</v>
      </c>
      <c r="B691" t="str">
        <f ca="1">TEXT(DATE(YEAR(Invoer!$A$5),1,1)+INT((ROWS(B$2:B691)-1)/2),"jjjjmmdd")</f>
        <v>19271211</v>
      </c>
      <c r="C691" s="26" t="str">
        <f>INDEX(Data,2,2+MOD(ROWS(C$2:C691)-1,2))</f>
        <v>15.00</v>
      </c>
      <c r="D691" s="39">
        <f t="shared" ca="1" si="51"/>
        <v>756</v>
      </c>
      <c r="E691" s="31">
        <f t="shared" ca="1" si="52"/>
        <v>0</v>
      </c>
      <c r="F691" s="40">
        <f t="shared" ca="1" si="53"/>
        <v>29</v>
      </c>
      <c r="G691" s="31">
        <f t="shared" ca="1" si="54"/>
        <v>0</v>
      </c>
    </row>
    <row r="692" spans="1:7" x14ac:dyDescent="0.25">
      <c r="A692" s="11">
        <f t="shared" si="50"/>
        <v>44</v>
      </c>
      <c r="B692" t="str">
        <f ca="1">TEXT(DATE(YEAR(Invoer!$A$5),1,1)+INT((ROWS(B$2:B692)-1)/2),"jjjjmmdd")</f>
        <v>19271212</v>
      </c>
      <c r="C692" s="26" t="str">
        <f>INDEX(Data,2,2+MOD(ROWS(C$2:C692)-1,2))</f>
        <v>08.00</v>
      </c>
      <c r="D692" s="39">
        <f t="shared" ca="1" si="51"/>
        <v>757.5</v>
      </c>
      <c r="E692" s="31">
        <f t="shared" ca="1" si="52"/>
        <v>0</v>
      </c>
      <c r="F692" s="40">
        <f t="shared" ca="1" si="53"/>
        <v>27</v>
      </c>
      <c r="G692" s="31">
        <f t="shared" ca="1" si="54"/>
        <v>0</v>
      </c>
    </row>
    <row r="693" spans="1:7" x14ac:dyDescent="0.25">
      <c r="A693" s="11">
        <f t="shared" si="50"/>
        <v>44</v>
      </c>
      <c r="B693" t="str">
        <f ca="1">TEXT(DATE(YEAR(Invoer!$A$5),1,1)+INT((ROWS(B$2:B693)-1)/2),"jjjjmmdd")</f>
        <v>19271212</v>
      </c>
      <c r="C693" s="26" t="str">
        <f>INDEX(Data,2,2+MOD(ROWS(C$2:C693)-1,2))</f>
        <v>15.00</v>
      </c>
      <c r="D693" s="39">
        <f t="shared" ca="1" si="51"/>
        <v>756</v>
      </c>
      <c r="E693" s="31">
        <f t="shared" ca="1" si="52"/>
        <v>0</v>
      </c>
      <c r="F693" s="40">
        <f t="shared" ca="1" si="53"/>
        <v>29</v>
      </c>
      <c r="G693" s="31">
        <f t="shared" ca="1" si="54"/>
        <v>0</v>
      </c>
    </row>
    <row r="694" spans="1:7" x14ac:dyDescent="0.25">
      <c r="A694" s="11">
        <f t="shared" si="50"/>
        <v>44</v>
      </c>
      <c r="B694" t="str">
        <f ca="1">TEXT(DATE(YEAR(Invoer!$A$5),1,1)+INT((ROWS(B$2:B694)-1)/2),"jjjjmmdd")</f>
        <v>19271213</v>
      </c>
      <c r="C694" s="26" t="str">
        <f>INDEX(Data,2,2+MOD(ROWS(C$2:C694)-1,2))</f>
        <v>08.00</v>
      </c>
      <c r="D694" s="39">
        <f t="shared" ca="1" si="51"/>
        <v>757.5</v>
      </c>
      <c r="E694" s="31">
        <f t="shared" ca="1" si="52"/>
        <v>0</v>
      </c>
      <c r="F694" s="40">
        <f t="shared" ca="1" si="53"/>
        <v>27</v>
      </c>
      <c r="G694" s="31">
        <f t="shared" ca="1" si="54"/>
        <v>0</v>
      </c>
    </row>
    <row r="695" spans="1:7" x14ac:dyDescent="0.25">
      <c r="A695" s="11">
        <f t="shared" si="50"/>
        <v>44</v>
      </c>
      <c r="B695" t="str">
        <f ca="1">TEXT(DATE(YEAR(Invoer!$A$5),1,1)+INT((ROWS(B$2:B695)-1)/2),"jjjjmmdd")</f>
        <v>19271213</v>
      </c>
      <c r="C695" s="26" t="str">
        <f>INDEX(Data,2,2+MOD(ROWS(C$2:C695)-1,2))</f>
        <v>15.00</v>
      </c>
      <c r="D695" s="39">
        <f t="shared" ca="1" si="51"/>
        <v>756</v>
      </c>
      <c r="E695" s="31">
        <f t="shared" ca="1" si="52"/>
        <v>0</v>
      </c>
      <c r="F695" s="40">
        <f t="shared" ca="1" si="53"/>
        <v>28.5</v>
      </c>
      <c r="G695" s="31">
        <f t="shared" ca="1" si="54"/>
        <v>0</v>
      </c>
    </row>
    <row r="696" spans="1:7" x14ac:dyDescent="0.25">
      <c r="A696" s="11">
        <f t="shared" si="50"/>
        <v>44</v>
      </c>
      <c r="B696" t="str">
        <f ca="1">TEXT(DATE(YEAR(Invoer!$A$5),1,1)+INT((ROWS(B$2:B696)-1)/2),"jjjjmmdd")</f>
        <v>19271214</v>
      </c>
      <c r="C696" s="26" t="str">
        <f>INDEX(Data,2,2+MOD(ROWS(C$2:C696)-1,2))</f>
        <v>08.00</v>
      </c>
      <c r="D696" s="39">
        <f t="shared" ca="1" si="51"/>
        <v>757.5</v>
      </c>
      <c r="E696" s="31">
        <f t="shared" ca="1" si="52"/>
        <v>0</v>
      </c>
      <c r="F696" s="40">
        <f t="shared" ca="1" si="53"/>
        <v>27</v>
      </c>
      <c r="G696" s="31">
        <f t="shared" ca="1" si="54"/>
        <v>0</v>
      </c>
    </row>
    <row r="697" spans="1:7" x14ac:dyDescent="0.25">
      <c r="A697" s="11">
        <f t="shared" si="50"/>
        <v>44</v>
      </c>
      <c r="B697" t="str">
        <f ca="1">TEXT(DATE(YEAR(Invoer!$A$5),1,1)+INT((ROWS(B$2:B697)-1)/2),"jjjjmmdd")</f>
        <v>19271214</v>
      </c>
      <c r="C697" s="26" t="str">
        <f>INDEX(Data,2,2+MOD(ROWS(C$2:C697)-1,2))</f>
        <v>15.00</v>
      </c>
      <c r="D697" s="39">
        <f t="shared" ca="1" si="51"/>
        <v>756</v>
      </c>
      <c r="E697" s="31">
        <f t="shared" ca="1" si="52"/>
        <v>0</v>
      </c>
      <c r="F697" s="40">
        <f t="shared" ca="1" si="53"/>
        <v>28.5</v>
      </c>
      <c r="G697" s="31">
        <f t="shared" ca="1" si="54"/>
        <v>0</v>
      </c>
    </row>
    <row r="698" spans="1:7" x14ac:dyDescent="0.25">
      <c r="A698" s="11">
        <f t="shared" si="50"/>
        <v>44</v>
      </c>
      <c r="B698" t="str">
        <f ca="1">TEXT(DATE(YEAR(Invoer!$A$5),1,1)+INT((ROWS(B$2:B698)-1)/2),"jjjjmmdd")</f>
        <v>19271215</v>
      </c>
      <c r="C698" s="26" t="str">
        <f>INDEX(Data,2,2+MOD(ROWS(C$2:C698)-1,2))</f>
        <v>08.00</v>
      </c>
      <c r="D698" s="39">
        <f t="shared" ca="1" si="51"/>
        <v>757.5</v>
      </c>
      <c r="E698" s="31">
        <f t="shared" ca="1" si="52"/>
        <v>0</v>
      </c>
      <c r="F698" s="40">
        <f t="shared" ca="1" si="53"/>
        <v>27</v>
      </c>
      <c r="G698" s="31">
        <f t="shared" ca="1" si="54"/>
        <v>0</v>
      </c>
    </row>
    <row r="699" spans="1:7" x14ac:dyDescent="0.25">
      <c r="A699" s="11">
        <f t="shared" si="50"/>
        <v>44</v>
      </c>
      <c r="B699" t="str">
        <f ca="1">TEXT(DATE(YEAR(Invoer!$A$5),1,1)+INT((ROWS(B$2:B699)-1)/2),"jjjjmmdd")</f>
        <v>19271215</v>
      </c>
      <c r="C699" s="26" t="str">
        <f>INDEX(Data,2,2+MOD(ROWS(C$2:C699)-1,2))</f>
        <v>15.00</v>
      </c>
      <c r="D699" s="39">
        <f t="shared" ca="1" si="51"/>
        <v>755.5</v>
      </c>
      <c r="E699" s="31">
        <f t="shared" ca="1" si="52"/>
        <v>0</v>
      </c>
      <c r="F699" s="40">
        <f t="shared" ca="1" si="53"/>
        <v>29</v>
      </c>
      <c r="G699" s="31">
        <f t="shared" ca="1" si="54"/>
        <v>0</v>
      </c>
    </row>
    <row r="700" spans="1:7" x14ac:dyDescent="0.25">
      <c r="A700" s="11">
        <f t="shared" si="50"/>
        <v>44</v>
      </c>
      <c r="B700" t="str">
        <f ca="1">TEXT(DATE(YEAR(Invoer!$A$5),1,1)+INT((ROWS(B$2:B700)-1)/2),"jjjjmmdd")</f>
        <v>19271216</v>
      </c>
      <c r="C700" s="26" t="str">
        <f>INDEX(Data,2,2+MOD(ROWS(C$2:C700)-1,2))</f>
        <v>08.00</v>
      </c>
      <c r="D700" s="39">
        <f t="shared" ca="1" si="51"/>
        <v>757</v>
      </c>
      <c r="E700" s="31">
        <f t="shared" ca="1" si="52"/>
        <v>0</v>
      </c>
      <c r="F700" s="40">
        <f t="shared" ca="1" si="53"/>
        <v>27</v>
      </c>
      <c r="G700" s="31">
        <f t="shared" ca="1" si="54"/>
        <v>0</v>
      </c>
    </row>
    <row r="701" spans="1:7" x14ac:dyDescent="0.25">
      <c r="A701" s="11">
        <f t="shared" si="50"/>
        <v>44</v>
      </c>
      <c r="B701" t="str">
        <f ca="1">TEXT(DATE(YEAR(Invoer!$A$5),1,1)+INT((ROWS(B$2:B701)-1)/2),"jjjjmmdd")</f>
        <v>19271216</v>
      </c>
      <c r="C701" s="26" t="str">
        <f>INDEX(Data,2,2+MOD(ROWS(C$2:C701)-1,2))</f>
        <v>15.00</v>
      </c>
      <c r="D701" s="39">
        <f t="shared" ca="1" si="51"/>
        <v>755.5</v>
      </c>
      <c r="E701" s="31">
        <f t="shared" ca="1" si="52"/>
        <v>0</v>
      </c>
      <c r="F701" s="40">
        <f t="shared" ca="1" si="53"/>
        <v>29</v>
      </c>
      <c r="G701" s="31">
        <f t="shared" ca="1" si="54"/>
        <v>0</v>
      </c>
    </row>
    <row r="702" spans="1:7" x14ac:dyDescent="0.25">
      <c r="A702" s="11">
        <f t="shared" si="50"/>
        <v>44</v>
      </c>
      <c r="B702" t="str">
        <f ca="1">TEXT(DATE(YEAR(Invoer!$A$5),1,1)+INT((ROWS(B$2:B702)-1)/2),"jjjjmmdd")</f>
        <v>19271217</v>
      </c>
      <c r="C702" s="26" t="str">
        <f>INDEX(Data,2,2+MOD(ROWS(C$2:C702)-1,2))</f>
        <v>08.00</v>
      </c>
      <c r="D702" s="39">
        <f t="shared" ca="1" si="51"/>
        <v>756.5</v>
      </c>
      <c r="E702" s="31">
        <f t="shared" ca="1" si="52"/>
        <v>0</v>
      </c>
      <c r="F702" s="40">
        <f t="shared" ca="1" si="53"/>
        <v>27.5</v>
      </c>
      <c r="G702" s="31">
        <f t="shared" ca="1" si="54"/>
        <v>0</v>
      </c>
    </row>
    <row r="703" spans="1:7" x14ac:dyDescent="0.25">
      <c r="A703" s="11">
        <f t="shared" si="50"/>
        <v>44</v>
      </c>
      <c r="B703" t="str">
        <f ca="1">TEXT(DATE(YEAR(Invoer!$A$5),1,1)+INT((ROWS(B$2:B703)-1)/2),"jjjjmmdd")</f>
        <v>19271217</v>
      </c>
      <c r="C703" s="26" t="str">
        <f>INDEX(Data,2,2+MOD(ROWS(C$2:C703)-1,2))</f>
        <v>15.00</v>
      </c>
      <c r="D703" s="39">
        <f t="shared" ca="1" si="51"/>
        <v>755</v>
      </c>
      <c r="E703" s="31">
        <f t="shared" ca="1" si="52"/>
        <v>0</v>
      </c>
      <c r="F703" s="40">
        <f t="shared" ca="1" si="53"/>
        <v>29</v>
      </c>
      <c r="G703" s="31">
        <f t="shared" ca="1" si="54"/>
        <v>0</v>
      </c>
    </row>
    <row r="704" spans="1:7" x14ac:dyDescent="0.25">
      <c r="A704" s="11">
        <f t="shared" si="50"/>
        <v>44</v>
      </c>
      <c r="B704" t="str">
        <f ca="1">TEXT(DATE(YEAR(Invoer!$A$5),1,1)+INT((ROWS(B$2:B704)-1)/2),"jjjjmmdd")</f>
        <v>19271218</v>
      </c>
      <c r="C704" s="26" t="str">
        <f>INDEX(Data,2,2+MOD(ROWS(C$2:C704)-1,2))</f>
        <v>08.00</v>
      </c>
      <c r="D704" s="39">
        <f t="shared" ca="1" si="51"/>
        <v>756.5</v>
      </c>
      <c r="E704" s="31">
        <f t="shared" ca="1" si="52"/>
        <v>0</v>
      </c>
      <c r="F704" s="40">
        <f t="shared" ca="1" si="53"/>
        <v>27.5</v>
      </c>
      <c r="G704" s="31">
        <f t="shared" ca="1" si="54"/>
        <v>0</v>
      </c>
    </row>
    <row r="705" spans="1:7" x14ac:dyDescent="0.25">
      <c r="A705" s="11">
        <f t="shared" si="50"/>
        <v>44</v>
      </c>
      <c r="B705" t="str">
        <f ca="1">TEXT(DATE(YEAR(Invoer!$A$5),1,1)+INT((ROWS(B$2:B705)-1)/2),"jjjjmmdd")</f>
        <v>19271218</v>
      </c>
      <c r="C705" s="26" t="str">
        <f>INDEX(Data,2,2+MOD(ROWS(C$2:C705)-1,2))</f>
        <v>15.00</v>
      </c>
      <c r="D705" s="39">
        <f t="shared" ca="1" si="51"/>
        <v>755</v>
      </c>
      <c r="E705" s="31">
        <f t="shared" ca="1" si="52"/>
        <v>0</v>
      </c>
      <c r="F705" s="40">
        <f t="shared" ca="1" si="53"/>
        <v>29</v>
      </c>
      <c r="G705" s="31">
        <f t="shared" ca="1" si="54"/>
        <v>0</v>
      </c>
    </row>
    <row r="706" spans="1:7" x14ac:dyDescent="0.25">
      <c r="A706" s="11">
        <f t="shared" ref="A706:A731" si="55">INDEX(Stations,2,1)</f>
        <v>44</v>
      </c>
      <c r="B706" t="str">
        <f ca="1">TEXT(DATE(YEAR(Invoer!$A$5),1,1)+INT((ROWS(B$2:B706)-1)/2),"jjjjmmdd")</f>
        <v>19271219</v>
      </c>
      <c r="C706" s="26" t="str">
        <f>INDEX(Data,2,2+MOD(ROWS(C$2:C706)-1,2))</f>
        <v>08.00</v>
      </c>
      <c r="D706" s="39">
        <f t="shared" ref="D706:D731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/10)</f>
        <v>756.5</v>
      </c>
      <c r="E706" s="31">
        <f t="shared" ref="E706:E731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  <c r="F706" s="40">
        <f t="shared" ref="F706:F731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VLOOKUP(DATEVALUE(LEFT($B706,4)&amp;"-"&amp;MID($B706,5,2)&amp;"-"&amp;RIGHT($B706,2)),Data,MATCH(LEFT(VLOOKUP(F$1,Parameters,2,FALSE()),4)&amp;"*",OFFSET(Data,0,0,1),0)+MATCH($C706,OFFSET(Data,1,0,1),0)-2,FALSE())/10)</f>
        <v>28</v>
      </c>
      <c r="G706" s="31">
        <f t="shared" ref="G706:G731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0</v>
      </c>
    </row>
    <row r="707" spans="1:7" x14ac:dyDescent="0.25">
      <c r="A707" s="11">
        <f t="shared" si="55"/>
        <v>44</v>
      </c>
      <c r="B707" t="str">
        <f ca="1">TEXT(DATE(YEAR(Invoer!$A$5),1,1)+INT((ROWS(B$2:B707)-1)/2),"jjjjmmdd")</f>
        <v>19271219</v>
      </c>
      <c r="C707" s="26" t="str">
        <f>INDEX(Data,2,2+MOD(ROWS(C$2:C707)-1,2))</f>
        <v>15.00</v>
      </c>
      <c r="D707" s="39">
        <f t="shared" ca="1" si="56"/>
        <v>754.5</v>
      </c>
      <c r="E707" s="31">
        <f t="shared" ca="1" si="57"/>
        <v>0</v>
      </c>
      <c r="F707" s="40">
        <f t="shared" ca="1" si="58"/>
        <v>29</v>
      </c>
      <c r="G707" s="31">
        <f t="shared" ca="1" si="59"/>
        <v>0</v>
      </c>
    </row>
    <row r="708" spans="1:7" x14ac:dyDescent="0.25">
      <c r="A708" s="11">
        <f t="shared" si="55"/>
        <v>44</v>
      </c>
      <c r="B708" t="str">
        <f ca="1">TEXT(DATE(YEAR(Invoer!$A$5),1,1)+INT((ROWS(B$2:B708)-1)/2),"jjjjmmdd")</f>
        <v>19271220</v>
      </c>
      <c r="C708" s="26" t="str">
        <f>INDEX(Data,2,2+MOD(ROWS(C$2:C708)-1,2))</f>
        <v>08.00</v>
      </c>
      <c r="D708" s="39">
        <f t="shared" ca="1" si="56"/>
        <v>757</v>
      </c>
      <c r="E708" s="31">
        <f t="shared" ca="1" si="57"/>
        <v>0</v>
      </c>
      <c r="F708" s="40">
        <f t="shared" ca="1" si="58"/>
        <v>27</v>
      </c>
      <c r="G708" s="31">
        <f t="shared" ca="1" si="59"/>
        <v>0</v>
      </c>
    </row>
    <row r="709" spans="1:7" x14ac:dyDescent="0.25">
      <c r="A709" s="11">
        <f t="shared" si="55"/>
        <v>44</v>
      </c>
      <c r="B709" t="str">
        <f ca="1">TEXT(DATE(YEAR(Invoer!$A$5),1,1)+INT((ROWS(B$2:B709)-1)/2),"jjjjmmdd")</f>
        <v>19271220</v>
      </c>
      <c r="C709" s="26" t="str">
        <f>INDEX(Data,2,2+MOD(ROWS(C$2:C709)-1,2))</f>
        <v>15.00</v>
      </c>
      <c r="D709" s="39">
        <f t="shared" ca="1" si="56"/>
        <v>754.5</v>
      </c>
      <c r="E709" s="31">
        <f t="shared" ca="1" si="57"/>
        <v>0</v>
      </c>
      <c r="F709" s="40">
        <f t="shared" ca="1" si="58"/>
        <v>29</v>
      </c>
      <c r="G709" s="31">
        <f t="shared" ca="1" si="59"/>
        <v>0</v>
      </c>
    </row>
    <row r="710" spans="1:7" x14ac:dyDescent="0.25">
      <c r="A710" s="11">
        <f t="shared" si="55"/>
        <v>44</v>
      </c>
      <c r="B710" t="str">
        <f ca="1">TEXT(DATE(YEAR(Invoer!$A$5),1,1)+INT((ROWS(B$2:B710)-1)/2),"jjjjmmdd")</f>
        <v>19271221</v>
      </c>
      <c r="C710" s="26" t="str">
        <f>INDEX(Data,2,2+MOD(ROWS(C$2:C710)-1,2))</f>
        <v>08.00</v>
      </c>
      <c r="D710" s="39">
        <f t="shared" ca="1" si="56"/>
        <v>756.5</v>
      </c>
      <c r="E710" s="31">
        <f t="shared" ca="1" si="57"/>
        <v>0</v>
      </c>
      <c r="F710" s="40">
        <f t="shared" ca="1" si="58"/>
        <v>27</v>
      </c>
      <c r="G710" s="31">
        <f t="shared" ca="1" si="59"/>
        <v>0</v>
      </c>
    </row>
    <row r="711" spans="1:7" x14ac:dyDescent="0.25">
      <c r="A711" s="11">
        <f t="shared" si="55"/>
        <v>44</v>
      </c>
      <c r="B711" t="str">
        <f ca="1">TEXT(DATE(YEAR(Invoer!$A$5),1,1)+INT((ROWS(B$2:B711)-1)/2),"jjjjmmdd")</f>
        <v>19271221</v>
      </c>
      <c r="C711" s="26" t="str">
        <f>INDEX(Data,2,2+MOD(ROWS(C$2:C711)-1,2))</f>
        <v>15.00</v>
      </c>
      <c r="D711" s="39">
        <f t="shared" ca="1" si="56"/>
        <v>755</v>
      </c>
      <c r="E711" s="31">
        <f t="shared" ca="1" si="57"/>
        <v>0</v>
      </c>
      <c r="F711" s="40">
        <f t="shared" ca="1" si="58"/>
        <v>29</v>
      </c>
      <c r="G711" s="31">
        <f t="shared" ca="1" si="59"/>
        <v>0</v>
      </c>
    </row>
    <row r="712" spans="1:7" x14ac:dyDescent="0.25">
      <c r="A712" s="11">
        <f t="shared" si="55"/>
        <v>44</v>
      </c>
      <c r="B712" t="str">
        <f ca="1">TEXT(DATE(YEAR(Invoer!$A$5),1,1)+INT((ROWS(B$2:B712)-1)/2),"jjjjmmdd")</f>
        <v>19271222</v>
      </c>
      <c r="C712" s="26" t="str">
        <f>INDEX(Data,2,2+MOD(ROWS(C$2:C712)-1,2))</f>
        <v>08.00</v>
      </c>
      <c r="D712" s="39">
        <f t="shared" ca="1" si="56"/>
        <v>757</v>
      </c>
      <c r="E712" s="31">
        <f t="shared" ca="1" si="57"/>
        <v>0</v>
      </c>
      <c r="F712" s="40">
        <f t="shared" ca="1" si="58"/>
        <v>27</v>
      </c>
      <c r="G712" s="31">
        <f t="shared" ca="1" si="59"/>
        <v>0</v>
      </c>
    </row>
    <row r="713" spans="1:7" x14ac:dyDescent="0.25">
      <c r="A713" s="11">
        <f t="shared" si="55"/>
        <v>44</v>
      </c>
      <c r="B713" t="str">
        <f ca="1">TEXT(DATE(YEAR(Invoer!$A$5),1,1)+INT((ROWS(B$2:B713)-1)/2),"jjjjmmdd")</f>
        <v>19271222</v>
      </c>
      <c r="C713" s="26" t="str">
        <f>INDEX(Data,2,2+MOD(ROWS(C$2:C713)-1,2))</f>
        <v>15.00</v>
      </c>
      <c r="D713" s="39">
        <f t="shared" ca="1" si="56"/>
        <v>754.5</v>
      </c>
      <c r="E713" s="31">
        <f t="shared" ca="1" si="57"/>
        <v>0</v>
      </c>
      <c r="F713" s="40">
        <f t="shared" ca="1" si="58"/>
        <v>29</v>
      </c>
      <c r="G713" s="31">
        <f t="shared" ca="1" si="59"/>
        <v>0</v>
      </c>
    </row>
    <row r="714" spans="1:7" x14ac:dyDescent="0.25">
      <c r="A714" s="11">
        <f t="shared" si="55"/>
        <v>44</v>
      </c>
      <c r="B714" t="str">
        <f ca="1">TEXT(DATE(YEAR(Invoer!$A$5),1,1)+INT((ROWS(B$2:B714)-1)/2),"jjjjmmdd")</f>
        <v>19271223</v>
      </c>
      <c r="C714" s="26" t="str">
        <f>INDEX(Data,2,2+MOD(ROWS(C$2:C714)-1,2))</f>
        <v>08.00</v>
      </c>
      <c r="D714" s="39">
        <f t="shared" ca="1" si="56"/>
        <v>757.5</v>
      </c>
      <c r="E714" s="31">
        <f t="shared" ca="1" si="57"/>
        <v>0</v>
      </c>
      <c r="F714" s="40">
        <f t="shared" ca="1" si="58"/>
        <v>27</v>
      </c>
      <c r="G714" s="31">
        <f t="shared" ca="1" si="59"/>
        <v>0</v>
      </c>
    </row>
    <row r="715" spans="1:7" x14ac:dyDescent="0.25">
      <c r="A715" s="11">
        <f t="shared" si="55"/>
        <v>44</v>
      </c>
      <c r="B715" t="str">
        <f ca="1">TEXT(DATE(YEAR(Invoer!$A$5),1,1)+INT((ROWS(B$2:B715)-1)/2),"jjjjmmdd")</f>
        <v>19271223</v>
      </c>
      <c r="C715" s="26" t="str">
        <f>INDEX(Data,2,2+MOD(ROWS(C$2:C715)-1,2))</f>
        <v>15.00</v>
      </c>
      <c r="D715" s="39">
        <f t="shared" ca="1" si="56"/>
        <v>755.5</v>
      </c>
      <c r="E715" s="31">
        <f t="shared" ca="1" si="57"/>
        <v>0</v>
      </c>
      <c r="F715" s="40">
        <f t="shared" ca="1" si="58"/>
        <v>29</v>
      </c>
      <c r="G715" s="31">
        <f t="shared" ca="1" si="59"/>
        <v>0</v>
      </c>
    </row>
    <row r="716" spans="1:7" x14ac:dyDescent="0.25">
      <c r="A716" s="11">
        <f t="shared" si="55"/>
        <v>44</v>
      </c>
      <c r="B716" t="str">
        <f ca="1">TEXT(DATE(YEAR(Invoer!$A$5),1,1)+INT((ROWS(B$2:B716)-1)/2),"jjjjmmdd")</f>
        <v>19271224</v>
      </c>
      <c r="C716" s="26" t="str">
        <f>INDEX(Data,2,2+MOD(ROWS(C$2:C716)-1,2))</f>
        <v>08.00</v>
      </c>
      <c r="D716" s="39">
        <f t="shared" ca="1" si="56"/>
        <v>758</v>
      </c>
      <c r="E716" s="31">
        <f t="shared" ca="1" si="57"/>
        <v>0</v>
      </c>
      <c r="F716" s="40">
        <f t="shared" ca="1" si="58"/>
        <v>27.5</v>
      </c>
      <c r="G716" s="31">
        <f t="shared" ca="1" si="59"/>
        <v>0</v>
      </c>
    </row>
    <row r="717" spans="1:7" x14ac:dyDescent="0.25">
      <c r="A717" s="11">
        <f t="shared" si="55"/>
        <v>44</v>
      </c>
      <c r="B717" t="str">
        <f ca="1">TEXT(DATE(YEAR(Invoer!$A$5),1,1)+INT((ROWS(B$2:B717)-1)/2),"jjjjmmdd")</f>
        <v>19271224</v>
      </c>
      <c r="C717" s="26" t="str">
        <f>INDEX(Data,2,2+MOD(ROWS(C$2:C717)-1,2))</f>
        <v>15.00</v>
      </c>
      <c r="D717" s="39">
        <f t="shared" ca="1" si="56"/>
        <v>756.5</v>
      </c>
      <c r="E717" s="31">
        <f t="shared" ca="1" si="57"/>
        <v>0</v>
      </c>
      <c r="F717" s="40">
        <f t="shared" ca="1" si="58"/>
        <v>29</v>
      </c>
      <c r="G717" s="31">
        <f t="shared" ca="1" si="59"/>
        <v>0</v>
      </c>
    </row>
    <row r="718" spans="1:7" x14ac:dyDescent="0.25">
      <c r="A718" s="11">
        <f t="shared" si="55"/>
        <v>44</v>
      </c>
      <c r="B718" t="str">
        <f ca="1">TEXT(DATE(YEAR(Invoer!$A$5),1,1)+INT((ROWS(B$2:B718)-1)/2),"jjjjmmdd")</f>
        <v>19271225</v>
      </c>
      <c r="C718" s="26" t="str">
        <f>INDEX(Data,2,2+MOD(ROWS(C$2:C718)-1,2))</f>
        <v>08.00</v>
      </c>
      <c r="D718" s="39">
        <f t="shared" ca="1" si="56"/>
        <v>756.5</v>
      </c>
      <c r="E718" s="31">
        <f t="shared" ca="1" si="57"/>
        <v>0</v>
      </c>
      <c r="F718" s="40">
        <f t="shared" ca="1" si="58"/>
        <v>28</v>
      </c>
      <c r="G718" s="31">
        <f t="shared" ca="1" si="59"/>
        <v>0</v>
      </c>
    </row>
    <row r="719" spans="1:7" x14ac:dyDescent="0.25">
      <c r="A719" s="11">
        <f t="shared" si="55"/>
        <v>44</v>
      </c>
      <c r="B719" t="str">
        <f ca="1">TEXT(DATE(YEAR(Invoer!$A$5),1,1)+INT((ROWS(B$2:B719)-1)/2),"jjjjmmdd")</f>
        <v>19271225</v>
      </c>
      <c r="C719" s="26" t="str">
        <f>INDEX(Data,2,2+MOD(ROWS(C$2:C719)-1,2))</f>
        <v>15.00</v>
      </c>
      <c r="D719" s="39">
        <f t="shared" ca="1" si="56"/>
        <v>755.5</v>
      </c>
      <c r="E719" s="31">
        <f t="shared" ca="1" si="57"/>
        <v>0</v>
      </c>
      <c r="F719" s="40">
        <f t="shared" ca="1" si="58"/>
        <v>29</v>
      </c>
      <c r="G719" s="31">
        <f t="shared" ca="1" si="59"/>
        <v>0</v>
      </c>
    </row>
    <row r="720" spans="1:7" x14ac:dyDescent="0.25">
      <c r="A720" s="11">
        <f t="shared" si="55"/>
        <v>44</v>
      </c>
      <c r="B720" t="str">
        <f ca="1">TEXT(DATE(YEAR(Invoer!$A$5),1,1)+INT((ROWS(B$2:B720)-1)/2),"jjjjmmdd")</f>
        <v>19271226</v>
      </c>
      <c r="C720" s="26" t="str">
        <f>INDEX(Data,2,2+MOD(ROWS(C$2:C720)-1,2))</f>
        <v>08.00</v>
      </c>
      <c r="D720" s="39">
        <f t="shared" ca="1" si="56"/>
        <v>756.5</v>
      </c>
      <c r="E720" s="31">
        <f t="shared" ca="1" si="57"/>
        <v>0</v>
      </c>
      <c r="F720" s="40">
        <f t="shared" ca="1" si="58"/>
        <v>28</v>
      </c>
      <c r="G720" s="31">
        <f t="shared" ca="1" si="59"/>
        <v>0</v>
      </c>
    </row>
    <row r="721" spans="1:7" x14ac:dyDescent="0.25">
      <c r="A721" s="11">
        <f t="shared" si="55"/>
        <v>44</v>
      </c>
      <c r="B721" t="str">
        <f ca="1">TEXT(DATE(YEAR(Invoer!$A$5),1,1)+INT((ROWS(B$2:B721)-1)/2),"jjjjmmdd")</f>
        <v>19271226</v>
      </c>
      <c r="C721" s="26" t="str">
        <f>INDEX(Data,2,2+MOD(ROWS(C$2:C721)-1,2))</f>
        <v>15.00</v>
      </c>
      <c r="D721" s="39">
        <f t="shared" ca="1" si="56"/>
        <v>754.5</v>
      </c>
      <c r="E721" s="31">
        <f t="shared" ca="1" si="57"/>
        <v>0</v>
      </c>
      <c r="F721" s="40">
        <f t="shared" ca="1" si="58"/>
        <v>29</v>
      </c>
      <c r="G721" s="31">
        <f t="shared" ca="1" si="59"/>
        <v>0</v>
      </c>
    </row>
    <row r="722" spans="1:7" x14ac:dyDescent="0.25">
      <c r="A722" s="11">
        <f t="shared" si="55"/>
        <v>44</v>
      </c>
      <c r="B722" t="str">
        <f ca="1">TEXT(DATE(YEAR(Invoer!$A$5),1,1)+INT((ROWS(B$2:B722)-1)/2),"jjjjmmdd")</f>
        <v>19271227</v>
      </c>
      <c r="C722" s="26" t="str">
        <f>INDEX(Data,2,2+MOD(ROWS(C$2:C722)-1,2))</f>
        <v>08.00</v>
      </c>
      <c r="D722" s="39">
        <f t="shared" ca="1" si="56"/>
        <v>756.5</v>
      </c>
      <c r="E722" s="31">
        <f t="shared" ca="1" si="57"/>
        <v>0</v>
      </c>
      <c r="F722" s="40">
        <f t="shared" ca="1" si="58"/>
        <v>28</v>
      </c>
      <c r="G722" s="31">
        <f t="shared" ca="1" si="59"/>
        <v>0</v>
      </c>
    </row>
    <row r="723" spans="1:7" x14ac:dyDescent="0.25">
      <c r="A723" s="11">
        <f t="shared" si="55"/>
        <v>44</v>
      </c>
      <c r="B723" t="str">
        <f ca="1">TEXT(DATE(YEAR(Invoer!$A$5),1,1)+INT((ROWS(B$2:B723)-1)/2),"jjjjmmdd")</f>
        <v>19271227</v>
      </c>
      <c r="C723" s="26" t="str">
        <f>INDEX(Data,2,2+MOD(ROWS(C$2:C723)-1,2))</f>
        <v>15.00</v>
      </c>
      <c r="D723" s="39">
        <f t="shared" ca="1" si="56"/>
        <v>754.5</v>
      </c>
      <c r="E723" s="31">
        <f t="shared" ca="1" si="57"/>
        <v>0</v>
      </c>
      <c r="F723" s="40">
        <f t="shared" ca="1" si="58"/>
        <v>29</v>
      </c>
      <c r="G723" s="31">
        <f t="shared" ca="1" si="59"/>
        <v>0</v>
      </c>
    </row>
    <row r="724" spans="1:7" x14ac:dyDescent="0.25">
      <c r="A724" s="11">
        <f t="shared" si="55"/>
        <v>44</v>
      </c>
      <c r="B724" t="str">
        <f ca="1">TEXT(DATE(YEAR(Invoer!$A$5),1,1)+INT((ROWS(B$2:B724)-1)/2),"jjjjmmdd")</f>
        <v>19271228</v>
      </c>
      <c r="C724" s="26" t="str">
        <f>INDEX(Data,2,2+MOD(ROWS(C$2:C724)-1,2))</f>
        <v>08.00</v>
      </c>
      <c r="D724" s="39">
        <f t="shared" ca="1" si="56"/>
        <v>757</v>
      </c>
      <c r="E724" s="31">
        <f t="shared" ca="1" si="57"/>
        <v>0</v>
      </c>
      <c r="F724" s="40">
        <f t="shared" ca="1" si="58"/>
        <v>28</v>
      </c>
      <c r="G724" s="31">
        <f t="shared" ca="1" si="59"/>
        <v>0</v>
      </c>
    </row>
    <row r="725" spans="1:7" x14ac:dyDescent="0.25">
      <c r="A725" s="11">
        <f t="shared" si="55"/>
        <v>44</v>
      </c>
      <c r="B725" t="str">
        <f ca="1">TEXT(DATE(YEAR(Invoer!$A$5),1,1)+INT((ROWS(B$2:B725)-1)/2),"jjjjmmdd")</f>
        <v>19271228</v>
      </c>
      <c r="C725" s="26" t="str">
        <f>INDEX(Data,2,2+MOD(ROWS(C$2:C725)-1,2))</f>
        <v>15.00</v>
      </c>
      <c r="D725" s="39">
        <f t="shared" ca="1" si="56"/>
        <v>755.5</v>
      </c>
      <c r="E725" s="31">
        <f t="shared" ca="1" si="57"/>
        <v>0</v>
      </c>
      <c r="F725" s="40">
        <f t="shared" ca="1" si="58"/>
        <v>29</v>
      </c>
      <c r="G725" s="31">
        <f t="shared" ca="1" si="59"/>
        <v>0</v>
      </c>
    </row>
    <row r="726" spans="1:7" x14ac:dyDescent="0.25">
      <c r="A726" s="11">
        <f t="shared" si="55"/>
        <v>44</v>
      </c>
      <c r="B726" t="str">
        <f ca="1">TEXT(DATE(YEAR(Invoer!$A$5),1,1)+INT((ROWS(B$2:B726)-1)/2),"jjjjmmdd")</f>
        <v>19271229</v>
      </c>
      <c r="C726" s="26" t="str">
        <f>INDEX(Data,2,2+MOD(ROWS(C$2:C726)-1,2))</f>
        <v>08.00</v>
      </c>
      <c r="D726" s="39">
        <f t="shared" ca="1" si="56"/>
        <v>758</v>
      </c>
      <c r="E726" s="31">
        <f t="shared" ca="1" si="57"/>
        <v>0</v>
      </c>
      <c r="F726" s="40">
        <f t="shared" ca="1" si="58"/>
        <v>28</v>
      </c>
      <c r="G726" s="31">
        <f t="shared" ca="1" si="59"/>
        <v>0</v>
      </c>
    </row>
    <row r="727" spans="1:7" x14ac:dyDescent="0.25">
      <c r="A727" s="11">
        <f t="shared" si="55"/>
        <v>44</v>
      </c>
      <c r="B727" t="str">
        <f ca="1">TEXT(DATE(YEAR(Invoer!$A$5),1,1)+INT((ROWS(B$2:B727)-1)/2),"jjjjmmdd")</f>
        <v>19271229</v>
      </c>
      <c r="C727" s="26" t="str">
        <f>INDEX(Data,2,2+MOD(ROWS(C$2:C727)-1,2))</f>
        <v>15.00</v>
      </c>
      <c r="D727" s="39">
        <f t="shared" ca="1" si="56"/>
        <v>756</v>
      </c>
      <c r="E727" s="31">
        <f t="shared" ca="1" si="57"/>
        <v>0</v>
      </c>
      <c r="F727" s="40">
        <f t="shared" ca="1" si="58"/>
        <v>29</v>
      </c>
      <c r="G727" s="31">
        <f t="shared" ca="1" si="59"/>
        <v>0</v>
      </c>
    </row>
    <row r="728" spans="1:7" x14ac:dyDescent="0.25">
      <c r="A728" s="11">
        <f t="shared" si="55"/>
        <v>44</v>
      </c>
      <c r="B728" t="str">
        <f ca="1">TEXT(DATE(YEAR(Invoer!$A$5),1,1)+INT((ROWS(B$2:B728)-1)/2),"jjjjmmdd")</f>
        <v>19271230</v>
      </c>
      <c r="C728" s="26" t="str">
        <f>INDEX(Data,2,2+MOD(ROWS(C$2:C728)-1,2))</f>
        <v>08.00</v>
      </c>
      <c r="D728" s="39">
        <f t="shared" ca="1" si="56"/>
        <v>758</v>
      </c>
      <c r="E728" s="31">
        <f t="shared" ca="1" si="57"/>
        <v>0</v>
      </c>
      <c r="F728" s="40">
        <f t="shared" ca="1" si="58"/>
        <v>28</v>
      </c>
      <c r="G728" s="31">
        <f t="shared" ca="1" si="59"/>
        <v>0</v>
      </c>
    </row>
    <row r="729" spans="1:7" x14ac:dyDescent="0.25">
      <c r="A729" s="11">
        <f t="shared" si="55"/>
        <v>44</v>
      </c>
      <c r="B729" t="str">
        <f ca="1">TEXT(DATE(YEAR(Invoer!$A$5),1,1)+INT((ROWS(B$2:B729)-1)/2),"jjjjmmdd")</f>
        <v>19271230</v>
      </c>
      <c r="C729" s="26" t="str">
        <f>INDEX(Data,2,2+MOD(ROWS(C$2:C729)-1,2))</f>
        <v>15.00</v>
      </c>
      <c r="D729" s="39">
        <f t="shared" ca="1" si="56"/>
        <v>756</v>
      </c>
      <c r="E729" s="31">
        <f t="shared" ca="1" si="57"/>
        <v>0</v>
      </c>
      <c r="F729" s="40">
        <f t="shared" ca="1" si="58"/>
        <v>29</v>
      </c>
      <c r="G729" s="31">
        <f t="shared" ca="1" si="59"/>
        <v>0</v>
      </c>
    </row>
    <row r="730" spans="1:7" x14ac:dyDescent="0.25">
      <c r="A730" s="11">
        <f t="shared" si="55"/>
        <v>44</v>
      </c>
      <c r="B730" t="str">
        <f ca="1">TEXT(DATE(YEAR(Invoer!$A$5),1,1)+INT((ROWS(B$2:B730)-1)/2),"jjjjmmdd")</f>
        <v>19271231</v>
      </c>
      <c r="C730" s="26" t="str">
        <f>INDEX(Data,2,2+MOD(ROWS(C$2:C730)-1,2))</f>
        <v>08.00</v>
      </c>
      <c r="D730" s="39">
        <f t="shared" ca="1" si="56"/>
        <v>758.5</v>
      </c>
      <c r="E730" s="31">
        <f t="shared" ca="1" si="57"/>
        <v>0</v>
      </c>
      <c r="F730" s="40">
        <f t="shared" ca="1" si="58"/>
        <v>28</v>
      </c>
      <c r="G730" s="31">
        <f t="shared" ca="1" si="59"/>
        <v>0</v>
      </c>
    </row>
    <row r="731" spans="1:7" x14ac:dyDescent="0.25">
      <c r="A731" s="11">
        <f t="shared" si="55"/>
        <v>44</v>
      </c>
      <c r="B731" t="str">
        <f ca="1">TEXT(DATE(YEAR(Invoer!$A$5),1,1)+INT((ROWS(B$2:B731)-1)/2),"jjjjmmdd")</f>
        <v>19271231</v>
      </c>
      <c r="C731" s="26" t="str">
        <f>INDEX(Data,2,2+MOD(ROWS(C$2:C731)-1,2))</f>
        <v>15.00</v>
      </c>
      <c r="D731" s="39">
        <f t="shared" ca="1" si="56"/>
        <v>756</v>
      </c>
      <c r="E731" s="31">
        <f t="shared" ca="1" si="57"/>
        <v>0</v>
      </c>
      <c r="F731" s="40">
        <f t="shared" ca="1" si="58"/>
        <v>29</v>
      </c>
      <c r="G731" s="31">
        <f t="shared" ca="1" si="59"/>
        <v>0</v>
      </c>
    </row>
  </sheetData>
  <pageMargins left="0.7" right="0.7" top="0.75" bottom="0.75" header="0.3" footer="0.3"/>
  <pageSetup paperSize="9" orientation="portrait" r:id="rId1"/>
  <ignoredErrors>
    <ignoredError sqref="E2 F2 E3:E731 F3:F73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731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9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9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044, 19270101, 1,   35, 00</v>
      </c>
    </row>
    <row r="3" spans="1:1" x14ac:dyDescent="0.25">
      <c r="A3" s="19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044, 19270102, 1,    0, 00</v>
      </c>
    </row>
    <row r="4" spans="1:1" x14ac:dyDescent="0.25">
      <c r="A4" s="19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044, 19270103, 1,    0, 00</v>
      </c>
    </row>
    <row r="5" spans="1:1" x14ac:dyDescent="0.25">
      <c r="A5" s="19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044, 19270104, 1,    0, 00</v>
      </c>
    </row>
    <row r="6" spans="1:1" x14ac:dyDescent="0.25">
      <c r="A6" s="19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044, 19270105, 1,   44, 00</v>
      </c>
    </row>
    <row r="7" spans="1:1" x14ac:dyDescent="0.25">
      <c r="A7" s="19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044, 19270106, 1,    2, 00</v>
      </c>
    </row>
    <row r="8" spans="1:1" x14ac:dyDescent="0.25">
      <c r="A8" s="19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044, 19270107, 1,   26, 00</v>
      </c>
    </row>
    <row r="9" spans="1:1" x14ac:dyDescent="0.25">
      <c r="A9" s="19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044, 19270108, 1,    7, 00</v>
      </c>
    </row>
    <row r="10" spans="1:1" x14ac:dyDescent="0.25">
      <c r="A10" s="19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044, 19270109, 1,   25, 00</v>
      </c>
    </row>
    <row r="11" spans="1:1" x14ac:dyDescent="0.25">
      <c r="A11" s="19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044, 19270110, 1,    0, 00</v>
      </c>
    </row>
    <row r="12" spans="1:1" x14ac:dyDescent="0.25">
      <c r="A12" s="19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044, 19270111, 1,    0, 00</v>
      </c>
    </row>
    <row r="13" spans="1:1" x14ac:dyDescent="0.25">
      <c r="A13" s="19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044, 19270112, 1,    0, 00</v>
      </c>
    </row>
    <row r="14" spans="1:1" x14ac:dyDescent="0.25">
      <c r="A14" s="19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044, 19270113, 1,   51, 00</v>
      </c>
    </row>
    <row r="15" spans="1:1" x14ac:dyDescent="0.25">
      <c r="A15" s="19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044, 19270114, 1,   14, 00</v>
      </c>
    </row>
    <row r="16" spans="1:1" x14ac:dyDescent="0.25">
      <c r="A16" s="19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044, 19270115, 1,    0, 00</v>
      </c>
    </row>
    <row r="17" spans="1:1" x14ac:dyDescent="0.25">
      <c r="A17" s="19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044, 19270116, 1,    0, 00</v>
      </c>
    </row>
    <row r="18" spans="1:1" x14ac:dyDescent="0.25">
      <c r="A18" s="19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044, 19270117, 1,    2, 00</v>
      </c>
    </row>
    <row r="19" spans="1:1" x14ac:dyDescent="0.25">
      <c r="A19" s="19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044, 19270118, 1,    0, 00</v>
      </c>
    </row>
    <row r="20" spans="1:1" x14ac:dyDescent="0.25">
      <c r="A20" s="19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044, 19270119, 1,    4, 00</v>
      </c>
    </row>
    <row r="21" spans="1:1" x14ac:dyDescent="0.25">
      <c r="A21" s="19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044, 19270120, 1,   16, 00</v>
      </c>
    </row>
    <row r="22" spans="1:1" x14ac:dyDescent="0.25">
      <c r="A22" s="19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044, 19270121, 1,   31, 00</v>
      </c>
    </row>
    <row r="23" spans="1:1" x14ac:dyDescent="0.25">
      <c r="A23" s="19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044, 19270122, 1,   31, 00</v>
      </c>
    </row>
    <row r="24" spans="1:1" x14ac:dyDescent="0.25">
      <c r="A24" s="19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044, 19270123, 1,    0, 00</v>
      </c>
    </row>
    <row r="25" spans="1:1" x14ac:dyDescent="0.25">
      <c r="A25" s="19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044, 19270124, 1,   80, 00</v>
      </c>
    </row>
    <row r="26" spans="1:1" x14ac:dyDescent="0.25">
      <c r="A26" s="19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044, 19270125, 1,    0, 00</v>
      </c>
    </row>
    <row r="27" spans="1:1" x14ac:dyDescent="0.25">
      <c r="A27" s="19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044, 19270126, 1,   21, 00</v>
      </c>
    </row>
    <row r="28" spans="1:1" x14ac:dyDescent="0.25">
      <c r="A28" s="19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044, 19270127, 1,    0, 00</v>
      </c>
    </row>
    <row r="29" spans="1:1" x14ac:dyDescent="0.25">
      <c r="A29" s="19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044, 19270128, 1,   10, 00</v>
      </c>
    </row>
    <row r="30" spans="1:1" x14ac:dyDescent="0.25">
      <c r="A30" s="19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044, 19270129, 1,   46, 00</v>
      </c>
    </row>
    <row r="31" spans="1:1" x14ac:dyDescent="0.25">
      <c r="A31" s="19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044, 19270130, 1,   25, 00</v>
      </c>
    </row>
    <row r="32" spans="1:1" x14ac:dyDescent="0.25">
      <c r="A32" s="19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044, 19270131, 1,   61, 00</v>
      </c>
    </row>
    <row r="33" spans="1:1" x14ac:dyDescent="0.25">
      <c r="A33" s="19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044, 19270201, 1,    0, 00</v>
      </c>
    </row>
    <row r="34" spans="1:1" x14ac:dyDescent="0.25">
      <c r="A34" s="19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044, 19270202, 1,   34, 00</v>
      </c>
    </row>
    <row r="35" spans="1:1" x14ac:dyDescent="0.25">
      <c r="A35" s="19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044, 19270203, 1,   13, 00</v>
      </c>
    </row>
    <row r="36" spans="1:1" x14ac:dyDescent="0.25">
      <c r="A36" s="19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044, 19270204, 1,    8, 00</v>
      </c>
    </row>
    <row r="37" spans="1:1" x14ac:dyDescent="0.25">
      <c r="A37" s="19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044, 19270205, 1,    7, 00</v>
      </c>
    </row>
    <row r="38" spans="1:1" x14ac:dyDescent="0.25">
      <c r="A38" s="19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044, 19270206, 1,    0, 00</v>
      </c>
    </row>
    <row r="39" spans="1:1" x14ac:dyDescent="0.25">
      <c r="A39" s="19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044, 19270207, 1,    6, 00</v>
      </c>
    </row>
    <row r="40" spans="1:1" x14ac:dyDescent="0.25">
      <c r="A40" s="19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044, 19270208, 1,    8, 00</v>
      </c>
    </row>
    <row r="41" spans="1:1" x14ac:dyDescent="0.25">
      <c r="A41" s="19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044, 19270209, 1,    5, 00</v>
      </c>
    </row>
    <row r="42" spans="1:1" x14ac:dyDescent="0.25">
      <c r="A42" s="19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044, 19270210, 1,    3, 00</v>
      </c>
    </row>
    <row r="43" spans="1:1" x14ac:dyDescent="0.25">
      <c r="A43" s="19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044, 19270211, 1,   26, 00</v>
      </c>
    </row>
    <row r="44" spans="1:1" x14ac:dyDescent="0.25">
      <c r="A44" s="19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044, 19270212, 1,   64, 00</v>
      </c>
    </row>
    <row r="45" spans="1:1" x14ac:dyDescent="0.25">
      <c r="A45" s="19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044, 19270213, 1,    0, 00</v>
      </c>
    </row>
    <row r="46" spans="1:1" x14ac:dyDescent="0.25">
      <c r="A46" s="19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044, 19270214, 1,   47, 00</v>
      </c>
    </row>
    <row r="47" spans="1:1" x14ac:dyDescent="0.25">
      <c r="A47" s="19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044, 19270215, 1,    0, 00</v>
      </c>
    </row>
    <row r="48" spans="1:1" x14ac:dyDescent="0.25">
      <c r="A48" s="19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044, 19270216, 1,    0, 00</v>
      </c>
    </row>
    <row r="49" spans="1:1" x14ac:dyDescent="0.25">
      <c r="A49" s="19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044, 19270217, 1,    7, 00</v>
      </c>
    </row>
    <row r="50" spans="1:1" x14ac:dyDescent="0.25">
      <c r="A50" s="19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044, 19270218, 1,   65, 00</v>
      </c>
    </row>
    <row r="51" spans="1:1" x14ac:dyDescent="0.25">
      <c r="A51" s="19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044, 19270219, 1,    0, 00</v>
      </c>
    </row>
    <row r="52" spans="1:1" x14ac:dyDescent="0.25">
      <c r="A52" s="19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044, 19270220, 1,    0, 00</v>
      </c>
    </row>
    <row r="53" spans="1:1" x14ac:dyDescent="0.25">
      <c r="A53" s="19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044, 19270221, 1,   15, 00</v>
      </c>
    </row>
    <row r="54" spans="1:1" x14ac:dyDescent="0.25">
      <c r="A54" s="19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044, 19270222, 1,    0, 00</v>
      </c>
    </row>
    <row r="55" spans="1:1" x14ac:dyDescent="0.25">
      <c r="A55" s="19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044, 19270223, 1,   84, 00</v>
      </c>
    </row>
    <row r="56" spans="1:1" x14ac:dyDescent="0.25">
      <c r="A56" s="19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044, 19270224, 1,    0, 00</v>
      </c>
    </row>
    <row r="57" spans="1:1" x14ac:dyDescent="0.25">
      <c r="A57" s="19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044, 19270225, 1,    0, 00</v>
      </c>
    </row>
    <row r="58" spans="1:1" x14ac:dyDescent="0.25">
      <c r="A58" s="19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044, 19270226, 1,    0, 00</v>
      </c>
    </row>
    <row r="59" spans="1:1" x14ac:dyDescent="0.25">
      <c r="A59" s="19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044, 19270227, 1,    0, 00</v>
      </c>
    </row>
    <row r="60" spans="1:1" x14ac:dyDescent="0.25">
      <c r="A60" s="19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044, 19270228, 1,    0, 00</v>
      </c>
    </row>
    <row r="61" spans="1:1" x14ac:dyDescent="0.25">
      <c r="A61" s="19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044, 19270301, 1,    0, 00</v>
      </c>
    </row>
    <row r="62" spans="1:1" x14ac:dyDescent="0.25">
      <c r="A62" s="19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044, 19270302, 1,    0, 00</v>
      </c>
    </row>
    <row r="63" spans="1:1" x14ac:dyDescent="0.25">
      <c r="A63" s="19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044, 19270303, 1,   50, 00</v>
      </c>
    </row>
    <row r="64" spans="1:1" x14ac:dyDescent="0.25">
      <c r="A64" s="19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044, 19270304, 1,    0, 00</v>
      </c>
    </row>
    <row r="65" spans="1:1" x14ac:dyDescent="0.25">
      <c r="A65" s="19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044, 19270305, 1,    0, 00</v>
      </c>
    </row>
    <row r="66" spans="1:1" x14ac:dyDescent="0.25">
      <c r="A66" s="19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044, 19270306, 1,    0, 00</v>
      </c>
    </row>
    <row r="67" spans="1:1" x14ac:dyDescent="0.25">
      <c r="A67" s="19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044, 19270307, 1,    4, 00</v>
      </c>
    </row>
    <row r="68" spans="1:1" x14ac:dyDescent="0.25">
      <c r="A68" s="19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044, 19270308, 1,   26, 00</v>
      </c>
    </row>
    <row r="69" spans="1:1" x14ac:dyDescent="0.25">
      <c r="A69" s="19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044, 19270309, 1,    4, 00</v>
      </c>
    </row>
    <row r="70" spans="1:1" x14ac:dyDescent="0.25">
      <c r="A70" s="19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044, 19270310, 1,    5, 00</v>
      </c>
    </row>
    <row r="71" spans="1:1" x14ac:dyDescent="0.25">
      <c r="A71" s="19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044, 19270311, 1,    0, 00</v>
      </c>
    </row>
    <row r="72" spans="1:1" x14ac:dyDescent="0.25">
      <c r="A72" s="19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044, 19270312, 1,   21, 00</v>
      </c>
    </row>
    <row r="73" spans="1:1" x14ac:dyDescent="0.25">
      <c r="A73" s="19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044, 19270313, 1,    0, 00</v>
      </c>
    </row>
    <row r="74" spans="1:1" x14ac:dyDescent="0.25">
      <c r="A74" s="19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044, 19270314, 1,    0, 00</v>
      </c>
    </row>
    <row r="75" spans="1:1" x14ac:dyDescent="0.25">
      <c r="A75" s="19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044, 19270315, 1,    0, 00</v>
      </c>
    </row>
    <row r="76" spans="1:1" x14ac:dyDescent="0.25">
      <c r="A76" s="19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044, 19270316, 1,    0, 00</v>
      </c>
    </row>
    <row r="77" spans="1:1" x14ac:dyDescent="0.25">
      <c r="A77" s="19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044, 19270317, 1,    0, 00</v>
      </c>
    </row>
    <row r="78" spans="1:1" x14ac:dyDescent="0.25">
      <c r="A78" s="19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044, 19270318, 1,    0, 00</v>
      </c>
    </row>
    <row r="79" spans="1:1" x14ac:dyDescent="0.25">
      <c r="A79" s="19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044, 19270319, 1,    0, 00</v>
      </c>
    </row>
    <row r="80" spans="1:1" x14ac:dyDescent="0.25">
      <c r="A80" s="19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044, 19270320, 1,    0, 00</v>
      </c>
    </row>
    <row r="81" spans="1:1" x14ac:dyDescent="0.25">
      <c r="A81" s="19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044, 19270321, 1,    0, 00</v>
      </c>
    </row>
    <row r="82" spans="1:1" x14ac:dyDescent="0.25">
      <c r="A82" s="19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044, 19270322, 1,    0, 00</v>
      </c>
    </row>
    <row r="83" spans="1:1" x14ac:dyDescent="0.25">
      <c r="A83" s="19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044, 19270323, 1,    0, 00</v>
      </c>
    </row>
    <row r="84" spans="1:1" x14ac:dyDescent="0.25">
      <c r="A84" s="19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044, 19270324, 1,    0, 00</v>
      </c>
    </row>
    <row r="85" spans="1:1" x14ac:dyDescent="0.25">
      <c r="A85" s="19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044, 19270325, 1,    0, 00</v>
      </c>
    </row>
    <row r="86" spans="1:1" x14ac:dyDescent="0.25">
      <c r="A86" s="19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044, 19270326, 1,    0, 00</v>
      </c>
    </row>
    <row r="87" spans="1:1" x14ac:dyDescent="0.25">
      <c r="A87" s="19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044, 19270327, 1,    0, 00</v>
      </c>
    </row>
    <row r="88" spans="1:1" x14ac:dyDescent="0.25">
      <c r="A88" s="19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044, 19270328, 1,    0, 00</v>
      </c>
    </row>
    <row r="89" spans="1:1" x14ac:dyDescent="0.25">
      <c r="A89" s="19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044, 19270329, 1,    0, 00</v>
      </c>
    </row>
    <row r="90" spans="1:1" x14ac:dyDescent="0.25">
      <c r="A90" s="19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044, 19270330, 1,    0, 00</v>
      </c>
    </row>
    <row r="91" spans="1:1" x14ac:dyDescent="0.25">
      <c r="A91" s="19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044, 19270331, 1,    0, 00</v>
      </c>
    </row>
    <row r="92" spans="1:1" x14ac:dyDescent="0.25">
      <c r="A92" s="19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044, 19270401, 1,    0, 00</v>
      </c>
    </row>
    <row r="93" spans="1:1" x14ac:dyDescent="0.25">
      <c r="A93" s="19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044, 19270402, 1,   42, 00</v>
      </c>
    </row>
    <row r="94" spans="1:1" x14ac:dyDescent="0.25">
      <c r="A94" s="19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044, 19270403, 1,    0, 00</v>
      </c>
    </row>
    <row r="95" spans="1:1" x14ac:dyDescent="0.25">
      <c r="A95" s="19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044, 19270404, 1,    7, 00</v>
      </c>
    </row>
    <row r="96" spans="1:1" x14ac:dyDescent="0.25">
      <c r="A96" s="19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044, 19270405, 1,    0, 00</v>
      </c>
    </row>
    <row r="97" spans="1:1" x14ac:dyDescent="0.25">
      <c r="A97" s="19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044, 19270406, 1,    6, 00</v>
      </c>
    </row>
    <row r="98" spans="1:1" x14ac:dyDescent="0.25">
      <c r="A98" s="19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044, 19270407, 1,    0, 00</v>
      </c>
    </row>
    <row r="99" spans="1:1" x14ac:dyDescent="0.25">
      <c r="A99" s="19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044, 19270408, 1,    0, 00</v>
      </c>
    </row>
    <row r="100" spans="1:1" x14ac:dyDescent="0.25">
      <c r="A100" s="19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044, 19270409, 1,    0, 00</v>
      </c>
    </row>
    <row r="101" spans="1:1" x14ac:dyDescent="0.25">
      <c r="A101" s="19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044, 19270410, 1,    0, 00</v>
      </c>
    </row>
    <row r="102" spans="1:1" x14ac:dyDescent="0.25">
      <c r="A102" s="19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044, 19270411, 1,    0, 00</v>
      </c>
    </row>
    <row r="103" spans="1:1" x14ac:dyDescent="0.25">
      <c r="A103" s="19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044, 19270412, 1,  109, 00</v>
      </c>
    </row>
    <row r="104" spans="1:1" x14ac:dyDescent="0.25">
      <c r="A104" s="19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044, 19270413, 1,    0, 00</v>
      </c>
    </row>
    <row r="105" spans="1:1" x14ac:dyDescent="0.25">
      <c r="A105" s="19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044, 19270414, 1,    0, 00</v>
      </c>
    </row>
    <row r="106" spans="1:1" x14ac:dyDescent="0.25">
      <c r="A106" s="19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044, 19270415, 1,    0, 00</v>
      </c>
    </row>
    <row r="107" spans="1:1" x14ac:dyDescent="0.25">
      <c r="A107" s="19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044, 19270416, 1,    0, 00</v>
      </c>
    </row>
    <row r="108" spans="1:1" x14ac:dyDescent="0.25">
      <c r="A108" s="19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044, 19270417, 1,    0, 00</v>
      </c>
    </row>
    <row r="109" spans="1:1" x14ac:dyDescent="0.25">
      <c r="A109" s="19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044, 19270418, 1,    0, 00</v>
      </c>
    </row>
    <row r="110" spans="1:1" x14ac:dyDescent="0.25">
      <c r="A110" s="19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044, 19270419, 1,    0, 00</v>
      </c>
    </row>
    <row r="111" spans="1:1" x14ac:dyDescent="0.25">
      <c r="A111" s="19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044, 19270420, 1,   36, 00</v>
      </c>
    </row>
    <row r="112" spans="1:1" x14ac:dyDescent="0.25">
      <c r="A112" s="19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044, 19270421, 1,    0, 00</v>
      </c>
    </row>
    <row r="113" spans="1:1" x14ac:dyDescent="0.25">
      <c r="A113" s="19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044, 19270422, 1,   76, 00</v>
      </c>
    </row>
    <row r="114" spans="1:1" x14ac:dyDescent="0.25">
      <c r="A114" s="19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044, 19270423, 1,    0, 00</v>
      </c>
    </row>
    <row r="115" spans="1:1" x14ac:dyDescent="0.25">
      <c r="A115" s="19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044, 19270424, 1,  448, 00</v>
      </c>
    </row>
    <row r="116" spans="1:1" x14ac:dyDescent="0.25">
      <c r="A116" s="19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044, 19270425, 1,   14, 00</v>
      </c>
    </row>
    <row r="117" spans="1:1" x14ac:dyDescent="0.25">
      <c r="A117" s="19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044, 19270426, 1,  160, 00</v>
      </c>
    </row>
    <row r="118" spans="1:1" x14ac:dyDescent="0.25">
      <c r="A118" s="19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044, 19270427, 1,    0, 00</v>
      </c>
    </row>
    <row r="119" spans="1:1" x14ac:dyDescent="0.25">
      <c r="A119" s="19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044, 19270428, 1,    0, 00</v>
      </c>
    </row>
    <row r="120" spans="1:1" x14ac:dyDescent="0.25">
      <c r="A120" s="19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044, 19270429, 1,    0, 00</v>
      </c>
    </row>
    <row r="121" spans="1:1" x14ac:dyDescent="0.25">
      <c r="A121" s="19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044, 19270430, 1,    0, 00</v>
      </c>
    </row>
    <row r="122" spans="1:1" x14ac:dyDescent="0.25">
      <c r="A122" s="19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044, 19270501, 1,    0, 00</v>
      </c>
    </row>
    <row r="123" spans="1:1" x14ac:dyDescent="0.25">
      <c r="A123" s="19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044, 19270502, 1,    0, 00</v>
      </c>
    </row>
    <row r="124" spans="1:1" x14ac:dyDescent="0.25">
      <c r="A124" s="19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044, 19270503, 1,    0, 00</v>
      </c>
    </row>
    <row r="125" spans="1:1" x14ac:dyDescent="0.25">
      <c r="A125" s="19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044, 19270504, 1,    0, 00</v>
      </c>
    </row>
    <row r="126" spans="1:1" x14ac:dyDescent="0.25">
      <c r="A126" s="19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044, 19270505, 1,    0, 00</v>
      </c>
    </row>
    <row r="127" spans="1:1" x14ac:dyDescent="0.25">
      <c r="A127" s="19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044, 19270506, 1,    0, 00</v>
      </c>
    </row>
    <row r="128" spans="1:1" x14ac:dyDescent="0.25">
      <c r="A128" s="19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044, 19270507, 1,    0, 00</v>
      </c>
    </row>
    <row r="129" spans="1:1" x14ac:dyDescent="0.25">
      <c r="A129" s="19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044, 19270508, 1,    0, 00</v>
      </c>
    </row>
    <row r="130" spans="1:1" x14ac:dyDescent="0.25">
      <c r="A130" s="19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044, 19270509, 1,    0, 00</v>
      </c>
    </row>
    <row r="131" spans="1:1" x14ac:dyDescent="0.25">
      <c r="A131" s="19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044, 19270510, 1,    0, 00</v>
      </c>
    </row>
    <row r="132" spans="1:1" x14ac:dyDescent="0.25">
      <c r="A132" s="19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044, 19270511, 1,    0, 00</v>
      </c>
    </row>
    <row r="133" spans="1:1" x14ac:dyDescent="0.25">
      <c r="A133" s="19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044, 19270512, 1,    0, 00</v>
      </c>
    </row>
    <row r="134" spans="1:1" x14ac:dyDescent="0.25">
      <c r="A134" s="19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044, 19270513, 1,    0, 00</v>
      </c>
    </row>
    <row r="135" spans="1:1" x14ac:dyDescent="0.25">
      <c r="A135" s="19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044, 19270514, 1,    0, 00</v>
      </c>
    </row>
    <row r="136" spans="1:1" x14ac:dyDescent="0.25">
      <c r="A136" s="19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044, 19270515, 1,    0, 00</v>
      </c>
    </row>
    <row r="137" spans="1:1" x14ac:dyDescent="0.25">
      <c r="A137" s="19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044, 19270516, 1,    0, 00</v>
      </c>
    </row>
    <row r="138" spans="1:1" x14ac:dyDescent="0.25">
      <c r="A138" s="19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044, 19270517, 1,    0, 00</v>
      </c>
    </row>
    <row r="139" spans="1:1" x14ac:dyDescent="0.25">
      <c r="A139" s="19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044, 19270518, 1,    0, 00</v>
      </c>
    </row>
    <row r="140" spans="1:1" x14ac:dyDescent="0.25">
      <c r="A140" s="19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044, 19270519, 1,    0, 00</v>
      </c>
    </row>
    <row r="141" spans="1:1" x14ac:dyDescent="0.25">
      <c r="A141" s="19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044, 19270520, 1,    0, 00</v>
      </c>
    </row>
    <row r="142" spans="1:1" x14ac:dyDescent="0.25">
      <c r="A142" s="19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044, 19270521, 1,    0, 00</v>
      </c>
    </row>
    <row r="143" spans="1:1" x14ac:dyDescent="0.25">
      <c r="A143" s="19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044, 19270522, 1,    0, 00</v>
      </c>
    </row>
    <row r="144" spans="1:1" x14ac:dyDescent="0.25">
      <c r="A144" s="19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044, 19270523, 1,    0, 00</v>
      </c>
    </row>
    <row r="145" spans="1:1" x14ac:dyDescent="0.25">
      <c r="A145" s="19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044, 19270524, 1,   11, 00</v>
      </c>
    </row>
    <row r="146" spans="1:1" x14ac:dyDescent="0.25">
      <c r="A146" s="19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044, 19270525, 1,    0, 00</v>
      </c>
    </row>
    <row r="147" spans="1:1" x14ac:dyDescent="0.25">
      <c r="A147" s="19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044, 19270526, 1,    0, 00</v>
      </c>
    </row>
    <row r="148" spans="1:1" x14ac:dyDescent="0.25">
      <c r="A148" s="19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044, 19270527, 1,    0, 00</v>
      </c>
    </row>
    <row r="149" spans="1:1" x14ac:dyDescent="0.25">
      <c r="A149" s="19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044, 19270528, 1,    0, 00</v>
      </c>
    </row>
    <row r="150" spans="1:1" x14ac:dyDescent="0.25">
      <c r="A150" s="19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044, 19270529, 1,    0, 00</v>
      </c>
    </row>
    <row r="151" spans="1:1" x14ac:dyDescent="0.25">
      <c r="A151" s="19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044, 19270530, 1,    0, 00</v>
      </c>
    </row>
    <row r="152" spans="1:1" x14ac:dyDescent="0.25">
      <c r="A152" s="19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044, 19270531, 1,    0, 00</v>
      </c>
    </row>
    <row r="153" spans="1:1" x14ac:dyDescent="0.25">
      <c r="A153" s="19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044, 19270601, 1,    0, 00</v>
      </c>
    </row>
    <row r="154" spans="1:1" x14ac:dyDescent="0.25">
      <c r="A154" s="19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044, 19270602, 1,    0, 00</v>
      </c>
    </row>
    <row r="155" spans="1:1" x14ac:dyDescent="0.25">
      <c r="A155" s="19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044, 19270603, 1,    0, 00</v>
      </c>
    </row>
    <row r="156" spans="1:1" x14ac:dyDescent="0.25">
      <c r="A156" s="19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044, 19270604, 1,    0, 00</v>
      </c>
    </row>
    <row r="157" spans="1:1" x14ac:dyDescent="0.25">
      <c r="A157" s="19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044, 19270605, 1,    0, 00</v>
      </c>
    </row>
    <row r="158" spans="1:1" x14ac:dyDescent="0.25">
      <c r="A158" s="19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044, 19270606, 1,    0, 00</v>
      </c>
    </row>
    <row r="159" spans="1:1" x14ac:dyDescent="0.25">
      <c r="A159" s="19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044, 19270607, 1,    0, 00</v>
      </c>
    </row>
    <row r="160" spans="1:1" x14ac:dyDescent="0.25">
      <c r="A160" s="19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044, 19270608, 1,    0, 00</v>
      </c>
    </row>
    <row r="161" spans="1:1" x14ac:dyDescent="0.25">
      <c r="A161" s="19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044, 19270609, 1,    0, 00</v>
      </c>
    </row>
    <row r="162" spans="1:1" x14ac:dyDescent="0.25">
      <c r="A162" s="19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044, 19270610, 1,    0, 00</v>
      </c>
    </row>
    <row r="163" spans="1:1" x14ac:dyDescent="0.25">
      <c r="A163" s="19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044, 19270611, 1,    0, 00</v>
      </c>
    </row>
    <row r="164" spans="1:1" x14ac:dyDescent="0.25">
      <c r="A164" s="19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044, 19270612, 1,    0, 00</v>
      </c>
    </row>
    <row r="165" spans="1:1" x14ac:dyDescent="0.25">
      <c r="A165" s="19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044, 19270613, 1,    0, 00</v>
      </c>
    </row>
    <row r="166" spans="1:1" x14ac:dyDescent="0.25">
      <c r="A166" s="19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044, 19270614, 1,    0, 00</v>
      </c>
    </row>
    <row r="167" spans="1:1" x14ac:dyDescent="0.25">
      <c r="A167" s="19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044, 19270615, 1,    0, 00</v>
      </c>
    </row>
    <row r="168" spans="1:1" x14ac:dyDescent="0.25">
      <c r="A168" s="19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044, 19270616, 1,    4, 00</v>
      </c>
    </row>
    <row r="169" spans="1:1" x14ac:dyDescent="0.25">
      <c r="A169" s="19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044, 19270617, 1,    0, 00</v>
      </c>
    </row>
    <row r="170" spans="1:1" x14ac:dyDescent="0.25">
      <c r="A170" s="19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044, 19270618, 1,   25, 00</v>
      </c>
    </row>
    <row r="171" spans="1:1" x14ac:dyDescent="0.25">
      <c r="A171" s="19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044, 19270619, 1,    0, 00</v>
      </c>
    </row>
    <row r="172" spans="1:1" x14ac:dyDescent="0.25">
      <c r="A172" s="19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044, 19270620, 1,  306, 00</v>
      </c>
    </row>
    <row r="173" spans="1:1" x14ac:dyDescent="0.25">
      <c r="A173" s="19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044, 19270621, 1,    0, 00</v>
      </c>
    </row>
    <row r="174" spans="1:1" x14ac:dyDescent="0.25">
      <c r="A174" s="19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044, 19270622, 1,    0, 00</v>
      </c>
    </row>
    <row r="175" spans="1:1" x14ac:dyDescent="0.25">
      <c r="A175" s="19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044, 19270623, 1,  113, 00</v>
      </c>
    </row>
    <row r="176" spans="1:1" x14ac:dyDescent="0.25">
      <c r="A176" s="19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044, 19270624, 1,    5, 00</v>
      </c>
    </row>
    <row r="177" spans="1:1" x14ac:dyDescent="0.25">
      <c r="A177" s="19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044, 19270625, 1,    0, 00</v>
      </c>
    </row>
    <row r="178" spans="1:1" x14ac:dyDescent="0.25">
      <c r="A178" s="19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044, 19270626, 1,    0, 00</v>
      </c>
    </row>
    <row r="179" spans="1:1" x14ac:dyDescent="0.25">
      <c r="A179" s="19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044, 19270627, 1,    0, 00</v>
      </c>
    </row>
    <row r="180" spans="1:1" x14ac:dyDescent="0.25">
      <c r="A180" s="19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044, 19270628, 1,   17, 00</v>
      </c>
    </row>
    <row r="181" spans="1:1" x14ac:dyDescent="0.25">
      <c r="A181" s="19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044, 19270629, 1,  105, 00</v>
      </c>
    </row>
    <row r="182" spans="1:1" x14ac:dyDescent="0.25">
      <c r="A182" s="19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044, 19270630, 1,    0, 00</v>
      </c>
    </row>
    <row r="183" spans="1:1" x14ac:dyDescent="0.25">
      <c r="A183" s="19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044, 19270701, 1,    0, 00</v>
      </c>
    </row>
    <row r="184" spans="1:1" x14ac:dyDescent="0.25">
      <c r="A184" s="19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044, 19270702, 1,    0, 00</v>
      </c>
    </row>
    <row r="185" spans="1:1" x14ac:dyDescent="0.25">
      <c r="A185" s="19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044, 19270703, 1,    0, 00</v>
      </c>
    </row>
    <row r="186" spans="1:1" x14ac:dyDescent="0.25">
      <c r="A186" s="19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044, 19270704, 1,    0, 00</v>
      </c>
    </row>
    <row r="187" spans="1:1" x14ac:dyDescent="0.25">
      <c r="A187" s="19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044, 19270705, 1,    0, 00</v>
      </c>
    </row>
    <row r="188" spans="1:1" x14ac:dyDescent="0.25">
      <c r="A188" s="19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044, 19270706, 1,    0, 00</v>
      </c>
    </row>
    <row r="189" spans="1:1" x14ac:dyDescent="0.25">
      <c r="A189" s="19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044, 19270707, 1,  123, 00</v>
      </c>
    </row>
    <row r="190" spans="1:1" x14ac:dyDescent="0.25">
      <c r="A190" s="19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044, 19270708, 1,    0, 00</v>
      </c>
    </row>
    <row r="191" spans="1:1" x14ac:dyDescent="0.25">
      <c r="A191" s="19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044, 19270709, 1,    0, 00</v>
      </c>
    </row>
    <row r="192" spans="1:1" x14ac:dyDescent="0.25">
      <c r="A192" s="19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044, 19270710, 1,    0, 00</v>
      </c>
    </row>
    <row r="193" spans="1:1" x14ac:dyDescent="0.25">
      <c r="A193" s="19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044, 19270711, 1,    0, 00</v>
      </c>
    </row>
    <row r="194" spans="1:1" x14ac:dyDescent="0.25">
      <c r="A194" s="19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044, 19270712, 1,    0, 00</v>
      </c>
    </row>
    <row r="195" spans="1:1" x14ac:dyDescent="0.25">
      <c r="A195" s="19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044, 19270713, 1,    0, 00</v>
      </c>
    </row>
    <row r="196" spans="1:1" x14ac:dyDescent="0.25">
      <c r="A196" s="19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044, 19270714, 1,    0, 00</v>
      </c>
    </row>
    <row r="197" spans="1:1" x14ac:dyDescent="0.25">
      <c r="A197" s="19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044, 19270715, 1,    0, 00</v>
      </c>
    </row>
    <row r="198" spans="1:1" x14ac:dyDescent="0.25">
      <c r="A198" s="19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044, 19270716, 1,    0, 00</v>
      </c>
    </row>
    <row r="199" spans="1:1" x14ac:dyDescent="0.25">
      <c r="A199" s="19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044, 19270717, 1,    0, 00</v>
      </c>
    </row>
    <row r="200" spans="1:1" x14ac:dyDescent="0.25">
      <c r="A200" s="19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044, 19270718, 1,    0, 00</v>
      </c>
    </row>
    <row r="201" spans="1:1" x14ac:dyDescent="0.25">
      <c r="A201" s="19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044, 19270719, 1,    0, 00</v>
      </c>
    </row>
    <row r="202" spans="1:1" x14ac:dyDescent="0.25">
      <c r="A202" s="19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044, 19270720, 1,    0, 00</v>
      </c>
    </row>
    <row r="203" spans="1:1" x14ac:dyDescent="0.25">
      <c r="A203" s="19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044, 19270721, 1,    0, 00</v>
      </c>
    </row>
    <row r="204" spans="1:1" x14ac:dyDescent="0.25">
      <c r="A204" s="19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044, 19270722, 1,    0, 00</v>
      </c>
    </row>
    <row r="205" spans="1:1" x14ac:dyDescent="0.25">
      <c r="A205" s="19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044, 19270723, 1,    0, 00</v>
      </c>
    </row>
    <row r="206" spans="1:1" x14ac:dyDescent="0.25">
      <c r="A206" s="19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044, 19270724, 1,    0, 00</v>
      </c>
    </row>
    <row r="207" spans="1:1" x14ac:dyDescent="0.25">
      <c r="A207" s="19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044, 19270725, 1,    0, 00</v>
      </c>
    </row>
    <row r="208" spans="1:1" x14ac:dyDescent="0.25">
      <c r="A208" s="19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044, 19270726, 1,    0, 00</v>
      </c>
    </row>
    <row r="209" spans="1:1" x14ac:dyDescent="0.25">
      <c r="A209" s="19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044, 19270727, 1,    0, 00</v>
      </c>
    </row>
    <row r="210" spans="1:1" x14ac:dyDescent="0.25">
      <c r="A210" s="19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044, 19270728, 1,    0, 00</v>
      </c>
    </row>
    <row r="211" spans="1:1" x14ac:dyDescent="0.25">
      <c r="A211" s="19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044, 19270729, 1,    0, 00</v>
      </c>
    </row>
    <row r="212" spans="1:1" x14ac:dyDescent="0.25">
      <c r="A212" s="19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044, 19270730, 1,    0, 00</v>
      </c>
    </row>
    <row r="213" spans="1:1" x14ac:dyDescent="0.25">
      <c r="A213" s="19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044, 19270731, 1,    0, 00</v>
      </c>
    </row>
    <row r="214" spans="1:1" x14ac:dyDescent="0.25">
      <c r="A214" s="19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044, 19270801, 1,    0, 00</v>
      </c>
    </row>
    <row r="215" spans="1:1" x14ac:dyDescent="0.25">
      <c r="A215" s="19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044, 19270802, 1,    0, 00</v>
      </c>
    </row>
    <row r="216" spans="1:1" x14ac:dyDescent="0.25">
      <c r="A216" s="19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044, 19270803, 1,   25, 00</v>
      </c>
    </row>
    <row r="217" spans="1:1" x14ac:dyDescent="0.25">
      <c r="A217" s="19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044, 19270804, 1,    0, 00</v>
      </c>
    </row>
    <row r="218" spans="1:1" x14ac:dyDescent="0.25">
      <c r="A218" s="19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044, 19270805, 1,    0, 00</v>
      </c>
    </row>
    <row r="219" spans="1:1" x14ac:dyDescent="0.25">
      <c r="A219" s="19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044, 19270806, 1,    0, 00</v>
      </c>
    </row>
    <row r="220" spans="1:1" x14ac:dyDescent="0.25">
      <c r="A220" s="19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044, 19270807, 1,    0, 00</v>
      </c>
    </row>
    <row r="221" spans="1:1" x14ac:dyDescent="0.25">
      <c r="A221" s="19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044, 19270808, 1,    0, 00</v>
      </c>
    </row>
    <row r="222" spans="1:1" x14ac:dyDescent="0.25">
      <c r="A222" s="19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044, 19270809, 1,    0, 00</v>
      </c>
    </row>
    <row r="223" spans="1:1" x14ac:dyDescent="0.25">
      <c r="A223" s="19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044, 19270810, 1,    0, 00</v>
      </c>
    </row>
    <row r="224" spans="1:1" x14ac:dyDescent="0.25">
      <c r="A224" s="19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044, 19270811, 1,    0, 00</v>
      </c>
    </row>
    <row r="225" spans="1:1" x14ac:dyDescent="0.25">
      <c r="A225" s="19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044, 19270812, 1,    0, 00</v>
      </c>
    </row>
    <row r="226" spans="1:1" x14ac:dyDescent="0.25">
      <c r="A226" s="19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044, 19270813, 1,    0, 00</v>
      </c>
    </row>
    <row r="227" spans="1:1" x14ac:dyDescent="0.25">
      <c r="A227" s="19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044, 19270814, 1,    0, 00</v>
      </c>
    </row>
    <row r="228" spans="1:1" x14ac:dyDescent="0.25">
      <c r="A228" s="19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044, 19270815, 1,    0, 00</v>
      </c>
    </row>
    <row r="229" spans="1:1" x14ac:dyDescent="0.25">
      <c r="A229" s="19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044, 19270816, 1,    0, 00</v>
      </c>
    </row>
    <row r="230" spans="1:1" x14ac:dyDescent="0.25">
      <c r="A230" s="19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044, 19270817, 1,    0, 00</v>
      </c>
    </row>
    <row r="231" spans="1:1" x14ac:dyDescent="0.25">
      <c r="A231" s="19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044, 19270818, 1,    0, 00</v>
      </c>
    </row>
    <row r="232" spans="1:1" x14ac:dyDescent="0.25">
      <c r="A232" s="19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044, 19270819, 1,    0, 00</v>
      </c>
    </row>
    <row r="233" spans="1:1" x14ac:dyDescent="0.25">
      <c r="A233" s="19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044, 19270820, 1,    0, 00</v>
      </c>
    </row>
    <row r="234" spans="1:1" x14ac:dyDescent="0.25">
      <c r="A234" s="19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044, 19270821, 1,    0, 00</v>
      </c>
    </row>
    <row r="235" spans="1:1" x14ac:dyDescent="0.25">
      <c r="A235" s="19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044, 19270822, 1,    0, 00</v>
      </c>
    </row>
    <row r="236" spans="1:1" x14ac:dyDescent="0.25">
      <c r="A236" s="19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044, 19270823, 1,    0, 00</v>
      </c>
    </row>
    <row r="237" spans="1:1" x14ac:dyDescent="0.25">
      <c r="A237" s="19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044, 19270824, 1,    0, 00</v>
      </c>
    </row>
    <row r="238" spans="1:1" x14ac:dyDescent="0.25">
      <c r="A238" s="19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044, 19270825, 1,    0, 00</v>
      </c>
    </row>
    <row r="239" spans="1:1" x14ac:dyDescent="0.25">
      <c r="A239" s="19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044, 19270826, 1,    0, 00</v>
      </c>
    </row>
    <row r="240" spans="1:1" x14ac:dyDescent="0.25">
      <c r="A240" s="19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044, 19270827, 1,    0, 00</v>
      </c>
    </row>
    <row r="241" spans="1:1" x14ac:dyDescent="0.25">
      <c r="A241" s="19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044, 19270828, 1,   52, 00</v>
      </c>
    </row>
    <row r="242" spans="1:1" x14ac:dyDescent="0.25">
      <c r="A242" s="19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044, 19270829, 1,    0, 00</v>
      </c>
    </row>
    <row r="243" spans="1:1" x14ac:dyDescent="0.25">
      <c r="A243" s="19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044, 19270830, 1,    0, 00</v>
      </c>
    </row>
    <row r="244" spans="1:1" x14ac:dyDescent="0.25">
      <c r="A244" s="19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044, 19270831, 1,    0, 00</v>
      </c>
    </row>
    <row r="245" spans="1:1" x14ac:dyDescent="0.25">
      <c r="A245" s="19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044, 19270901, 1,    0, 00</v>
      </c>
    </row>
    <row r="246" spans="1:1" x14ac:dyDescent="0.25">
      <c r="A246" s="19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044, 19270902, 1,    0, 00</v>
      </c>
    </row>
    <row r="247" spans="1:1" x14ac:dyDescent="0.25">
      <c r="A247" s="19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044, 19270903, 1,    0, 00</v>
      </c>
    </row>
    <row r="248" spans="1:1" x14ac:dyDescent="0.25">
      <c r="A248" s="19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044, 19270904, 1,   30, 00</v>
      </c>
    </row>
    <row r="249" spans="1:1" x14ac:dyDescent="0.25">
      <c r="A249" s="19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044, 19270905, 1,    0, 00</v>
      </c>
    </row>
    <row r="250" spans="1:1" x14ac:dyDescent="0.25">
      <c r="A250" s="19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044, 19270906, 1,    0, 00</v>
      </c>
    </row>
    <row r="251" spans="1:1" x14ac:dyDescent="0.25">
      <c r="A251" s="19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044, 19270907, 1,    0, 00</v>
      </c>
    </row>
    <row r="252" spans="1:1" x14ac:dyDescent="0.25">
      <c r="A252" s="19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044, 19270908, 1,    0, 00</v>
      </c>
    </row>
    <row r="253" spans="1:1" x14ac:dyDescent="0.25">
      <c r="A253" s="19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044, 19270909, 1,    0, 00</v>
      </c>
    </row>
    <row r="254" spans="1:1" x14ac:dyDescent="0.25">
      <c r="A254" s="19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044, 19270910, 1,    0, 00</v>
      </c>
    </row>
    <row r="255" spans="1:1" x14ac:dyDescent="0.25">
      <c r="A255" s="19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044, 19270911, 1,    0, 00</v>
      </c>
    </row>
    <row r="256" spans="1:1" x14ac:dyDescent="0.25">
      <c r="A256" s="19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044, 19270912, 1,    0, 00</v>
      </c>
    </row>
    <row r="257" spans="1:1" x14ac:dyDescent="0.25">
      <c r="A257" s="19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044, 19270913, 1,    0, 00</v>
      </c>
    </row>
    <row r="258" spans="1:1" x14ac:dyDescent="0.25">
      <c r="A258" s="19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044, 19270914, 1,   43, 00</v>
      </c>
    </row>
    <row r="259" spans="1:1" x14ac:dyDescent="0.25">
      <c r="A259" s="19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044, 19270915, 1,    0, 00</v>
      </c>
    </row>
    <row r="260" spans="1:1" x14ac:dyDescent="0.25">
      <c r="A260" s="19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044, 19270916, 1,    0, 00</v>
      </c>
    </row>
    <row r="261" spans="1:1" x14ac:dyDescent="0.25">
      <c r="A261" s="19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044, 19270917, 1,    0, 00</v>
      </c>
    </row>
    <row r="262" spans="1:1" x14ac:dyDescent="0.25">
      <c r="A262" s="19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044, 19270918, 1,    0, 00</v>
      </c>
    </row>
    <row r="263" spans="1:1" x14ac:dyDescent="0.25">
      <c r="A263" s="19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044, 19270919, 1,    0, 00</v>
      </c>
    </row>
    <row r="264" spans="1:1" x14ac:dyDescent="0.25">
      <c r="A264" s="19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044, 19270920, 1,   85, 00</v>
      </c>
    </row>
    <row r="265" spans="1:1" x14ac:dyDescent="0.25">
      <c r="A265" s="19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044, 19270921, 1,    0, 00</v>
      </c>
    </row>
    <row r="266" spans="1:1" x14ac:dyDescent="0.25">
      <c r="A266" s="19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044, 19270922, 1,    0, 00</v>
      </c>
    </row>
    <row r="267" spans="1:1" x14ac:dyDescent="0.25">
      <c r="A267" s="19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044, 19270923, 1,    0, 00</v>
      </c>
    </row>
    <row r="268" spans="1:1" x14ac:dyDescent="0.25">
      <c r="A268" s="19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044, 19270924, 1,    0, 00</v>
      </c>
    </row>
    <row r="269" spans="1:1" x14ac:dyDescent="0.25">
      <c r="A269" s="19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044, 19270925, 1,    0, 00</v>
      </c>
    </row>
    <row r="270" spans="1:1" x14ac:dyDescent="0.25">
      <c r="A270" s="19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044, 19270926, 1,   56, 00</v>
      </c>
    </row>
    <row r="271" spans="1:1" x14ac:dyDescent="0.25">
      <c r="A271" s="19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044, 19270927, 1,   16, 00</v>
      </c>
    </row>
    <row r="272" spans="1:1" x14ac:dyDescent="0.25">
      <c r="A272" s="19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044, 19270928, 1,   34, 00</v>
      </c>
    </row>
    <row r="273" spans="1:1" x14ac:dyDescent="0.25">
      <c r="A273" s="19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044, 19270929, 1,    0, 00</v>
      </c>
    </row>
    <row r="274" spans="1:1" x14ac:dyDescent="0.25">
      <c r="A274" s="19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044, 19270930, 1,    0, 00</v>
      </c>
    </row>
    <row r="275" spans="1:1" x14ac:dyDescent="0.25">
      <c r="A275" s="19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044, 19271001, 1,    0, 00</v>
      </c>
    </row>
    <row r="276" spans="1:1" x14ac:dyDescent="0.25">
      <c r="A276" s="19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044, 19271002, 1,    0, 00</v>
      </c>
    </row>
    <row r="277" spans="1:1" x14ac:dyDescent="0.25">
      <c r="A277" s="19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044, 19271003, 1,    8, 00</v>
      </c>
    </row>
    <row r="278" spans="1:1" x14ac:dyDescent="0.25">
      <c r="A278" s="19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044, 19271004, 1,    0, 00</v>
      </c>
    </row>
    <row r="279" spans="1:1" x14ac:dyDescent="0.25">
      <c r="A279" s="19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044, 19271005, 1,    0, 00</v>
      </c>
    </row>
    <row r="280" spans="1:1" x14ac:dyDescent="0.25">
      <c r="A280" s="19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044, 19271006, 1,    0, 00</v>
      </c>
    </row>
    <row r="281" spans="1:1" x14ac:dyDescent="0.25">
      <c r="A281" s="19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044, 19271007, 1,    0, 00</v>
      </c>
    </row>
    <row r="282" spans="1:1" x14ac:dyDescent="0.25">
      <c r="A282" s="19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044, 19271008, 1,    0, 00</v>
      </c>
    </row>
    <row r="283" spans="1:1" x14ac:dyDescent="0.25">
      <c r="A283" s="19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044, 19271009, 1,    0, 00</v>
      </c>
    </row>
    <row r="284" spans="1:1" x14ac:dyDescent="0.25">
      <c r="A284" s="19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044, 19271010, 1,   10, 00</v>
      </c>
    </row>
    <row r="285" spans="1:1" x14ac:dyDescent="0.25">
      <c r="A285" s="19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044, 19271011, 1,    0, 00</v>
      </c>
    </row>
    <row r="286" spans="1:1" x14ac:dyDescent="0.25">
      <c r="A286" s="19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044, 19271012, 1,    0, 00</v>
      </c>
    </row>
    <row r="287" spans="1:1" x14ac:dyDescent="0.25">
      <c r="A287" s="19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044, 19271013, 1,    0, 00</v>
      </c>
    </row>
    <row r="288" spans="1:1" x14ac:dyDescent="0.25">
      <c r="A288" s="19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044, 19271014, 1,    0, 00</v>
      </c>
    </row>
    <row r="289" spans="1:1" x14ac:dyDescent="0.25">
      <c r="A289" s="19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044, 19271015, 1,    0, 00</v>
      </c>
    </row>
    <row r="290" spans="1:1" x14ac:dyDescent="0.25">
      <c r="A290" s="19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044, 19271016, 1,  543, 00</v>
      </c>
    </row>
    <row r="291" spans="1:1" x14ac:dyDescent="0.25">
      <c r="A291" s="19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044, 19271017, 1,   10, 00</v>
      </c>
    </row>
    <row r="292" spans="1:1" x14ac:dyDescent="0.25">
      <c r="A292" s="19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044, 19271018, 1,    0, 00</v>
      </c>
    </row>
    <row r="293" spans="1:1" x14ac:dyDescent="0.25">
      <c r="A293" s="19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044, 19271019, 1,  330, 00</v>
      </c>
    </row>
    <row r="294" spans="1:1" x14ac:dyDescent="0.25">
      <c r="A294" s="19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044, 19271020, 1,    0, 00</v>
      </c>
    </row>
    <row r="295" spans="1:1" x14ac:dyDescent="0.25">
      <c r="A295" s="19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044, 19271021, 1,    0, 00</v>
      </c>
    </row>
    <row r="296" spans="1:1" x14ac:dyDescent="0.25">
      <c r="A296" s="19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044, 19271022, 1,    0, 00</v>
      </c>
    </row>
    <row r="297" spans="1:1" x14ac:dyDescent="0.25">
      <c r="A297" s="19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044, 19271023, 1,  381, 00</v>
      </c>
    </row>
    <row r="298" spans="1:1" x14ac:dyDescent="0.25">
      <c r="A298" s="19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044, 19271024, 1,    0, 00</v>
      </c>
    </row>
    <row r="299" spans="1:1" x14ac:dyDescent="0.25">
      <c r="A299" s="19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044, 19271025, 1,    0, 00</v>
      </c>
    </row>
    <row r="300" spans="1:1" x14ac:dyDescent="0.25">
      <c r="A300" s="19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044, 19271026, 1,    0, 00</v>
      </c>
    </row>
    <row r="301" spans="1:1" x14ac:dyDescent="0.25">
      <c r="A301" s="19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044, 19271027, 1,    0, 00</v>
      </c>
    </row>
    <row r="302" spans="1:1" x14ac:dyDescent="0.25">
      <c r="A302" s="19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044, 19271028, 1,    0, 00</v>
      </c>
    </row>
    <row r="303" spans="1:1" x14ac:dyDescent="0.25">
      <c r="A303" s="19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044, 19271029, 1,    0, 00</v>
      </c>
    </row>
    <row r="304" spans="1:1" x14ac:dyDescent="0.25">
      <c r="A304" s="19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044, 19271030, 1,    0, 00</v>
      </c>
    </row>
    <row r="305" spans="1:1" x14ac:dyDescent="0.25">
      <c r="A305" s="19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044, 19271031, 1,   50, 00</v>
      </c>
    </row>
    <row r="306" spans="1:1" x14ac:dyDescent="0.25">
      <c r="A306" s="19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044, 19271101, 1,   10, 00</v>
      </c>
    </row>
    <row r="307" spans="1:1" x14ac:dyDescent="0.25">
      <c r="A307" s="19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044, 19271102, 1,    0, 00</v>
      </c>
    </row>
    <row r="308" spans="1:1" x14ac:dyDescent="0.25">
      <c r="A308" s="19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044, 19271103, 1,    0, 00</v>
      </c>
    </row>
    <row r="309" spans="1:1" x14ac:dyDescent="0.25">
      <c r="A309" s="19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044, 19271104, 1,    0, 00</v>
      </c>
    </row>
    <row r="310" spans="1:1" x14ac:dyDescent="0.25">
      <c r="A310" s="19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044, 19271105, 1,    0, 00</v>
      </c>
    </row>
    <row r="311" spans="1:1" x14ac:dyDescent="0.25">
      <c r="A311" s="19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044, 19271106, 1,    0, 00</v>
      </c>
    </row>
    <row r="312" spans="1:1" x14ac:dyDescent="0.25">
      <c r="A312" s="19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044, 19271107, 1,   26, 00</v>
      </c>
    </row>
    <row r="313" spans="1:1" x14ac:dyDescent="0.25">
      <c r="A313" s="19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044, 19271108, 1,   22, 00</v>
      </c>
    </row>
    <row r="314" spans="1:1" x14ac:dyDescent="0.25">
      <c r="A314" s="19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044, 19271109, 1,    0, 00</v>
      </c>
    </row>
    <row r="315" spans="1:1" x14ac:dyDescent="0.25">
      <c r="A315" s="19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044, 19271110, 1,    0, 00</v>
      </c>
    </row>
    <row r="316" spans="1:1" x14ac:dyDescent="0.25">
      <c r="A316" s="19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044, 19271111, 1,    0, 00</v>
      </c>
    </row>
    <row r="317" spans="1:1" x14ac:dyDescent="0.25">
      <c r="A317" s="19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044, 19271112, 1,    0, 00</v>
      </c>
    </row>
    <row r="318" spans="1:1" x14ac:dyDescent="0.25">
      <c r="A318" s="19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044, 19271113, 1,  100, 00</v>
      </c>
    </row>
    <row r="319" spans="1:1" x14ac:dyDescent="0.25">
      <c r="A319" s="19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044, 19271114, 1,  210, 00</v>
      </c>
    </row>
    <row r="320" spans="1:1" x14ac:dyDescent="0.25">
      <c r="A320" s="19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044, 19271115, 1,    0, 00</v>
      </c>
    </row>
    <row r="321" spans="1:1" x14ac:dyDescent="0.25">
      <c r="A321" s="19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044, 19271116, 1,    0, 00</v>
      </c>
    </row>
    <row r="322" spans="1:1" x14ac:dyDescent="0.25">
      <c r="A322" s="19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044, 19271117, 1,    0, 00</v>
      </c>
    </row>
    <row r="323" spans="1:1" x14ac:dyDescent="0.25">
      <c r="A323" s="19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044, 19271118, 1,    0, 00</v>
      </c>
    </row>
    <row r="324" spans="1:1" x14ac:dyDescent="0.25">
      <c r="A324" s="19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044, 19271119, 1,  115, 00</v>
      </c>
    </row>
    <row r="325" spans="1:1" x14ac:dyDescent="0.25">
      <c r="A325" s="19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044, 19271120, 1,  191, 00</v>
      </c>
    </row>
    <row r="326" spans="1:1" x14ac:dyDescent="0.25">
      <c r="A326" s="19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044, 19271121, 1,   72, 00</v>
      </c>
    </row>
    <row r="327" spans="1:1" x14ac:dyDescent="0.25">
      <c r="A327" s="19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044, 19271122, 1,  283, 00</v>
      </c>
    </row>
    <row r="328" spans="1:1" x14ac:dyDescent="0.25">
      <c r="A328" s="19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044, 19271123, 1, 1000, 00</v>
      </c>
    </row>
    <row r="329" spans="1:1" x14ac:dyDescent="0.25">
      <c r="A329" s="19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044, 19271124, 1,    0, 00</v>
      </c>
    </row>
    <row r="330" spans="1:1" x14ac:dyDescent="0.25">
      <c r="A330" s="19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044, 19271125, 1,    0, 00</v>
      </c>
    </row>
    <row r="331" spans="1:1" x14ac:dyDescent="0.25">
      <c r="A331" s="19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044, 19271126, 1,   32, 00</v>
      </c>
    </row>
    <row r="332" spans="1:1" x14ac:dyDescent="0.25">
      <c r="A332" s="19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044, 19271127, 1,    0, 00</v>
      </c>
    </row>
    <row r="333" spans="1:1" x14ac:dyDescent="0.25">
      <c r="A333" s="19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044, 19271128, 1,  103, 00</v>
      </c>
    </row>
    <row r="334" spans="1:1" x14ac:dyDescent="0.25">
      <c r="A334" s="19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044, 19271129, 1,   85, 00</v>
      </c>
    </row>
    <row r="335" spans="1:1" x14ac:dyDescent="0.25">
      <c r="A335" s="19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044, 19271130, 1,    0, 00</v>
      </c>
    </row>
    <row r="336" spans="1:1" x14ac:dyDescent="0.25">
      <c r="A336" s="19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044, 19271201, 1,  136, 00</v>
      </c>
    </row>
    <row r="337" spans="1:1" x14ac:dyDescent="0.25">
      <c r="A337" s="19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044, 19271202, 1,    0, 00</v>
      </c>
    </row>
    <row r="338" spans="1:1" x14ac:dyDescent="0.25">
      <c r="A338" s="19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044, 19271203, 1,   86, 00</v>
      </c>
    </row>
    <row r="339" spans="1:1" x14ac:dyDescent="0.25">
      <c r="A339" s="19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044, 19271204, 1,    0, 00</v>
      </c>
    </row>
    <row r="340" spans="1:1" x14ac:dyDescent="0.25">
      <c r="A340" s="19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044, 19271205, 1,    0, 00</v>
      </c>
    </row>
    <row r="341" spans="1:1" x14ac:dyDescent="0.25">
      <c r="A341" s="19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044, 19271206, 1,    0, 00</v>
      </c>
    </row>
    <row r="342" spans="1:1" x14ac:dyDescent="0.25">
      <c r="A342" s="19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044, 19271207, 1,  941, 00</v>
      </c>
    </row>
    <row r="343" spans="1:1" x14ac:dyDescent="0.25">
      <c r="A343" s="19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044, 19271208, 1,   18, 00</v>
      </c>
    </row>
    <row r="344" spans="1:1" x14ac:dyDescent="0.25">
      <c r="A344" s="19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044, 19271209, 1,    0, 00</v>
      </c>
    </row>
    <row r="345" spans="1:1" x14ac:dyDescent="0.25">
      <c r="A345" s="19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044, 19271210, 1,   33, 00</v>
      </c>
    </row>
    <row r="346" spans="1:1" x14ac:dyDescent="0.25">
      <c r="A346" s="19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044, 19271211, 1,    0, 00</v>
      </c>
    </row>
    <row r="347" spans="1:1" x14ac:dyDescent="0.25">
      <c r="A347" s="19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044, 19271212, 1,    0, 00</v>
      </c>
    </row>
    <row r="348" spans="1:1" x14ac:dyDescent="0.25">
      <c r="A348" s="19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044, 19271213, 1,   21, 00</v>
      </c>
    </row>
    <row r="349" spans="1:1" x14ac:dyDescent="0.25">
      <c r="A349" s="19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044, 19271214, 1,    0, 00</v>
      </c>
    </row>
    <row r="350" spans="1:1" x14ac:dyDescent="0.25">
      <c r="A350" s="19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044, 19271215, 1,   64, 00</v>
      </c>
    </row>
    <row r="351" spans="1:1" x14ac:dyDescent="0.25">
      <c r="A351" s="19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044, 19271216, 1,  264, 00</v>
      </c>
    </row>
    <row r="352" spans="1:1" x14ac:dyDescent="0.25">
      <c r="A352" s="19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044, 19271217, 1,   34, 00</v>
      </c>
    </row>
    <row r="353" spans="1:1" x14ac:dyDescent="0.25">
      <c r="A353" s="19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044, 19271218, 1,    0, 00</v>
      </c>
    </row>
    <row r="354" spans="1:1" x14ac:dyDescent="0.25">
      <c r="A354" s="19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044, 19271219, 1,  237, 00</v>
      </c>
    </row>
    <row r="355" spans="1:1" x14ac:dyDescent="0.25">
      <c r="A355" s="19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044, 19271220, 1,    0, 00</v>
      </c>
    </row>
    <row r="356" spans="1:1" x14ac:dyDescent="0.25">
      <c r="A356" s="19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044, 19271221, 1,    0, 00</v>
      </c>
    </row>
    <row r="357" spans="1:1" x14ac:dyDescent="0.25">
      <c r="A357" s="19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044, 19271222, 1,    0, 00</v>
      </c>
    </row>
    <row r="358" spans="1:1" x14ac:dyDescent="0.25">
      <c r="A358" s="19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044, 19271223, 1,    0, 00</v>
      </c>
    </row>
    <row r="359" spans="1:1" x14ac:dyDescent="0.25">
      <c r="A359" s="19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044, 19271224, 1,    0, 00</v>
      </c>
    </row>
    <row r="360" spans="1:1" x14ac:dyDescent="0.25">
      <c r="A360" s="19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044, 19271225, 1,    0, 00</v>
      </c>
    </row>
    <row r="361" spans="1:1" x14ac:dyDescent="0.25">
      <c r="A361" s="19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044, 19271226, 1,   90, 00</v>
      </c>
    </row>
    <row r="362" spans="1:1" x14ac:dyDescent="0.25">
      <c r="A362" s="19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044, 19271227, 1,    0, 00</v>
      </c>
    </row>
    <row r="363" spans="1:1" x14ac:dyDescent="0.25">
      <c r="A363" s="19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044, 19271228, 1,   52, 00</v>
      </c>
    </row>
    <row r="364" spans="1:1" x14ac:dyDescent="0.25">
      <c r="A364" s="19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044, 19271229, 1,   26, 00</v>
      </c>
    </row>
    <row r="365" spans="1:1" x14ac:dyDescent="0.25">
      <c r="A365" s="19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044, 19271230, 1,    0, 00</v>
      </c>
    </row>
    <row r="366" spans="1:1" x14ac:dyDescent="0.25">
      <c r="A366" s="19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044, 19271231, 1,    9, 00</v>
      </c>
    </row>
    <row r="367" spans="1:1" x14ac:dyDescent="0.25">
      <c r="A367" s="19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042, 19270101, 1,    0, 00</v>
      </c>
    </row>
    <row r="368" spans="1:1" x14ac:dyDescent="0.25">
      <c r="A368" s="19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042, 19270102, 1,    0, 00</v>
      </c>
    </row>
    <row r="369" spans="1:1" x14ac:dyDescent="0.25">
      <c r="A369" s="19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042, 19270103, 1,    0, 00</v>
      </c>
    </row>
    <row r="370" spans="1:1" x14ac:dyDescent="0.25">
      <c r="A370" s="19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042, 19270104, 1,    0, 00</v>
      </c>
    </row>
    <row r="371" spans="1:1" x14ac:dyDescent="0.25">
      <c r="A371" s="19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042, 19270105, 1,    9, 00</v>
      </c>
    </row>
    <row r="372" spans="1:1" x14ac:dyDescent="0.25">
      <c r="A372" s="19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042, 19270106, 1,    0, 00</v>
      </c>
    </row>
    <row r="373" spans="1:1" x14ac:dyDescent="0.25">
      <c r="A373" s="19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042, 19270107, 1,   45, 00</v>
      </c>
    </row>
    <row r="374" spans="1:1" x14ac:dyDescent="0.25">
      <c r="A374" s="19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042, 19270108, 1,   46, 00</v>
      </c>
    </row>
    <row r="375" spans="1:1" x14ac:dyDescent="0.25">
      <c r="A375" s="19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042, 19270109, 1,   30, 00</v>
      </c>
    </row>
    <row r="376" spans="1:1" x14ac:dyDescent="0.25">
      <c r="A376" s="19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042, 19270110, 1,    0, 00</v>
      </c>
    </row>
    <row r="377" spans="1:1" x14ac:dyDescent="0.25">
      <c r="A377" s="19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042, 19270111, 1,    0, 00</v>
      </c>
    </row>
    <row r="378" spans="1:1" x14ac:dyDescent="0.25">
      <c r="A378" s="19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042, 19270112, 1,    0, 00</v>
      </c>
    </row>
    <row r="379" spans="1:1" x14ac:dyDescent="0.25">
      <c r="A379" s="19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042, 19270113, 1,  135, 00</v>
      </c>
    </row>
    <row r="380" spans="1:1" x14ac:dyDescent="0.25">
      <c r="A380" s="19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042, 19270114, 1,  162, 00</v>
      </c>
    </row>
    <row r="381" spans="1:1" x14ac:dyDescent="0.25">
      <c r="A381" s="19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042, 19270115, 1,    0, 00</v>
      </c>
    </row>
    <row r="382" spans="1:1" x14ac:dyDescent="0.25">
      <c r="A382" s="19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042, 19270116, 1,   11, 00</v>
      </c>
    </row>
    <row r="383" spans="1:1" x14ac:dyDescent="0.25">
      <c r="A383" s="19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042, 19270117, 1,   15, 00</v>
      </c>
    </row>
    <row r="384" spans="1:1" x14ac:dyDescent="0.25">
      <c r="A384" s="19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042, 19270118, 1,    0, 00</v>
      </c>
    </row>
    <row r="385" spans="1:1" x14ac:dyDescent="0.25">
      <c r="A385" s="19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042, 19270119, 1,   10, 00</v>
      </c>
    </row>
    <row r="386" spans="1:1" x14ac:dyDescent="0.25">
      <c r="A386" s="19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042, 19270120, 1,   18, 00</v>
      </c>
    </row>
    <row r="387" spans="1:1" x14ac:dyDescent="0.25">
      <c r="A387" s="19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042, 19270121, 1,   45, 00</v>
      </c>
    </row>
    <row r="388" spans="1:1" x14ac:dyDescent="0.25">
      <c r="A388" s="19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042, 19270122, 1,   62, 00</v>
      </c>
    </row>
    <row r="389" spans="1:1" x14ac:dyDescent="0.25">
      <c r="A389" s="19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042, 19270123, 1,    8, 00</v>
      </c>
    </row>
    <row r="390" spans="1:1" x14ac:dyDescent="0.25">
      <c r="A390" s="19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042, 19270124, 1,   70, 00</v>
      </c>
    </row>
    <row r="391" spans="1:1" x14ac:dyDescent="0.25">
      <c r="A391" s="19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042, 19270125, 1,   34, 00</v>
      </c>
    </row>
    <row r="392" spans="1:1" x14ac:dyDescent="0.25">
      <c r="A392" s="19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042, 19270126, 1,    0, 00</v>
      </c>
    </row>
    <row r="393" spans="1:1" x14ac:dyDescent="0.25">
      <c r="A393" s="19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042, 19270127, 1,    0, 00</v>
      </c>
    </row>
    <row r="394" spans="1:1" x14ac:dyDescent="0.25">
      <c r="A394" s="19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042, 19270128, 1,    0, 00</v>
      </c>
    </row>
    <row r="395" spans="1:1" x14ac:dyDescent="0.25">
      <c r="A395" s="19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042, 19270129, 1,   85, 00</v>
      </c>
    </row>
    <row r="396" spans="1:1" x14ac:dyDescent="0.25">
      <c r="A396" s="19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042, 19270130, 1,    0, 00</v>
      </c>
    </row>
    <row r="397" spans="1:1" x14ac:dyDescent="0.25">
      <c r="A397" s="19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042, 19270131, 1,   33, 00</v>
      </c>
    </row>
    <row r="398" spans="1:1" x14ac:dyDescent="0.25">
      <c r="A398" s="19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042, 19270201, 1,    0, 00</v>
      </c>
    </row>
    <row r="399" spans="1:1" x14ac:dyDescent="0.25">
      <c r="A399" s="19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042, 19270202, 1,   26, 00</v>
      </c>
    </row>
    <row r="400" spans="1:1" x14ac:dyDescent="0.25">
      <c r="A400" s="19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042, 19270203, 1,    0, 00</v>
      </c>
    </row>
    <row r="401" spans="1:1" x14ac:dyDescent="0.25">
      <c r="A401" s="19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042, 19270204, 1,    0, 00</v>
      </c>
    </row>
    <row r="402" spans="1:1" x14ac:dyDescent="0.25">
      <c r="A402" s="19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042, 19270205, 1,    0, 00</v>
      </c>
    </row>
    <row r="403" spans="1:1" x14ac:dyDescent="0.25">
      <c r="A403" s="19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042, 19270206, 1,   20, 00</v>
      </c>
    </row>
    <row r="404" spans="1:1" x14ac:dyDescent="0.25">
      <c r="A404" s="19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042, 19270207, 1,    0, 00</v>
      </c>
    </row>
    <row r="405" spans="1:1" x14ac:dyDescent="0.25">
      <c r="A405" s="19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042, 19270208, 1,   18, 00</v>
      </c>
    </row>
    <row r="406" spans="1:1" x14ac:dyDescent="0.25">
      <c r="A406" s="19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042, 19270209, 1,   22, 00</v>
      </c>
    </row>
    <row r="407" spans="1:1" x14ac:dyDescent="0.25">
      <c r="A407" s="19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042, 19270210, 1,   63, 00</v>
      </c>
    </row>
    <row r="408" spans="1:1" x14ac:dyDescent="0.25">
      <c r="A408" s="19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042, 19270211, 1,    0, 00</v>
      </c>
    </row>
    <row r="409" spans="1:1" x14ac:dyDescent="0.25">
      <c r="A409" s="19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042, 19270212, 1,   86, 00</v>
      </c>
    </row>
    <row r="410" spans="1:1" x14ac:dyDescent="0.25">
      <c r="A410" s="19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042, 19270213, 1,    8, 00</v>
      </c>
    </row>
    <row r="411" spans="1:1" x14ac:dyDescent="0.25">
      <c r="A411" s="19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042, 19270214, 1,   55, 00</v>
      </c>
    </row>
    <row r="412" spans="1:1" x14ac:dyDescent="0.25">
      <c r="A412" s="19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042, 19270215, 1,   10, 00</v>
      </c>
    </row>
    <row r="413" spans="1:1" x14ac:dyDescent="0.25">
      <c r="A413" s="19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042, 19270216, 1,    0, 00</v>
      </c>
    </row>
    <row r="414" spans="1:1" x14ac:dyDescent="0.25">
      <c r="A414" s="19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042, 19270217, 1,    0, 00</v>
      </c>
    </row>
    <row r="415" spans="1:1" x14ac:dyDescent="0.25">
      <c r="A415" s="19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042, 19270218, 1,    7, 00</v>
      </c>
    </row>
    <row r="416" spans="1:1" x14ac:dyDescent="0.25">
      <c r="A416" s="19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042, 19270219, 1,    0, 00</v>
      </c>
    </row>
    <row r="417" spans="1:1" x14ac:dyDescent="0.25">
      <c r="A417" s="19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042, 19270220, 1,    0, 00</v>
      </c>
    </row>
    <row r="418" spans="1:1" x14ac:dyDescent="0.25">
      <c r="A418" s="19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042, 19270221, 1,    1, 00</v>
      </c>
    </row>
    <row r="419" spans="1:1" x14ac:dyDescent="0.25">
      <c r="A419" s="19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042, 19270222, 1,    0, 00</v>
      </c>
    </row>
    <row r="420" spans="1:1" x14ac:dyDescent="0.25">
      <c r="A420" s="19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042, 19270223, 1,    0, 00</v>
      </c>
    </row>
    <row r="421" spans="1:1" x14ac:dyDescent="0.25">
      <c r="A421" s="19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042, 19270224, 1,   22, 00</v>
      </c>
    </row>
    <row r="422" spans="1:1" x14ac:dyDescent="0.25">
      <c r="A422" s="19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042, 19270225, 1,    0, 00</v>
      </c>
    </row>
    <row r="423" spans="1:1" x14ac:dyDescent="0.25">
      <c r="A423" s="19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042, 19270226, 1,    0, 00</v>
      </c>
    </row>
    <row r="424" spans="1:1" x14ac:dyDescent="0.25">
      <c r="A424" s="19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042, 19270227, 1,    0, 00</v>
      </c>
    </row>
    <row r="425" spans="1:1" x14ac:dyDescent="0.25">
      <c r="A425" s="19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042, 19270228, 1,    6, 00</v>
      </c>
    </row>
    <row r="426" spans="1:1" x14ac:dyDescent="0.25">
      <c r="A426" s="19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042, 19270301, 1,    0, 00</v>
      </c>
    </row>
    <row r="427" spans="1:1" x14ac:dyDescent="0.25">
      <c r="A427" s="19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042, 19270302, 1,    0, 00</v>
      </c>
    </row>
    <row r="428" spans="1:1" x14ac:dyDescent="0.25">
      <c r="A428" s="19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042, 19270303, 1,   15, 00</v>
      </c>
    </row>
    <row r="429" spans="1:1" x14ac:dyDescent="0.25">
      <c r="A429" s="19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042, 19270304, 1,    0, 00</v>
      </c>
    </row>
    <row r="430" spans="1:1" x14ac:dyDescent="0.25">
      <c r="A430" s="19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042, 19270305, 1,    0, 00</v>
      </c>
    </row>
    <row r="431" spans="1:1" x14ac:dyDescent="0.25">
      <c r="A431" s="19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042, 19270306, 1,   21, 00</v>
      </c>
    </row>
    <row r="432" spans="1:1" x14ac:dyDescent="0.25">
      <c r="A432" s="19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042, 19270307, 1,    0, 00</v>
      </c>
    </row>
    <row r="433" spans="1:1" x14ac:dyDescent="0.25">
      <c r="A433" s="19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042, 19270308, 1,   25, 00</v>
      </c>
    </row>
    <row r="434" spans="1:1" x14ac:dyDescent="0.25">
      <c r="A434" s="19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042, 19270309, 1,   25, 00</v>
      </c>
    </row>
    <row r="435" spans="1:1" x14ac:dyDescent="0.25">
      <c r="A435" s="19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042, 19270310, 1,    1, 00</v>
      </c>
    </row>
    <row r="436" spans="1:1" x14ac:dyDescent="0.25">
      <c r="A436" s="19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042, 19270311, 1,    0, 00</v>
      </c>
    </row>
    <row r="437" spans="1:1" x14ac:dyDescent="0.25">
      <c r="A437" s="19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042, 19270312, 1,   19, 00</v>
      </c>
    </row>
    <row r="438" spans="1:1" x14ac:dyDescent="0.25">
      <c r="A438" s="19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042, 19270313, 1,    0, 00</v>
      </c>
    </row>
    <row r="439" spans="1:1" x14ac:dyDescent="0.25">
      <c r="A439" s="19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042, 19270314, 1,    0, 00</v>
      </c>
    </row>
    <row r="440" spans="1:1" x14ac:dyDescent="0.25">
      <c r="A440" s="19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042, 19270315, 1,    0, 00</v>
      </c>
    </row>
    <row r="441" spans="1:1" x14ac:dyDescent="0.25">
      <c r="A441" s="19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042, 19270316, 1,    0, 00</v>
      </c>
    </row>
    <row r="442" spans="1:1" x14ac:dyDescent="0.25">
      <c r="A442" s="19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042, 19270317, 1,    0, 00</v>
      </c>
    </row>
    <row r="443" spans="1:1" x14ac:dyDescent="0.25">
      <c r="A443" s="19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042, 19270318, 1,    0, 00</v>
      </c>
    </row>
    <row r="444" spans="1:1" x14ac:dyDescent="0.25">
      <c r="A444" s="19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042, 19270319, 1,    0, 00</v>
      </c>
    </row>
    <row r="445" spans="1:1" x14ac:dyDescent="0.25">
      <c r="A445" s="19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042, 19270320, 1,    0, 00</v>
      </c>
    </row>
    <row r="446" spans="1:1" x14ac:dyDescent="0.25">
      <c r="A446" s="19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042, 19270321, 1,    0, 00</v>
      </c>
    </row>
    <row r="447" spans="1:1" x14ac:dyDescent="0.25">
      <c r="A447" s="19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042, 19270322, 1,    0, 00</v>
      </c>
    </row>
    <row r="448" spans="1:1" x14ac:dyDescent="0.25">
      <c r="A448" s="19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042, 19270323, 1,    0, 00</v>
      </c>
    </row>
    <row r="449" spans="1:1" x14ac:dyDescent="0.25">
      <c r="A449" s="19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042, 19270324, 1,    0, 00</v>
      </c>
    </row>
    <row r="450" spans="1:1" x14ac:dyDescent="0.25">
      <c r="A450" s="19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042, 19270325, 1,    0, 00</v>
      </c>
    </row>
    <row r="451" spans="1:1" x14ac:dyDescent="0.25">
      <c r="A451" s="19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042, 19270326, 1,    0, 00</v>
      </c>
    </row>
    <row r="452" spans="1:1" x14ac:dyDescent="0.25">
      <c r="A452" s="19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042, 19270327, 1,    0, 00</v>
      </c>
    </row>
    <row r="453" spans="1:1" x14ac:dyDescent="0.25">
      <c r="A453" s="19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042, 19270328, 1,    0, 00</v>
      </c>
    </row>
    <row r="454" spans="1:1" x14ac:dyDescent="0.25">
      <c r="A454" s="19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042, 19270329, 1,    0, 00</v>
      </c>
    </row>
    <row r="455" spans="1:1" x14ac:dyDescent="0.25">
      <c r="A455" s="19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042, 19270330, 1,    0, 00</v>
      </c>
    </row>
    <row r="456" spans="1:1" x14ac:dyDescent="0.25">
      <c r="A456" s="19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042, 19270331, 1,    0, 00</v>
      </c>
    </row>
    <row r="457" spans="1:1" x14ac:dyDescent="0.25">
      <c r="A457" s="19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042, 19270401, 1,   39, 00</v>
      </c>
    </row>
    <row r="458" spans="1:1" x14ac:dyDescent="0.25">
      <c r="A458" s="19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042, 19270402, 1,   61, 00</v>
      </c>
    </row>
    <row r="459" spans="1:1" x14ac:dyDescent="0.25">
      <c r="A459" s="19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042, 19270403, 1,   16, 00</v>
      </c>
    </row>
    <row r="460" spans="1:1" x14ac:dyDescent="0.25">
      <c r="A460" s="19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042, 19270404, 1,    0, 00</v>
      </c>
    </row>
    <row r="461" spans="1:1" x14ac:dyDescent="0.25">
      <c r="A461" s="19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042, 19270405, 1,    0, 00</v>
      </c>
    </row>
    <row r="462" spans="1:1" x14ac:dyDescent="0.25">
      <c r="A462" s="19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042, 19270406, 1,    1, 00</v>
      </c>
    </row>
    <row r="463" spans="1:1" x14ac:dyDescent="0.25">
      <c r="A463" s="19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042, 19270407, 1,   36, 00</v>
      </c>
    </row>
    <row r="464" spans="1:1" x14ac:dyDescent="0.25">
      <c r="A464" s="19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042, 19270408, 1,    0, 00</v>
      </c>
    </row>
    <row r="465" spans="1:1" x14ac:dyDescent="0.25">
      <c r="A465" s="19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042, 19270409, 1,    0, 00</v>
      </c>
    </row>
    <row r="466" spans="1:1" x14ac:dyDescent="0.25">
      <c r="A466" s="19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042, 19270410, 1,   14, 00</v>
      </c>
    </row>
    <row r="467" spans="1:1" x14ac:dyDescent="0.25">
      <c r="A467" s="19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042, 19270411, 1,    0, 00</v>
      </c>
    </row>
    <row r="468" spans="1:1" x14ac:dyDescent="0.25">
      <c r="A468" s="19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042, 19270412, 1,  231, 00</v>
      </c>
    </row>
    <row r="469" spans="1:1" x14ac:dyDescent="0.25">
      <c r="A469" s="19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042, 19270413, 1,   10, 00</v>
      </c>
    </row>
    <row r="470" spans="1:1" x14ac:dyDescent="0.25">
      <c r="A470" s="19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042, 19270414, 1,    0, 00</v>
      </c>
    </row>
    <row r="471" spans="1:1" x14ac:dyDescent="0.25">
      <c r="A471" s="19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042, 19270415, 1,    0, 00</v>
      </c>
    </row>
    <row r="472" spans="1:1" x14ac:dyDescent="0.25">
      <c r="A472" s="19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042, 19270416, 1,    3, 00</v>
      </c>
    </row>
    <row r="473" spans="1:1" x14ac:dyDescent="0.25">
      <c r="A473" s="19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042, 19270417, 1,    0, 00</v>
      </c>
    </row>
    <row r="474" spans="1:1" x14ac:dyDescent="0.25">
      <c r="A474" s="19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042, 19270418, 1,    0, 00</v>
      </c>
    </row>
    <row r="475" spans="1:1" x14ac:dyDescent="0.25">
      <c r="A475" s="19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042, 19270419, 1,   92, 00</v>
      </c>
    </row>
    <row r="476" spans="1:1" x14ac:dyDescent="0.25">
      <c r="A476" s="19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042, 19270420, 1,    0, 00</v>
      </c>
    </row>
    <row r="477" spans="1:1" x14ac:dyDescent="0.25">
      <c r="A477" s="19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042, 19270421, 1,    0, 00</v>
      </c>
    </row>
    <row r="478" spans="1:1" x14ac:dyDescent="0.25">
      <c r="A478" s="19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042, 19270422, 1,    0, 00</v>
      </c>
    </row>
    <row r="479" spans="1:1" x14ac:dyDescent="0.25">
      <c r="A479" s="19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042, 19270423, 1,   57, 00</v>
      </c>
    </row>
    <row r="480" spans="1:1" x14ac:dyDescent="0.25">
      <c r="A480" s="19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042, 19270424, 1,  136, 00</v>
      </c>
    </row>
    <row r="481" spans="1:1" x14ac:dyDescent="0.25">
      <c r="A481" s="19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042, 19270425, 1,    0, 00</v>
      </c>
    </row>
    <row r="482" spans="1:1" x14ac:dyDescent="0.25">
      <c r="A482" s="19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042, 19270426, 1,   32, 00</v>
      </c>
    </row>
    <row r="483" spans="1:1" x14ac:dyDescent="0.25">
      <c r="A483" s="19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042, 19270427, 1,    0, 00</v>
      </c>
    </row>
    <row r="484" spans="1:1" x14ac:dyDescent="0.25">
      <c r="A484" s="19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042, 19270428, 1,    0, 00</v>
      </c>
    </row>
    <row r="485" spans="1:1" x14ac:dyDescent="0.25">
      <c r="A485" s="19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042, 19270429, 1,    0, 00</v>
      </c>
    </row>
    <row r="486" spans="1:1" x14ac:dyDescent="0.25">
      <c r="A486" s="19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042, 19270430, 1,    0, 00</v>
      </c>
    </row>
    <row r="487" spans="1:1" x14ac:dyDescent="0.25">
      <c r="A487" s="19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042, 19270501, 1,    0, 00</v>
      </c>
    </row>
    <row r="488" spans="1:1" x14ac:dyDescent="0.25">
      <c r="A488" s="19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042, 19270502, 1,    0, 00</v>
      </c>
    </row>
    <row r="489" spans="1:1" x14ac:dyDescent="0.25">
      <c r="A489" s="19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042, 19270503, 1,    0, 00</v>
      </c>
    </row>
    <row r="490" spans="1:1" x14ac:dyDescent="0.25">
      <c r="A490" s="19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042, 19270504, 1,    0, 00</v>
      </c>
    </row>
    <row r="491" spans="1:1" x14ac:dyDescent="0.25">
      <c r="A491" s="19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042, 19270505, 1,    0, 00</v>
      </c>
    </row>
    <row r="492" spans="1:1" x14ac:dyDescent="0.25">
      <c r="A492" s="19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042, 19270506, 1,    0, 00</v>
      </c>
    </row>
    <row r="493" spans="1:1" x14ac:dyDescent="0.25">
      <c r="A493" s="19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042, 19270507, 1,    0, 00</v>
      </c>
    </row>
    <row r="494" spans="1:1" x14ac:dyDescent="0.25">
      <c r="A494" s="19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042, 19270508, 1,    0, 00</v>
      </c>
    </row>
    <row r="495" spans="1:1" x14ac:dyDescent="0.25">
      <c r="A495" s="19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042, 19270509, 1,    0, 00</v>
      </c>
    </row>
    <row r="496" spans="1:1" x14ac:dyDescent="0.25">
      <c r="A496" s="19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042, 19270510, 1,    0, 00</v>
      </c>
    </row>
    <row r="497" spans="1:1" x14ac:dyDescent="0.25">
      <c r="A497" s="19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042, 19270511, 1,    0, 00</v>
      </c>
    </row>
    <row r="498" spans="1:1" x14ac:dyDescent="0.25">
      <c r="A498" s="19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042, 19270512, 1,    0, 00</v>
      </c>
    </row>
    <row r="499" spans="1:1" x14ac:dyDescent="0.25">
      <c r="A499" s="19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042, 19270513, 1,    0, 00</v>
      </c>
    </row>
    <row r="500" spans="1:1" x14ac:dyDescent="0.25">
      <c r="A500" s="19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042, 19270514, 1,    0, 00</v>
      </c>
    </row>
    <row r="501" spans="1:1" x14ac:dyDescent="0.25">
      <c r="A501" s="19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042, 19270515, 1,    0, 00</v>
      </c>
    </row>
    <row r="502" spans="1:1" x14ac:dyDescent="0.25">
      <c r="A502" s="19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042, 19270516, 1,    0, 00</v>
      </c>
    </row>
    <row r="503" spans="1:1" x14ac:dyDescent="0.25">
      <c r="A503" s="19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042, 19270517, 1,    0, 00</v>
      </c>
    </row>
    <row r="504" spans="1:1" x14ac:dyDescent="0.25">
      <c r="A504" s="19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042, 19270518, 1,    0, 00</v>
      </c>
    </row>
    <row r="505" spans="1:1" x14ac:dyDescent="0.25">
      <c r="A505" s="19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042, 19270519, 1,   19, 00</v>
      </c>
    </row>
    <row r="506" spans="1:1" x14ac:dyDescent="0.25">
      <c r="A506" s="19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042, 19270520, 1,    0, 00</v>
      </c>
    </row>
    <row r="507" spans="1:1" x14ac:dyDescent="0.25">
      <c r="A507" s="19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042, 19270521, 1,    0, 00</v>
      </c>
    </row>
    <row r="508" spans="1:1" x14ac:dyDescent="0.25">
      <c r="A508" s="19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042, 19270522, 1,    0, 00</v>
      </c>
    </row>
    <row r="509" spans="1:1" x14ac:dyDescent="0.25">
      <c r="A509" s="19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042, 19270523, 1,   20, 00</v>
      </c>
    </row>
    <row r="510" spans="1:1" x14ac:dyDescent="0.25">
      <c r="A510" s="19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042, 19270524, 1,    0, 00</v>
      </c>
    </row>
    <row r="511" spans="1:1" x14ac:dyDescent="0.25">
      <c r="A511" s="19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042, 19270525, 1,    0, 00</v>
      </c>
    </row>
    <row r="512" spans="1:1" x14ac:dyDescent="0.25">
      <c r="A512" s="19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042, 19270526, 1,    0, 00</v>
      </c>
    </row>
    <row r="513" spans="1:1" x14ac:dyDescent="0.25">
      <c r="A513" s="19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042, 19270527, 1,    0, 00</v>
      </c>
    </row>
    <row r="514" spans="1:1" x14ac:dyDescent="0.25">
      <c r="A514" s="19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042, 19270528, 1,    0, 00</v>
      </c>
    </row>
    <row r="515" spans="1:1" x14ac:dyDescent="0.25">
      <c r="A515" s="19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042, 19270529, 1,    0, 00</v>
      </c>
    </row>
    <row r="516" spans="1:1" x14ac:dyDescent="0.25">
      <c r="A516" s="19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042, 19270530, 1,    0, 00</v>
      </c>
    </row>
    <row r="517" spans="1:1" x14ac:dyDescent="0.25">
      <c r="A517" s="19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042, 19270531, 1,    0, 00</v>
      </c>
    </row>
    <row r="518" spans="1:1" x14ac:dyDescent="0.25">
      <c r="A518" s="19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042, 19270601, 1,    0, 00</v>
      </c>
    </row>
    <row r="519" spans="1:1" x14ac:dyDescent="0.25">
      <c r="A519" s="19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042, 19270602, 1,    0, 00</v>
      </c>
    </row>
    <row r="520" spans="1:1" x14ac:dyDescent="0.25">
      <c r="A520" s="19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042, 19270603, 1,    0, 00</v>
      </c>
    </row>
    <row r="521" spans="1:1" x14ac:dyDescent="0.25">
      <c r="A521" s="19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042, 19270604, 1,    0, 00</v>
      </c>
    </row>
    <row r="522" spans="1:1" x14ac:dyDescent="0.25">
      <c r="A522" s="19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042, 19270605, 1,    0, 00</v>
      </c>
    </row>
    <row r="523" spans="1:1" x14ac:dyDescent="0.25">
      <c r="A523" s="19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042, 19270606, 1,    0, 00</v>
      </c>
    </row>
    <row r="524" spans="1:1" x14ac:dyDescent="0.25">
      <c r="A524" s="19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042, 19270607, 1,    0, 00</v>
      </c>
    </row>
    <row r="525" spans="1:1" x14ac:dyDescent="0.25">
      <c r="A525" s="19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042, 19270608, 1,   58, 00</v>
      </c>
    </row>
    <row r="526" spans="1:1" x14ac:dyDescent="0.25">
      <c r="A526" s="19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042, 19270609, 1,    0, 00</v>
      </c>
    </row>
    <row r="527" spans="1:1" x14ac:dyDescent="0.25">
      <c r="A527" s="19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042, 19270610, 1,    0, 00</v>
      </c>
    </row>
    <row r="528" spans="1:1" x14ac:dyDescent="0.25">
      <c r="A528" s="19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042, 19270611, 1,    0, 00</v>
      </c>
    </row>
    <row r="529" spans="1:1" x14ac:dyDescent="0.25">
      <c r="A529" s="19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042, 19270612, 1,    0, 00</v>
      </c>
    </row>
    <row r="530" spans="1:1" x14ac:dyDescent="0.25">
      <c r="A530" s="19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042, 19270613, 1,    0, 00</v>
      </c>
    </row>
    <row r="531" spans="1:1" x14ac:dyDescent="0.25">
      <c r="A531" s="19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042, 19270614, 1,    0, 00</v>
      </c>
    </row>
    <row r="532" spans="1:1" x14ac:dyDescent="0.25">
      <c r="A532" s="19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042, 19270615, 1,    0, 00</v>
      </c>
    </row>
    <row r="533" spans="1:1" x14ac:dyDescent="0.25">
      <c r="A533" s="19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042, 19270616, 1,   32, 00</v>
      </c>
    </row>
    <row r="534" spans="1:1" x14ac:dyDescent="0.25">
      <c r="A534" s="19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042, 19270617, 1,    0, 00</v>
      </c>
    </row>
    <row r="535" spans="1:1" x14ac:dyDescent="0.25">
      <c r="A535" s="19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042, 19270618, 1,    0, 00</v>
      </c>
    </row>
    <row r="536" spans="1:1" x14ac:dyDescent="0.25">
      <c r="A536" s="19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042, 19270619, 1,    0, 00</v>
      </c>
    </row>
    <row r="537" spans="1:1" x14ac:dyDescent="0.25">
      <c r="A537" s="19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042, 19270620, 1,  181, 00</v>
      </c>
    </row>
    <row r="538" spans="1:1" x14ac:dyDescent="0.25">
      <c r="A538" s="19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042, 19270621, 1,   14, 00</v>
      </c>
    </row>
    <row r="539" spans="1:1" x14ac:dyDescent="0.25">
      <c r="A539" s="19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042, 19270622, 1,    0, 00</v>
      </c>
    </row>
    <row r="540" spans="1:1" x14ac:dyDescent="0.25">
      <c r="A540" s="19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042, 19270623, 1,  170, 00</v>
      </c>
    </row>
    <row r="541" spans="1:1" x14ac:dyDescent="0.25">
      <c r="A541" s="19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042, 19270624, 1,    0, 00</v>
      </c>
    </row>
    <row r="542" spans="1:1" x14ac:dyDescent="0.25">
      <c r="A542" s="19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042, 19270625, 1,    0, 00</v>
      </c>
    </row>
    <row r="543" spans="1:1" x14ac:dyDescent="0.25">
      <c r="A543" s="19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042, 19270626, 1,    0, 00</v>
      </c>
    </row>
    <row r="544" spans="1:1" x14ac:dyDescent="0.25">
      <c r="A544" s="19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042, 19270627, 1,    0, 00</v>
      </c>
    </row>
    <row r="545" spans="1:1" x14ac:dyDescent="0.25">
      <c r="A545" s="19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042, 19270628, 1,    0, 00</v>
      </c>
    </row>
    <row r="546" spans="1:1" x14ac:dyDescent="0.25">
      <c r="A546" s="19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042, 19270629, 1,   22, 00</v>
      </c>
    </row>
    <row r="547" spans="1:1" x14ac:dyDescent="0.25">
      <c r="A547" s="19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042, 19270630, 1,    0, 00</v>
      </c>
    </row>
    <row r="548" spans="1:1" x14ac:dyDescent="0.25">
      <c r="A548" s="19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042, 19270701, 1,    0, 00</v>
      </c>
    </row>
    <row r="549" spans="1:1" x14ac:dyDescent="0.25">
      <c r="A549" s="19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042, 19270702, 1,    0, 00</v>
      </c>
    </row>
    <row r="550" spans="1:1" x14ac:dyDescent="0.25">
      <c r="A550" s="19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042, 19270703, 1,    0, 00</v>
      </c>
    </row>
    <row r="551" spans="1:1" x14ac:dyDescent="0.25">
      <c r="A551" s="19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042, 19270704, 1,    0, 00</v>
      </c>
    </row>
    <row r="552" spans="1:1" x14ac:dyDescent="0.25">
      <c r="A552" s="19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042, 19270705, 1,    0, 00</v>
      </c>
    </row>
    <row r="553" spans="1:1" x14ac:dyDescent="0.25">
      <c r="A553" s="19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042, 19270706, 1,    0, 00</v>
      </c>
    </row>
    <row r="554" spans="1:1" x14ac:dyDescent="0.25">
      <c r="A554" s="19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042, 19270707, 1,  153, 00</v>
      </c>
    </row>
    <row r="555" spans="1:1" x14ac:dyDescent="0.25">
      <c r="A555" s="19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042, 19270708, 1,    9, 00</v>
      </c>
    </row>
    <row r="556" spans="1:1" x14ac:dyDescent="0.25">
      <c r="A556" s="19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042, 19270709, 1,    0, 00</v>
      </c>
    </row>
    <row r="557" spans="1:1" x14ac:dyDescent="0.25">
      <c r="A557" s="19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042, 19270710, 1,    0, 00</v>
      </c>
    </row>
    <row r="558" spans="1:1" x14ac:dyDescent="0.25">
      <c r="A558" s="19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042, 19270711, 1,    0, 00</v>
      </c>
    </row>
    <row r="559" spans="1:1" x14ac:dyDescent="0.25">
      <c r="A559" s="19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042, 19270712, 1,    0, 00</v>
      </c>
    </row>
    <row r="560" spans="1:1" x14ac:dyDescent="0.25">
      <c r="A560" s="19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042, 19270713, 1,    0, 00</v>
      </c>
    </row>
    <row r="561" spans="1:1" x14ac:dyDescent="0.25">
      <c r="A561" s="19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042, 19270714, 1,    0, 00</v>
      </c>
    </row>
    <row r="562" spans="1:1" x14ac:dyDescent="0.25">
      <c r="A562" s="19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042, 19270715, 1,    0, 00</v>
      </c>
    </row>
    <row r="563" spans="1:1" x14ac:dyDescent="0.25">
      <c r="A563" s="19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042, 19270716, 1,    0, 00</v>
      </c>
    </row>
    <row r="564" spans="1:1" x14ac:dyDescent="0.25">
      <c r="A564" s="19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042, 19270717, 1,    0, 00</v>
      </c>
    </row>
    <row r="565" spans="1:1" x14ac:dyDescent="0.25">
      <c r="A565" s="19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042, 19270718, 1,    0, 00</v>
      </c>
    </row>
    <row r="566" spans="1:1" x14ac:dyDescent="0.25">
      <c r="A566" s="19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042, 19270719, 1,    0, 00</v>
      </c>
    </row>
    <row r="567" spans="1:1" x14ac:dyDescent="0.25">
      <c r="A567" s="19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042, 19270720, 1,    0, 00</v>
      </c>
    </row>
    <row r="568" spans="1:1" x14ac:dyDescent="0.25">
      <c r="A568" s="19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042, 19270721, 1,    0, 00</v>
      </c>
    </row>
    <row r="569" spans="1:1" x14ac:dyDescent="0.25">
      <c r="A569" s="19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042, 19270722, 1,    0, 00</v>
      </c>
    </row>
    <row r="570" spans="1:1" x14ac:dyDescent="0.25">
      <c r="A570" s="19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042, 19270723, 1,    0, 00</v>
      </c>
    </row>
    <row r="571" spans="1:1" x14ac:dyDescent="0.25">
      <c r="A571" s="19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042, 19270724, 1,    0, 00</v>
      </c>
    </row>
    <row r="572" spans="1:1" x14ac:dyDescent="0.25">
      <c r="A572" s="19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042, 19270725, 1,    0, 00</v>
      </c>
    </row>
    <row r="573" spans="1:1" x14ac:dyDescent="0.25">
      <c r="A573" s="19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042, 19270726, 1,    0, 00</v>
      </c>
    </row>
    <row r="574" spans="1:1" x14ac:dyDescent="0.25">
      <c r="A574" s="19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042, 19270727, 1,    0, 00</v>
      </c>
    </row>
    <row r="575" spans="1:1" x14ac:dyDescent="0.25">
      <c r="A575" s="19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042, 19270728, 1,    0, 00</v>
      </c>
    </row>
    <row r="576" spans="1:1" x14ac:dyDescent="0.25">
      <c r="A576" s="19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042, 19270729, 1,    0, 00</v>
      </c>
    </row>
    <row r="577" spans="1:1" x14ac:dyDescent="0.25">
      <c r="A577" s="19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042, 19270730, 1,    0, 00</v>
      </c>
    </row>
    <row r="578" spans="1:1" x14ac:dyDescent="0.25">
      <c r="A578" s="19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042, 19270731, 1,    0, 00</v>
      </c>
    </row>
    <row r="579" spans="1:1" x14ac:dyDescent="0.25">
      <c r="A579" s="19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042, 19270801, 1,    0, 00</v>
      </c>
    </row>
    <row r="580" spans="1:1" x14ac:dyDescent="0.25">
      <c r="A580" s="19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042, 19270802, 1,    0, 00</v>
      </c>
    </row>
    <row r="581" spans="1:1" x14ac:dyDescent="0.25">
      <c r="A581" s="19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042, 19270803, 1,    0, 00</v>
      </c>
    </row>
    <row r="582" spans="1:1" x14ac:dyDescent="0.25">
      <c r="A582" s="19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042, 19270804, 1,    0, 00</v>
      </c>
    </row>
    <row r="583" spans="1:1" x14ac:dyDescent="0.25">
      <c r="A583" s="19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042, 19270805, 1,    0, 00</v>
      </c>
    </row>
    <row r="584" spans="1:1" x14ac:dyDescent="0.25">
      <c r="A584" s="19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042, 19270806, 1,    0, 00</v>
      </c>
    </row>
    <row r="585" spans="1:1" x14ac:dyDescent="0.25">
      <c r="A585" s="19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042, 19270807, 1,    0, 00</v>
      </c>
    </row>
    <row r="586" spans="1:1" x14ac:dyDescent="0.25">
      <c r="A586" s="19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042, 19270808, 1,    0, 00</v>
      </c>
    </row>
    <row r="587" spans="1:1" x14ac:dyDescent="0.25">
      <c r="A587" s="19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042, 19270809, 1,    0, 00</v>
      </c>
    </row>
    <row r="588" spans="1:1" x14ac:dyDescent="0.25">
      <c r="A588" s="19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042, 19270810, 1,    0, 00</v>
      </c>
    </row>
    <row r="589" spans="1:1" x14ac:dyDescent="0.25">
      <c r="A589" s="19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042, 19270811, 1,    0, 00</v>
      </c>
    </row>
    <row r="590" spans="1:1" x14ac:dyDescent="0.25">
      <c r="A590" s="19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042, 19270812, 1,    0, 00</v>
      </c>
    </row>
    <row r="591" spans="1:1" x14ac:dyDescent="0.25">
      <c r="A591" s="19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042, 19270813, 1,    0, 00</v>
      </c>
    </row>
    <row r="592" spans="1:1" x14ac:dyDescent="0.25">
      <c r="A592" s="19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042, 19270814, 1,    0, 00</v>
      </c>
    </row>
    <row r="593" spans="1:1" x14ac:dyDescent="0.25">
      <c r="A593" s="19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042, 19270815, 1,    0, 00</v>
      </c>
    </row>
    <row r="594" spans="1:1" x14ac:dyDescent="0.25">
      <c r="A594" s="19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042, 19270816, 1,    0, 00</v>
      </c>
    </row>
    <row r="595" spans="1:1" x14ac:dyDescent="0.25">
      <c r="A595" s="19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042, 19270817, 1,    0, 00</v>
      </c>
    </row>
    <row r="596" spans="1:1" x14ac:dyDescent="0.25">
      <c r="A596" s="19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042, 19270818, 1,    0, 00</v>
      </c>
    </row>
    <row r="597" spans="1:1" x14ac:dyDescent="0.25">
      <c r="A597" s="19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042, 19270819, 1,    0, 00</v>
      </c>
    </row>
    <row r="598" spans="1:1" x14ac:dyDescent="0.25">
      <c r="A598" s="19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042, 19270820, 1,    0, 00</v>
      </c>
    </row>
    <row r="599" spans="1:1" x14ac:dyDescent="0.25">
      <c r="A599" s="19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042, 19270821, 1,    0, 00</v>
      </c>
    </row>
    <row r="600" spans="1:1" x14ac:dyDescent="0.25">
      <c r="A600" s="19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042, 19270822, 1,    0, 00</v>
      </c>
    </row>
    <row r="601" spans="1:1" x14ac:dyDescent="0.25">
      <c r="A601" s="19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042, 19270823, 1,    0, 00</v>
      </c>
    </row>
    <row r="602" spans="1:1" x14ac:dyDescent="0.25">
      <c r="A602" s="19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042, 19270824, 1,    0, 00</v>
      </c>
    </row>
    <row r="603" spans="1:1" x14ac:dyDescent="0.25">
      <c r="A603" s="19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042, 19270825, 1,    0, 00</v>
      </c>
    </row>
    <row r="604" spans="1:1" x14ac:dyDescent="0.25">
      <c r="A604" s="19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042, 19270826, 1,    0, 00</v>
      </c>
    </row>
    <row r="605" spans="1:1" x14ac:dyDescent="0.25">
      <c r="A605" s="19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042, 19270827, 1,    0, 00</v>
      </c>
    </row>
    <row r="606" spans="1:1" x14ac:dyDescent="0.25">
      <c r="A606" s="19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042, 19270828, 1,   12, 00</v>
      </c>
    </row>
    <row r="607" spans="1:1" x14ac:dyDescent="0.25">
      <c r="A607" s="19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042, 19270829, 1,    0, 00</v>
      </c>
    </row>
    <row r="608" spans="1:1" x14ac:dyDescent="0.25">
      <c r="A608" s="19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042, 19270830, 1,    0, 00</v>
      </c>
    </row>
    <row r="609" spans="1:1" x14ac:dyDescent="0.25">
      <c r="A609" s="19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042, 19270831, 1,    0, 00</v>
      </c>
    </row>
    <row r="610" spans="1:1" x14ac:dyDescent="0.25">
      <c r="A610" s="19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042, 19270901, 1,    0, 00</v>
      </c>
    </row>
    <row r="611" spans="1:1" x14ac:dyDescent="0.25">
      <c r="A611" s="19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042, 19270902, 1,    0, 00</v>
      </c>
    </row>
    <row r="612" spans="1:1" x14ac:dyDescent="0.25">
      <c r="A612" s="19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042, 19270903, 1,    0, 00</v>
      </c>
    </row>
    <row r="613" spans="1:1" x14ac:dyDescent="0.25">
      <c r="A613" s="19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042, 19270904, 1,   40, 00</v>
      </c>
    </row>
    <row r="614" spans="1:1" x14ac:dyDescent="0.25">
      <c r="A614" s="19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042, 19270905, 1,    0, 00</v>
      </c>
    </row>
    <row r="615" spans="1:1" x14ac:dyDescent="0.25">
      <c r="A615" s="19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042, 19270906, 1,    0, 00</v>
      </c>
    </row>
    <row r="616" spans="1:1" x14ac:dyDescent="0.25">
      <c r="A616" s="19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042, 19270907, 1,    0, 00</v>
      </c>
    </row>
    <row r="617" spans="1:1" x14ac:dyDescent="0.25">
      <c r="A617" s="19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042, 19270908, 1,    0, 00</v>
      </c>
    </row>
    <row r="618" spans="1:1" x14ac:dyDescent="0.25">
      <c r="A618" s="19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042, 19270909, 1,    0, 00</v>
      </c>
    </row>
    <row r="619" spans="1:1" x14ac:dyDescent="0.25">
      <c r="A619" s="19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042, 19270910, 1,    0, 00</v>
      </c>
    </row>
    <row r="620" spans="1:1" x14ac:dyDescent="0.25">
      <c r="A620" s="19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042, 19270911, 1,    0, 00</v>
      </c>
    </row>
    <row r="621" spans="1:1" x14ac:dyDescent="0.25">
      <c r="A621" s="19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042, 19270912, 1,    0, 00</v>
      </c>
    </row>
    <row r="622" spans="1:1" x14ac:dyDescent="0.25">
      <c r="A622" s="19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042, 19270913, 1,    0, 00</v>
      </c>
    </row>
    <row r="623" spans="1:1" x14ac:dyDescent="0.25">
      <c r="A623" s="19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042, 19270914, 1,    0, 00</v>
      </c>
    </row>
    <row r="624" spans="1:1" x14ac:dyDescent="0.25">
      <c r="A624" s="19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042, 19270915, 1,    0, 00</v>
      </c>
    </row>
    <row r="625" spans="1:1" x14ac:dyDescent="0.25">
      <c r="A625" s="19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042, 19270916, 1,    0, 00</v>
      </c>
    </row>
    <row r="626" spans="1:1" x14ac:dyDescent="0.25">
      <c r="A626" s="19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042, 19270917, 1,    0, 00</v>
      </c>
    </row>
    <row r="627" spans="1:1" x14ac:dyDescent="0.25">
      <c r="A627" s="19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042, 19270918, 1,   21, 00</v>
      </c>
    </row>
    <row r="628" spans="1:1" x14ac:dyDescent="0.25">
      <c r="A628" s="19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042, 19270919, 1,    2, 00</v>
      </c>
    </row>
    <row r="629" spans="1:1" x14ac:dyDescent="0.25">
      <c r="A629" s="19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042, 19270920, 1,    0, 00</v>
      </c>
    </row>
    <row r="630" spans="1:1" x14ac:dyDescent="0.25">
      <c r="A630" s="19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042, 19270921, 1,    0, 00</v>
      </c>
    </row>
    <row r="631" spans="1:1" x14ac:dyDescent="0.25">
      <c r="A631" s="19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042, 19270922, 1,  170, 00</v>
      </c>
    </row>
    <row r="632" spans="1:1" x14ac:dyDescent="0.25">
      <c r="A632" s="19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042, 19270923, 1,    0, 00</v>
      </c>
    </row>
    <row r="633" spans="1:1" x14ac:dyDescent="0.25">
      <c r="A633" s="19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042, 19270924, 1,    0, 00</v>
      </c>
    </row>
    <row r="634" spans="1:1" x14ac:dyDescent="0.25">
      <c r="A634" s="19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042, 19270925, 1,    0, 00</v>
      </c>
    </row>
    <row r="635" spans="1:1" x14ac:dyDescent="0.25">
      <c r="A635" s="19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042, 19270926, 1,  225, 00</v>
      </c>
    </row>
    <row r="636" spans="1:1" x14ac:dyDescent="0.25">
      <c r="A636" s="19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042, 19270927, 1,    0, 00</v>
      </c>
    </row>
    <row r="637" spans="1:1" x14ac:dyDescent="0.25">
      <c r="A637" s="19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042, 19270928, 1,    0, 00</v>
      </c>
    </row>
    <row r="638" spans="1:1" x14ac:dyDescent="0.25">
      <c r="A638" s="19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042, 19270929, 1,    0, 00</v>
      </c>
    </row>
    <row r="639" spans="1:1" x14ac:dyDescent="0.25">
      <c r="A639" s="19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042, 19270930, 1,    0, 00</v>
      </c>
    </row>
    <row r="640" spans="1:1" x14ac:dyDescent="0.25">
      <c r="A640" s="19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042, 19271001, 1,    0, 00</v>
      </c>
    </row>
    <row r="641" spans="1:1" x14ac:dyDescent="0.25">
      <c r="A641" s="19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042, 19271002, 1,    0, 00</v>
      </c>
    </row>
    <row r="642" spans="1:1" x14ac:dyDescent="0.25">
      <c r="A642" s="19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042, 19271003, 1,   10, 00</v>
      </c>
    </row>
    <row r="643" spans="1:1" x14ac:dyDescent="0.25">
      <c r="A643" s="19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042, 19271004, 1,    0, 00</v>
      </c>
    </row>
    <row r="644" spans="1:1" x14ac:dyDescent="0.25">
      <c r="A644" s="19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042, 19271005, 1,    0, 00</v>
      </c>
    </row>
    <row r="645" spans="1:1" x14ac:dyDescent="0.25">
      <c r="A645" s="19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042, 19271006, 1,    0, 00</v>
      </c>
    </row>
    <row r="646" spans="1:1" x14ac:dyDescent="0.25">
      <c r="A646" s="19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042, 19271007, 1,    0, 00</v>
      </c>
    </row>
    <row r="647" spans="1:1" x14ac:dyDescent="0.25">
      <c r="A647" s="19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042, 19271008, 1,    0, 00</v>
      </c>
    </row>
    <row r="648" spans="1:1" x14ac:dyDescent="0.25">
      <c r="A648" s="19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042, 19271009, 1,    0, 00</v>
      </c>
    </row>
    <row r="649" spans="1:1" x14ac:dyDescent="0.25">
      <c r="A649" s="19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042, 19271010, 1,    0, 00</v>
      </c>
    </row>
    <row r="650" spans="1:1" x14ac:dyDescent="0.25">
      <c r="A650" s="19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042, 19271011, 1,    0, 00</v>
      </c>
    </row>
    <row r="651" spans="1:1" x14ac:dyDescent="0.25">
      <c r="A651" s="19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042, 19271012, 1,    0, 00</v>
      </c>
    </row>
    <row r="652" spans="1:1" x14ac:dyDescent="0.25">
      <c r="A652" s="19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042, 19271013, 1,    0, 00</v>
      </c>
    </row>
    <row r="653" spans="1:1" x14ac:dyDescent="0.25">
      <c r="A653" s="19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042, 19271014, 1,  107, 00</v>
      </c>
    </row>
    <row r="654" spans="1:1" x14ac:dyDescent="0.25">
      <c r="A654" s="19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042, 19271015, 1,   87, 00</v>
      </c>
    </row>
    <row r="655" spans="1:1" x14ac:dyDescent="0.25">
      <c r="A655" s="19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042, 19271016, 1,   19, 00</v>
      </c>
    </row>
    <row r="656" spans="1:1" x14ac:dyDescent="0.25">
      <c r="A656" s="19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042, 19271017, 1,  360, 00</v>
      </c>
    </row>
    <row r="657" spans="1:1" x14ac:dyDescent="0.25">
      <c r="A657" s="19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042, 19271018, 1,    0, 00</v>
      </c>
    </row>
    <row r="658" spans="1:1" x14ac:dyDescent="0.25">
      <c r="A658" s="19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042, 19271019, 1,  340, 00</v>
      </c>
    </row>
    <row r="659" spans="1:1" x14ac:dyDescent="0.25">
      <c r="A659" s="19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042, 19271020, 1,   43, 00</v>
      </c>
    </row>
    <row r="660" spans="1:1" x14ac:dyDescent="0.25">
      <c r="A660" s="19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042, 19271021, 1,    0, 00</v>
      </c>
    </row>
    <row r="661" spans="1:1" x14ac:dyDescent="0.25">
      <c r="A661" s="19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042, 19271022, 1,    0, 00</v>
      </c>
    </row>
    <row r="662" spans="1:1" x14ac:dyDescent="0.25">
      <c r="A662" s="19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042, 19271023, 1,  269, 00</v>
      </c>
    </row>
    <row r="663" spans="1:1" x14ac:dyDescent="0.25">
      <c r="A663" s="19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042, 19271024, 1,    0, 00</v>
      </c>
    </row>
    <row r="664" spans="1:1" x14ac:dyDescent="0.25">
      <c r="A664" s="19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042, 19271025, 1,    0, 00</v>
      </c>
    </row>
    <row r="665" spans="1:1" x14ac:dyDescent="0.25">
      <c r="A665" s="19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042, 19271026, 1,    0, 00</v>
      </c>
    </row>
    <row r="666" spans="1:1" x14ac:dyDescent="0.25">
      <c r="A666" s="19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042, 19271027, 1,    0, 00</v>
      </c>
    </row>
    <row r="667" spans="1:1" x14ac:dyDescent="0.25">
      <c r="A667" s="19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042, 19271028, 1,    0, 00</v>
      </c>
    </row>
    <row r="668" spans="1:1" x14ac:dyDescent="0.25">
      <c r="A668" s="19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042, 19271029, 1,    0, 00</v>
      </c>
    </row>
    <row r="669" spans="1:1" x14ac:dyDescent="0.25">
      <c r="A669" s="19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042, 19271030, 1,   22, 00</v>
      </c>
    </row>
    <row r="670" spans="1:1" x14ac:dyDescent="0.25">
      <c r="A670" s="19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042, 19271031, 1,   68, 00</v>
      </c>
    </row>
    <row r="671" spans="1:1" x14ac:dyDescent="0.25">
      <c r="A671" s="19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042, 19271101, 1,    0, 00</v>
      </c>
    </row>
    <row r="672" spans="1:1" x14ac:dyDescent="0.25">
      <c r="A672" s="19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042, 19271102, 1,    0, 00</v>
      </c>
    </row>
    <row r="673" spans="1:1" x14ac:dyDescent="0.25">
      <c r="A673" s="19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042, 19271103, 1,    0, 00</v>
      </c>
    </row>
    <row r="674" spans="1:1" x14ac:dyDescent="0.25">
      <c r="A674" s="19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042, 19271104, 1,    0, 00</v>
      </c>
    </row>
    <row r="675" spans="1:1" x14ac:dyDescent="0.25">
      <c r="A675" s="19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042, 19271105, 1,    0, 00</v>
      </c>
    </row>
    <row r="676" spans="1:1" x14ac:dyDescent="0.25">
      <c r="A676" s="19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042, 19271106, 1,    0, 00</v>
      </c>
    </row>
    <row r="677" spans="1:1" x14ac:dyDescent="0.25">
      <c r="A677" s="19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042, 19271107, 1,   30, 00</v>
      </c>
    </row>
    <row r="678" spans="1:1" x14ac:dyDescent="0.25">
      <c r="A678" s="19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042, 19271108, 1,    0, 00</v>
      </c>
    </row>
    <row r="679" spans="1:1" x14ac:dyDescent="0.25">
      <c r="A679" s="19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042, 19271109, 1,    4, 00</v>
      </c>
    </row>
    <row r="680" spans="1:1" x14ac:dyDescent="0.25">
      <c r="A680" s="19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042, 19271110, 1,    0, 00</v>
      </c>
    </row>
    <row r="681" spans="1:1" x14ac:dyDescent="0.25">
      <c r="A681" s="19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042, 19271111, 1,    0, 00</v>
      </c>
    </row>
    <row r="682" spans="1:1" x14ac:dyDescent="0.25">
      <c r="A682" s="19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042, 19271112, 1,    0, 00</v>
      </c>
    </row>
    <row r="683" spans="1:1" x14ac:dyDescent="0.25">
      <c r="A683" s="19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042, 19271113, 1,   22, 00</v>
      </c>
    </row>
    <row r="684" spans="1:1" x14ac:dyDescent="0.25">
      <c r="A684" s="19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042, 19271114, 1,    0, 00</v>
      </c>
    </row>
    <row r="685" spans="1:1" x14ac:dyDescent="0.25">
      <c r="A685" s="19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042, 19271115, 1,    0, 00</v>
      </c>
    </row>
    <row r="686" spans="1:1" x14ac:dyDescent="0.25">
      <c r="A686" s="19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042, 19271116, 1,    0, 00</v>
      </c>
    </row>
    <row r="687" spans="1:1" x14ac:dyDescent="0.25">
      <c r="A687" s="19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042, 19271117, 1,  122, 00</v>
      </c>
    </row>
    <row r="688" spans="1:1" x14ac:dyDescent="0.25">
      <c r="A688" s="19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042, 19271118, 1,    0, 00</v>
      </c>
    </row>
    <row r="689" spans="1:1" x14ac:dyDescent="0.25">
      <c r="A689" s="19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042, 19271119, 1,   32, 00</v>
      </c>
    </row>
    <row r="690" spans="1:1" x14ac:dyDescent="0.25">
      <c r="A690" s="19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042, 19271120, 1,   10, 00</v>
      </c>
    </row>
    <row r="691" spans="1:1" x14ac:dyDescent="0.25">
      <c r="A691" s="19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042, 19271121, 1,   32, 00</v>
      </c>
    </row>
    <row r="692" spans="1:1" x14ac:dyDescent="0.25">
      <c r="A692" s="19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042, 19271122, 1,   50, 00</v>
      </c>
    </row>
    <row r="693" spans="1:1" x14ac:dyDescent="0.25">
      <c r="A693" s="19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042, 19271123, 1,  680, 00</v>
      </c>
    </row>
    <row r="694" spans="1:1" x14ac:dyDescent="0.25">
      <c r="A694" s="19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042, 19271124, 1,   12, 00</v>
      </c>
    </row>
    <row r="695" spans="1:1" x14ac:dyDescent="0.25">
      <c r="A695" s="19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042, 19271125, 1,    0, 00</v>
      </c>
    </row>
    <row r="696" spans="1:1" x14ac:dyDescent="0.25">
      <c r="A696" s="19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042, 19271126, 1,   71, 00</v>
      </c>
    </row>
    <row r="697" spans="1:1" x14ac:dyDescent="0.25">
      <c r="A697" s="19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042, 19271127, 1,   10, 00</v>
      </c>
    </row>
    <row r="698" spans="1:1" x14ac:dyDescent="0.25">
      <c r="A698" s="19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042, 19271128, 1,   70, 00</v>
      </c>
    </row>
    <row r="699" spans="1:1" x14ac:dyDescent="0.25">
      <c r="A699" s="19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042, 19271129, 1,   98, 00</v>
      </c>
    </row>
    <row r="700" spans="1:1" x14ac:dyDescent="0.25">
      <c r="A700" s="19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042, 19271130, 1,    0, 00</v>
      </c>
    </row>
    <row r="701" spans="1:1" x14ac:dyDescent="0.25">
      <c r="A701" s="19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042, 19271201, 1,   17, 00</v>
      </c>
    </row>
    <row r="702" spans="1:1" x14ac:dyDescent="0.25">
      <c r="A702" s="19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042, 19271202, 1,    0, 00</v>
      </c>
    </row>
    <row r="703" spans="1:1" x14ac:dyDescent="0.25">
      <c r="A703" s="19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042, 19271203, 1,   13, 00</v>
      </c>
    </row>
    <row r="704" spans="1:1" x14ac:dyDescent="0.25">
      <c r="A704" s="19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042, 19271204, 1,    0, 00</v>
      </c>
    </row>
    <row r="705" spans="1:1" x14ac:dyDescent="0.25">
      <c r="A705" s="19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042, 19271205, 1,    0, 00</v>
      </c>
    </row>
    <row r="706" spans="1:1" x14ac:dyDescent="0.25">
      <c r="A706" s="19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042, 19271206, 1,    0, 00</v>
      </c>
    </row>
    <row r="707" spans="1:1" x14ac:dyDescent="0.25">
      <c r="A707" s="19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042, 19271207, 1,  600, 00</v>
      </c>
    </row>
    <row r="708" spans="1:1" x14ac:dyDescent="0.25">
      <c r="A708" s="19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042, 19271208, 1,    0, 00</v>
      </c>
    </row>
    <row r="709" spans="1:1" x14ac:dyDescent="0.25">
      <c r="A709" s="19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042, 19271209, 1,    0, 00</v>
      </c>
    </row>
    <row r="710" spans="1:1" x14ac:dyDescent="0.25">
      <c r="A710" s="19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042, 19271210, 1,    2, 00</v>
      </c>
    </row>
    <row r="711" spans="1:1" x14ac:dyDescent="0.25">
      <c r="A711" s="19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042, 19271211, 1,   75, 00</v>
      </c>
    </row>
    <row r="712" spans="1:1" x14ac:dyDescent="0.25">
      <c r="A712" s="19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042, 19271212, 1,   17, 00</v>
      </c>
    </row>
    <row r="713" spans="1:1" x14ac:dyDescent="0.25">
      <c r="A713" s="19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042, 19271213, 1,    0, 00</v>
      </c>
    </row>
    <row r="714" spans="1:1" x14ac:dyDescent="0.25">
      <c r="A714" s="19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042, 19271214, 1,   30, 00</v>
      </c>
    </row>
    <row r="715" spans="1:1" x14ac:dyDescent="0.25">
      <c r="A715" s="19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042, 19271215, 1,   76, 00</v>
      </c>
    </row>
    <row r="716" spans="1:1" x14ac:dyDescent="0.25">
      <c r="A716" s="19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042, 19271216, 1,  180, 00</v>
      </c>
    </row>
    <row r="717" spans="1:1" x14ac:dyDescent="0.25">
      <c r="A717" s="19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042, 19271217, 1,   24, 00</v>
      </c>
    </row>
    <row r="718" spans="1:1" x14ac:dyDescent="0.25">
      <c r="A718" s="19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042, 19271218, 1,  510, 00</v>
      </c>
    </row>
    <row r="719" spans="1:1" x14ac:dyDescent="0.25">
      <c r="A719" s="19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042, 19271219, 1,   40, 00</v>
      </c>
    </row>
    <row r="720" spans="1:1" x14ac:dyDescent="0.25">
      <c r="A720" s="19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042, 19271220, 1,    0, 00</v>
      </c>
    </row>
    <row r="721" spans="1:1" x14ac:dyDescent="0.25">
      <c r="A721" s="19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042, 19271221, 1,    0, 00</v>
      </c>
    </row>
    <row r="722" spans="1:1" x14ac:dyDescent="0.25">
      <c r="A722" s="19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042, 19271222, 1,    3, 00</v>
      </c>
    </row>
    <row r="723" spans="1:1" x14ac:dyDescent="0.25">
      <c r="A723" s="19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042, 19271223, 1,    0, 00</v>
      </c>
    </row>
    <row r="724" spans="1:1" x14ac:dyDescent="0.25">
      <c r="A724" s="19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042, 19271224, 1,    0, 00</v>
      </c>
    </row>
    <row r="725" spans="1:1" x14ac:dyDescent="0.25">
      <c r="A725" s="19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042, 19271225, 1,   37, 00</v>
      </c>
    </row>
    <row r="726" spans="1:1" x14ac:dyDescent="0.25">
      <c r="A726" s="19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042, 19271226, 1,   20, 00</v>
      </c>
    </row>
    <row r="727" spans="1:1" x14ac:dyDescent="0.25">
      <c r="A727" s="19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042, 19271227, 1,    0, 00</v>
      </c>
    </row>
    <row r="728" spans="1:1" x14ac:dyDescent="0.25">
      <c r="A728" s="19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042, 19271228, 1,   30, 00</v>
      </c>
    </row>
    <row r="729" spans="1:1" x14ac:dyDescent="0.25">
      <c r="A729" s="19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042, 19271229, 1,  118, 00</v>
      </c>
    </row>
    <row r="730" spans="1:1" x14ac:dyDescent="0.25">
      <c r="A730" s="19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042, 19271230, 1,   18, 00</v>
      </c>
    </row>
    <row r="731" spans="1:1" x14ac:dyDescent="0.25">
      <c r="A731" s="19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042, 19271231, 1,    0, 00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731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19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19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044, 19270101, 08.00, 7585, 00,  275, 00</v>
      </c>
    </row>
    <row r="3" spans="1:1" x14ac:dyDescent="0.25">
      <c r="A3" s="19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044, 19270101, 15.00, 7570, 00,  280, 00</v>
      </c>
    </row>
    <row r="4" spans="1:1" x14ac:dyDescent="0.25">
      <c r="A4" s="19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044, 19270102, 08.00, 7585, 00,  275, 00</v>
      </c>
    </row>
    <row r="5" spans="1:1" x14ac:dyDescent="0.25">
      <c r="A5" s="19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044, 19270102, 15.00, 7570, 00,  280, 00</v>
      </c>
    </row>
    <row r="6" spans="1:1" x14ac:dyDescent="0.25">
      <c r="A6" s="19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044, 19270103, 08.00, 7585, 00,  275, 00</v>
      </c>
    </row>
    <row r="7" spans="1:1" x14ac:dyDescent="0.25">
      <c r="A7" s="19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044, 19270103, 15.00, 7575, 00,  280, 00</v>
      </c>
    </row>
    <row r="8" spans="1:1" x14ac:dyDescent="0.25">
      <c r="A8" s="19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044, 19270104, 08.00, 7585, 00,  275, 00</v>
      </c>
    </row>
    <row r="9" spans="1:1" x14ac:dyDescent="0.25">
      <c r="A9" s="19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044, 19270104, 15.00, 7570, 00,  290, 00</v>
      </c>
    </row>
    <row r="10" spans="1:1" x14ac:dyDescent="0.25">
      <c r="A10" s="19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044, 19270105, 08.00, 7585, 00,  275, 00</v>
      </c>
    </row>
    <row r="11" spans="1:1" x14ac:dyDescent="0.25">
      <c r="A11" s="19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044, 19270105, 15.00, 7570, 00,  285, 00</v>
      </c>
    </row>
    <row r="12" spans="1:1" x14ac:dyDescent="0.25">
      <c r="A12" s="19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044, 19270106, 08.00, 7585, 00,  275, 00</v>
      </c>
    </row>
    <row r="13" spans="1:1" x14ac:dyDescent="0.25">
      <c r="A13" s="19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044, 19270106, 15.00, 7565, 00,  285, 00</v>
      </c>
    </row>
    <row r="14" spans="1:1" x14ac:dyDescent="0.25">
      <c r="A14" s="19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044, 19270107, 08.00, 7575, 00,  275, 00</v>
      </c>
    </row>
    <row r="15" spans="1:1" x14ac:dyDescent="0.25">
      <c r="A15" s="19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044, 19270107, 15.00, 7555, 00,  285, 00</v>
      </c>
    </row>
    <row r="16" spans="1:1" x14ac:dyDescent="0.25">
      <c r="A16" s="19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044, 19270108, 08.00, 7580, 00,  275, 00</v>
      </c>
    </row>
    <row r="17" spans="1:1" x14ac:dyDescent="0.25">
      <c r="A17" s="19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044, 19270108, 15.00, 7545, 00,  285, 00</v>
      </c>
    </row>
    <row r="18" spans="1:1" x14ac:dyDescent="0.25">
      <c r="A18" s="19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044, 19270109, 08.00, 7580, 00,  275, 00</v>
      </c>
    </row>
    <row r="19" spans="1:1" x14ac:dyDescent="0.25">
      <c r="A19" s="19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044, 19270109, 15.00, 7550, 00,  285, 00</v>
      </c>
    </row>
    <row r="20" spans="1:1" x14ac:dyDescent="0.25">
      <c r="A20" s="19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044, 19270110, 08.00, 7580, 00,  275, 00</v>
      </c>
    </row>
    <row r="21" spans="1:1" x14ac:dyDescent="0.25">
      <c r="A21" s="19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044, 19270110, 15.00, 7550, 00,  290, 00</v>
      </c>
    </row>
    <row r="22" spans="1:1" x14ac:dyDescent="0.25">
      <c r="A22" s="19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044, 19270111, 08.00, 7575, 00,  280, 00</v>
      </c>
    </row>
    <row r="23" spans="1:1" x14ac:dyDescent="0.25">
      <c r="A23" s="19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044, 19270111, 15.00, 7550, 00,  290, 00</v>
      </c>
    </row>
    <row r="24" spans="1:1" x14ac:dyDescent="0.25">
      <c r="A24" s="19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044, 19270112, 08.00, 7580, 00,  280, 00</v>
      </c>
    </row>
    <row r="25" spans="1:1" x14ac:dyDescent="0.25">
      <c r="A25" s="19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044, 19270112, 15.00, 7560, 00,  290, 00</v>
      </c>
    </row>
    <row r="26" spans="1:1" x14ac:dyDescent="0.25">
      <c r="A26" s="19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044, 19270113, 08.00, 7585, 00,  275, 00</v>
      </c>
    </row>
    <row r="27" spans="1:1" x14ac:dyDescent="0.25">
      <c r="A27" s="19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044, 19270113, 15.00, 7555, 00,  285, 00</v>
      </c>
    </row>
    <row r="28" spans="1:1" x14ac:dyDescent="0.25">
      <c r="A28" s="19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044, 19270114, 08.00, 7570, 00,  280, 00</v>
      </c>
    </row>
    <row r="29" spans="1:1" x14ac:dyDescent="0.25">
      <c r="A29" s="19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044, 19270114, 15.00, 7545, 00,  290, 00</v>
      </c>
    </row>
    <row r="30" spans="1:1" x14ac:dyDescent="0.25">
      <c r="A30" s="19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044, 19270115, 08.00, 7550, 00,  270, 00</v>
      </c>
    </row>
    <row r="31" spans="1:1" x14ac:dyDescent="0.25">
      <c r="A31" s="19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044, 19270115, 15.00, 7550, 00,  280, 00</v>
      </c>
    </row>
    <row r="32" spans="1:1" x14ac:dyDescent="0.25">
      <c r="A32" s="19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044, 19270116, 08.00, 7560, 00,  270, 00</v>
      </c>
    </row>
    <row r="33" spans="1:1" x14ac:dyDescent="0.25">
      <c r="A33" s="19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044, 19270116, 15.00, 7555, 00,  280, 00</v>
      </c>
    </row>
    <row r="34" spans="1:1" x14ac:dyDescent="0.25">
      <c r="A34" s="19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044, 19270117, 08.00, 7575, 00,  275, 00</v>
      </c>
    </row>
    <row r="35" spans="1:1" x14ac:dyDescent="0.25">
      <c r="A35" s="19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044, 19270117, 15.00, 7560, 00,  285, 00</v>
      </c>
    </row>
    <row r="36" spans="1:1" x14ac:dyDescent="0.25">
      <c r="A36" s="19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044, 19270118, 08.00, 7575, 00,  275, 00</v>
      </c>
    </row>
    <row r="37" spans="1:1" x14ac:dyDescent="0.25">
      <c r="A37" s="19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044, 19270118, 15.00, 7555, 00,  285, 00</v>
      </c>
    </row>
    <row r="38" spans="1:1" x14ac:dyDescent="0.25">
      <c r="A38" s="19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044, 19270119, 08.00, 7575, 00,  275, 00</v>
      </c>
    </row>
    <row r="39" spans="1:1" x14ac:dyDescent="0.25">
      <c r="A39" s="19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044, 19270119, 15.00, 7555, 00,  285, 00</v>
      </c>
    </row>
    <row r="40" spans="1:1" x14ac:dyDescent="0.25">
      <c r="A40" s="19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044, 19270120, 08.00, 7575, 00,  280, 00</v>
      </c>
    </row>
    <row r="41" spans="1:1" x14ac:dyDescent="0.25">
      <c r="A41" s="19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044, 19270120, 15.00, 7560, 00,  270, 00</v>
      </c>
    </row>
    <row r="42" spans="1:1" x14ac:dyDescent="0.25">
      <c r="A42" s="19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044, 19270121, 08.00, 7575, 00,  270, 00</v>
      </c>
    </row>
    <row r="43" spans="1:1" x14ac:dyDescent="0.25">
      <c r="A43" s="19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044, 19270121, 15.00, 7560, 00,  280, 00</v>
      </c>
    </row>
    <row r="44" spans="1:1" x14ac:dyDescent="0.25">
      <c r="A44" s="19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044, 19270122, 08.00, 7585, 00,  270, 00</v>
      </c>
    </row>
    <row r="45" spans="1:1" x14ac:dyDescent="0.25">
      <c r="A45" s="19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044, 19270122, 15.00, 7560, 00,  280, 00</v>
      </c>
    </row>
    <row r="46" spans="1:1" x14ac:dyDescent="0.25">
      <c r="A46" s="19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044, 19270123, 08.00, 7585, 00,  270, 00</v>
      </c>
    </row>
    <row r="47" spans="1:1" x14ac:dyDescent="0.25">
      <c r="A47" s="19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044, 19270123, 15.00, 7560, 00,  280, 00</v>
      </c>
    </row>
    <row r="48" spans="1:1" x14ac:dyDescent="0.25">
      <c r="A48" s="19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044, 19270124, 08.00, 7580, 00,  270, 00</v>
      </c>
    </row>
    <row r="49" spans="1:1" x14ac:dyDescent="0.25">
      <c r="A49" s="19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044, 19270124, 15.00, 7565, 00,  280, 00</v>
      </c>
    </row>
    <row r="50" spans="1:1" x14ac:dyDescent="0.25">
      <c r="A50" s="19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044, 19270125, 08.00, 7580, 00,  270, 00</v>
      </c>
    </row>
    <row r="51" spans="1:1" x14ac:dyDescent="0.25">
      <c r="A51" s="19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044, 19270125, 15.00, 7560, 00,  280, 00</v>
      </c>
    </row>
    <row r="52" spans="1:1" x14ac:dyDescent="0.25">
      <c r="A52" s="19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044, 19270126, 08.00, 7585, 00,  265, 00</v>
      </c>
    </row>
    <row r="53" spans="1:1" x14ac:dyDescent="0.25">
      <c r="A53" s="19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044, 19270126, 15.00, 7570, 00,  280, 00</v>
      </c>
    </row>
    <row r="54" spans="1:1" x14ac:dyDescent="0.25">
      <c r="A54" s="19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044, 19270127, 08.00, 7585, 00,  270, 00</v>
      </c>
    </row>
    <row r="55" spans="1:1" x14ac:dyDescent="0.25">
      <c r="A55" s="19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044, 19270127, 15.00, 7560, 00,  280, 00</v>
      </c>
    </row>
    <row r="56" spans="1:1" x14ac:dyDescent="0.25">
      <c r="A56" s="19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044, 19270128, 08.00, 7585, 00,  270, 00</v>
      </c>
    </row>
    <row r="57" spans="1:1" x14ac:dyDescent="0.25">
      <c r="A57" s="19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044, 19270128, 15.00, 7565, 00,  285, 00</v>
      </c>
    </row>
    <row r="58" spans="1:1" x14ac:dyDescent="0.25">
      <c r="A58" s="19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044, 19270129, 08.00, 7585, 00,  270, 00</v>
      </c>
    </row>
    <row r="59" spans="1:1" x14ac:dyDescent="0.25">
      <c r="A59" s="19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044, 19270129, 15.00, 7560, 00,  280, 00</v>
      </c>
    </row>
    <row r="60" spans="1:1" x14ac:dyDescent="0.25">
      <c r="A60" s="19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044, 19270130, 08.00, 7585, 00,  270, 00</v>
      </c>
    </row>
    <row r="61" spans="1:1" x14ac:dyDescent="0.25">
      <c r="A61" s="19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044, 19270130, 15.00, 7560, 00,  280, 00</v>
      </c>
    </row>
    <row r="62" spans="1:1" x14ac:dyDescent="0.25">
      <c r="A62" s="19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044, 19270131, 08.00, 7585, 00,  270, 00</v>
      </c>
    </row>
    <row r="63" spans="1:1" x14ac:dyDescent="0.25">
      <c r="A63" s="19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044, 19270131, 15.00, 7560, 00,  280, 00</v>
      </c>
    </row>
    <row r="64" spans="1:1" x14ac:dyDescent="0.25">
      <c r="A64" s="19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044, 19270201, 08.00, 7585, 00,  270, 00</v>
      </c>
    </row>
    <row r="65" spans="1:1" x14ac:dyDescent="0.25">
      <c r="A65" s="19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044, 19270201, 15.00, 7570, 00,  280, 00</v>
      </c>
    </row>
    <row r="66" spans="1:1" x14ac:dyDescent="0.25">
      <c r="A66" s="19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044, 19270202, 08.00, 7585, 00,  270, 00</v>
      </c>
    </row>
    <row r="67" spans="1:1" x14ac:dyDescent="0.25">
      <c r="A67" s="19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044, 19270202, 15.00, 7570, 00,  280, 00</v>
      </c>
    </row>
    <row r="68" spans="1:1" x14ac:dyDescent="0.25">
      <c r="A68" s="19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044, 19270203, 08.00, 7585, 00,  270, 00</v>
      </c>
    </row>
    <row r="69" spans="1:1" x14ac:dyDescent="0.25">
      <c r="A69" s="19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044, 19270203, 15.00, 7565, 00,  280, 00</v>
      </c>
    </row>
    <row r="70" spans="1:1" x14ac:dyDescent="0.25">
      <c r="A70" s="19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044, 19270204, 08.00, 7585, 00,  270, 00</v>
      </c>
    </row>
    <row r="71" spans="1:1" x14ac:dyDescent="0.25">
      <c r="A71" s="19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044, 19270204, 15.00, 7570, 00,  280, 00</v>
      </c>
    </row>
    <row r="72" spans="1:1" x14ac:dyDescent="0.25">
      <c r="A72" s="19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044, 19270205, 08.00, 7585, 00,  270, 00</v>
      </c>
    </row>
    <row r="73" spans="1:1" x14ac:dyDescent="0.25">
      <c r="A73" s="19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044, 19270205, 15.00, 7565, 00,  280, 00</v>
      </c>
    </row>
    <row r="74" spans="1:1" x14ac:dyDescent="0.25">
      <c r="A74" s="19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044, 19270206, 08.00, 7585, 00,  270, 00</v>
      </c>
    </row>
    <row r="75" spans="1:1" x14ac:dyDescent="0.25">
      <c r="A75" s="19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044, 19270206, 15.00, 7565, 00,  280, 00</v>
      </c>
    </row>
    <row r="76" spans="1:1" x14ac:dyDescent="0.25">
      <c r="A76" s="19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044, 19270207, 08.00, 7585, 00,  270, 00</v>
      </c>
    </row>
    <row r="77" spans="1:1" x14ac:dyDescent="0.25">
      <c r="A77" s="19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044, 19270207, 15.00, 7570, 00,  280, 00</v>
      </c>
    </row>
    <row r="78" spans="1:1" x14ac:dyDescent="0.25">
      <c r="A78" s="19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044, 19270208, 08.00, 7585, 00,  270, 00</v>
      </c>
    </row>
    <row r="79" spans="1:1" x14ac:dyDescent="0.25">
      <c r="A79" s="19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044, 19270208, 15.00, 7565, 00,  280, 00</v>
      </c>
    </row>
    <row r="80" spans="1:1" x14ac:dyDescent="0.25">
      <c r="A80" s="19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044, 19270209, 08.00, 7585, 00,  270, 00</v>
      </c>
    </row>
    <row r="81" spans="1:1" x14ac:dyDescent="0.25">
      <c r="A81" s="19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044, 19270209, 15.00, 7570, 00,  280, 00</v>
      </c>
    </row>
    <row r="82" spans="1:1" x14ac:dyDescent="0.25">
      <c r="A82" s="19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044, 19270210, 08.00, 7585, 00,  280, 00</v>
      </c>
    </row>
    <row r="83" spans="1:1" x14ac:dyDescent="0.25">
      <c r="A83" s="19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044, 19270210, 15.00, 7565, 00,  290, 00</v>
      </c>
    </row>
    <row r="84" spans="1:1" x14ac:dyDescent="0.25">
      <c r="A84" s="19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044, 19270211, 08.00, 7585, 00,  280, 00</v>
      </c>
    </row>
    <row r="85" spans="1:1" x14ac:dyDescent="0.25">
      <c r="A85" s="19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044, 19270211, 15.00, 7570, 00,  290, 00</v>
      </c>
    </row>
    <row r="86" spans="1:1" x14ac:dyDescent="0.25">
      <c r="A86" s="19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044, 19270212, 08.00, 7585, 00,  270, 00</v>
      </c>
    </row>
    <row r="87" spans="1:1" x14ac:dyDescent="0.25">
      <c r="A87" s="19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044, 19270212, 15.00, 7580, 00,  285, 00</v>
      </c>
    </row>
    <row r="88" spans="1:1" x14ac:dyDescent="0.25">
      <c r="A88" s="19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044, 19270213, 08.00, 7585, 00,  270, 00</v>
      </c>
    </row>
    <row r="89" spans="1:1" x14ac:dyDescent="0.25">
      <c r="A89" s="19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044, 19270213, 15.00, 7580, 00,  285, 00</v>
      </c>
    </row>
    <row r="90" spans="1:1" x14ac:dyDescent="0.25">
      <c r="A90" s="19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044, 19270214, 08.00, 7585, 00,  270, 00</v>
      </c>
    </row>
    <row r="91" spans="1:1" x14ac:dyDescent="0.25">
      <c r="A91" s="19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044, 19270214, 15.00, 7580, 00,  280, 00</v>
      </c>
    </row>
    <row r="92" spans="1:1" x14ac:dyDescent="0.25">
      <c r="A92" s="19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044, 19270215, 08.00, 7585, 00,  270, 00</v>
      </c>
    </row>
    <row r="93" spans="1:1" x14ac:dyDescent="0.25">
      <c r="A93" s="19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044, 19270215, 15.00, 7580, 00,  285, 00</v>
      </c>
    </row>
    <row r="94" spans="1:1" x14ac:dyDescent="0.25">
      <c r="A94" s="19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044, 19270216, 08.00, 7585, 00,  270, 00</v>
      </c>
    </row>
    <row r="95" spans="1:1" x14ac:dyDescent="0.25">
      <c r="A95" s="19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044, 19270216, 15.00, 7580, 00,  285, 00</v>
      </c>
    </row>
    <row r="96" spans="1:1" x14ac:dyDescent="0.25">
      <c r="A96" s="19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044, 19270217, 08.00, 7585, 00,  270, 00</v>
      </c>
    </row>
    <row r="97" spans="1:1" x14ac:dyDescent="0.25">
      <c r="A97" s="19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044, 19270217, 15.00, 7570, 00,  280, 00</v>
      </c>
    </row>
    <row r="98" spans="1:1" x14ac:dyDescent="0.25">
      <c r="A98" s="19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044, 19270218, 08.00, 7585, 00,  270, 00</v>
      </c>
    </row>
    <row r="99" spans="1:1" x14ac:dyDescent="0.25">
      <c r="A99" s="19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044, 19270218, 15.00, 7570, 00,  280, 00</v>
      </c>
    </row>
    <row r="100" spans="1:1" x14ac:dyDescent="0.25">
      <c r="A100" s="19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044, 19270219, 08.00, 7585, 00,  265, 00</v>
      </c>
    </row>
    <row r="101" spans="1:1" x14ac:dyDescent="0.25">
      <c r="A101" s="19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044, 19270219, 15.00, 7580, 00,  280, 00</v>
      </c>
    </row>
    <row r="102" spans="1:1" x14ac:dyDescent="0.25">
      <c r="A102" s="19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044, 19270220, 08.00, 7585, 00,  265, 00</v>
      </c>
    </row>
    <row r="103" spans="1:1" x14ac:dyDescent="0.25">
      <c r="A103" s="19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044, 19270220, 15.00, 7580, 00,  280, 00</v>
      </c>
    </row>
    <row r="104" spans="1:1" x14ac:dyDescent="0.25">
      <c r="A104" s="19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044, 19270221, 08.00, 7585, 00,  265, 00</v>
      </c>
    </row>
    <row r="105" spans="1:1" x14ac:dyDescent="0.25">
      <c r="A105" s="19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044, 19270221, 15.00, 7580, 00,  280, 00</v>
      </c>
    </row>
    <row r="106" spans="1:1" x14ac:dyDescent="0.25">
      <c r="A106" s="19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044, 19270222, 08.00, 7585, 00,  265, 00</v>
      </c>
    </row>
    <row r="107" spans="1:1" x14ac:dyDescent="0.25">
      <c r="A107" s="19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044, 19270222, 15.00, 7580, 00,  280, 00</v>
      </c>
    </row>
    <row r="108" spans="1:1" x14ac:dyDescent="0.25">
      <c r="A108" s="19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044, 19270223, 08.00, 7585, 00,  270, 00</v>
      </c>
    </row>
    <row r="109" spans="1:1" x14ac:dyDescent="0.25">
      <c r="A109" s="19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044, 19270223, 15.00, 7575, 00,  275, 00</v>
      </c>
    </row>
    <row r="110" spans="1:1" x14ac:dyDescent="0.25">
      <c r="A110" s="19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044, 19270224, 08.00, 7585, 00,  265, 00</v>
      </c>
    </row>
    <row r="111" spans="1:1" x14ac:dyDescent="0.25">
      <c r="A111" s="19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044, 19270224, 15.00, 7575, 00,  270, 00</v>
      </c>
    </row>
    <row r="112" spans="1:1" x14ac:dyDescent="0.25">
      <c r="A112" s="19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044, 19270225, 08.00, 7585, 00,  265, 00</v>
      </c>
    </row>
    <row r="113" spans="1:1" x14ac:dyDescent="0.25">
      <c r="A113" s="19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044, 19270225, 15.00, 7570, 00,  280, 00</v>
      </c>
    </row>
    <row r="114" spans="1:1" x14ac:dyDescent="0.25">
      <c r="A114" s="19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044, 19270226, 08.00, 7580, 00,  270, 00</v>
      </c>
    </row>
    <row r="115" spans="1:1" x14ac:dyDescent="0.25">
      <c r="A115" s="19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044, 19270226, 15.00, 7560, 00,  280, 00</v>
      </c>
    </row>
    <row r="116" spans="1:1" x14ac:dyDescent="0.25">
      <c r="A116" s="19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044, 19270227, 08.00, 7580, 00,  270, 00</v>
      </c>
    </row>
    <row r="117" spans="1:1" x14ac:dyDescent="0.25">
      <c r="A117" s="19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044, 19270227, 15.00, 7560, 00,  280, 00</v>
      </c>
    </row>
    <row r="118" spans="1:1" x14ac:dyDescent="0.25">
      <c r="A118" s="19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044, 19270228, 08.00, 7585, 00,  280, 00</v>
      </c>
    </row>
    <row r="119" spans="1:1" x14ac:dyDescent="0.25">
      <c r="A119" s="19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044, 19270228, 15.00, 7570, 00,  280, 00</v>
      </c>
    </row>
    <row r="120" spans="1:1" x14ac:dyDescent="0.25">
      <c r="A120" s="19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044, 19270301, 08.00, 7585, 00,  280, 00</v>
      </c>
    </row>
    <row r="121" spans="1:1" x14ac:dyDescent="0.25">
      <c r="A121" s="19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044, 19270301, 15.00, 7565, 00,  290, 00</v>
      </c>
    </row>
    <row r="122" spans="1:1" x14ac:dyDescent="0.25">
      <c r="A122" s="19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044, 19270302, 08.00, 7575, 00,  270, 00</v>
      </c>
    </row>
    <row r="123" spans="1:1" x14ac:dyDescent="0.25">
      <c r="A123" s="19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044, 19270302, 15.00, 7555, 00,  285, 00</v>
      </c>
    </row>
    <row r="124" spans="1:1" x14ac:dyDescent="0.25">
      <c r="A124" s="19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044, 19270303, 08.00, 7585, 00,  280, 00</v>
      </c>
    </row>
    <row r="125" spans="1:1" x14ac:dyDescent="0.25">
      <c r="A125" s="19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044, 19270303, 15.00, 7560, 00,  290, 00</v>
      </c>
    </row>
    <row r="126" spans="1:1" x14ac:dyDescent="0.25">
      <c r="A126" s="19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044, 19270304, 08.00, 7585, 00,  280, 00</v>
      </c>
    </row>
    <row r="127" spans="1:1" x14ac:dyDescent="0.25">
      <c r="A127" s="19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044, 19270304, 15.00, 7570, 00,  290, 00</v>
      </c>
    </row>
    <row r="128" spans="1:1" x14ac:dyDescent="0.25">
      <c r="A128" s="19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044, 19270305, 08.00, 7585, 00,  280, 00</v>
      </c>
    </row>
    <row r="129" spans="1:1" x14ac:dyDescent="0.25">
      <c r="A129" s="19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044, 19270305, 15.00, 7580, 00,  285, 00</v>
      </c>
    </row>
    <row r="130" spans="1:1" x14ac:dyDescent="0.25">
      <c r="A130" s="19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044, 19270306, 08.00, 7585, 00,  280, 00</v>
      </c>
    </row>
    <row r="131" spans="1:1" x14ac:dyDescent="0.25">
      <c r="A131" s="19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044, 19270306, 15.00, 7580, 00,  285, 00</v>
      </c>
    </row>
    <row r="132" spans="1:1" x14ac:dyDescent="0.25">
      <c r="A132" s="19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044, 19270307, 08.00, 7585, 00,  275, 00</v>
      </c>
    </row>
    <row r="133" spans="1:1" x14ac:dyDescent="0.25">
      <c r="A133" s="19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044, 19270307, 15.00, 7565, 00,  275, 00</v>
      </c>
    </row>
    <row r="134" spans="1:1" x14ac:dyDescent="0.25">
      <c r="A134" s="19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044, 19270308, 08.00, 7585, 00,  270, 00</v>
      </c>
    </row>
    <row r="135" spans="1:1" x14ac:dyDescent="0.25">
      <c r="A135" s="19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044, 19270308, 15.00, 7565, 00,  280, 00</v>
      </c>
    </row>
    <row r="136" spans="1:1" x14ac:dyDescent="0.25">
      <c r="A136" s="19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044, 19270309, 08.00, 7585, 00,  270, 00</v>
      </c>
    </row>
    <row r="137" spans="1:1" x14ac:dyDescent="0.25">
      <c r="A137" s="19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044, 19270309, 15.00, 7565, 00,  280, 00</v>
      </c>
    </row>
    <row r="138" spans="1:1" x14ac:dyDescent="0.25">
      <c r="A138" s="19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044, 19270310, 08.00, 7585, 00,  270, 00</v>
      </c>
    </row>
    <row r="139" spans="1:1" x14ac:dyDescent="0.25">
      <c r="A139" s="19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044, 19270310, 15.00, 7570, 00,  280, 00</v>
      </c>
    </row>
    <row r="140" spans="1:1" x14ac:dyDescent="0.25">
      <c r="A140" s="19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044, 19270311, 08.00, 7585, 00,  270, 00</v>
      </c>
    </row>
    <row r="141" spans="1:1" x14ac:dyDescent="0.25">
      <c r="A141" s="19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044, 19270311, 15.00, 7565, 00,  280, 00</v>
      </c>
    </row>
    <row r="142" spans="1:1" x14ac:dyDescent="0.25">
      <c r="A142" s="19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044, 19270312, 08.00, 7570, 00,  280, 00</v>
      </c>
    </row>
    <row r="143" spans="1:1" x14ac:dyDescent="0.25">
      <c r="A143" s="19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044, 19270312, 15.00, 7550, 00,  285, 00</v>
      </c>
    </row>
    <row r="144" spans="1:1" x14ac:dyDescent="0.25">
      <c r="A144" s="19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044, 19270313, 08.00, 7570, 00,  280, 00</v>
      </c>
    </row>
    <row r="145" spans="1:1" x14ac:dyDescent="0.25">
      <c r="A145" s="19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044, 19270313, 15.00, 7550, 00,  285, 00</v>
      </c>
    </row>
    <row r="146" spans="1:1" x14ac:dyDescent="0.25">
      <c r="A146" s="19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044, 19270314, 08.00, 7585, 00,  270, 00</v>
      </c>
    </row>
    <row r="147" spans="1:1" x14ac:dyDescent="0.25">
      <c r="A147" s="19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044, 19270314, 15.00, 7560, 00,  280, 00</v>
      </c>
    </row>
    <row r="148" spans="1:1" x14ac:dyDescent="0.25">
      <c r="A148" s="19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044, 19270315, 08.00, 7575, 00,  270, 00</v>
      </c>
    </row>
    <row r="149" spans="1:1" x14ac:dyDescent="0.25">
      <c r="A149" s="19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044, 19270315, 15.00, 7550, 00,  280, 00</v>
      </c>
    </row>
    <row r="150" spans="1:1" x14ac:dyDescent="0.25">
      <c r="A150" s="19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044, 19270316, 08.00, 7570, 00,  270, 00</v>
      </c>
    </row>
    <row r="151" spans="1:1" x14ac:dyDescent="0.25">
      <c r="A151" s="19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044, 19270316, 15.00, 7550, 00,  285, 00</v>
      </c>
    </row>
    <row r="152" spans="1:1" x14ac:dyDescent="0.25">
      <c r="A152" s="19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044, 19270317, 08.00, 7580, 00,  285, 00</v>
      </c>
    </row>
    <row r="153" spans="1:1" x14ac:dyDescent="0.25">
      <c r="A153" s="19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044, 19270317, 15.00, 7560, 00,  280, 00</v>
      </c>
    </row>
    <row r="154" spans="1:1" x14ac:dyDescent="0.25">
      <c r="A154" s="19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044, 19270318, 08.00, 7585, 00,  270, 00</v>
      </c>
    </row>
    <row r="155" spans="1:1" x14ac:dyDescent="0.25">
      <c r="A155" s="19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044, 19270318, 15.00, 7565, 00,  280, 00</v>
      </c>
    </row>
    <row r="156" spans="1:1" x14ac:dyDescent="0.25">
      <c r="A156" s="19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044, 19270319, 08.00, 7575, 00,  270, 00</v>
      </c>
    </row>
    <row r="157" spans="1:1" x14ac:dyDescent="0.25">
      <c r="A157" s="19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044, 19270319, 15.00, 7560, 00,  280, 00</v>
      </c>
    </row>
    <row r="158" spans="1:1" x14ac:dyDescent="0.25">
      <c r="A158" s="19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044, 19270320, 08.00, 7575, 00,  270, 00</v>
      </c>
    </row>
    <row r="159" spans="1:1" x14ac:dyDescent="0.25">
      <c r="A159" s="19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044, 19270320, 15.00, 7560, 00,  280, 00</v>
      </c>
    </row>
    <row r="160" spans="1:1" x14ac:dyDescent="0.25">
      <c r="A160" s="19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044, 19270321, 08.00, 7570, 00,  270, 00</v>
      </c>
    </row>
    <row r="161" spans="1:1" x14ac:dyDescent="0.25">
      <c r="A161" s="19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044, 19270321, 15.00, 7550, 00,  285, 00</v>
      </c>
    </row>
    <row r="162" spans="1:1" x14ac:dyDescent="0.25">
      <c r="A162" s="19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044, 19270322, 08.00, 7570, 00,  270, 00</v>
      </c>
    </row>
    <row r="163" spans="1:1" x14ac:dyDescent="0.25">
      <c r="A163" s="19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044, 19270322, 15.00, 7550, 00,  285, 00</v>
      </c>
    </row>
    <row r="164" spans="1:1" x14ac:dyDescent="0.25">
      <c r="A164" s="19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044, 19270323, 08.00, 7580, 00,  285, 00</v>
      </c>
    </row>
    <row r="165" spans="1:1" x14ac:dyDescent="0.25">
      <c r="A165" s="19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044, 19270323, 15.00, 7555, 00,  290, 00</v>
      </c>
    </row>
    <row r="166" spans="1:1" x14ac:dyDescent="0.25">
      <c r="A166" s="19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044, 19270324, 08.00, 7585, 00,  270, 00</v>
      </c>
    </row>
    <row r="167" spans="1:1" x14ac:dyDescent="0.25">
      <c r="A167" s="19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044, 19270324, 15.00, 7565, 00,  280, 00</v>
      </c>
    </row>
    <row r="168" spans="1:1" x14ac:dyDescent="0.25">
      <c r="A168" s="19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044, 19270325, 08.00, 7580, 00,  285, 00</v>
      </c>
    </row>
    <row r="169" spans="1:1" x14ac:dyDescent="0.25">
      <c r="A169" s="19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044, 19270325, 15.00, 7560, 00,  285, 00</v>
      </c>
    </row>
    <row r="170" spans="1:1" x14ac:dyDescent="0.25">
      <c r="A170" s="19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044, 19270326, 08.00, 7585, 00,  270, 00</v>
      </c>
    </row>
    <row r="171" spans="1:1" x14ac:dyDescent="0.25">
      <c r="A171" s="19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044, 19270326, 15.00, 7565, 00,  280, 00</v>
      </c>
    </row>
    <row r="172" spans="1:1" x14ac:dyDescent="0.25">
      <c r="A172" s="19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044, 19270327, 08.00, 7585, 00,  270, 00</v>
      </c>
    </row>
    <row r="173" spans="1:1" x14ac:dyDescent="0.25">
      <c r="A173" s="19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044, 19270327, 15.00, 7565, 00,  280, 00</v>
      </c>
    </row>
    <row r="174" spans="1:1" x14ac:dyDescent="0.25">
      <c r="A174" s="19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044, 19270328, 08.00, 7585, 00,  270, 00</v>
      </c>
    </row>
    <row r="175" spans="1:1" x14ac:dyDescent="0.25">
      <c r="A175" s="19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044, 19270328, 15.00, 7565, 00,  290, 00</v>
      </c>
    </row>
    <row r="176" spans="1:1" x14ac:dyDescent="0.25">
      <c r="A176" s="19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044, 19270329, 08.00, 7580, 00,  280, 00</v>
      </c>
    </row>
    <row r="177" spans="1:1" x14ac:dyDescent="0.25">
      <c r="A177" s="19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044, 19270329, 15.00, 7560, 00,  290, 00</v>
      </c>
    </row>
    <row r="178" spans="1:1" x14ac:dyDescent="0.25">
      <c r="A178" s="19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044, 19270330, 08.00, 7575, 00,  270, 00</v>
      </c>
    </row>
    <row r="179" spans="1:1" x14ac:dyDescent="0.25">
      <c r="A179" s="19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044, 19270330, 15.00, 7555, 00,  280, 00</v>
      </c>
    </row>
    <row r="180" spans="1:1" x14ac:dyDescent="0.25">
      <c r="A180" s="19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044, 19270331, 08.00, 7575, 00,  270, 00</v>
      </c>
    </row>
    <row r="181" spans="1:1" x14ac:dyDescent="0.25">
      <c r="A181" s="19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044, 19270331, 15.00, 7555, 00,  280, 00</v>
      </c>
    </row>
    <row r="182" spans="1:1" x14ac:dyDescent="0.25">
      <c r="A182" s="19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044, 19270401, 08.00, 7585, 00,  270, 00</v>
      </c>
    </row>
    <row r="183" spans="1:1" x14ac:dyDescent="0.25">
      <c r="A183" s="19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044, 19270401, 15.00, 7565, 00,  280, 00</v>
      </c>
    </row>
    <row r="184" spans="1:1" x14ac:dyDescent="0.25">
      <c r="A184" s="19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044, 19270402, 08.00, 7585, 00,  270, 00</v>
      </c>
    </row>
    <row r="185" spans="1:1" x14ac:dyDescent="0.25">
      <c r="A185" s="19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044, 19270402, 15.00, 7555, 00,  280, 00</v>
      </c>
    </row>
    <row r="186" spans="1:1" x14ac:dyDescent="0.25">
      <c r="A186" s="19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044, 19270403, 08.00, 7580, 00,  275, 00</v>
      </c>
    </row>
    <row r="187" spans="1:1" x14ac:dyDescent="0.25">
      <c r="A187" s="19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044, 19270403, 15.00, 7555, 00,  285, 00</v>
      </c>
    </row>
    <row r="188" spans="1:1" x14ac:dyDescent="0.25">
      <c r="A188" s="19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044, 19270404, 08.00, 7570, 00,  280, 00</v>
      </c>
    </row>
    <row r="189" spans="1:1" x14ac:dyDescent="0.25">
      <c r="A189" s="19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044, 19270404, 15.00, 7555, 00,  290, 00</v>
      </c>
    </row>
    <row r="190" spans="1:1" x14ac:dyDescent="0.25">
      <c r="A190" s="19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044, 19270405, 08.00, 7570, 00,  280, 00</v>
      </c>
    </row>
    <row r="191" spans="1:1" x14ac:dyDescent="0.25">
      <c r="A191" s="19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044, 19270405, 15.00, 7550, 00,  285, 00</v>
      </c>
    </row>
    <row r="192" spans="1:1" x14ac:dyDescent="0.25">
      <c r="A192" s="19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044, 19270406, 08.00, 7570, 00,  280, 00</v>
      </c>
    </row>
    <row r="193" spans="1:1" x14ac:dyDescent="0.25">
      <c r="A193" s="19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044, 19270406, 15.00, 7555, 00,  290, 00</v>
      </c>
    </row>
    <row r="194" spans="1:1" x14ac:dyDescent="0.25">
      <c r="A194" s="19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044, 19270407, 08.00, 7570, 00,  280, 00</v>
      </c>
    </row>
    <row r="195" spans="1:1" x14ac:dyDescent="0.25">
      <c r="A195" s="19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044, 19270407, 15.00, 7555, 00,  290, 00</v>
      </c>
    </row>
    <row r="196" spans="1:1" x14ac:dyDescent="0.25">
      <c r="A196" s="19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044, 19270408, 08.00, 7565, 00,  270, 00</v>
      </c>
    </row>
    <row r="197" spans="1:1" x14ac:dyDescent="0.25">
      <c r="A197" s="19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044, 19270408, 15.00, 7550, 00,  290, 00</v>
      </c>
    </row>
    <row r="198" spans="1:1" x14ac:dyDescent="0.25">
      <c r="A198" s="19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044, 19270409, 08.00, 7575, 00,  280, 00</v>
      </c>
    </row>
    <row r="199" spans="1:1" x14ac:dyDescent="0.25">
      <c r="A199" s="19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044, 19270409, 15.00, 7540, 00,  290, 00</v>
      </c>
    </row>
    <row r="200" spans="1:1" x14ac:dyDescent="0.25">
      <c r="A200" s="19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044, 19270410, 08.00, 7575, 00,  280, 00</v>
      </c>
    </row>
    <row r="201" spans="1:1" x14ac:dyDescent="0.25">
      <c r="A201" s="19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044, 19270410, 15.00, 7540, 00,  290, 00</v>
      </c>
    </row>
    <row r="202" spans="1:1" x14ac:dyDescent="0.25">
      <c r="A202" s="19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044, 19270411, 08.00, 7555, 00,  285, 00</v>
      </c>
    </row>
    <row r="203" spans="1:1" x14ac:dyDescent="0.25">
      <c r="A203" s="19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044, 19270411, 15.00, 7530, 00,  295, 00</v>
      </c>
    </row>
    <row r="204" spans="1:1" x14ac:dyDescent="0.25">
      <c r="A204" s="19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044, 19270412, 08.00, 7560, 00,  280, 00</v>
      </c>
    </row>
    <row r="205" spans="1:1" x14ac:dyDescent="0.25">
      <c r="A205" s="19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044, 19270412, 15.00, 7540, 00,  295, 00</v>
      </c>
    </row>
    <row r="206" spans="1:1" x14ac:dyDescent="0.25">
      <c r="A206" s="19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044, 19270413, 08.00, 7560, 00,  280, 00</v>
      </c>
    </row>
    <row r="207" spans="1:1" x14ac:dyDescent="0.25">
      <c r="A207" s="19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044, 19270413, 15.00, 7545, 00,  295, 00</v>
      </c>
    </row>
    <row r="208" spans="1:1" x14ac:dyDescent="0.25">
      <c r="A208" s="19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044, 19270414, 08.00, 7570, 00,  280, 00</v>
      </c>
    </row>
    <row r="209" spans="1:1" x14ac:dyDescent="0.25">
      <c r="A209" s="19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044, 19270414, 15.00, 7550, 00,  290, 00</v>
      </c>
    </row>
    <row r="210" spans="1:1" x14ac:dyDescent="0.25">
      <c r="A210" s="19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044, 19270415, 08.00, 7550, 00,  280, 00</v>
      </c>
    </row>
    <row r="211" spans="1:1" x14ac:dyDescent="0.25">
      <c r="A211" s="19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044, 19270415, 15.00, 7550, 00,  290, 00</v>
      </c>
    </row>
    <row r="212" spans="1:1" x14ac:dyDescent="0.25">
      <c r="A212" s="19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044, 19270416, 08.00, 7570, 00,  280, 00</v>
      </c>
    </row>
    <row r="213" spans="1:1" x14ac:dyDescent="0.25">
      <c r="A213" s="19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044, 19270416, 15.00, 7550, 00,  290, 00</v>
      </c>
    </row>
    <row r="214" spans="1:1" x14ac:dyDescent="0.25">
      <c r="A214" s="19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044, 19270417, 08.00, 7570, 00,  280, 00</v>
      </c>
    </row>
    <row r="215" spans="1:1" x14ac:dyDescent="0.25">
      <c r="A215" s="19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044, 19270417, 15.00, 7550, 00,  290, 00</v>
      </c>
    </row>
    <row r="216" spans="1:1" x14ac:dyDescent="0.25">
      <c r="A216" s="19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044, 19270418, 08.00, 7570, 00,  280, 00</v>
      </c>
    </row>
    <row r="217" spans="1:1" x14ac:dyDescent="0.25">
      <c r="A217" s="19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044, 19270418, 15.00, 7550, 00,  290, 00</v>
      </c>
    </row>
    <row r="218" spans="1:1" x14ac:dyDescent="0.25">
      <c r="A218" s="19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044, 19270419, 08.00, 7560, 00,  280, 00</v>
      </c>
    </row>
    <row r="219" spans="1:1" x14ac:dyDescent="0.25">
      <c r="A219" s="19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044, 19270419, 15.00, 7540, 00,  290, 00</v>
      </c>
    </row>
    <row r="220" spans="1:1" x14ac:dyDescent="0.25">
      <c r="A220" s="19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044, 19270420, 08.00, 7565, 00,  280, 00</v>
      </c>
    </row>
    <row r="221" spans="1:1" x14ac:dyDescent="0.25">
      <c r="A221" s="19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044, 19270420, 15.00, 7550, 00,  290, 00</v>
      </c>
    </row>
    <row r="222" spans="1:1" x14ac:dyDescent="0.25">
      <c r="A222" s="19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044, 19270421, 08.00, 7570, 00,  280, 00</v>
      </c>
    </row>
    <row r="223" spans="1:1" x14ac:dyDescent="0.25">
      <c r="A223" s="19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044, 19270421, 15.00, 7555, 00,  290, 00</v>
      </c>
    </row>
    <row r="224" spans="1:1" x14ac:dyDescent="0.25">
      <c r="A224" s="19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044, 19270422, 08.00, 7570, 00,  280, 00</v>
      </c>
    </row>
    <row r="225" spans="1:1" x14ac:dyDescent="0.25">
      <c r="A225" s="19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044, 19270422, 15.00, 7550, 00,  290, 00</v>
      </c>
    </row>
    <row r="226" spans="1:1" x14ac:dyDescent="0.25">
      <c r="A226" s="19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044, 19270423, 08.00, 7565, 00,  280, 00</v>
      </c>
    </row>
    <row r="227" spans="1:1" x14ac:dyDescent="0.25">
      <c r="A227" s="19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044, 19270423, 15.00, 7540, 00,  290, 00</v>
      </c>
    </row>
    <row r="228" spans="1:1" x14ac:dyDescent="0.25">
      <c r="A228" s="19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044, 19270424, 08.00, 7565, 00,  280, 00</v>
      </c>
    </row>
    <row r="229" spans="1:1" x14ac:dyDescent="0.25">
      <c r="A229" s="19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044, 19270424, 15.00, 7540, 00,  290, 00</v>
      </c>
    </row>
    <row r="230" spans="1:1" x14ac:dyDescent="0.25">
      <c r="A230" s="19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044, 19270425, 08.00, 7570, 00,  280, 00</v>
      </c>
    </row>
    <row r="231" spans="1:1" x14ac:dyDescent="0.25">
      <c r="A231" s="19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044, 19270425, 15.00, 7550, 00,  295, 00</v>
      </c>
    </row>
    <row r="232" spans="1:1" x14ac:dyDescent="0.25">
      <c r="A232" s="19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044, 19270426, 08.00, 7570, 00,  280, 00</v>
      </c>
    </row>
    <row r="233" spans="1:1" x14ac:dyDescent="0.25">
      <c r="A233" s="19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044, 19270426, 15.00, 7550, 00,  300, 00</v>
      </c>
    </row>
    <row r="234" spans="1:1" x14ac:dyDescent="0.25">
      <c r="A234" s="19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044, 19270427, 08.00, 7570, 00,  280, 00</v>
      </c>
    </row>
    <row r="235" spans="1:1" x14ac:dyDescent="0.25">
      <c r="A235" s="19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044, 19270427, 15.00, 7540, 00,  290, 00</v>
      </c>
    </row>
    <row r="236" spans="1:1" x14ac:dyDescent="0.25">
      <c r="A236" s="19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044, 19270428, 08.00, 7565, 00,  280, 00</v>
      </c>
    </row>
    <row r="237" spans="1:1" x14ac:dyDescent="0.25">
      <c r="A237" s="19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044, 19270428, 15.00, 7545, 00,  290, 00</v>
      </c>
    </row>
    <row r="238" spans="1:1" x14ac:dyDescent="0.25">
      <c r="A238" s="19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044, 19270429, 08.00, 7565, 00,  280, 00</v>
      </c>
    </row>
    <row r="239" spans="1:1" x14ac:dyDescent="0.25">
      <c r="A239" s="19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044, 19270429, 15.00, 7545, 00,  290, 00</v>
      </c>
    </row>
    <row r="240" spans="1:1" x14ac:dyDescent="0.25">
      <c r="A240" s="19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044, 19270430, 08.00, 7565, 00,  280, 00</v>
      </c>
    </row>
    <row r="241" spans="1:1" x14ac:dyDescent="0.25">
      <c r="A241" s="19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044, 19270430, 15.00, 7545, 00,  290, 00</v>
      </c>
    </row>
    <row r="242" spans="1:1" x14ac:dyDescent="0.25">
      <c r="A242" s="19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044, 19270501, 08.00, 7565, 00,  280, 00</v>
      </c>
    </row>
    <row r="243" spans="1:1" x14ac:dyDescent="0.25">
      <c r="A243" s="19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044, 19270501, 15.00, 7545, 00,  290, 00</v>
      </c>
    </row>
    <row r="244" spans="1:1" x14ac:dyDescent="0.25">
      <c r="A244" s="19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044, 19270502, 08.00, 7565, 00,  280, 00</v>
      </c>
    </row>
    <row r="245" spans="1:1" x14ac:dyDescent="0.25">
      <c r="A245" s="19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044, 19270502, 15.00, 7545, 00,  290, 00</v>
      </c>
    </row>
    <row r="246" spans="1:1" x14ac:dyDescent="0.25">
      <c r="A246" s="19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044, 19270503, 08.00, 7575, 00,  280, 00</v>
      </c>
    </row>
    <row r="247" spans="1:1" x14ac:dyDescent="0.25">
      <c r="A247" s="19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044, 19270503, 15.00, 7550, 00,  300, 00</v>
      </c>
    </row>
    <row r="248" spans="1:1" x14ac:dyDescent="0.25">
      <c r="A248" s="19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044, 19270504, 08.00, 7575, 00,  290, 00</v>
      </c>
    </row>
    <row r="249" spans="1:1" x14ac:dyDescent="0.25">
      <c r="A249" s="19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044, 19270504, 15.00, 7550, 00,  290, 00</v>
      </c>
    </row>
    <row r="250" spans="1:1" x14ac:dyDescent="0.25">
      <c r="A250" s="19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044, 19270505, 08.00, 7580, 00,  290, 00</v>
      </c>
    </row>
    <row r="251" spans="1:1" x14ac:dyDescent="0.25">
      <c r="A251" s="19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044, 19270505, 15.00, 7560, 00,  300, 00</v>
      </c>
    </row>
    <row r="252" spans="1:1" x14ac:dyDescent="0.25">
      <c r="A252" s="19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044, 19270506, 08.00, 7575, 00,  290, 00</v>
      </c>
    </row>
    <row r="253" spans="1:1" x14ac:dyDescent="0.25">
      <c r="A253" s="19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044, 19270506, 15.00, 7555, 00,  300, 00</v>
      </c>
    </row>
    <row r="254" spans="1:1" x14ac:dyDescent="0.25">
      <c r="A254" s="19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044, 19270507, 08.00, 7565, 00,  295, 00</v>
      </c>
    </row>
    <row r="255" spans="1:1" x14ac:dyDescent="0.25">
      <c r="A255" s="19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044, 19270507, 15.00, 7550, 00,  300, 00</v>
      </c>
    </row>
    <row r="256" spans="1:1" x14ac:dyDescent="0.25">
      <c r="A256" s="19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044, 19270508, 08.00, 7565, 00,  295, 00</v>
      </c>
    </row>
    <row r="257" spans="1:1" x14ac:dyDescent="0.25">
      <c r="A257" s="19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044, 19270508, 15.00, 7550, 00,  300, 00</v>
      </c>
    </row>
    <row r="258" spans="1:1" x14ac:dyDescent="0.25">
      <c r="A258" s="19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044, 19270509, 08.00, 7565, 00,  290, 00</v>
      </c>
    </row>
    <row r="259" spans="1:1" x14ac:dyDescent="0.25">
      <c r="A259" s="19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044, 19270509, 15.00, 7545, 00,  300, 00</v>
      </c>
    </row>
    <row r="260" spans="1:1" x14ac:dyDescent="0.25">
      <c r="A260" s="19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044, 19270510, 08.00, 7575, 00,  290, 00</v>
      </c>
    </row>
    <row r="261" spans="1:1" x14ac:dyDescent="0.25">
      <c r="A261" s="19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044, 19270510, 15.00, 7550, 00,  300, 00</v>
      </c>
    </row>
    <row r="262" spans="1:1" x14ac:dyDescent="0.25">
      <c r="A262" s="19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044, 19270511, 08.00, 7575, 00,  290, 00</v>
      </c>
    </row>
    <row r="263" spans="1:1" x14ac:dyDescent="0.25">
      <c r="A263" s="19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044, 19270511, 15.00, 7555, 00,  300, 00</v>
      </c>
    </row>
    <row r="264" spans="1:1" x14ac:dyDescent="0.25">
      <c r="A264" s="19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044, 19270512, 08.00, 7580, 00,  280, 00</v>
      </c>
    </row>
    <row r="265" spans="1:1" x14ac:dyDescent="0.25">
      <c r="A265" s="19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044, 19270512, 15.00, 7565, 00,  295, 00</v>
      </c>
    </row>
    <row r="266" spans="1:1" x14ac:dyDescent="0.25">
      <c r="A266" s="19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044, 19270513, 08.00, 7580, 00,  280, 00</v>
      </c>
    </row>
    <row r="267" spans="1:1" x14ac:dyDescent="0.25">
      <c r="A267" s="19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044, 19270513, 15.00, 7565, 00,  295, 00</v>
      </c>
    </row>
    <row r="268" spans="1:1" x14ac:dyDescent="0.25">
      <c r="A268" s="19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044, 19270514, 08.00, 7585, 00,  280, 00</v>
      </c>
    </row>
    <row r="269" spans="1:1" x14ac:dyDescent="0.25">
      <c r="A269" s="19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044, 19270514, 15.00, 7555, 00,  300, 00</v>
      </c>
    </row>
    <row r="270" spans="1:1" x14ac:dyDescent="0.25">
      <c r="A270" s="19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044, 19270515, 08.00, 7585, 00,  280, 00</v>
      </c>
    </row>
    <row r="271" spans="1:1" x14ac:dyDescent="0.25">
      <c r="A271" s="19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044, 19270515, 15.00, 7555, 00,  300, 00</v>
      </c>
    </row>
    <row r="272" spans="1:1" x14ac:dyDescent="0.25">
      <c r="A272" s="19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044, 19270516, 08.00, 7585, 00,  290, 00</v>
      </c>
    </row>
    <row r="273" spans="1:1" x14ac:dyDescent="0.25">
      <c r="A273" s="19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044, 19270516, 15.00, 7560, 00,  290, 00</v>
      </c>
    </row>
    <row r="274" spans="1:1" x14ac:dyDescent="0.25">
      <c r="A274" s="19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044, 19270517, 08.00, 7585, 00,  280, 00</v>
      </c>
    </row>
    <row r="275" spans="1:1" x14ac:dyDescent="0.25">
      <c r="A275" s="19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044, 19270517, 15.00, 7570, 00,  290, 00</v>
      </c>
    </row>
    <row r="276" spans="1:1" x14ac:dyDescent="0.25">
      <c r="A276" s="19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044, 19270518, 08.00, 7585, 00,  290, 00</v>
      </c>
    </row>
    <row r="277" spans="1:1" x14ac:dyDescent="0.25">
      <c r="A277" s="19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044, 19270518, 15.00, 7565, 00,  300, 00</v>
      </c>
    </row>
    <row r="278" spans="1:1" x14ac:dyDescent="0.25">
      <c r="A278" s="19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044, 19270519, 08.00, 7580, 00,  290, 00</v>
      </c>
    </row>
    <row r="279" spans="1:1" x14ac:dyDescent="0.25">
      <c r="A279" s="19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044, 19270519, 15.00, 7555, 00,  300, 00</v>
      </c>
    </row>
    <row r="280" spans="1:1" x14ac:dyDescent="0.25">
      <c r="A280" s="19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044, 19270520, 08.00, 7570, 00,  290, 00</v>
      </c>
    </row>
    <row r="281" spans="1:1" x14ac:dyDescent="0.25">
      <c r="A281" s="19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044, 19270520, 15.00, 7550, 00,  300, 00</v>
      </c>
    </row>
    <row r="282" spans="1:1" x14ac:dyDescent="0.25">
      <c r="A282" s="19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044, 19270521, 08.00, 7575, 00,  290, 00</v>
      </c>
    </row>
    <row r="283" spans="1:1" x14ac:dyDescent="0.25">
      <c r="A283" s="19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044, 19270521, 15.00, 7560, 00,  300, 00</v>
      </c>
    </row>
    <row r="284" spans="1:1" x14ac:dyDescent="0.25">
      <c r="A284" s="19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044, 19270522, 08.00, 7575, 00,  290, 00</v>
      </c>
    </row>
    <row r="285" spans="1:1" x14ac:dyDescent="0.25">
      <c r="A285" s="19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044, 19270522, 15.00, 7560, 00,  300, 00</v>
      </c>
    </row>
    <row r="286" spans="1:1" x14ac:dyDescent="0.25">
      <c r="A286" s="19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044, 19270523, 08.00, 7565, 00,  290, 00</v>
      </c>
    </row>
    <row r="287" spans="1:1" x14ac:dyDescent="0.25">
      <c r="A287" s="19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044, 19270523, 15.00, 7545, 00,  300, 00</v>
      </c>
    </row>
    <row r="288" spans="1:1" x14ac:dyDescent="0.25">
      <c r="A288" s="19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044, 19270524, 08.00, 7560, 00,  290, 00</v>
      </c>
    </row>
    <row r="289" spans="1:1" x14ac:dyDescent="0.25">
      <c r="A289" s="19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044, 19270524, 15.00, 7550, 00,  300, 00</v>
      </c>
    </row>
    <row r="290" spans="1:1" x14ac:dyDescent="0.25">
      <c r="A290" s="19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044, 19270525, 08.00, 7565, 00,  290, 00</v>
      </c>
    </row>
    <row r="291" spans="1:1" x14ac:dyDescent="0.25">
      <c r="A291" s="19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044, 19270525, 15.00, 7545, 00,  300, 00</v>
      </c>
    </row>
    <row r="292" spans="1:1" x14ac:dyDescent="0.25">
      <c r="A292" s="19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044, 19270526, 08.00, 7565, 00,  290, 00</v>
      </c>
    </row>
    <row r="293" spans="1:1" x14ac:dyDescent="0.25">
      <c r="A293" s="19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044, 19270526, 15.00, 7545, 00,  300, 00</v>
      </c>
    </row>
    <row r="294" spans="1:1" x14ac:dyDescent="0.25">
      <c r="A294" s="19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044, 19270527, 08.00, 7565, 00,  290, 00</v>
      </c>
    </row>
    <row r="295" spans="1:1" x14ac:dyDescent="0.25">
      <c r="A295" s="19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044, 19270527, 15.00, 7540, 00,  300, 00</v>
      </c>
    </row>
    <row r="296" spans="1:1" x14ac:dyDescent="0.25">
      <c r="A296" s="19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044, 19270528, 08.00, 7560, 00,  290, 00</v>
      </c>
    </row>
    <row r="297" spans="1:1" x14ac:dyDescent="0.25">
      <c r="A297" s="19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044, 19270528, 15.00, 7545, 00,  300, 00</v>
      </c>
    </row>
    <row r="298" spans="1:1" x14ac:dyDescent="0.25">
      <c r="A298" s="19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044, 19270529, 08.00, 7560, 00,  290, 00</v>
      </c>
    </row>
    <row r="299" spans="1:1" x14ac:dyDescent="0.25">
      <c r="A299" s="19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044, 19270529, 15.00, 7545, 00,  300, 00</v>
      </c>
    </row>
    <row r="300" spans="1:1" x14ac:dyDescent="0.25">
      <c r="A300" s="19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044, 19270530, 08.00, 7585, 00,  290, 00</v>
      </c>
    </row>
    <row r="301" spans="1:1" x14ac:dyDescent="0.25">
      <c r="A301" s="19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044, 19270530, 15.00, 7560, 00,  300, 00</v>
      </c>
    </row>
    <row r="302" spans="1:1" x14ac:dyDescent="0.25">
      <c r="A302" s="19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044, 19270531, 08.00, 7580, 00,  290, 00</v>
      </c>
    </row>
    <row r="303" spans="1:1" x14ac:dyDescent="0.25">
      <c r="A303" s="19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044, 19270531, 15.00, 7560, 00,  300, 00</v>
      </c>
    </row>
    <row r="304" spans="1:1" x14ac:dyDescent="0.25">
      <c r="A304" s="19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044, 19270601, 08.00, 7570, 00,  290, 00</v>
      </c>
    </row>
    <row r="305" spans="1:1" x14ac:dyDescent="0.25">
      <c r="A305" s="19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044, 19270601, 15.00, 7550, 00,  300, 00</v>
      </c>
    </row>
    <row r="306" spans="1:1" x14ac:dyDescent="0.25">
      <c r="A306" s="19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044, 19270602, 08.00, 7575, 00,  290, 00</v>
      </c>
    </row>
    <row r="307" spans="1:1" x14ac:dyDescent="0.25">
      <c r="A307" s="19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044, 19270602, 15.00, 7550, 00,  300, 00</v>
      </c>
    </row>
    <row r="308" spans="1:1" x14ac:dyDescent="0.25">
      <c r="A308" s="19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044, 19270603, 08.00, 7575, 00,  290, 00</v>
      </c>
    </row>
    <row r="309" spans="1:1" x14ac:dyDescent="0.25">
      <c r="A309" s="19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044, 19270603, 15.00, 7555, 00,  300, 00</v>
      </c>
    </row>
    <row r="310" spans="1:1" x14ac:dyDescent="0.25">
      <c r="A310" s="19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044, 19270604, 08.00, 7570, 00,  290, 00</v>
      </c>
    </row>
    <row r="311" spans="1:1" x14ac:dyDescent="0.25">
      <c r="A311" s="19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044, 19270604, 15.00, 7550, 00,  305, 00</v>
      </c>
    </row>
    <row r="312" spans="1:1" x14ac:dyDescent="0.25">
      <c r="A312" s="19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044, 19270605, 08.00, 7570, 00,  290, 00</v>
      </c>
    </row>
    <row r="313" spans="1:1" x14ac:dyDescent="0.25">
      <c r="A313" s="19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044, 19270605, 15.00, 7550, 00,  300, 00</v>
      </c>
    </row>
    <row r="314" spans="1:1" x14ac:dyDescent="0.25">
      <c r="A314" s="19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044, 19270606, 08.00, 7575, 00,  290, 00</v>
      </c>
    </row>
    <row r="315" spans="1:1" x14ac:dyDescent="0.25">
      <c r="A315" s="19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044, 19270606, 15.00, 7565, 00,  300, 00</v>
      </c>
    </row>
    <row r="316" spans="1:1" x14ac:dyDescent="0.25">
      <c r="A316" s="19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044, 19270607, 08.00, 7575, 00,  290, 00</v>
      </c>
    </row>
    <row r="317" spans="1:1" x14ac:dyDescent="0.25">
      <c r="A317" s="19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044, 19270607, 15.00, 7565, 00,  300, 00</v>
      </c>
    </row>
    <row r="318" spans="1:1" x14ac:dyDescent="0.25">
      <c r="A318" s="19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044, 19270608, 08.00, 7575, 00,  290, 00</v>
      </c>
    </row>
    <row r="319" spans="1:1" x14ac:dyDescent="0.25">
      <c r="A319" s="19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044, 19270608, 15.00, 7555, 00,  300, 00</v>
      </c>
    </row>
    <row r="320" spans="1:1" x14ac:dyDescent="0.25">
      <c r="A320" s="19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044, 19270609, 08.00, 7575, 00,  290, 00</v>
      </c>
    </row>
    <row r="321" spans="1:1" x14ac:dyDescent="0.25">
      <c r="A321" s="19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044, 19270609, 15.00, 7555, 00,  300, 00</v>
      </c>
    </row>
    <row r="322" spans="1:1" x14ac:dyDescent="0.25">
      <c r="A322" s="19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044, 19270610, 08.00, 7565, 00,  290, 00</v>
      </c>
    </row>
    <row r="323" spans="1:1" x14ac:dyDescent="0.25">
      <c r="A323" s="19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044, 19270610, 15.00, 7550, 00,  300, 00</v>
      </c>
    </row>
    <row r="324" spans="1:1" x14ac:dyDescent="0.25">
      <c r="A324" s="19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044, 19270611, 08.00, 7565, 00,  290, 00</v>
      </c>
    </row>
    <row r="325" spans="1:1" x14ac:dyDescent="0.25">
      <c r="A325" s="19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044, 19270611, 15.00, 7545, 00,  300, 00</v>
      </c>
    </row>
    <row r="326" spans="1:1" x14ac:dyDescent="0.25">
      <c r="A326" s="19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044, 19270612, 08.00, 7565, 00,  290, 00</v>
      </c>
    </row>
    <row r="327" spans="1:1" x14ac:dyDescent="0.25">
      <c r="A327" s="19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044, 19270612, 15.00, 7545, 00,  300, 00</v>
      </c>
    </row>
    <row r="328" spans="1:1" x14ac:dyDescent="0.25">
      <c r="A328" s="19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044, 19270613, 08.00, 7575, 00,  290, 00</v>
      </c>
    </row>
    <row r="329" spans="1:1" x14ac:dyDescent="0.25">
      <c r="A329" s="19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044, 19270613, 15.00, 7570, 00,  300, 00</v>
      </c>
    </row>
    <row r="330" spans="1:1" x14ac:dyDescent="0.25">
      <c r="A330" s="19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044, 19270614, 08.00, 7575, 00,  290, 00</v>
      </c>
    </row>
    <row r="331" spans="1:1" x14ac:dyDescent="0.25">
      <c r="A331" s="19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044, 19270614, 15.00, 7560, 00,  300, 00</v>
      </c>
    </row>
    <row r="332" spans="1:1" x14ac:dyDescent="0.25">
      <c r="A332" s="19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044, 19270615, 08.00, 7570, 00,  290, 00</v>
      </c>
    </row>
    <row r="333" spans="1:1" x14ac:dyDescent="0.25">
      <c r="A333" s="19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044, 19270615, 15.00, 7545, 00,  300, 00</v>
      </c>
    </row>
    <row r="334" spans="1:1" x14ac:dyDescent="0.25">
      <c r="A334" s="19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044, 19270616, 08.00, 7565, 00,  290, 00</v>
      </c>
    </row>
    <row r="335" spans="1:1" x14ac:dyDescent="0.25">
      <c r="A335" s="19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044, 19270616, 15.00, 7560, 00,  300, 00</v>
      </c>
    </row>
    <row r="336" spans="1:1" x14ac:dyDescent="0.25">
      <c r="A336" s="19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044, 19270617, 08.00, 7565, 00,  290, 00</v>
      </c>
    </row>
    <row r="337" spans="1:1" x14ac:dyDescent="0.25">
      <c r="A337" s="19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044, 19270617, 15.00, 7560, 00,  300, 00</v>
      </c>
    </row>
    <row r="338" spans="1:1" x14ac:dyDescent="0.25">
      <c r="A338" s="19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044, 19270618, 08.00, 7580, 00,  290, 00</v>
      </c>
    </row>
    <row r="339" spans="1:1" x14ac:dyDescent="0.25">
      <c r="A339" s="19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044, 19270618, 15.00, 7565, 00,  300, 00</v>
      </c>
    </row>
    <row r="340" spans="1:1" x14ac:dyDescent="0.25">
      <c r="A340" s="19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044, 19270619, 08.00, 7580, 00,  290, 00</v>
      </c>
    </row>
    <row r="341" spans="1:1" x14ac:dyDescent="0.25">
      <c r="A341" s="19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044, 19270619, 15.00, 7565, 00,  300, 00</v>
      </c>
    </row>
    <row r="342" spans="1:1" x14ac:dyDescent="0.25">
      <c r="A342" s="19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044, 19270620, 08.00, 7570, 00,  290, 00</v>
      </c>
    </row>
    <row r="343" spans="1:1" x14ac:dyDescent="0.25">
      <c r="A343" s="19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044, 19270620, 15.00, 7550, 00,  300, 00</v>
      </c>
    </row>
    <row r="344" spans="1:1" x14ac:dyDescent="0.25">
      <c r="A344" s="19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044, 19270621, 08.00, 7575, 00,  290, 00</v>
      </c>
    </row>
    <row r="345" spans="1:1" x14ac:dyDescent="0.25">
      <c r="A345" s="19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044, 19270621, 15.00, 7555, 00,  300, 00</v>
      </c>
    </row>
    <row r="346" spans="1:1" x14ac:dyDescent="0.25">
      <c r="A346" s="19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044, 19270622, 08.00, 7575, 00,  290, 00</v>
      </c>
    </row>
    <row r="347" spans="1:1" x14ac:dyDescent="0.25">
      <c r="A347" s="19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044, 19270622, 15.00, 7555, 00,  300, 00</v>
      </c>
    </row>
    <row r="348" spans="1:1" x14ac:dyDescent="0.25">
      <c r="A348" s="19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044, 19270623, 08.00, 7575, 00,  290, 00</v>
      </c>
    </row>
    <row r="349" spans="1:1" x14ac:dyDescent="0.25">
      <c r="A349" s="19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044, 19270623, 15.00, 7560, 00,  300, 00</v>
      </c>
    </row>
    <row r="350" spans="1:1" x14ac:dyDescent="0.25">
      <c r="A350" s="19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044, 19270624, 08.00, 7570, 00,  290, 00</v>
      </c>
    </row>
    <row r="351" spans="1:1" x14ac:dyDescent="0.25">
      <c r="A351" s="19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044, 19270624, 15.00, 7555, 00,  300, 00</v>
      </c>
    </row>
    <row r="352" spans="1:1" x14ac:dyDescent="0.25">
      <c r="A352" s="19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044, 19270625, 08.00, 7580, 00,  280, 00</v>
      </c>
    </row>
    <row r="353" spans="1:1" x14ac:dyDescent="0.25">
      <c r="A353" s="19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044, 19270625, 15.00, 7555, 00,  290, 00</v>
      </c>
    </row>
    <row r="354" spans="1:1" x14ac:dyDescent="0.25">
      <c r="A354" s="19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044, 19270626, 08.00, 7570, 00,  290, 00</v>
      </c>
    </row>
    <row r="355" spans="1:1" x14ac:dyDescent="0.25">
      <c r="A355" s="19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044, 19270626, 15.00, 7555, 00,  300, 00</v>
      </c>
    </row>
    <row r="356" spans="1:1" x14ac:dyDescent="0.25">
      <c r="A356" s="19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044, 19270627, 08.00, 7570, 00,  290, 00</v>
      </c>
    </row>
    <row r="357" spans="1:1" x14ac:dyDescent="0.25">
      <c r="A357" s="19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044, 19270627, 15.00, 7555, 00,  295, 00</v>
      </c>
    </row>
    <row r="358" spans="1:1" x14ac:dyDescent="0.25">
      <c r="A358" s="19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044, 19270628, 08.00, 7585, 00,  285, 00</v>
      </c>
    </row>
    <row r="359" spans="1:1" x14ac:dyDescent="0.25">
      <c r="A359" s="19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044, 19270628, 15.00, 7570, 00,  285, 00</v>
      </c>
    </row>
    <row r="360" spans="1:1" x14ac:dyDescent="0.25">
      <c r="A360" s="19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044, 19270629, 08.00, 7575, 00,  285, 00</v>
      </c>
    </row>
    <row r="361" spans="1:1" x14ac:dyDescent="0.25">
      <c r="A361" s="19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044, 19270629, 15.00, 7570, 00,  285, 00</v>
      </c>
    </row>
    <row r="362" spans="1:1" x14ac:dyDescent="0.25">
      <c r="A362" s="19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044, 19270630, 08.00, 7575, 00,  285, 00</v>
      </c>
    </row>
    <row r="363" spans="1:1" x14ac:dyDescent="0.25">
      <c r="A363" s="19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044, 19270630, 15.00, 7550, 00,  300, 00</v>
      </c>
    </row>
    <row r="364" spans="1:1" x14ac:dyDescent="0.25">
      <c r="A364" s="19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044, 19270701, 08.00, 7585, 00,  285, 00</v>
      </c>
    </row>
    <row r="365" spans="1:1" x14ac:dyDescent="0.25">
      <c r="A365" s="19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044, 19270701, 15.00, 7555, 00,  300, 00</v>
      </c>
    </row>
    <row r="366" spans="1:1" x14ac:dyDescent="0.25">
      <c r="A366" s="19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044, 19270702, 08.00, 7585, 00,  280, 00</v>
      </c>
    </row>
    <row r="367" spans="1:1" x14ac:dyDescent="0.25">
      <c r="A367" s="19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044, 19270702, 15.00, 7550, 00,  290, 00</v>
      </c>
    </row>
    <row r="368" spans="1:1" x14ac:dyDescent="0.25">
      <c r="A368" s="19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044, 19270703, 08.00, 7585, 00,  280, 00</v>
      </c>
    </row>
    <row r="369" spans="1:1" x14ac:dyDescent="0.25">
      <c r="A369" s="19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044, 19270703, 15.00, 7550, 00,  290, 00</v>
      </c>
    </row>
    <row r="370" spans="1:1" x14ac:dyDescent="0.25">
      <c r="A370" s="19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044, 19270704, 08.00, 7585, 00,  280, 00</v>
      </c>
    </row>
    <row r="371" spans="1:1" x14ac:dyDescent="0.25">
      <c r="A371" s="19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044, 19270704, 15.00, 7570, 00,  290, 00</v>
      </c>
    </row>
    <row r="372" spans="1:1" x14ac:dyDescent="0.25">
      <c r="A372" s="19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044, 19270705, 08.00, 7580, 00,  285, 00</v>
      </c>
    </row>
    <row r="373" spans="1:1" x14ac:dyDescent="0.25">
      <c r="A373" s="19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044, 19270705, 15.00, 7560, 00,  300, 00</v>
      </c>
    </row>
    <row r="374" spans="1:1" x14ac:dyDescent="0.25">
      <c r="A374" s="19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044, 19270706, 08.00, 7580, 00,  280, 00</v>
      </c>
    </row>
    <row r="375" spans="1:1" x14ac:dyDescent="0.25">
      <c r="A375" s="19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044, 19270706, 15.00, 7555, 00,  300, 00</v>
      </c>
    </row>
    <row r="376" spans="1:1" x14ac:dyDescent="0.25">
      <c r="A376" s="19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044, 19270707, 08.00, 7580, 00,  290, 00</v>
      </c>
    </row>
    <row r="377" spans="1:1" x14ac:dyDescent="0.25">
      <c r="A377" s="19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044, 19270707, 15.00, 7555, 00,  300, 00</v>
      </c>
    </row>
    <row r="378" spans="1:1" x14ac:dyDescent="0.25">
      <c r="A378" s="19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044, 19270708, 08.00, 7585, 00,  280, 00</v>
      </c>
    </row>
    <row r="379" spans="1:1" x14ac:dyDescent="0.25">
      <c r="A379" s="19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044, 19270708, 15.00, 7570, 00,  300, 00</v>
      </c>
    </row>
    <row r="380" spans="1:1" x14ac:dyDescent="0.25">
      <c r="A380" s="19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044, 19270709, 08.00, 7585, 00,  285, 00</v>
      </c>
    </row>
    <row r="381" spans="1:1" x14ac:dyDescent="0.25">
      <c r="A381" s="19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044, 19270709, 15.00, 7565, 00,  300, 00</v>
      </c>
    </row>
    <row r="382" spans="1:1" x14ac:dyDescent="0.25">
      <c r="A382" s="19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044, 19270710, 08.00, 7585, 00,  285, 00</v>
      </c>
    </row>
    <row r="383" spans="1:1" x14ac:dyDescent="0.25">
      <c r="A383" s="19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044, 19270710, 15.00, 7565, 00,  300, 00</v>
      </c>
    </row>
    <row r="384" spans="1:1" x14ac:dyDescent="0.25">
      <c r="A384" s="19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044, 19270711, 08.00, 7580, 00,  285, 00</v>
      </c>
    </row>
    <row r="385" spans="1:1" x14ac:dyDescent="0.25">
      <c r="A385" s="19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044, 19270711, 15.00, 7565, 00,  300, 00</v>
      </c>
    </row>
    <row r="386" spans="1:1" x14ac:dyDescent="0.25">
      <c r="A386" s="19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044, 19270712, 08.00, 7585, 00,  285, 00</v>
      </c>
    </row>
    <row r="387" spans="1:1" x14ac:dyDescent="0.25">
      <c r="A387" s="19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044, 19270712, 15.00, 7565, 00,  300, 00</v>
      </c>
    </row>
    <row r="388" spans="1:1" x14ac:dyDescent="0.25">
      <c r="A388" s="19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044, 19270713, 08.00, 7585, 00,  280, 00</v>
      </c>
    </row>
    <row r="389" spans="1:1" x14ac:dyDescent="0.25">
      <c r="A389" s="19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044, 19270713, 15.00, 7565, 00,  300, 00</v>
      </c>
    </row>
    <row r="390" spans="1:1" x14ac:dyDescent="0.25">
      <c r="A390" s="19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044, 19270714, 08.00, 7575, 00,  280, 00</v>
      </c>
    </row>
    <row r="391" spans="1:1" x14ac:dyDescent="0.25">
      <c r="A391" s="19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044, 19270714, 15.00, 7560, 00,  300, 00</v>
      </c>
    </row>
    <row r="392" spans="1:1" x14ac:dyDescent="0.25">
      <c r="A392" s="19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044, 19270715, 08.00, 7575, 00,  285, 00</v>
      </c>
    </row>
    <row r="393" spans="1:1" x14ac:dyDescent="0.25">
      <c r="A393" s="19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044, 19270715, 15.00, 7555, 00,  300, 00</v>
      </c>
    </row>
    <row r="394" spans="1:1" x14ac:dyDescent="0.25">
      <c r="A394" s="19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044, 19270716, 08.00, 7580, 00,  285, 00</v>
      </c>
    </row>
    <row r="395" spans="1:1" x14ac:dyDescent="0.25">
      <c r="A395" s="19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044, 19270716, 15.00, 7565, 00,  300, 00</v>
      </c>
    </row>
    <row r="396" spans="1:1" x14ac:dyDescent="0.25">
      <c r="A396" s="19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044, 19270717, 08.00, 7580, 00,  285, 00</v>
      </c>
    </row>
    <row r="397" spans="1:1" x14ac:dyDescent="0.25">
      <c r="A397" s="19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044, 19270717, 15.00, 7565, 00,  300, 00</v>
      </c>
    </row>
    <row r="398" spans="1:1" x14ac:dyDescent="0.25">
      <c r="A398" s="19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044, 19270718, 08.00, 7570, 00,  290, 00</v>
      </c>
    </row>
    <row r="399" spans="1:1" x14ac:dyDescent="0.25">
      <c r="A399" s="19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044, 19270718, 15.00, 7555, 00,  300, 00</v>
      </c>
    </row>
    <row r="400" spans="1:1" x14ac:dyDescent="0.25">
      <c r="A400" s="19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044, 19270719, 08.00, 7565, 00,  290, 00</v>
      </c>
    </row>
    <row r="401" spans="1:1" x14ac:dyDescent="0.25">
      <c r="A401" s="19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044, 19270719, 15.00, 7550, 00,  300, 00</v>
      </c>
    </row>
    <row r="402" spans="1:1" x14ac:dyDescent="0.25">
      <c r="A402" s="19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044, 19270720, 08.00, 7565, 00,  290, 00</v>
      </c>
    </row>
    <row r="403" spans="1:1" x14ac:dyDescent="0.25">
      <c r="A403" s="19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044, 19270720, 15.00, 7550, 00,  300, 00</v>
      </c>
    </row>
    <row r="404" spans="1:1" x14ac:dyDescent="0.25">
      <c r="A404" s="19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044, 19270721, 08.00, 7565, 00,  300, 00</v>
      </c>
    </row>
    <row r="405" spans="1:1" x14ac:dyDescent="0.25">
      <c r="A405" s="19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044, 19270721, 15.00, 7545, 00,  310, 00</v>
      </c>
    </row>
    <row r="406" spans="1:1" x14ac:dyDescent="0.25">
      <c r="A406" s="19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044, 19270722, 08.00, 7565, 00,  300, 00</v>
      </c>
    </row>
    <row r="407" spans="1:1" x14ac:dyDescent="0.25">
      <c r="A407" s="19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044, 19270722, 15.00, 7545, 00,  310, 00</v>
      </c>
    </row>
    <row r="408" spans="1:1" x14ac:dyDescent="0.25">
      <c r="A408" s="19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044, 19270723, 08.00, 7565, 00,  300, 00</v>
      </c>
    </row>
    <row r="409" spans="1:1" x14ac:dyDescent="0.25">
      <c r="A409" s="19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044, 19270723, 15.00, 7550, 00,  305, 00</v>
      </c>
    </row>
    <row r="410" spans="1:1" x14ac:dyDescent="0.25">
      <c r="A410" s="19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044, 19270724, 08.00, 7565, 00,  300, 00</v>
      </c>
    </row>
    <row r="411" spans="1:1" x14ac:dyDescent="0.25">
      <c r="A411" s="19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044, 19270724, 15.00, 7550, 00,  305, 00</v>
      </c>
    </row>
    <row r="412" spans="1:1" x14ac:dyDescent="0.25">
      <c r="A412" s="19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044, 19270725, 08.00, 7580, 00,  295, 00</v>
      </c>
    </row>
    <row r="413" spans="1:1" x14ac:dyDescent="0.25">
      <c r="A413" s="19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044, 19270725, 15.00, 7565, 00,  310, 00</v>
      </c>
    </row>
    <row r="414" spans="1:1" x14ac:dyDescent="0.25">
      <c r="A414" s="19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044, 19270726, 08.00, 7585, 00,  285, 00</v>
      </c>
    </row>
    <row r="415" spans="1:1" x14ac:dyDescent="0.25">
      <c r="A415" s="19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044, 19270726, 15.00, 7570, 00,  305, 00</v>
      </c>
    </row>
    <row r="416" spans="1:1" x14ac:dyDescent="0.25">
      <c r="A416" s="19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044, 19270727, 08.00, 7585, 00,  290, 00</v>
      </c>
    </row>
    <row r="417" spans="1:1" x14ac:dyDescent="0.25">
      <c r="A417" s="19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044, 19270727, 15.00, 7550, 00,  305, 00</v>
      </c>
    </row>
    <row r="418" spans="1:1" x14ac:dyDescent="0.25">
      <c r="A418" s="19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044, 19270728, 08.00, 7585, 00,  290, 00</v>
      </c>
    </row>
    <row r="419" spans="1:1" x14ac:dyDescent="0.25">
      <c r="A419" s="19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044, 19270728, 15.00, 7565, 00,  305, 00</v>
      </c>
    </row>
    <row r="420" spans="1:1" x14ac:dyDescent="0.25">
      <c r="A420" s="19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044, 19270729, 08.00, 7575, 00,  290, 00</v>
      </c>
    </row>
    <row r="421" spans="1:1" x14ac:dyDescent="0.25">
      <c r="A421" s="19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044, 19270729, 15.00, 7550, 00,  310, 00</v>
      </c>
    </row>
    <row r="422" spans="1:1" x14ac:dyDescent="0.25">
      <c r="A422" s="19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044, 19270730, 08.00, 7575, 00,  290, 00</v>
      </c>
    </row>
    <row r="423" spans="1:1" x14ac:dyDescent="0.25">
      <c r="A423" s="19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044, 19270730, 15.00, 7555, 00,  310, 00</v>
      </c>
    </row>
    <row r="424" spans="1:1" x14ac:dyDescent="0.25">
      <c r="A424" s="19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044, 19270731, 08.00, 7575, 00,  290, 00</v>
      </c>
    </row>
    <row r="425" spans="1:1" x14ac:dyDescent="0.25">
      <c r="A425" s="19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044, 19270731, 15.00, 7555, 00,  310, 00</v>
      </c>
    </row>
    <row r="426" spans="1:1" x14ac:dyDescent="0.25">
      <c r="A426" s="19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044, 19270801, 08.00, 7570, 00,  290, 00</v>
      </c>
    </row>
    <row r="427" spans="1:1" x14ac:dyDescent="0.25">
      <c r="A427" s="19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044, 19270801, 15.00, 7560, 00,  310, 00</v>
      </c>
    </row>
    <row r="428" spans="1:1" x14ac:dyDescent="0.25">
      <c r="A428" s="19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044, 19270802, 08.00, 7570, 00,  300, 00</v>
      </c>
    </row>
    <row r="429" spans="1:1" x14ac:dyDescent="0.25">
      <c r="A429" s="19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044, 19270802, 15.00, 7550, 00,  305, 00</v>
      </c>
    </row>
    <row r="430" spans="1:1" x14ac:dyDescent="0.25">
      <c r="A430" s="19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044, 19270803, 08.00, 7555, 00,  300, 00</v>
      </c>
    </row>
    <row r="431" spans="1:1" x14ac:dyDescent="0.25">
      <c r="A431" s="19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044, 19270803, 15.00, 7535, 00,  315, 00</v>
      </c>
    </row>
    <row r="432" spans="1:1" x14ac:dyDescent="0.25">
      <c r="A432" s="19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044, 19270804, 08.00, 7560, 00,  300, 00</v>
      </c>
    </row>
    <row r="433" spans="1:1" x14ac:dyDescent="0.25">
      <c r="A433" s="19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044, 19270804, 15.00, 7545, 00,  310, 00</v>
      </c>
    </row>
    <row r="434" spans="1:1" x14ac:dyDescent="0.25">
      <c r="A434" s="19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044, 19270805, 08.00, 7570, 00,  290, 00</v>
      </c>
    </row>
    <row r="435" spans="1:1" x14ac:dyDescent="0.25">
      <c r="A435" s="19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044, 19270805, 15.00, 7555, 00,  305, 00</v>
      </c>
    </row>
    <row r="436" spans="1:1" x14ac:dyDescent="0.25">
      <c r="A436" s="19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044, 19270806, 08.00, 7565, 00,  290, 00</v>
      </c>
    </row>
    <row r="437" spans="1:1" x14ac:dyDescent="0.25">
      <c r="A437" s="19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044, 19270806, 15.00, 7545, 00,  310, 00</v>
      </c>
    </row>
    <row r="438" spans="1:1" x14ac:dyDescent="0.25">
      <c r="A438" s="19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044, 19270807, 08.00, 7565, 00,  290, 00</v>
      </c>
    </row>
    <row r="439" spans="1:1" x14ac:dyDescent="0.25">
      <c r="A439" s="19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044, 19270807, 15.00, 7545, 00,  310, 00</v>
      </c>
    </row>
    <row r="440" spans="1:1" x14ac:dyDescent="0.25">
      <c r="A440" s="19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044, 19270808, 08.00, 7565, 00,  295, 00</v>
      </c>
    </row>
    <row r="441" spans="1:1" x14ac:dyDescent="0.25">
      <c r="A441" s="19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044, 19270808, 15.00, 7550, 00,  310, 00</v>
      </c>
    </row>
    <row r="442" spans="1:1" x14ac:dyDescent="0.25">
      <c r="A442" s="19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044, 19270809, 08.00, 7575, 00,  290, 00</v>
      </c>
    </row>
    <row r="443" spans="1:1" x14ac:dyDescent="0.25">
      <c r="A443" s="19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044, 19270809, 15.00, 7550, 00,  300, 00</v>
      </c>
    </row>
    <row r="444" spans="1:1" x14ac:dyDescent="0.25">
      <c r="A444" s="19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044, 19270810, 08.00, 7570, 00,  290, 00</v>
      </c>
    </row>
    <row r="445" spans="1:1" x14ac:dyDescent="0.25">
      <c r="A445" s="19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044, 19270810, 15.00, 7545, 00,  305, 00</v>
      </c>
    </row>
    <row r="446" spans="1:1" x14ac:dyDescent="0.25">
      <c r="A446" s="19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044, 19270811, 08.00, 7560, 00,  295, 00</v>
      </c>
    </row>
    <row r="447" spans="1:1" x14ac:dyDescent="0.25">
      <c r="A447" s="19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044, 19270811, 15.00, 7535, 00,  310, 00</v>
      </c>
    </row>
    <row r="448" spans="1:1" x14ac:dyDescent="0.25">
      <c r="A448" s="19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044, 19270812, 08.00, 7570, 00,  295, 00</v>
      </c>
    </row>
    <row r="449" spans="1:1" x14ac:dyDescent="0.25">
      <c r="A449" s="19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044, 19270812, 15.00, 7540, 00,  305, 00</v>
      </c>
    </row>
    <row r="450" spans="1:1" x14ac:dyDescent="0.25">
      <c r="A450" s="19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044, 19270813, 08.00, 7575, 00,  295, 00</v>
      </c>
    </row>
    <row r="451" spans="1:1" x14ac:dyDescent="0.25">
      <c r="A451" s="19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044, 19270813, 15.00, 7550, 00,  310, 00</v>
      </c>
    </row>
    <row r="452" spans="1:1" x14ac:dyDescent="0.25">
      <c r="A452" s="19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044, 19270814, 08.00, 7575, 00,  290, 00</v>
      </c>
    </row>
    <row r="453" spans="1:1" x14ac:dyDescent="0.25">
      <c r="A453" s="19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044, 19270814, 15.00, 7550, 00,  310, 00</v>
      </c>
    </row>
    <row r="454" spans="1:1" x14ac:dyDescent="0.25">
      <c r="A454" s="19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044, 19270815, 08.00, 7575, 00,  295, 00</v>
      </c>
    </row>
    <row r="455" spans="1:1" x14ac:dyDescent="0.25">
      <c r="A455" s="19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044, 19270815, 15.00, 7555, 00,  310, 00</v>
      </c>
    </row>
    <row r="456" spans="1:1" x14ac:dyDescent="0.25">
      <c r="A456" s="19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044, 19270816, 08.00, 7570, 00,  295, 00</v>
      </c>
    </row>
    <row r="457" spans="1:1" x14ac:dyDescent="0.25">
      <c r="A457" s="19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044, 19270816, 15.00, 7550, 00,  310, 00</v>
      </c>
    </row>
    <row r="458" spans="1:1" x14ac:dyDescent="0.25">
      <c r="A458" s="19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044, 19270817, 08.00, 7560, 00,  295, 00</v>
      </c>
    </row>
    <row r="459" spans="1:1" x14ac:dyDescent="0.25">
      <c r="A459" s="19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044, 19270817, 15.00, 7550, 00,  310, 00</v>
      </c>
    </row>
    <row r="460" spans="1:1" x14ac:dyDescent="0.25">
      <c r="A460" s="19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044, 19270818, 08.00, 7575, 00,  290, 00</v>
      </c>
    </row>
    <row r="461" spans="1:1" x14ac:dyDescent="0.25">
      <c r="A461" s="19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044, 19270818, 15.00, 7550, 00,  305, 00</v>
      </c>
    </row>
    <row r="462" spans="1:1" x14ac:dyDescent="0.25">
      <c r="A462" s="19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044, 19270819, 08.00, 7575, 00,  285, 00</v>
      </c>
    </row>
    <row r="463" spans="1:1" x14ac:dyDescent="0.25">
      <c r="A463" s="19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044, 19270819, 15.00, 7555, 00,  305, 00</v>
      </c>
    </row>
    <row r="464" spans="1:1" x14ac:dyDescent="0.25">
      <c r="A464" s="19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044, 19270820, 08.00, 7565, 00,  295, 00</v>
      </c>
    </row>
    <row r="465" spans="1:1" x14ac:dyDescent="0.25">
      <c r="A465" s="19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044, 19270820, 15.00, 7545, 00,  310, 00</v>
      </c>
    </row>
    <row r="466" spans="1:1" x14ac:dyDescent="0.25">
      <c r="A466" s="19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044, 19270821, 08.00, 7565, 00,  295, 00</v>
      </c>
    </row>
    <row r="467" spans="1:1" x14ac:dyDescent="0.25">
      <c r="A467" s="19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044, 19270821, 15.00, 7545, 00,  310, 00</v>
      </c>
    </row>
    <row r="468" spans="1:1" x14ac:dyDescent="0.25">
      <c r="A468" s="19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044, 19270822, 08.00, 7570, 00,  295, 00</v>
      </c>
    </row>
    <row r="469" spans="1:1" x14ac:dyDescent="0.25">
      <c r="A469" s="19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044, 19270822, 15.00, 7545, 00,  310, 00</v>
      </c>
    </row>
    <row r="470" spans="1:1" x14ac:dyDescent="0.25">
      <c r="A470" s="19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044, 19270823, 08.00, 7570, 00,  295, 00</v>
      </c>
    </row>
    <row r="471" spans="1:1" x14ac:dyDescent="0.25">
      <c r="A471" s="19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044, 19270823, 15.00, 7550, 00,  315, 00</v>
      </c>
    </row>
    <row r="472" spans="1:1" x14ac:dyDescent="0.25">
      <c r="A472" s="19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044, 19270824, 08.00, 7565, 00,  295, 00</v>
      </c>
    </row>
    <row r="473" spans="1:1" x14ac:dyDescent="0.25">
      <c r="A473" s="19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044, 19270824, 15.00, 7540, 00,  315, 00</v>
      </c>
    </row>
    <row r="474" spans="1:1" x14ac:dyDescent="0.25">
      <c r="A474" s="19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044, 19270825, 08.00, 7570, 00,  290, 00</v>
      </c>
    </row>
    <row r="475" spans="1:1" x14ac:dyDescent="0.25">
      <c r="A475" s="19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044, 19270825, 15.00, 7555, 00,  305, 00</v>
      </c>
    </row>
    <row r="476" spans="1:1" x14ac:dyDescent="0.25">
      <c r="A476" s="19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044, 19270826, 08.00, 7575, 00,  290, 00</v>
      </c>
    </row>
    <row r="477" spans="1:1" x14ac:dyDescent="0.25">
      <c r="A477" s="19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044, 19270826, 15.00, 7550, 00,  305, 00</v>
      </c>
    </row>
    <row r="478" spans="1:1" x14ac:dyDescent="0.25">
      <c r="A478" s="19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044, 19270827, 08.00, 7575, 00,  290, 00</v>
      </c>
    </row>
    <row r="479" spans="1:1" x14ac:dyDescent="0.25">
      <c r="A479" s="19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044, 19270827, 15.00, 7550, 00,  305, 00</v>
      </c>
    </row>
    <row r="480" spans="1:1" x14ac:dyDescent="0.25">
      <c r="A480" s="19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044, 19270828, 08.00, 7570, 00,  290, 00</v>
      </c>
    </row>
    <row r="481" spans="1:1" x14ac:dyDescent="0.25">
      <c r="A481" s="19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044, 19270828, 15.00, 7550, 00,  305, 00</v>
      </c>
    </row>
    <row r="482" spans="1:1" x14ac:dyDescent="0.25">
      <c r="A482" s="19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044, 19270829, 08.00, 7555, 00,  295, 00</v>
      </c>
    </row>
    <row r="483" spans="1:1" x14ac:dyDescent="0.25">
      <c r="A483" s="19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044, 19270829, 15.00, 7535, 00,  300, 00</v>
      </c>
    </row>
    <row r="484" spans="1:1" x14ac:dyDescent="0.25">
      <c r="A484" s="19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044, 19270830, 08.00, 7555, 00,  295, 00</v>
      </c>
    </row>
    <row r="485" spans="1:1" x14ac:dyDescent="0.25">
      <c r="A485" s="19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044, 19270830, 15.00, 7535, 00,  310, 00</v>
      </c>
    </row>
    <row r="486" spans="1:1" x14ac:dyDescent="0.25">
      <c r="A486" s="19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044, 19270831, 08.00, 7555, 00,  295, 00</v>
      </c>
    </row>
    <row r="487" spans="1:1" x14ac:dyDescent="0.25">
      <c r="A487" s="19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044, 19270831, 15.00, 7535, 00,  310, 00</v>
      </c>
    </row>
    <row r="488" spans="1:1" x14ac:dyDescent="0.25">
      <c r="A488" s="19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044, 19270901, 08.00, 7555, 00,  300, 00</v>
      </c>
    </row>
    <row r="489" spans="1:1" x14ac:dyDescent="0.25">
      <c r="A489" s="19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044, 19270901, 15.00, 7535, 00,  315, 00</v>
      </c>
    </row>
    <row r="490" spans="1:1" x14ac:dyDescent="0.25">
      <c r="A490" s="19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044, 19270902, 08.00, 7550, 00,  305, 00</v>
      </c>
    </row>
    <row r="491" spans="1:1" x14ac:dyDescent="0.25">
      <c r="A491" s="19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044, 19270902, 15.00, 7535, 00,  315, 00</v>
      </c>
    </row>
    <row r="492" spans="1:1" x14ac:dyDescent="0.25">
      <c r="A492" s="19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044, 19270903, 08.00, 7545, 00,  305, 00</v>
      </c>
    </row>
    <row r="493" spans="1:1" x14ac:dyDescent="0.25">
      <c r="A493" s="19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044, 19270903, 15.00, 7535, 00,  315, 00</v>
      </c>
    </row>
    <row r="494" spans="1:1" x14ac:dyDescent="0.25">
      <c r="A494" s="19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044, 19270904, 08.00, 7545, 00,  305, 00</v>
      </c>
    </row>
    <row r="495" spans="1:1" x14ac:dyDescent="0.25">
      <c r="A495" s="19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044, 19270904, 15.00, 7535, 00,  315, 00</v>
      </c>
    </row>
    <row r="496" spans="1:1" x14ac:dyDescent="0.25">
      <c r="A496" s="19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044, 19270905, 08.00, 7555, 00,  300, 00</v>
      </c>
    </row>
    <row r="497" spans="1:1" x14ac:dyDescent="0.25">
      <c r="A497" s="19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044, 19270905, 15.00, 7535, 00,  315, 00</v>
      </c>
    </row>
    <row r="498" spans="1:1" x14ac:dyDescent="0.25">
      <c r="A498" s="19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044, 19270906, 08.00, 7550, 00,  310, 00</v>
      </c>
    </row>
    <row r="499" spans="1:1" x14ac:dyDescent="0.25">
      <c r="A499" s="19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044, 19270906, 15.00, 7535, 00,  320, 00</v>
      </c>
    </row>
    <row r="500" spans="1:1" x14ac:dyDescent="0.25">
      <c r="A500" s="19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044, 19270907, 08.00, 7555, 00,  300, 00</v>
      </c>
    </row>
    <row r="501" spans="1:1" x14ac:dyDescent="0.25">
      <c r="A501" s="19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044, 19270907, 15.00, 7540, 00,  315, 00</v>
      </c>
    </row>
    <row r="502" spans="1:1" x14ac:dyDescent="0.25">
      <c r="A502" s="19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044, 19270908, 08.00, 7560, 00,  300, 00</v>
      </c>
    </row>
    <row r="503" spans="1:1" x14ac:dyDescent="0.25">
      <c r="A503" s="19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044, 19270908, 15.00, 7550, 00,  310, 00</v>
      </c>
    </row>
    <row r="504" spans="1:1" x14ac:dyDescent="0.25">
      <c r="A504" s="19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044, 19270909, 08.00, 7565, 00,  295, 00</v>
      </c>
    </row>
    <row r="505" spans="1:1" x14ac:dyDescent="0.25">
      <c r="A505" s="19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044, 19270909, 15.00, 7545, 00,  315, 00</v>
      </c>
    </row>
    <row r="506" spans="1:1" x14ac:dyDescent="0.25">
      <c r="A506" s="19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044, 19270910, 08.00, 7565, 00,  295, 00</v>
      </c>
    </row>
    <row r="507" spans="1:1" x14ac:dyDescent="0.25">
      <c r="A507" s="19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044, 19270910, 15.00, 7540, 00,  315, 00</v>
      </c>
    </row>
    <row r="508" spans="1:1" x14ac:dyDescent="0.25">
      <c r="A508" s="19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044, 19270911, 08.00, 7565, 00,  295, 00</v>
      </c>
    </row>
    <row r="509" spans="1:1" x14ac:dyDescent="0.25">
      <c r="A509" s="19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044, 19270911, 15.00, 7540, 00,  315, 00</v>
      </c>
    </row>
    <row r="510" spans="1:1" x14ac:dyDescent="0.25">
      <c r="A510" s="19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044, 19270912, 08.00, 7565, 00,  295, 00</v>
      </c>
    </row>
    <row r="511" spans="1:1" x14ac:dyDescent="0.25">
      <c r="A511" s="19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044, 19270912, 15.00, 7540, 00,  315, 00</v>
      </c>
    </row>
    <row r="512" spans="1:1" x14ac:dyDescent="0.25">
      <c r="A512" s="19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044, 19270913, 08.00, 7565, 00,  295, 00</v>
      </c>
    </row>
    <row r="513" spans="1:1" x14ac:dyDescent="0.25">
      <c r="A513" s="19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044, 19270913, 15.00, 7540, 00,  315, 00</v>
      </c>
    </row>
    <row r="514" spans="1:1" x14ac:dyDescent="0.25">
      <c r="A514" s="19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044, 19270914, 08.00, 7555, 00,  300, 00</v>
      </c>
    </row>
    <row r="515" spans="1:1" x14ac:dyDescent="0.25">
      <c r="A515" s="19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044, 19270914, 15.00, 7550, 00,  315, 00</v>
      </c>
    </row>
    <row r="516" spans="1:1" x14ac:dyDescent="0.25">
      <c r="A516" s="19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044, 19270915, 08.00, 7550, 00,  300, 00</v>
      </c>
    </row>
    <row r="517" spans="1:1" x14ac:dyDescent="0.25">
      <c r="A517" s="19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044, 19270915, 15.00, 7540, 00,  315, 00</v>
      </c>
    </row>
    <row r="518" spans="1:1" x14ac:dyDescent="0.25">
      <c r="A518" s="19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044, 19270916, 08.00, 7555, 00,  305, 00</v>
      </c>
    </row>
    <row r="519" spans="1:1" x14ac:dyDescent="0.25">
      <c r="A519" s="19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044, 19270916, 15.00, 7530, 00,  315, 00</v>
      </c>
    </row>
    <row r="520" spans="1:1" x14ac:dyDescent="0.25">
      <c r="A520" s="19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044, 19270917, 08.00, 7555, 00,  305, 00</v>
      </c>
    </row>
    <row r="521" spans="1:1" x14ac:dyDescent="0.25">
      <c r="A521" s="19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044, 19270917, 15.00, 7530, 00,  315, 00</v>
      </c>
    </row>
    <row r="522" spans="1:1" x14ac:dyDescent="0.25">
      <c r="A522" s="19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044, 19270918, 08.00, 7555, 00,  305, 00</v>
      </c>
    </row>
    <row r="523" spans="1:1" x14ac:dyDescent="0.25">
      <c r="A523" s="19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044, 19270918, 15.00, 7530, 00,  315, 00</v>
      </c>
    </row>
    <row r="524" spans="1:1" x14ac:dyDescent="0.25">
      <c r="A524" s="19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044, 19270919, 08.00, 7555, 00,  300, 00</v>
      </c>
    </row>
    <row r="525" spans="1:1" x14ac:dyDescent="0.25">
      <c r="A525" s="19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044, 19270919, 15.00, 7535, 00,  315, 00</v>
      </c>
    </row>
    <row r="526" spans="1:1" x14ac:dyDescent="0.25">
      <c r="A526" s="19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044, 19270920, 08.00, 7560, 00,  300, 00</v>
      </c>
    </row>
    <row r="527" spans="1:1" x14ac:dyDescent="0.25">
      <c r="A527" s="19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044, 19270920, 15.00, 7550, 00,  315, 00</v>
      </c>
    </row>
    <row r="528" spans="1:1" x14ac:dyDescent="0.25">
      <c r="A528" s="19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044, 19270921, 08.00, 7555, 00,  305, 00</v>
      </c>
    </row>
    <row r="529" spans="1:1" x14ac:dyDescent="0.25">
      <c r="A529" s="19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044, 19270921, 15.00, 7540, 00,  310, 00</v>
      </c>
    </row>
    <row r="530" spans="1:1" x14ac:dyDescent="0.25">
      <c r="A530" s="19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044, 19270922, 08.00, 7560, 00,  300, 00</v>
      </c>
    </row>
    <row r="531" spans="1:1" x14ac:dyDescent="0.25">
      <c r="A531" s="19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044, 19270922, 15.00, 7535, 00,  315, 00</v>
      </c>
    </row>
    <row r="532" spans="1:1" x14ac:dyDescent="0.25">
      <c r="A532" s="19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044, 19270923, 08.00, 7555, 00,  295, 00</v>
      </c>
    </row>
    <row r="533" spans="1:1" x14ac:dyDescent="0.25">
      <c r="A533" s="19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044, 19270923, 15.00, 7535, 00,  315, 00</v>
      </c>
    </row>
    <row r="534" spans="1:1" x14ac:dyDescent="0.25">
      <c r="A534" s="19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044, 19270924, 08.00, 7555, 00,  300, 00</v>
      </c>
    </row>
    <row r="535" spans="1:1" x14ac:dyDescent="0.25">
      <c r="A535" s="19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044, 19270924, 15.00, 7525, 00,  320, 00</v>
      </c>
    </row>
    <row r="536" spans="1:1" x14ac:dyDescent="0.25">
      <c r="A536" s="19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044, 19270925, 08.00, 7560, 00,  310, 00</v>
      </c>
    </row>
    <row r="537" spans="1:1" x14ac:dyDescent="0.25">
      <c r="A537" s="19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044, 19270925, 15.00, 7540, 00,  315, 00</v>
      </c>
    </row>
    <row r="538" spans="1:1" x14ac:dyDescent="0.25">
      <c r="A538" s="19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044, 19270926, 08.00, 7560, 00,  310, 00</v>
      </c>
    </row>
    <row r="539" spans="1:1" x14ac:dyDescent="0.25">
      <c r="A539" s="19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044, 19270926, 15.00, 7540, 00,  310, 00</v>
      </c>
    </row>
    <row r="540" spans="1:1" x14ac:dyDescent="0.25">
      <c r="A540" s="19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044, 19270927, 08.00, 7560, 00,  300, 00</v>
      </c>
    </row>
    <row r="541" spans="1:1" x14ac:dyDescent="0.25">
      <c r="A541" s="19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044, 19270927, 15.00, 7545, 00,  310, 00</v>
      </c>
    </row>
    <row r="542" spans="1:1" x14ac:dyDescent="0.25">
      <c r="A542" s="19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044, 19270928, 08.00, 7555, 00,  300, 00</v>
      </c>
    </row>
    <row r="543" spans="1:1" x14ac:dyDescent="0.25">
      <c r="A543" s="19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044, 19270928, 15.00, 7530, 00,  320, 00</v>
      </c>
    </row>
    <row r="544" spans="1:1" x14ac:dyDescent="0.25">
      <c r="A544" s="19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044, 19270929, 08.00, 7545, 00,  315, 00</v>
      </c>
    </row>
    <row r="545" spans="1:1" x14ac:dyDescent="0.25">
      <c r="A545" s="19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044, 19270929, 15.00, 7530, 00,  320, 00</v>
      </c>
    </row>
    <row r="546" spans="1:1" x14ac:dyDescent="0.25">
      <c r="A546" s="19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044, 19270930, 08.00, 7545, 00,  315, 00</v>
      </c>
    </row>
    <row r="547" spans="1:1" x14ac:dyDescent="0.25">
      <c r="A547" s="19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044, 19270930, 15.00, 7530, 00,  320, 00</v>
      </c>
    </row>
    <row r="548" spans="1:1" x14ac:dyDescent="0.25">
      <c r="A548" s="19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044, 19271001, 08.00, 7555, 00,  310, 00</v>
      </c>
    </row>
    <row r="549" spans="1:1" x14ac:dyDescent="0.25">
      <c r="A549" s="19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044, 19271001, 15.00, 7540, 00,  320, 00</v>
      </c>
    </row>
    <row r="550" spans="1:1" x14ac:dyDescent="0.25">
      <c r="A550" s="19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044, 19271002, 08.00, 7555, 00,  310, 00</v>
      </c>
    </row>
    <row r="551" spans="1:1" x14ac:dyDescent="0.25">
      <c r="A551" s="19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044, 19271002, 15.00, 7540, 00,  320, 00</v>
      </c>
    </row>
    <row r="552" spans="1:1" x14ac:dyDescent="0.25">
      <c r="A552" s="19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044, 19271003, 08.00, 7560, 00,  305, 00</v>
      </c>
    </row>
    <row r="553" spans="1:1" x14ac:dyDescent="0.25">
      <c r="A553" s="19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044, 19271003, 15.00, 7545, 00,  320, 00</v>
      </c>
    </row>
    <row r="554" spans="1:1" x14ac:dyDescent="0.25">
      <c r="A554" s="19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044, 19271004, 08.00, 7560, 00,  305, 00</v>
      </c>
    </row>
    <row r="555" spans="1:1" x14ac:dyDescent="0.25">
      <c r="A555" s="19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044, 19271004, 15.00, 7535, 00,  320, 00</v>
      </c>
    </row>
    <row r="556" spans="1:1" x14ac:dyDescent="0.25">
      <c r="A556" s="19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044, 19271005, 08.00, 7560, 00,  310, 00</v>
      </c>
    </row>
    <row r="557" spans="1:1" x14ac:dyDescent="0.25">
      <c r="A557" s="19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044, 19271005, 15.00, 7530, 00,  320, 00</v>
      </c>
    </row>
    <row r="558" spans="1:1" x14ac:dyDescent="0.25">
      <c r="A558" s="19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044, 19271006, 08.00, 7555, 00,  310, 00</v>
      </c>
    </row>
    <row r="559" spans="1:1" x14ac:dyDescent="0.25">
      <c r="A559" s="19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044, 19271006, 15.00, 7540, 00,  320, 00</v>
      </c>
    </row>
    <row r="560" spans="1:1" x14ac:dyDescent="0.25">
      <c r="A560" s="19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044, 19271007, 08.00, 7560, 00,  310, 00</v>
      </c>
    </row>
    <row r="561" spans="1:1" x14ac:dyDescent="0.25">
      <c r="A561" s="19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044, 19271007, 15.00, 7550, 00,  320, 00</v>
      </c>
    </row>
    <row r="562" spans="1:1" x14ac:dyDescent="0.25">
      <c r="A562" s="19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044, 19271008, 08.00, 7545, 00,  310, 00</v>
      </c>
    </row>
    <row r="563" spans="1:1" x14ac:dyDescent="0.25">
      <c r="A563" s="19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044, 19271008, 15.00, 7520, 00,  320, 00</v>
      </c>
    </row>
    <row r="564" spans="1:1" x14ac:dyDescent="0.25">
      <c r="A564" s="19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044, 19271009, 08.00, 7545, 00,  310, 00</v>
      </c>
    </row>
    <row r="565" spans="1:1" x14ac:dyDescent="0.25">
      <c r="A565" s="19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044, 19271009, 15.00, 7520, 00,  320, 00</v>
      </c>
    </row>
    <row r="566" spans="1:1" x14ac:dyDescent="0.25">
      <c r="A566" s="19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044, 19271010, 08.00, 7555, 00,  310, 00</v>
      </c>
    </row>
    <row r="567" spans="1:1" x14ac:dyDescent="0.25">
      <c r="A567" s="19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044, 19271010, 15.00, 7525, 00,  320, 00</v>
      </c>
    </row>
    <row r="568" spans="1:1" x14ac:dyDescent="0.25">
      <c r="A568" s="19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044, 19271011, 08.00, 7555, 00,  310, 00</v>
      </c>
    </row>
    <row r="569" spans="1:1" x14ac:dyDescent="0.25">
      <c r="A569" s="19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044, 19271011, 15.00, 7530, 00,  320, 00</v>
      </c>
    </row>
    <row r="570" spans="1:1" x14ac:dyDescent="0.25">
      <c r="A570" s="19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044, 19271012, 08.00, 7555, 00,  310, 00</v>
      </c>
    </row>
    <row r="571" spans="1:1" x14ac:dyDescent="0.25">
      <c r="A571" s="19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044, 19271012, 15.00, 7525, 00,  320, 00</v>
      </c>
    </row>
    <row r="572" spans="1:1" x14ac:dyDescent="0.25">
      <c r="A572" s="19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044, 19271013, 08.00, 7555, 00,  310, 00</v>
      </c>
    </row>
    <row r="573" spans="1:1" x14ac:dyDescent="0.25">
      <c r="A573" s="19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044, 19271013, 15.00, 7530, 00,  320, 00</v>
      </c>
    </row>
    <row r="574" spans="1:1" x14ac:dyDescent="0.25">
      <c r="A574" s="19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044, 19271014, 08.00, 7555, 00,  310, 00</v>
      </c>
    </row>
    <row r="575" spans="1:1" x14ac:dyDescent="0.25">
      <c r="A575" s="19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044, 19271014, 15.00, 7530, 00,  320, 00</v>
      </c>
    </row>
    <row r="576" spans="1:1" x14ac:dyDescent="0.25">
      <c r="A576" s="19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044, 19271015, 08.00, 7555, 00,  310, 00</v>
      </c>
    </row>
    <row r="577" spans="1:1" x14ac:dyDescent="0.25">
      <c r="A577" s="19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044, 19271015, 15.00, 7525, 00,  320, 00</v>
      </c>
    </row>
    <row r="578" spans="1:1" x14ac:dyDescent="0.25">
      <c r="A578" s="19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044, 19271016, 08.00, 7540, 00,  310, 00</v>
      </c>
    </row>
    <row r="579" spans="1:1" x14ac:dyDescent="0.25">
      <c r="A579" s="19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044, 19271016, 15.00, 7510, 00,  320, 00</v>
      </c>
    </row>
    <row r="580" spans="1:1" x14ac:dyDescent="0.25">
      <c r="A580" s="19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044, 19271017, 08.00, 7545, 00,  305, 00</v>
      </c>
    </row>
    <row r="581" spans="1:1" x14ac:dyDescent="0.25">
      <c r="A581" s="19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044, 19271017, 15.00, 7525, 00,  305, 00</v>
      </c>
    </row>
    <row r="582" spans="1:1" x14ac:dyDescent="0.25">
      <c r="A582" s="19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044, 19271018, 08.00, 7555, 00,  305, 00</v>
      </c>
    </row>
    <row r="583" spans="1:1" x14ac:dyDescent="0.25">
      <c r="A583" s="19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044, 19271018, 15.00, 7535, 00,  310, 00</v>
      </c>
    </row>
    <row r="584" spans="1:1" x14ac:dyDescent="0.25">
      <c r="A584" s="19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044, 19271019, 08.00, 7560, 00,  305, 00</v>
      </c>
    </row>
    <row r="585" spans="1:1" x14ac:dyDescent="0.25">
      <c r="A585" s="19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044, 19271019, 15.00, 7535, 00,  315, 00</v>
      </c>
    </row>
    <row r="586" spans="1:1" x14ac:dyDescent="0.25">
      <c r="A586" s="19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044, 19271020, 08.00, 7560, 00,  300, 00</v>
      </c>
    </row>
    <row r="587" spans="1:1" x14ac:dyDescent="0.25">
      <c r="A587" s="19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044, 19271020, 15.00, 7540, 00,  315, 00</v>
      </c>
    </row>
    <row r="588" spans="1:1" x14ac:dyDescent="0.25">
      <c r="A588" s="19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044, 19271021, 08.00, 7570, 00,  295, 00</v>
      </c>
    </row>
    <row r="589" spans="1:1" x14ac:dyDescent="0.25">
      <c r="A589" s="19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044, 19271021, 15.00, 7550, 00,  310, 00</v>
      </c>
    </row>
    <row r="590" spans="1:1" x14ac:dyDescent="0.25">
      <c r="A590" s="19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044, 19271022, 08.00, 7575, 00,  285, 00</v>
      </c>
    </row>
    <row r="591" spans="1:1" x14ac:dyDescent="0.25">
      <c r="A591" s="19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044, 19271022, 15.00, 7550, 00,  305, 00</v>
      </c>
    </row>
    <row r="592" spans="1:1" x14ac:dyDescent="0.25">
      <c r="A592" s="19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044, 19271023, 08.00, 7565, 00,  300, 00</v>
      </c>
    </row>
    <row r="593" spans="1:1" x14ac:dyDescent="0.25">
      <c r="A593" s="19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044, 19271023, 15.00, 7550, 00,  310, 00</v>
      </c>
    </row>
    <row r="594" spans="1:1" x14ac:dyDescent="0.25">
      <c r="A594" s="19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044, 19271024, 08.00, 7565, 00,  300, 00</v>
      </c>
    </row>
    <row r="595" spans="1:1" x14ac:dyDescent="0.25">
      <c r="A595" s="19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044, 19271024, 15.00, 7540, 00,  315, 00</v>
      </c>
    </row>
    <row r="596" spans="1:1" x14ac:dyDescent="0.25">
      <c r="A596" s="19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044, 19271025, 08.00, 7550, 00,  305, 00</v>
      </c>
    </row>
    <row r="597" spans="1:1" x14ac:dyDescent="0.25">
      <c r="A597" s="19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044, 19271025, 15.00, 7530, 00,  315, 00</v>
      </c>
    </row>
    <row r="598" spans="1:1" x14ac:dyDescent="0.25">
      <c r="A598" s="19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044, 19271026, 08.00, 7555, 00,  305, 00</v>
      </c>
    </row>
    <row r="599" spans="1:1" x14ac:dyDescent="0.25">
      <c r="A599" s="19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044, 19271026, 15.00, 7530, 00,  315, 00</v>
      </c>
    </row>
    <row r="600" spans="1:1" x14ac:dyDescent="0.25">
      <c r="A600" s="19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044, 19271027, 08.00, 7560, 00,  300, 00</v>
      </c>
    </row>
    <row r="601" spans="1:1" x14ac:dyDescent="0.25">
      <c r="A601" s="19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044, 19271027, 15.00, 7540, 00,  315, 00</v>
      </c>
    </row>
    <row r="602" spans="1:1" x14ac:dyDescent="0.25">
      <c r="A602" s="19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044, 19271028, 08.00, 7560, 00,  300, 00</v>
      </c>
    </row>
    <row r="603" spans="1:1" x14ac:dyDescent="0.25">
      <c r="A603" s="19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044, 19271028, 15.00, 7540, 00,  315, 00</v>
      </c>
    </row>
    <row r="604" spans="1:1" x14ac:dyDescent="0.25">
      <c r="A604" s="19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044, 19271029, 08.00, 7555, 00,  300, 00</v>
      </c>
    </row>
    <row r="605" spans="1:1" x14ac:dyDescent="0.25">
      <c r="A605" s="19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044, 19271029, 15.00, 7535, 00,  315, 00</v>
      </c>
    </row>
    <row r="606" spans="1:1" x14ac:dyDescent="0.25">
      <c r="A606" s="19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044, 19271030, 08.00, 7560, 00,  300, 00</v>
      </c>
    </row>
    <row r="607" spans="1:1" x14ac:dyDescent="0.25">
      <c r="A607" s="19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044, 19271030, 15.00, 7540, 00,  315, 00</v>
      </c>
    </row>
    <row r="608" spans="1:1" x14ac:dyDescent="0.25">
      <c r="A608" s="19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044, 19271031, 08.00, 7560, 00,  300, 00</v>
      </c>
    </row>
    <row r="609" spans="1:1" x14ac:dyDescent="0.25">
      <c r="A609" s="19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044, 19271031, 15.00, 7540, 00,  315, 00</v>
      </c>
    </row>
    <row r="610" spans="1:1" x14ac:dyDescent="0.25">
      <c r="A610" s="19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044, 19271101, 08.00, 7570, 00,  295, 00</v>
      </c>
    </row>
    <row r="611" spans="1:1" x14ac:dyDescent="0.25">
      <c r="A611" s="19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044, 19271101, 15.00, 7545, 00,  305, 00</v>
      </c>
    </row>
    <row r="612" spans="1:1" x14ac:dyDescent="0.25">
      <c r="A612" s="19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044, 19271102, 08.00, 7565, 00,  295, 00</v>
      </c>
    </row>
    <row r="613" spans="1:1" x14ac:dyDescent="0.25">
      <c r="A613" s="19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044, 19271102, 15.00, 7540, 00,  310, 00</v>
      </c>
    </row>
    <row r="614" spans="1:1" x14ac:dyDescent="0.25">
      <c r="A614" s="19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044, 19271103, 08.00, 7555, 00,  300, 00</v>
      </c>
    </row>
    <row r="615" spans="1:1" x14ac:dyDescent="0.25">
      <c r="A615" s="19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044, 19271103, 15.00, 7525, 00,  320, 00</v>
      </c>
    </row>
    <row r="616" spans="1:1" x14ac:dyDescent="0.25">
      <c r="A616" s="19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044, 19271104, 08.00, 7545, 00,  305, 00</v>
      </c>
    </row>
    <row r="617" spans="1:1" x14ac:dyDescent="0.25">
      <c r="A617" s="19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044, 19271104, 15.00, 7525, 00,  320, 00</v>
      </c>
    </row>
    <row r="618" spans="1:1" x14ac:dyDescent="0.25">
      <c r="A618" s="19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044, 19271105, 08.00, 7560, 00,  300, 00</v>
      </c>
    </row>
    <row r="619" spans="1:1" x14ac:dyDescent="0.25">
      <c r="A619" s="19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044, 19271105, 15.00, 7535, 00,  305, 00</v>
      </c>
    </row>
    <row r="620" spans="1:1" x14ac:dyDescent="0.25">
      <c r="A620" s="19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044, 19271106, 08.00, 7560, 00,  300, 00</v>
      </c>
    </row>
    <row r="621" spans="1:1" x14ac:dyDescent="0.25">
      <c r="A621" s="19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044, 19271106, 15.00, 7535, 00,  305, 00</v>
      </c>
    </row>
    <row r="622" spans="1:1" x14ac:dyDescent="0.25">
      <c r="A622" s="19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044, 19271107, 08.00, 7560, 00,  300, 00</v>
      </c>
    </row>
    <row r="623" spans="1:1" x14ac:dyDescent="0.25">
      <c r="A623" s="19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044, 19271107, 15.00, 7535, 00,  310, 00</v>
      </c>
    </row>
    <row r="624" spans="1:1" x14ac:dyDescent="0.25">
      <c r="A624" s="19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044, 19271108, 08.00, 7560, 00,  300, 00</v>
      </c>
    </row>
    <row r="625" spans="1:1" x14ac:dyDescent="0.25">
      <c r="A625" s="19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044, 19271108, 15.00, 7540, 00,  310, 00</v>
      </c>
    </row>
    <row r="626" spans="1:1" x14ac:dyDescent="0.25">
      <c r="A626" s="19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044, 19271109, 08.00, 7570, 00,  290, 00</v>
      </c>
    </row>
    <row r="627" spans="1:1" x14ac:dyDescent="0.25">
      <c r="A627" s="19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044, 19271109, 15.00, 7545, 00,  310, 00</v>
      </c>
    </row>
    <row r="628" spans="1:1" x14ac:dyDescent="0.25">
      <c r="A628" s="19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044, 19271110, 08.00, 7570, 00,  290, 00</v>
      </c>
    </row>
    <row r="629" spans="1:1" x14ac:dyDescent="0.25">
      <c r="A629" s="19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044, 19271110, 15.00, 7550, 00,  310, 00</v>
      </c>
    </row>
    <row r="630" spans="1:1" x14ac:dyDescent="0.25">
      <c r="A630" s="19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044, 19271111, 08.00, 7560, 00,  300, 00</v>
      </c>
    </row>
    <row r="631" spans="1:1" x14ac:dyDescent="0.25">
      <c r="A631" s="19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044, 19271111, 15.00, 7540, 00,  315, 00</v>
      </c>
    </row>
    <row r="632" spans="1:1" x14ac:dyDescent="0.25">
      <c r="A632" s="19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044, 19271112, 08.00, 7550, 00,  300, 00</v>
      </c>
    </row>
    <row r="633" spans="1:1" x14ac:dyDescent="0.25">
      <c r="A633" s="19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044, 19271112, 15.00, 7540, 00,  315, 00</v>
      </c>
    </row>
    <row r="634" spans="1:1" x14ac:dyDescent="0.25">
      <c r="A634" s="19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044, 19271113, 08.00, 7555, 00,  305, 00</v>
      </c>
    </row>
    <row r="635" spans="1:1" x14ac:dyDescent="0.25">
      <c r="A635" s="19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044, 19271113, 15.00, 7540, 00,  315, 00</v>
      </c>
    </row>
    <row r="636" spans="1:1" x14ac:dyDescent="0.25">
      <c r="A636" s="19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044, 19271114, 08.00, 7555, 00,  305, 00</v>
      </c>
    </row>
    <row r="637" spans="1:1" x14ac:dyDescent="0.25">
      <c r="A637" s="19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044, 19271114, 15.00, 7525, 00,  310, 00</v>
      </c>
    </row>
    <row r="638" spans="1:1" x14ac:dyDescent="0.25">
      <c r="A638" s="19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044, 19271115, 08.00, 7554, 00,  300, 00</v>
      </c>
    </row>
    <row r="639" spans="1:1" x14ac:dyDescent="0.25">
      <c r="A639" s="19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044, 19271115, 15.00, 7515, 00,  315, 00</v>
      </c>
    </row>
    <row r="640" spans="1:1" x14ac:dyDescent="0.25">
      <c r="A640" s="19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044, 19271116, 08.00, 7540, 00,  305, 00</v>
      </c>
    </row>
    <row r="641" spans="1:1" x14ac:dyDescent="0.25">
      <c r="A641" s="19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044, 19271116, 15.00, 7520, 00,  320, 00</v>
      </c>
    </row>
    <row r="642" spans="1:1" x14ac:dyDescent="0.25">
      <c r="A642" s="19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044, 19271117, 08.00, 7530, 00,  315, 00</v>
      </c>
    </row>
    <row r="643" spans="1:1" x14ac:dyDescent="0.25">
      <c r="A643" s="19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044, 19271117, 15.00, 7510, 00,  320, 00</v>
      </c>
    </row>
    <row r="644" spans="1:1" x14ac:dyDescent="0.25">
      <c r="A644" s="19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044, 19271118, 08.00, 7540, 00,  300, 00</v>
      </c>
    </row>
    <row r="645" spans="1:1" x14ac:dyDescent="0.25">
      <c r="A645" s="19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044, 19271118, 15.00, 7520, 00,  315, 00</v>
      </c>
    </row>
    <row r="646" spans="1:1" x14ac:dyDescent="0.25">
      <c r="A646" s="19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044, 19271119, 08.00, 7550, 00,  300, 00</v>
      </c>
    </row>
    <row r="647" spans="1:1" x14ac:dyDescent="0.25">
      <c r="A647" s="19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044, 19271119, 15.00, 7520, 00,  315, 00</v>
      </c>
    </row>
    <row r="648" spans="1:1" x14ac:dyDescent="0.25">
      <c r="A648" s="19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044, 19271120, 08.00, 7550, 00,  300, 00</v>
      </c>
    </row>
    <row r="649" spans="1:1" x14ac:dyDescent="0.25">
      <c r="A649" s="19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044, 19271120, 15.00, 7520, 00,  315, 00</v>
      </c>
    </row>
    <row r="650" spans="1:1" x14ac:dyDescent="0.25">
      <c r="A650" s="19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044, 19271121, 08.00, 7555, 00,  285, 00</v>
      </c>
    </row>
    <row r="651" spans="1:1" x14ac:dyDescent="0.25">
      <c r="A651" s="19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044, 19271121, 15.00, 7535, 00,  290, 00</v>
      </c>
    </row>
    <row r="652" spans="1:1" x14ac:dyDescent="0.25">
      <c r="A652" s="19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044, 19271122, 08.00, 7570, 00,  290, 00</v>
      </c>
    </row>
    <row r="653" spans="1:1" x14ac:dyDescent="0.25">
      <c r="A653" s="19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044, 19271122, 15.00, 7540, 00,  300, 00</v>
      </c>
    </row>
    <row r="654" spans="1:1" x14ac:dyDescent="0.25">
      <c r="A654" s="19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044, 19271123, 08.00, 7560, 00,  290, 00</v>
      </c>
    </row>
    <row r="655" spans="1:1" x14ac:dyDescent="0.25">
      <c r="A655" s="19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044, 19271123, 15.00, 7550, 00,  300, 00</v>
      </c>
    </row>
    <row r="656" spans="1:1" x14ac:dyDescent="0.25">
      <c r="A656" s="19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044, 19271124, 08.00, 7550, 00,  290, 00</v>
      </c>
    </row>
    <row r="657" spans="1:1" x14ac:dyDescent="0.25">
      <c r="A657" s="19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044, 19271124, 15.00, 7530, 00,  300, 00</v>
      </c>
    </row>
    <row r="658" spans="1:1" x14ac:dyDescent="0.25">
      <c r="A658" s="19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044, 19271125, 08.00, 7550, 00,  290, 00</v>
      </c>
    </row>
    <row r="659" spans="1:1" x14ac:dyDescent="0.25">
      <c r="A659" s="19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044, 19271125, 15.00, 7525, 00,  300, 00</v>
      </c>
    </row>
    <row r="660" spans="1:1" x14ac:dyDescent="0.25">
      <c r="A660" s="19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044, 19271126, 08.00, 7545, 00,  290, 00</v>
      </c>
    </row>
    <row r="661" spans="1:1" x14ac:dyDescent="0.25">
      <c r="A661" s="19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044, 19271126, 15.00, 7530, 00,  300, 00</v>
      </c>
    </row>
    <row r="662" spans="1:1" x14ac:dyDescent="0.25">
      <c r="A662" s="19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044, 19271127, 08.00, 7545, 00,  290, 00</v>
      </c>
    </row>
    <row r="663" spans="1:1" x14ac:dyDescent="0.25">
      <c r="A663" s="19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044, 19271127, 15.00, 7530, 00,  300, 00</v>
      </c>
    </row>
    <row r="664" spans="1:1" x14ac:dyDescent="0.25">
      <c r="A664" s="19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044, 19271128, 08.00, 7545, 00,  290, 00</v>
      </c>
    </row>
    <row r="665" spans="1:1" x14ac:dyDescent="0.25">
      <c r="A665" s="19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044, 19271128, 15.00, 7525, 00,  300, 00</v>
      </c>
    </row>
    <row r="666" spans="1:1" x14ac:dyDescent="0.25">
      <c r="A666" s="19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044, 19271129, 08.00, 7545, 00,  290, 00</v>
      </c>
    </row>
    <row r="667" spans="1:1" x14ac:dyDescent="0.25">
      <c r="A667" s="19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044, 19271129, 15.00, 7525, 00,  300, 00</v>
      </c>
    </row>
    <row r="668" spans="1:1" x14ac:dyDescent="0.25">
      <c r="A668" s="19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044, 19271130, 08.00, 7545, 00,  290, 00</v>
      </c>
    </row>
    <row r="669" spans="1:1" x14ac:dyDescent="0.25">
      <c r="A669" s="19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044, 19271130, 15.00, 7525, 00,  300, 00</v>
      </c>
    </row>
    <row r="670" spans="1:1" x14ac:dyDescent="0.25">
      <c r="A670" s="19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044, 19271201, 08.00, 7545, 00,  285, 00</v>
      </c>
    </row>
    <row r="671" spans="1:1" x14ac:dyDescent="0.25">
      <c r="A671" s="19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044, 19271201, 15.00, 7525, 00,  300, 00</v>
      </c>
    </row>
    <row r="672" spans="1:1" x14ac:dyDescent="0.25">
      <c r="A672" s="19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044, 19271202, 08.00, 7545, 00,  285, 00</v>
      </c>
    </row>
    <row r="673" spans="1:1" x14ac:dyDescent="0.25">
      <c r="A673" s="19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044, 19271202, 15.00, 7525, 00,  300, 00</v>
      </c>
    </row>
    <row r="674" spans="1:1" x14ac:dyDescent="0.25">
      <c r="A674" s="19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044, 19271203, 08.00, 7560, 00,  270, 00</v>
      </c>
    </row>
    <row r="675" spans="1:1" x14ac:dyDescent="0.25">
      <c r="A675" s="19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044, 19271203, 15.00, 7545, 00,  290, 00</v>
      </c>
    </row>
    <row r="676" spans="1:1" x14ac:dyDescent="0.25">
      <c r="A676" s="19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044, 19271204, 08.00, 7560, 00,  275, 00</v>
      </c>
    </row>
    <row r="677" spans="1:1" x14ac:dyDescent="0.25">
      <c r="A677" s="19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044, 19271204, 15.00, 7545, 00,  290, 00</v>
      </c>
    </row>
    <row r="678" spans="1:1" x14ac:dyDescent="0.25">
      <c r="A678" s="19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044, 19271205, 08.00, 7570, 00,  275, 00</v>
      </c>
    </row>
    <row r="679" spans="1:1" x14ac:dyDescent="0.25">
      <c r="A679" s="19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044, 19271205, 15.00, 7550, 00,  285, 00</v>
      </c>
    </row>
    <row r="680" spans="1:1" x14ac:dyDescent="0.25">
      <c r="A680" s="19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044, 19271206, 08.00, 7565, 00,  270, 00</v>
      </c>
    </row>
    <row r="681" spans="1:1" x14ac:dyDescent="0.25">
      <c r="A681" s="19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044, 19271206, 15.00, 7545, 00,  290, 00</v>
      </c>
    </row>
    <row r="682" spans="1:1" x14ac:dyDescent="0.25">
      <c r="A682" s="19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044, 19271207, 08.00, 7555, 00,  280, 00</v>
      </c>
    </row>
    <row r="683" spans="1:1" x14ac:dyDescent="0.25">
      <c r="A683" s="19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044, 19271207, 15.00, 7545, 00,  290, 00</v>
      </c>
    </row>
    <row r="684" spans="1:1" x14ac:dyDescent="0.25">
      <c r="A684" s="19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044, 19271208, 08.00, 7565, 00,  275, 00</v>
      </c>
    </row>
    <row r="685" spans="1:1" x14ac:dyDescent="0.25">
      <c r="A685" s="19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044, 19271208, 15.00, 7545, 00,  290, 00</v>
      </c>
    </row>
    <row r="686" spans="1:1" x14ac:dyDescent="0.25">
      <c r="A686" s="19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044, 19271209, 08.00, 7565, 00,  275, 00</v>
      </c>
    </row>
    <row r="687" spans="1:1" x14ac:dyDescent="0.25">
      <c r="A687" s="19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044, 19271209, 15.00, 7555, 00,  285, 00</v>
      </c>
    </row>
    <row r="688" spans="1:1" x14ac:dyDescent="0.25">
      <c r="A688" s="19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044, 19271210, 08.00, 7575, 00,  270, 00</v>
      </c>
    </row>
    <row r="689" spans="1:1" x14ac:dyDescent="0.25">
      <c r="A689" s="19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044, 19271210, 15.00, 7560, 00,  290, 00</v>
      </c>
    </row>
    <row r="690" spans="1:1" x14ac:dyDescent="0.25">
      <c r="A690" s="19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044, 19271211, 08.00, 7575, 00,  270, 00</v>
      </c>
    </row>
    <row r="691" spans="1:1" x14ac:dyDescent="0.25">
      <c r="A691" s="19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044, 19271211, 15.00, 7560, 00,  290, 00</v>
      </c>
    </row>
    <row r="692" spans="1:1" x14ac:dyDescent="0.25">
      <c r="A692" s="19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044, 19271212, 08.00, 7575, 00,  270, 00</v>
      </c>
    </row>
    <row r="693" spans="1:1" x14ac:dyDescent="0.25">
      <c r="A693" s="19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044, 19271212, 15.00, 7560, 00,  290, 00</v>
      </c>
    </row>
    <row r="694" spans="1:1" x14ac:dyDescent="0.25">
      <c r="A694" s="19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044, 19271213, 08.00, 7575, 00,  270, 00</v>
      </c>
    </row>
    <row r="695" spans="1:1" x14ac:dyDescent="0.25">
      <c r="A695" s="19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044, 19271213, 15.00, 7560, 00,  285, 00</v>
      </c>
    </row>
    <row r="696" spans="1:1" x14ac:dyDescent="0.25">
      <c r="A696" s="19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044, 19271214, 08.00, 7575, 00,  270, 00</v>
      </c>
    </row>
    <row r="697" spans="1:1" x14ac:dyDescent="0.25">
      <c r="A697" s="19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044, 19271214, 15.00, 7560, 00,  285, 00</v>
      </c>
    </row>
    <row r="698" spans="1:1" x14ac:dyDescent="0.25">
      <c r="A698" s="19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044, 19271215, 08.00, 7575, 00,  270, 00</v>
      </c>
    </row>
    <row r="699" spans="1:1" x14ac:dyDescent="0.25">
      <c r="A699" s="19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044, 19271215, 15.00, 7555, 00,  290, 00</v>
      </c>
    </row>
    <row r="700" spans="1:1" x14ac:dyDescent="0.25">
      <c r="A700" s="19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044, 19271216, 08.00, 7570, 00,  270, 00</v>
      </c>
    </row>
    <row r="701" spans="1:1" x14ac:dyDescent="0.25">
      <c r="A701" s="19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044, 19271216, 15.00, 7555, 00,  290, 00</v>
      </c>
    </row>
    <row r="702" spans="1:1" x14ac:dyDescent="0.25">
      <c r="A702" s="19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044, 19271217, 08.00, 7565, 00,  275, 00</v>
      </c>
    </row>
    <row r="703" spans="1:1" x14ac:dyDescent="0.25">
      <c r="A703" s="19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044, 19271217, 15.00, 7550, 00,  290, 00</v>
      </c>
    </row>
    <row r="704" spans="1:1" x14ac:dyDescent="0.25">
      <c r="A704" s="19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044, 19271218, 08.00, 7565, 00,  275, 00</v>
      </c>
    </row>
    <row r="705" spans="1:1" x14ac:dyDescent="0.25">
      <c r="A705" s="19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044, 19271218, 15.00, 7550, 00,  290, 00</v>
      </c>
    </row>
    <row r="706" spans="1:1" x14ac:dyDescent="0.25">
      <c r="A706" s="19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044, 19271219, 08.00, 7565, 00,  280, 00</v>
      </c>
    </row>
    <row r="707" spans="1:1" x14ac:dyDescent="0.25">
      <c r="A707" s="19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044, 19271219, 15.00, 7545, 00,  290, 00</v>
      </c>
    </row>
    <row r="708" spans="1:1" x14ac:dyDescent="0.25">
      <c r="A708" s="19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044, 19271220, 08.00, 7570, 00,  270, 00</v>
      </c>
    </row>
    <row r="709" spans="1:1" x14ac:dyDescent="0.25">
      <c r="A709" s="19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044, 19271220, 15.00, 7545, 00,  290, 00</v>
      </c>
    </row>
    <row r="710" spans="1:1" x14ac:dyDescent="0.25">
      <c r="A710" s="19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044, 19271221, 08.00, 7565, 00,  270, 00</v>
      </c>
    </row>
    <row r="711" spans="1:1" x14ac:dyDescent="0.25">
      <c r="A711" s="19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044, 19271221, 15.00, 7550, 00,  290, 00</v>
      </c>
    </row>
    <row r="712" spans="1:1" x14ac:dyDescent="0.25">
      <c r="A712" s="19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044, 19271222, 08.00, 7570, 00,  270, 00</v>
      </c>
    </row>
    <row r="713" spans="1:1" x14ac:dyDescent="0.25">
      <c r="A713" s="19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044, 19271222, 15.00, 7545, 00,  290, 00</v>
      </c>
    </row>
    <row r="714" spans="1:1" x14ac:dyDescent="0.25">
      <c r="A714" s="19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044, 19271223, 08.00, 7575, 00,  270, 00</v>
      </c>
    </row>
    <row r="715" spans="1:1" x14ac:dyDescent="0.25">
      <c r="A715" s="19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044, 19271223, 15.00, 7555, 00,  290, 00</v>
      </c>
    </row>
    <row r="716" spans="1:1" x14ac:dyDescent="0.25">
      <c r="A716" s="19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044, 19271224, 08.00, 7580, 00,  275, 00</v>
      </c>
    </row>
    <row r="717" spans="1:1" x14ac:dyDescent="0.25">
      <c r="A717" s="19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044, 19271224, 15.00, 7565, 00,  290, 00</v>
      </c>
    </row>
    <row r="718" spans="1:1" x14ac:dyDescent="0.25">
      <c r="A718" s="19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044, 19271225, 08.00, 7565, 00,  280, 00</v>
      </c>
    </row>
    <row r="719" spans="1:1" x14ac:dyDescent="0.25">
      <c r="A719" s="19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044, 19271225, 15.00, 7555, 00,  290, 00</v>
      </c>
    </row>
    <row r="720" spans="1:1" x14ac:dyDescent="0.25">
      <c r="A720" s="19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044, 19271226, 08.00, 7565, 00,  280, 00</v>
      </c>
    </row>
    <row r="721" spans="1:1" x14ac:dyDescent="0.25">
      <c r="A721" s="19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044, 19271226, 15.00, 7545, 00,  290, 00</v>
      </c>
    </row>
    <row r="722" spans="1:1" x14ac:dyDescent="0.25">
      <c r="A722" s="19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044, 19271227, 08.00, 7565, 00,  280, 00</v>
      </c>
    </row>
    <row r="723" spans="1:1" x14ac:dyDescent="0.25">
      <c r="A723" s="19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044, 19271227, 15.00, 7545, 00,  290, 00</v>
      </c>
    </row>
    <row r="724" spans="1:1" x14ac:dyDescent="0.25">
      <c r="A724" s="19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044, 19271228, 08.00, 7570, 00,  280, 00</v>
      </c>
    </row>
    <row r="725" spans="1:1" x14ac:dyDescent="0.25">
      <c r="A725" s="19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044, 19271228, 15.00, 7555, 00,  290, 00</v>
      </c>
    </row>
    <row r="726" spans="1:1" x14ac:dyDescent="0.25">
      <c r="A726" s="19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044, 19271229, 08.00, 7580, 00,  280, 00</v>
      </c>
    </row>
    <row r="727" spans="1:1" x14ac:dyDescent="0.25">
      <c r="A727" s="19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044, 19271229, 15.00, 7560, 00,  290, 00</v>
      </c>
    </row>
    <row r="728" spans="1:1" x14ac:dyDescent="0.25">
      <c r="A728" s="19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044, 19271230, 08.00, 7580, 00,  280, 00</v>
      </c>
    </row>
    <row r="729" spans="1:1" x14ac:dyDescent="0.25">
      <c r="A729" s="19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044, 19271230, 15.00, 7560, 00,  290, 00</v>
      </c>
    </row>
    <row r="730" spans="1:1" x14ac:dyDescent="0.25">
      <c r="A730" s="19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044, 19271231, 08.00, 7585, 00,  280, 00</v>
      </c>
    </row>
    <row r="731" spans="1:1" x14ac:dyDescent="0.25">
      <c r="A731" s="19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044, 19271231, 15.00, 7560, 00,  290, 00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2015-10-08T09:37:52Z</dcterms:modified>
</cp:coreProperties>
</file>