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Invoer!$A$2:$G$382</definedName>
    <definedName name="Catalogus">Info!$J$3:$P$4</definedName>
    <definedName name="Data">Invoer!$A$3:$G$382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Info!$D$4:$E$9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E382" i="1" l="1"/>
  <c r="D382" i="1"/>
  <c r="C382" i="1"/>
  <c r="B382" i="1"/>
  <c r="E350" i="1"/>
  <c r="D350" i="1"/>
  <c r="C350" i="1"/>
  <c r="B350" i="1"/>
  <c r="E319" i="1"/>
  <c r="D319" i="1"/>
  <c r="C319" i="1"/>
  <c r="B319" i="1"/>
  <c r="E287" i="1"/>
  <c r="D287" i="1"/>
  <c r="C287" i="1"/>
  <c r="B287" i="1"/>
  <c r="E256" i="1"/>
  <c r="D256" i="1"/>
  <c r="C256" i="1"/>
  <c r="B256" i="1"/>
  <c r="E224" i="1"/>
  <c r="D224" i="1"/>
  <c r="C224" i="1"/>
  <c r="B224" i="1"/>
  <c r="E192" i="1"/>
  <c r="D192" i="1"/>
  <c r="C192" i="1"/>
  <c r="B192" i="1"/>
  <c r="E161" i="1"/>
  <c r="D161" i="1"/>
  <c r="C161" i="1"/>
  <c r="B161" i="1"/>
  <c r="E129" i="1"/>
  <c r="D129" i="1"/>
  <c r="C129" i="1"/>
  <c r="B129" i="1"/>
  <c r="E98" i="1"/>
  <c r="D98" i="1"/>
  <c r="C98" i="1"/>
  <c r="B98" i="1"/>
  <c r="E66" i="1"/>
  <c r="D66" i="1"/>
  <c r="C66" i="1"/>
  <c r="B66" i="1"/>
  <c r="E36" i="1"/>
  <c r="D36" i="1"/>
  <c r="C36" i="1"/>
  <c r="B36" i="1"/>
  <c r="A1" i="6" l="1"/>
  <c r="A2" i="3" l="1"/>
  <c r="G382" i="1" l="1"/>
  <c r="F382" i="1"/>
  <c r="G350" i="1"/>
  <c r="F350" i="1"/>
  <c r="G319" i="1"/>
  <c r="F319" i="1"/>
  <c r="G287" i="1"/>
  <c r="F287" i="1"/>
  <c r="G256" i="1"/>
  <c r="F256" i="1"/>
  <c r="G224" i="1"/>
  <c r="F224" i="1"/>
  <c r="G192" i="1"/>
  <c r="F192" i="1"/>
  <c r="G161" i="1"/>
  <c r="F161" i="1"/>
  <c r="G129" i="1"/>
  <c r="F129" i="1"/>
  <c r="G98" i="1"/>
  <c r="F98" i="1"/>
  <c r="G66" i="1"/>
  <c r="F66" i="1"/>
  <c r="G36" i="1"/>
  <c r="F36" i="1"/>
  <c r="A1" i="5" l="1"/>
  <c r="A5" i="1" l="1"/>
  <c r="B3" i="3" l="1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5" i="3"/>
  <c r="B36" i="3"/>
  <c r="B37" i="3"/>
  <c r="B38" i="3"/>
  <c r="B39" i="3"/>
  <c r="B40" i="3"/>
  <c r="B41" i="3"/>
  <c r="B42" i="3"/>
  <c r="B43" i="3"/>
  <c r="B44" i="3"/>
  <c r="B45" i="3"/>
  <c r="B46" i="3"/>
  <c r="B48" i="3"/>
  <c r="B50" i="3"/>
  <c r="B52" i="3"/>
  <c r="B54" i="3"/>
  <c r="B56" i="3"/>
  <c r="B34" i="3"/>
  <c r="B32" i="3"/>
  <c r="B47" i="3"/>
  <c r="B49" i="3"/>
  <c r="B57" i="3"/>
  <c r="B58" i="3"/>
  <c r="B60" i="3"/>
  <c r="B62" i="3"/>
  <c r="B64" i="3"/>
  <c r="B66" i="3"/>
  <c r="B68" i="3"/>
  <c r="B70" i="3"/>
  <c r="B55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53" i="3"/>
  <c r="B59" i="3"/>
  <c r="B61" i="3"/>
  <c r="B63" i="3"/>
  <c r="B65" i="3"/>
  <c r="B67" i="3"/>
  <c r="B69" i="3"/>
  <c r="B51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143" i="3"/>
  <c r="B145" i="3"/>
  <c r="B147" i="3"/>
  <c r="B149" i="3"/>
  <c r="B151" i="3"/>
  <c r="B153" i="3"/>
  <c r="B155" i="3"/>
  <c r="B157" i="3"/>
  <c r="B159" i="3"/>
  <c r="B161" i="3"/>
  <c r="B163" i="3"/>
  <c r="B165" i="3"/>
  <c r="B167" i="3"/>
  <c r="B169" i="3"/>
  <c r="B171" i="3"/>
  <c r="B173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75" i="3"/>
  <c r="B183" i="3"/>
  <c r="B191" i="3"/>
  <c r="B197" i="3"/>
  <c r="B199" i="3"/>
  <c r="B201" i="3"/>
  <c r="B203" i="3"/>
  <c r="B205" i="3"/>
  <c r="B207" i="3"/>
  <c r="B209" i="3"/>
  <c r="B211" i="3"/>
  <c r="B181" i="3"/>
  <c r="B189" i="3"/>
  <c r="B179" i="3"/>
  <c r="B187" i="3"/>
  <c r="B195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177" i="3"/>
  <c r="B185" i="3"/>
  <c r="B193" i="3"/>
  <c r="B217" i="3"/>
  <c r="B225" i="3"/>
  <c r="B233" i="3"/>
  <c r="B241" i="3"/>
  <c r="B249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215" i="3"/>
  <c r="B223" i="3"/>
  <c r="B231" i="3"/>
  <c r="B239" i="3"/>
  <c r="B247" i="3"/>
  <c r="B221" i="3"/>
  <c r="B229" i="3"/>
  <c r="B237" i="3"/>
  <c r="B245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213" i="3"/>
  <c r="B219" i="3"/>
  <c r="B227" i="3"/>
  <c r="B235" i="3"/>
  <c r="B243" i="3"/>
  <c r="B251" i="3"/>
  <c r="B304" i="3"/>
  <c r="B312" i="3"/>
  <c r="B320" i="3"/>
  <c r="B328" i="3"/>
  <c r="B336" i="3"/>
  <c r="B358" i="3"/>
  <c r="B364" i="3"/>
  <c r="B310" i="3"/>
  <c r="B318" i="3"/>
  <c r="B326" i="3"/>
  <c r="B334" i="3"/>
  <c r="B338" i="3"/>
  <c r="B340" i="3"/>
  <c r="B342" i="3"/>
  <c r="B344" i="3"/>
  <c r="B346" i="3"/>
  <c r="B348" i="3"/>
  <c r="B362" i="3"/>
  <c r="B308" i="3"/>
  <c r="B316" i="3"/>
  <c r="B324" i="3"/>
  <c r="B332" i="3"/>
  <c r="B354" i="3"/>
  <c r="B360" i="3"/>
  <c r="B366" i="3"/>
  <c r="B306" i="3"/>
  <c r="B314" i="3"/>
  <c r="B322" i="3"/>
  <c r="B330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50" i="3"/>
  <c r="B352" i="3"/>
  <c r="B35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F352" i="3" l="1"/>
  <c r="K352" i="3"/>
  <c r="D352" i="3"/>
  <c r="H352" i="3"/>
  <c r="J352" i="3"/>
  <c r="G352" i="3"/>
  <c r="E352" i="3"/>
  <c r="I352" i="3"/>
  <c r="D363" i="3"/>
  <c r="I363" i="3"/>
  <c r="F363" i="3"/>
  <c r="J363" i="3"/>
  <c r="H363" i="3"/>
  <c r="G363" i="3"/>
  <c r="K363" i="3"/>
  <c r="E363" i="3"/>
  <c r="H355" i="3"/>
  <c r="I355" i="3"/>
  <c r="F355" i="3"/>
  <c r="J355" i="3"/>
  <c r="D355" i="3"/>
  <c r="E355" i="3"/>
  <c r="G355" i="3"/>
  <c r="K355" i="3"/>
  <c r="E347" i="3"/>
  <c r="I347" i="3"/>
  <c r="F347" i="3"/>
  <c r="J347" i="3"/>
  <c r="H347" i="3"/>
  <c r="G347" i="3"/>
  <c r="K347" i="3"/>
  <c r="D347" i="3"/>
  <c r="D339" i="3"/>
  <c r="E339" i="3"/>
  <c r="I339" i="3"/>
  <c r="F339" i="3"/>
  <c r="J339" i="3"/>
  <c r="H339" i="3"/>
  <c r="G339" i="3"/>
  <c r="K339" i="3"/>
  <c r="E314" i="3"/>
  <c r="I314" i="3"/>
  <c r="F314" i="3"/>
  <c r="J314" i="3"/>
  <c r="D314" i="3"/>
  <c r="G314" i="3"/>
  <c r="H314" i="3"/>
  <c r="K314" i="3"/>
  <c r="J354" i="3"/>
  <c r="K354" i="3"/>
  <c r="D354" i="3"/>
  <c r="H354" i="3"/>
  <c r="F354" i="3"/>
  <c r="E354" i="3"/>
  <c r="I354" i="3"/>
  <c r="G354" i="3"/>
  <c r="E308" i="3"/>
  <c r="I308" i="3"/>
  <c r="F308" i="3"/>
  <c r="J308" i="3"/>
  <c r="G308" i="3"/>
  <c r="H308" i="3"/>
  <c r="K308" i="3"/>
  <c r="D308" i="3"/>
  <c r="F344" i="3"/>
  <c r="J344" i="3"/>
  <c r="G344" i="3"/>
  <c r="K344" i="3"/>
  <c r="D344" i="3"/>
  <c r="H344" i="3"/>
  <c r="E344" i="3"/>
  <c r="I344" i="3"/>
  <c r="E334" i="3"/>
  <c r="I334" i="3"/>
  <c r="F334" i="3"/>
  <c r="J334" i="3"/>
  <c r="H334" i="3"/>
  <c r="K334" i="3"/>
  <c r="D334" i="3"/>
  <c r="G334" i="3"/>
  <c r="F364" i="3"/>
  <c r="D364" i="3"/>
  <c r="H364" i="3"/>
  <c r="J364" i="3"/>
  <c r="G364" i="3"/>
  <c r="E364" i="3"/>
  <c r="I364" i="3"/>
  <c r="K364" i="3"/>
  <c r="E320" i="3"/>
  <c r="I320" i="3"/>
  <c r="F320" i="3"/>
  <c r="J320" i="3"/>
  <c r="K320" i="3"/>
  <c r="D320" i="3"/>
  <c r="G320" i="3"/>
  <c r="H320" i="3"/>
  <c r="E243" i="3"/>
  <c r="I243" i="3"/>
  <c r="F243" i="3"/>
  <c r="J243" i="3"/>
  <c r="D243" i="3"/>
  <c r="G243" i="3"/>
  <c r="H243" i="3"/>
  <c r="K243" i="3"/>
  <c r="D213" i="3"/>
  <c r="E213" i="3"/>
  <c r="I213" i="3"/>
  <c r="F213" i="3"/>
  <c r="J213" i="3"/>
  <c r="G213" i="3"/>
  <c r="H213" i="3"/>
  <c r="K213" i="3"/>
  <c r="G329" i="3"/>
  <c r="K329" i="3"/>
  <c r="D329" i="3"/>
  <c r="H329" i="3"/>
  <c r="I329" i="3"/>
  <c r="J329" i="3"/>
  <c r="E329" i="3"/>
  <c r="F329" i="3"/>
  <c r="G321" i="3"/>
  <c r="K321" i="3"/>
  <c r="D321" i="3"/>
  <c r="H321" i="3"/>
  <c r="I321" i="3"/>
  <c r="J321" i="3"/>
  <c r="E321" i="3"/>
  <c r="F321" i="3"/>
  <c r="G313" i="3"/>
  <c r="K313" i="3"/>
  <c r="D313" i="3"/>
  <c r="H313" i="3"/>
  <c r="I313" i="3"/>
  <c r="J313" i="3"/>
  <c r="E313" i="3"/>
  <c r="F313" i="3"/>
  <c r="G305" i="3"/>
  <c r="K305" i="3"/>
  <c r="D305" i="3"/>
  <c r="H305" i="3"/>
  <c r="I305" i="3"/>
  <c r="J305" i="3"/>
  <c r="E305" i="3"/>
  <c r="F305" i="3"/>
  <c r="E297" i="3"/>
  <c r="I297" i="3"/>
  <c r="F297" i="3"/>
  <c r="J297" i="3"/>
  <c r="G297" i="3"/>
  <c r="K297" i="3"/>
  <c r="D297" i="3"/>
  <c r="H297" i="3"/>
  <c r="E289" i="3"/>
  <c r="I289" i="3"/>
  <c r="F289" i="3"/>
  <c r="J289" i="3"/>
  <c r="G289" i="3"/>
  <c r="K289" i="3"/>
  <c r="D289" i="3"/>
  <c r="H289" i="3"/>
  <c r="E281" i="3"/>
  <c r="I281" i="3"/>
  <c r="F281" i="3"/>
  <c r="J281" i="3"/>
  <c r="G281" i="3"/>
  <c r="K281" i="3"/>
  <c r="D281" i="3"/>
  <c r="H281" i="3"/>
  <c r="E273" i="3"/>
  <c r="I273" i="3"/>
  <c r="F273" i="3"/>
  <c r="J273" i="3"/>
  <c r="G273" i="3"/>
  <c r="K273" i="3"/>
  <c r="D273" i="3"/>
  <c r="H273" i="3"/>
  <c r="E265" i="3"/>
  <c r="I265" i="3"/>
  <c r="F265" i="3"/>
  <c r="J265" i="3"/>
  <c r="G265" i="3"/>
  <c r="K265" i="3"/>
  <c r="D265" i="3"/>
  <c r="H265" i="3"/>
  <c r="E257" i="3"/>
  <c r="I257" i="3"/>
  <c r="F257" i="3"/>
  <c r="J257" i="3"/>
  <c r="G257" i="3"/>
  <c r="K257" i="3"/>
  <c r="D257" i="3"/>
  <c r="H257" i="3"/>
  <c r="E237" i="3"/>
  <c r="I237" i="3"/>
  <c r="F237" i="3"/>
  <c r="J237" i="3"/>
  <c r="G237" i="3"/>
  <c r="H237" i="3"/>
  <c r="K237" i="3"/>
  <c r="D237" i="3"/>
  <c r="E239" i="3"/>
  <c r="I239" i="3"/>
  <c r="F239" i="3"/>
  <c r="J239" i="3"/>
  <c r="H239" i="3"/>
  <c r="K239" i="3"/>
  <c r="D239" i="3"/>
  <c r="G239" i="3"/>
  <c r="G302" i="3"/>
  <c r="K302" i="3"/>
  <c r="D302" i="3"/>
  <c r="H302" i="3"/>
  <c r="E302" i="3"/>
  <c r="I302" i="3"/>
  <c r="F302" i="3"/>
  <c r="J302" i="3"/>
  <c r="G294" i="3"/>
  <c r="K294" i="3"/>
  <c r="D294" i="3"/>
  <c r="H294" i="3"/>
  <c r="E294" i="3"/>
  <c r="I294" i="3"/>
  <c r="F294" i="3"/>
  <c r="J294" i="3"/>
  <c r="G286" i="3"/>
  <c r="K286" i="3"/>
  <c r="D286" i="3"/>
  <c r="H286" i="3"/>
  <c r="E286" i="3"/>
  <c r="I286" i="3"/>
  <c r="F286" i="3"/>
  <c r="J286" i="3"/>
  <c r="G278" i="3"/>
  <c r="K278" i="3"/>
  <c r="D278" i="3"/>
  <c r="H278" i="3"/>
  <c r="E278" i="3"/>
  <c r="I278" i="3"/>
  <c r="F278" i="3"/>
  <c r="J278" i="3"/>
  <c r="G270" i="3"/>
  <c r="K270" i="3"/>
  <c r="D270" i="3"/>
  <c r="H270" i="3"/>
  <c r="E270" i="3"/>
  <c r="I270" i="3"/>
  <c r="F270" i="3"/>
  <c r="J270" i="3"/>
  <c r="G262" i="3"/>
  <c r="K262" i="3"/>
  <c r="D262" i="3"/>
  <c r="H262" i="3"/>
  <c r="E262" i="3"/>
  <c r="I262" i="3"/>
  <c r="F262" i="3"/>
  <c r="J262" i="3"/>
  <c r="G254" i="3"/>
  <c r="K254" i="3"/>
  <c r="D254" i="3"/>
  <c r="H254" i="3"/>
  <c r="E254" i="3"/>
  <c r="I254" i="3"/>
  <c r="F254" i="3"/>
  <c r="J254" i="3"/>
  <c r="E225" i="3"/>
  <c r="I225" i="3"/>
  <c r="F225" i="3"/>
  <c r="J225" i="3"/>
  <c r="K225" i="3"/>
  <c r="D225" i="3"/>
  <c r="G225" i="3"/>
  <c r="H225" i="3"/>
  <c r="D177" i="3"/>
  <c r="H177" i="3"/>
  <c r="E177" i="3"/>
  <c r="I177" i="3"/>
  <c r="F177" i="3"/>
  <c r="G177" i="3"/>
  <c r="J177" i="3"/>
  <c r="K177" i="3"/>
  <c r="G246" i="3"/>
  <c r="K246" i="3"/>
  <c r="D246" i="3"/>
  <c r="H246" i="3"/>
  <c r="E246" i="3"/>
  <c r="F246" i="3"/>
  <c r="I246" i="3"/>
  <c r="J246" i="3"/>
  <c r="G238" i="3"/>
  <c r="K238" i="3"/>
  <c r="D238" i="3"/>
  <c r="H238" i="3"/>
  <c r="E238" i="3"/>
  <c r="F238" i="3"/>
  <c r="I238" i="3"/>
  <c r="J238" i="3"/>
  <c r="G230" i="3"/>
  <c r="K230" i="3"/>
  <c r="D230" i="3"/>
  <c r="H230" i="3"/>
  <c r="E230" i="3"/>
  <c r="F230" i="3"/>
  <c r="I230" i="3"/>
  <c r="J230" i="3"/>
  <c r="G222" i="3"/>
  <c r="K222" i="3"/>
  <c r="D222" i="3"/>
  <c r="H222" i="3"/>
  <c r="E222" i="3"/>
  <c r="F222" i="3"/>
  <c r="I222" i="3"/>
  <c r="J222" i="3"/>
  <c r="G214" i="3"/>
  <c r="K214" i="3"/>
  <c r="D214" i="3"/>
  <c r="H214" i="3"/>
  <c r="E214" i="3"/>
  <c r="F214" i="3"/>
  <c r="I214" i="3"/>
  <c r="J214" i="3"/>
  <c r="E206" i="3"/>
  <c r="I206" i="3"/>
  <c r="F206" i="3"/>
  <c r="J206" i="3"/>
  <c r="G206" i="3"/>
  <c r="K206" i="3"/>
  <c r="D206" i="3"/>
  <c r="H206" i="3"/>
  <c r="E198" i="3"/>
  <c r="I198" i="3"/>
  <c r="F198" i="3"/>
  <c r="J198" i="3"/>
  <c r="G198" i="3"/>
  <c r="K198" i="3"/>
  <c r="D198" i="3"/>
  <c r="H198" i="3"/>
  <c r="D189" i="3"/>
  <c r="H189" i="3"/>
  <c r="E189" i="3"/>
  <c r="I189" i="3"/>
  <c r="J189" i="3"/>
  <c r="K189" i="3"/>
  <c r="F189" i="3"/>
  <c r="G189" i="3"/>
  <c r="G207" i="3"/>
  <c r="K207" i="3"/>
  <c r="D207" i="3"/>
  <c r="H207" i="3"/>
  <c r="E207" i="3"/>
  <c r="I207" i="3"/>
  <c r="F207" i="3"/>
  <c r="J207" i="3"/>
  <c r="G199" i="3"/>
  <c r="K199" i="3"/>
  <c r="D199" i="3"/>
  <c r="H199" i="3"/>
  <c r="E199" i="3"/>
  <c r="I199" i="3"/>
  <c r="F199" i="3"/>
  <c r="J199" i="3"/>
  <c r="D175" i="3"/>
  <c r="H175" i="3"/>
  <c r="E175" i="3"/>
  <c r="I175" i="3"/>
  <c r="K175" i="3"/>
  <c r="F175" i="3"/>
  <c r="G175" i="3"/>
  <c r="J175" i="3"/>
  <c r="F190" i="3"/>
  <c r="J190" i="3"/>
  <c r="G190" i="3"/>
  <c r="K190" i="3"/>
  <c r="E190" i="3"/>
  <c r="H190" i="3"/>
  <c r="I190" i="3"/>
  <c r="D190" i="3"/>
  <c r="F182" i="3"/>
  <c r="J182" i="3"/>
  <c r="G182" i="3"/>
  <c r="K182" i="3"/>
  <c r="E182" i="3"/>
  <c r="H182" i="3"/>
  <c r="I182" i="3"/>
  <c r="D182" i="3"/>
  <c r="F174" i="3"/>
  <c r="J174" i="3"/>
  <c r="G174" i="3"/>
  <c r="K174" i="3"/>
  <c r="E174" i="3"/>
  <c r="H174" i="3"/>
  <c r="I174" i="3"/>
  <c r="D174" i="3"/>
  <c r="D166" i="3"/>
  <c r="H166" i="3"/>
  <c r="E166" i="3"/>
  <c r="I166" i="3"/>
  <c r="F166" i="3"/>
  <c r="J166" i="3"/>
  <c r="G166" i="3"/>
  <c r="K166" i="3"/>
  <c r="D158" i="3"/>
  <c r="H158" i="3"/>
  <c r="E158" i="3"/>
  <c r="I158" i="3"/>
  <c r="F158" i="3"/>
  <c r="J158" i="3"/>
  <c r="G158" i="3"/>
  <c r="K158" i="3"/>
  <c r="D150" i="3"/>
  <c r="H150" i="3"/>
  <c r="E150" i="3"/>
  <c r="I150" i="3"/>
  <c r="F150" i="3"/>
  <c r="J150" i="3"/>
  <c r="G150" i="3"/>
  <c r="K150" i="3"/>
  <c r="D142" i="3"/>
  <c r="H142" i="3"/>
  <c r="E142" i="3"/>
  <c r="I142" i="3"/>
  <c r="F142" i="3"/>
  <c r="J142" i="3"/>
  <c r="G142" i="3"/>
  <c r="K142" i="3"/>
  <c r="D134" i="3"/>
  <c r="H134" i="3"/>
  <c r="E134" i="3"/>
  <c r="I134" i="3"/>
  <c r="F134" i="3"/>
  <c r="J134" i="3"/>
  <c r="G134" i="3"/>
  <c r="K134" i="3"/>
  <c r="G171" i="3"/>
  <c r="K171" i="3"/>
  <c r="D171" i="3"/>
  <c r="H171" i="3"/>
  <c r="E171" i="3"/>
  <c r="I171" i="3"/>
  <c r="F171" i="3"/>
  <c r="J171" i="3"/>
  <c r="F163" i="3"/>
  <c r="J163" i="3"/>
  <c r="G163" i="3"/>
  <c r="K163" i="3"/>
  <c r="D163" i="3"/>
  <c r="H163" i="3"/>
  <c r="E163" i="3"/>
  <c r="I163" i="3"/>
  <c r="F155" i="3"/>
  <c r="J155" i="3"/>
  <c r="G155" i="3"/>
  <c r="K155" i="3"/>
  <c r="D155" i="3"/>
  <c r="H155" i="3"/>
  <c r="E155" i="3"/>
  <c r="I155" i="3"/>
  <c r="F147" i="3"/>
  <c r="J147" i="3"/>
  <c r="G147" i="3"/>
  <c r="K147" i="3"/>
  <c r="D147" i="3"/>
  <c r="H147" i="3"/>
  <c r="E147" i="3"/>
  <c r="I147" i="3"/>
  <c r="F139" i="3"/>
  <c r="J139" i="3"/>
  <c r="G139" i="3"/>
  <c r="K139" i="3"/>
  <c r="D139" i="3"/>
  <c r="H139" i="3"/>
  <c r="E139" i="3"/>
  <c r="I139" i="3"/>
  <c r="F131" i="3"/>
  <c r="J131" i="3"/>
  <c r="G131" i="3"/>
  <c r="K131" i="3"/>
  <c r="D131" i="3"/>
  <c r="H131" i="3"/>
  <c r="E131" i="3"/>
  <c r="I131" i="3"/>
  <c r="D123" i="3"/>
  <c r="H123" i="3"/>
  <c r="E123" i="3"/>
  <c r="I123" i="3"/>
  <c r="F123" i="3"/>
  <c r="J123" i="3"/>
  <c r="G123" i="3"/>
  <c r="K123" i="3"/>
  <c r="D115" i="3"/>
  <c r="H115" i="3"/>
  <c r="E115" i="3"/>
  <c r="I115" i="3"/>
  <c r="F115" i="3"/>
  <c r="J115" i="3"/>
  <c r="G115" i="3"/>
  <c r="K115" i="3"/>
  <c r="D107" i="3"/>
  <c r="H107" i="3"/>
  <c r="E107" i="3"/>
  <c r="I107" i="3"/>
  <c r="F107" i="3"/>
  <c r="J107" i="3"/>
  <c r="G107" i="3"/>
  <c r="K107" i="3"/>
  <c r="D99" i="3"/>
  <c r="H99" i="3"/>
  <c r="E99" i="3"/>
  <c r="I99" i="3"/>
  <c r="F99" i="3"/>
  <c r="J99" i="3"/>
  <c r="G99" i="3"/>
  <c r="K99" i="3"/>
  <c r="F122" i="3"/>
  <c r="J122" i="3"/>
  <c r="G122" i="3"/>
  <c r="K122" i="3"/>
  <c r="D122" i="3"/>
  <c r="H122" i="3"/>
  <c r="E122" i="3"/>
  <c r="I122" i="3"/>
  <c r="F114" i="3"/>
  <c r="J114" i="3"/>
  <c r="G114" i="3"/>
  <c r="K114" i="3"/>
  <c r="D114" i="3"/>
  <c r="H114" i="3"/>
  <c r="E114" i="3"/>
  <c r="I114" i="3"/>
  <c r="F106" i="3"/>
  <c r="J106" i="3"/>
  <c r="G106" i="3"/>
  <c r="K106" i="3"/>
  <c r="D106" i="3"/>
  <c r="H106" i="3"/>
  <c r="E106" i="3"/>
  <c r="I106" i="3"/>
  <c r="F98" i="3"/>
  <c r="J98" i="3"/>
  <c r="G98" i="3"/>
  <c r="K98" i="3"/>
  <c r="D98" i="3"/>
  <c r="H98" i="3"/>
  <c r="E98" i="3"/>
  <c r="I98" i="3"/>
  <c r="D90" i="3"/>
  <c r="H90" i="3"/>
  <c r="E90" i="3"/>
  <c r="I90" i="3"/>
  <c r="F90" i="3"/>
  <c r="J90" i="3"/>
  <c r="G90" i="3"/>
  <c r="K90" i="3"/>
  <c r="D82" i="3"/>
  <c r="H82" i="3"/>
  <c r="E82" i="3"/>
  <c r="I82" i="3"/>
  <c r="F82" i="3"/>
  <c r="J82" i="3"/>
  <c r="G82" i="3"/>
  <c r="K82" i="3"/>
  <c r="D74" i="3"/>
  <c r="H74" i="3"/>
  <c r="E74" i="3"/>
  <c r="I74" i="3"/>
  <c r="F74" i="3"/>
  <c r="J74" i="3"/>
  <c r="G74" i="3"/>
  <c r="K74" i="3"/>
  <c r="D67" i="3"/>
  <c r="H67" i="3"/>
  <c r="F67" i="3"/>
  <c r="J67" i="3"/>
  <c r="G67" i="3"/>
  <c r="I67" i="3"/>
  <c r="K67" i="3"/>
  <c r="E67" i="3"/>
  <c r="D59" i="3"/>
  <c r="H59" i="3"/>
  <c r="F59" i="3"/>
  <c r="J59" i="3"/>
  <c r="G59" i="3"/>
  <c r="I59" i="3"/>
  <c r="K59" i="3"/>
  <c r="E59" i="3"/>
  <c r="G93" i="3"/>
  <c r="K93" i="3"/>
  <c r="E93" i="3"/>
  <c r="I93" i="3"/>
  <c r="J93" i="3"/>
  <c r="D93" i="3"/>
  <c r="F93" i="3"/>
  <c r="H93" i="3"/>
  <c r="F85" i="3"/>
  <c r="J85" i="3"/>
  <c r="G85" i="3"/>
  <c r="K85" i="3"/>
  <c r="D85" i="3"/>
  <c r="H85" i="3"/>
  <c r="E85" i="3"/>
  <c r="I85" i="3"/>
  <c r="F77" i="3"/>
  <c r="J77" i="3"/>
  <c r="G77" i="3"/>
  <c r="K77" i="3"/>
  <c r="D77" i="3"/>
  <c r="H77" i="3"/>
  <c r="E77" i="3"/>
  <c r="I77" i="3"/>
  <c r="D55" i="3"/>
  <c r="H55" i="3"/>
  <c r="E55" i="3"/>
  <c r="I55" i="3"/>
  <c r="F55" i="3"/>
  <c r="J55" i="3"/>
  <c r="G55" i="3"/>
  <c r="K55" i="3"/>
  <c r="F64" i="3"/>
  <c r="J64" i="3"/>
  <c r="D64" i="3"/>
  <c r="H64" i="3"/>
  <c r="K64" i="3"/>
  <c r="E64" i="3"/>
  <c r="G64" i="3"/>
  <c r="I64" i="3"/>
  <c r="D57" i="3"/>
  <c r="H57" i="3"/>
  <c r="E57" i="3"/>
  <c r="I57" i="3"/>
  <c r="F57" i="3"/>
  <c r="J57" i="3"/>
  <c r="G57" i="3"/>
  <c r="K57" i="3"/>
  <c r="D34" i="3"/>
  <c r="H34" i="3"/>
  <c r="E34" i="3"/>
  <c r="I34" i="3"/>
  <c r="G34" i="3"/>
  <c r="J34" i="3"/>
  <c r="K34" i="3"/>
  <c r="F34" i="3"/>
  <c r="F50" i="3"/>
  <c r="J50" i="3"/>
  <c r="G50" i="3"/>
  <c r="K50" i="3"/>
  <c r="D50" i="3"/>
  <c r="H50" i="3"/>
  <c r="E50" i="3"/>
  <c r="I50" i="3"/>
  <c r="D44" i="3"/>
  <c r="H44" i="3"/>
  <c r="I44" i="3"/>
  <c r="E44" i="3"/>
  <c r="J44" i="3"/>
  <c r="F44" i="3"/>
  <c r="K44" i="3"/>
  <c r="G44" i="3"/>
  <c r="D40" i="3"/>
  <c r="H40" i="3"/>
  <c r="I40" i="3"/>
  <c r="E40" i="3"/>
  <c r="J40" i="3"/>
  <c r="F40" i="3"/>
  <c r="K40" i="3"/>
  <c r="G40" i="3"/>
  <c r="D36" i="3"/>
  <c r="H36" i="3"/>
  <c r="I36" i="3"/>
  <c r="E36" i="3"/>
  <c r="J36" i="3"/>
  <c r="F36" i="3"/>
  <c r="K36" i="3"/>
  <c r="G36" i="3"/>
  <c r="D26" i="3"/>
  <c r="H26" i="3"/>
  <c r="E26" i="3"/>
  <c r="I26" i="3"/>
  <c r="G26" i="3"/>
  <c r="K26" i="3"/>
  <c r="F26" i="3"/>
  <c r="J26" i="3"/>
  <c r="D18" i="3"/>
  <c r="H18" i="3"/>
  <c r="E18" i="3"/>
  <c r="I18" i="3"/>
  <c r="G18" i="3"/>
  <c r="K18" i="3"/>
  <c r="F18" i="3"/>
  <c r="J18" i="3"/>
  <c r="D10" i="3"/>
  <c r="H10" i="3"/>
  <c r="E10" i="3"/>
  <c r="I10" i="3"/>
  <c r="F10" i="3"/>
  <c r="J10" i="3"/>
  <c r="G10" i="3"/>
  <c r="K10" i="3"/>
  <c r="F33" i="3"/>
  <c r="J33" i="3"/>
  <c r="G33" i="3"/>
  <c r="K33" i="3"/>
  <c r="I33" i="3"/>
  <c r="D33" i="3"/>
  <c r="E33" i="3"/>
  <c r="H33" i="3"/>
  <c r="F25" i="3"/>
  <c r="J25" i="3"/>
  <c r="G25" i="3"/>
  <c r="K25" i="3"/>
  <c r="E25" i="3"/>
  <c r="I25" i="3"/>
  <c r="H25" i="3"/>
  <c r="D25" i="3"/>
  <c r="F17" i="3"/>
  <c r="J17" i="3"/>
  <c r="G17" i="3"/>
  <c r="K17" i="3"/>
  <c r="E17" i="3"/>
  <c r="I17" i="3"/>
  <c r="H17" i="3"/>
  <c r="D17" i="3"/>
  <c r="F9" i="3"/>
  <c r="J9" i="3"/>
  <c r="G9" i="3"/>
  <c r="K9" i="3"/>
  <c r="D9" i="3"/>
  <c r="H9" i="3"/>
  <c r="E9" i="3"/>
  <c r="I9" i="3"/>
  <c r="F350" i="3"/>
  <c r="G350" i="3"/>
  <c r="D350" i="3"/>
  <c r="H350" i="3"/>
  <c r="K350" i="3"/>
  <c r="E350" i="3"/>
  <c r="I350" i="3"/>
  <c r="J350" i="3"/>
  <c r="H361" i="3"/>
  <c r="E361" i="3"/>
  <c r="F361" i="3"/>
  <c r="J361" i="3"/>
  <c r="D361" i="3"/>
  <c r="G361" i="3"/>
  <c r="K361" i="3"/>
  <c r="I361" i="3"/>
  <c r="H353" i="3"/>
  <c r="I353" i="3"/>
  <c r="F353" i="3"/>
  <c r="J353" i="3"/>
  <c r="D353" i="3"/>
  <c r="G353" i="3"/>
  <c r="K353" i="3"/>
  <c r="E353" i="3"/>
  <c r="E345" i="3"/>
  <c r="I345" i="3"/>
  <c r="F345" i="3"/>
  <c r="J345" i="3"/>
  <c r="H345" i="3"/>
  <c r="G345" i="3"/>
  <c r="K345" i="3"/>
  <c r="D345" i="3"/>
  <c r="H337" i="3"/>
  <c r="E337" i="3"/>
  <c r="I337" i="3"/>
  <c r="F337" i="3"/>
  <c r="J337" i="3"/>
  <c r="D337" i="3"/>
  <c r="G337" i="3"/>
  <c r="K337" i="3"/>
  <c r="E306" i="3"/>
  <c r="I306" i="3"/>
  <c r="F306" i="3"/>
  <c r="J306" i="3"/>
  <c r="D306" i="3"/>
  <c r="G306" i="3"/>
  <c r="H306" i="3"/>
  <c r="K306" i="3"/>
  <c r="E332" i="3"/>
  <c r="I332" i="3"/>
  <c r="F332" i="3"/>
  <c r="J332" i="3"/>
  <c r="G332" i="3"/>
  <c r="H332" i="3"/>
  <c r="K332" i="3"/>
  <c r="D332" i="3"/>
  <c r="G362" i="3"/>
  <c r="D362" i="3"/>
  <c r="H362" i="3"/>
  <c r="F362" i="3"/>
  <c r="J362" i="3"/>
  <c r="K362" i="3"/>
  <c r="E362" i="3"/>
  <c r="I362" i="3"/>
  <c r="J342" i="3"/>
  <c r="G342" i="3"/>
  <c r="K342" i="3"/>
  <c r="D342" i="3"/>
  <c r="H342" i="3"/>
  <c r="F342" i="3"/>
  <c r="E342" i="3"/>
  <c r="I342" i="3"/>
  <c r="E326" i="3"/>
  <c r="I326" i="3"/>
  <c r="F326" i="3"/>
  <c r="J326" i="3"/>
  <c r="H326" i="3"/>
  <c r="K326" i="3"/>
  <c r="D326" i="3"/>
  <c r="G326" i="3"/>
  <c r="J358" i="3"/>
  <c r="D358" i="3"/>
  <c r="H358" i="3"/>
  <c r="F358" i="3"/>
  <c r="G358" i="3"/>
  <c r="E358" i="3"/>
  <c r="I358" i="3"/>
  <c r="K358" i="3"/>
  <c r="E312" i="3"/>
  <c r="I312" i="3"/>
  <c r="F312" i="3"/>
  <c r="J312" i="3"/>
  <c r="K312" i="3"/>
  <c r="D312" i="3"/>
  <c r="G312" i="3"/>
  <c r="H312" i="3"/>
  <c r="E235" i="3"/>
  <c r="I235" i="3"/>
  <c r="F235" i="3"/>
  <c r="J235" i="3"/>
  <c r="D235" i="3"/>
  <c r="G235" i="3"/>
  <c r="H235" i="3"/>
  <c r="K235" i="3"/>
  <c r="G335" i="3"/>
  <c r="K335" i="3"/>
  <c r="D335" i="3"/>
  <c r="H335" i="3"/>
  <c r="F335" i="3"/>
  <c r="I335" i="3"/>
  <c r="J335" i="3"/>
  <c r="E335" i="3"/>
  <c r="G327" i="3"/>
  <c r="K327" i="3"/>
  <c r="D327" i="3"/>
  <c r="H327" i="3"/>
  <c r="F327" i="3"/>
  <c r="I327" i="3"/>
  <c r="J327" i="3"/>
  <c r="E327" i="3"/>
  <c r="G319" i="3"/>
  <c r="K319" i="3"/>
  <c r="D319" i="3"/>
  <c r="H319" i="3"/>
  <c r="F319" i="3"/>
  <c r="I319" i="3"/>
  <c r="J319" i="3"/>
  <c r="E319" i="3"/>
  <c r="G311" i="3"/>
  <c r="K311" i="3"/>
  <c r="D311" i="3"/>
  <c r="H311" i="3"/>
  <c r="F311" i="3"/>
  <c r="I311" i="3"/>
  <c r="J311" i="3"/>
  <c r="E311" i="3"/>
  <c r="E303" i="3"/>
  <c r="F303" i="3"/>
  <c r="G303" i="3"/>
  <c r="K303" i="3"/>
  <c r="D303" i="3"/>
  <c r="H303" i="3"/>
  <c r="I303" i="3"/>
  <c r="J303" i="3"/>
  <c r="E295" i="3"/>
  <c r="I295" i="3"/>
  <c r="F295" i="3"/>
  <c r="J295" i="3"/>
  <c r="G295" i="3"/>
  <c r="K295" i="3"/>
  <c r="D295" i="3"/>
  <c r="H295" i="3"/>
  <c r="E287" i="3"/>
  <c r="I287" i="3"/>
  <c r="F287" i="3"/>
  <c r="J287" i="3"/>
  <c r="G287" i="3"/>
  <c r="K287" i="3"/>
  <c r="D287" i="3"/>
  <c r="H287" i="3"/>
  <c r="E279" i="3"/>
  <c r="I279" i="3"/>
  <c r="F279" i="3"/>
  <c r="J279" i="3"/>
  <c r="G279" i="3"/>
  <c r="K279" i="3"/>
  <c r="D279" i="3"/>
  <c r="H279" i="3"/>
  <c r="E271" i="3"/>
  <c r="I271" i="3"/>
  <c r="F271" i="3"/>
  <c r="J271" i="3"/>
  <c r="G271" i="3"/>
  <c r="K271" i="3"/>
  <c r="D271" i="3"/>
  <c r="H271" i="3"/>
  <c r="E263" i="3"/>
  <c r="I263" i="3"/>
  <c r="F263" i="3"/>
  <c r="J263" i="3"/>
  <c r="G263" i="3"/>
  <c r="K263" i="3"/>
  <c r="D263" i="3"/>
  <c r="H263" i="3"/>
  <c r="E255" i="3"/>
  <c r="I255" i="3"/>
  <c r="F255" i="3"/>
  <c r="J255" i="3"/>
  <c r="G255" i="3"/>
  <c r="K255" i="3"/>
  <c r="D255" i="3"/>
  <c r="H255" i="3"/>
  <c r="E229" i="3"/>
  <c r="I229" i="3"/>
  <c r="F229" i="3"/>
  <c r="J229" i="3"/>
  <c r="G229" i="3"/>
  <c r="H229" i="3"/>
  <c r="K229" i="3"/>
  <c r="D229" i="3"/>
  <c r="E231" i="3"/>
  <c r="I231" i="3"/>
  <c r="F231" i="3"/>
  <c r="J231" i="3"/>
  <c r="H231" i="3"/>
  <c r="K231" i="3"/>
  <c r="D231" i="3"/>
  <c r="G231" i="3"/>
  <c r="G300" i="3"/>
  <c r="K300" i="3"/>
  <c r="D300" i="3"/>
  <c r="H300" i="3"/>
  <c r="E300" i="3"/>
  <c r="I300" i="3"/>
  <c r="F300" i="3"/>
  <c r="J300" i="3"/>
  <c r="G292" i="3"/>
  <c r="K292" i="3"/>
  <c r="D292" i="3"/>
  <c r="H292" i="3"/>
  <c r="E292" i="3"/>
  <c r="I292" i="3"/>
  <c r="F292" i="3"/>
  <c r="J292" i="3"/>
  <c r="G284" i="3"/>
  <c r="K284" i="3"/>
  <c r="D284" i="3"/>
  <c r="H284" i="3"/>
  <c r="E284" i="3"/>
  <c r="I284" i="3"/>
  <c r="F284" i="3"/>
  <c r="J284" i="3"/>
  <c r="G276" i="3"/>
  <c r="K276" i="3"/>
  <c r="D276" i="3"/>
  <c r="H276" i="3"/>
  <c r="E276" i="3"/>
  <c r="I276" i="3"/>
  <c r="F276" i="3"/>
  <c r="J276" i="3"/>
  <c r="G268" i="3"/>
  <c r="K268" i="3"/>
  <c r="D268" i="3"/>
  <c r="H268" i="3"/>
  <c r="E268" i="3"/>
  <c r="I268" i="3"/>
  <c r="F268" i="3"/>
  <c r="J268" i="3"/>
  <c r="G260" i="3"/>
  <c r="K260" i="3"/>
  <c r="D260" i="3"/>
  <c r="H260" i="3"/>
  <c r="E260" i="3"/>
  <c r="I260" i="3"/>
  <c r="F260" i="3"/>
  <c r="J260" i="3"/>
  <c r="E249" i="3"/>
  <c r="I249" i="3"/>
  <c r="F249" i="3"/>
  <c r="J249" i="3"/>
  <c r="K249" i="3"/>
  <c r="D249" i="3"/>
  <c r="G249" i="3"/>
  <c r="H249" i="3"/>
  <c r="E217" i="3"/>
  <c r="I217" i="3"/>
  <c r="F217" i="3"/>
  <c r="J217" i="3"/>
  <c r="K217" i="3"/>
  <c r="D217" i="3"/>
  <c r="G217" i="3"/>
  <c r="H217" i="3"/>
  <c r="G252" i="3"/>
  <c r="K252" i="3"/>
  <c r="D252" i="3"/>
  <c r="H252" i="3"/>
  <c r="J252" i="3"/>
  <c r="E252" i="3"/>
  <c r="F252" i="3"/>
  <c r="I252" i="3"/>
  <c r="G244" i="3"/>
  <c r="K244" i="3"/>
  <c r="D244" i="3"/>
  <c r="H244" i="3"/>
  <c r="J244" i="3"/>
  <c r="E244" i="3"/>
  <c r="F244" i="3"/>
  <c r="I244" i="3"/>
  <c r="G236" i="3"/>
  <c r="K236" i="3"/>
  <c r="D236" i="3"/>
  <c r="H236" i="3"/>
  <c r="J236" i="3"/>
  <c r="E236" i="3"/>
  <c r="F236" i="3"/>
  <c r="I236" i="3"/>
  <c r="G228" i="3"/>
  <c r="K228" i="3"/>
  <c r="D228" i="3"/>
  <c r="H228" i="3"/>
  <c r="J228" i="3"/>
  <c r="E228" i="3"/>
  <c r="F228" i="3"/>
  <c r="I228" i="3"/>
  <c r="G220" i="3"/>
  <c r="K220" i="3"/>
  <c r="D220" i="3"/>
  <c r="H220" i="3"/>
  <c r="J220" i="3"/>
  <c r="E220" i="3"/>
  <c r="F220" i="3"/>
  <c r="I220" i="3"/>
  <c r="E212" i="3"/>
  <c r="I212" i="3"/>
  <c r="F212" i="3"/>
  <c r="J212" i="3"/>
  <c r="G212" i="3"/>
  <c r="K212" i="3"/>
  <c r="D212" i="3"/>
  <c r="H212" i="3"/>
  <c r="E204" i="3"/>
  <c r="I204" i="3"/>
  <c r="F204" i="3"/>
  <c r="J204" i="3"/>
  <c r="G204" i="3"/>
  <c r="K204" i="3"/>
  <c r="D204" i="3"/>
  <c r="H204" i="3"/>
  <c r="D195" i="3"/>
  <c r="H195" i="3"/>
  <c r="E195" i="3"/>
  <c r="I195" i="3"/>
  <c r="G195" i="3"/>
  <c r="J195" i="3"/>
  <c r="K195" i="3"/>
  <c r="F195" i="3"/>
  <c r="D181" i="3"/>
  <c r="H181" i="3"/>
  <c r="E181" i="3"/>
  <c r="I181" i="3"/>
  <c r="J181" i="3"/>
  <c r="K181" i="3"/>
  <c r="F181" i="3"/>
  <c r="G181" i="3"/>
  <c r="G205" i="3"/>
  <c r="K205" i="3"/>
  <c r="D205" i="3"/>
  <c r="H205" i="3"/>
  <c r="E205" i="3"/>
  <c r="I205" i="3"/>
  <c r="F205" i="3"/>
  <c r="J205" i="3"/>
  <c r="G197" i="3"/>
  <c r="K197" i="3"/>
  <c r="D197" i="3"/>
  <c r="H197" i="3"/>
  <c r="E197" i="3"/>
  <c r="I197" i="3"/>
  <c r="F197" i="3"/>
  <c r="J197" i="3"/>
  <c r="G196" i="3"/>
  <c r="D196" i="3"/>
  <c r="I196" i="3"/>
  <c r="E196" i="3"/>
  <c r="J196" i="3"/>
  <c r="F196" i="3"/>
  <c r="K196" i="3"/>
  <c r="H196" i="3"/>
  <c r="F188" i="3"/>
  <c r="J188" i="3"/>
  <c r="G188" i="3"/>
  <c r="K188" i="3"/>
  <c r="D188" i="3"/>
  <c r="E188" i="3"/>
  <c r="H188" i="3"/>
  <c r="I188" i="3"/>
  <c r="F180" i="3"/>
  <c r="J180" i="3"/>
  <c r="G180" i="3"/>
  <c r="K180" i="3"/>
  <c r="D180" i="3"/>
  <c r="E180" i="3"/>
  <c r="H180" i="3"/>
  <c r="I180" i="3"/>
  <c r="E172" i="3"/>
  <c r="I172" i="3"/>
  <c r="F172" i="3"/>
  <c r="J172" i="3"/>
  <c r="G172" i="3"/>
  <c r="K172" i="3"/>
  <c r="D172" i="3"/>
  <c r="H172" i="3"/>
  <c r="D164" i="3"/>
  <c r="H164" i="3"/>
  <c r="E164" i="3"/>
  <c r="I164" i="3"/>
  <c r="F164" i="3"/>
  <c r="J164" i="3"/>
  <c r="G164" i="3"/>
  <c r="K164" i="3"/>
  <c r="D156" i="3"/>
  <c r="H156" i="3"/>
  <c r="E156" i="3"/>
  <c r="I156" i="3"/>
  <c r="F156" i="3"/>
  <c r="J156" i="3"/>
  <c r="G156" i="3"/>
  <c r="K156" i="3"/>
  <c r="D148" i="3"/>
  <c r="H148" i="3"/>
  <c r="E148" i="3"/>
  <c r="I148" i="3"/>
  <c r="F148" i="3"/>
  <c r="J148" i="3"/>
  <c r="G148" i="3"/>
  <c r="K148" i="3"/>
  <c r="D140" i="3"/>
  <c r="H140" i="3"/>
  <c r="E140" i="3"/>
  <c r="I140" i="3"/>
  <c r="F140" i="3"/>
  <c r="J140" i="3"/>
  <c r="G140" i="3"/>
  <c r="K140" i="3"/>
  <c r="D132" i="3"/>
  <c r="H132" i="3"/>
  <c r="E132" i="3"/>
  <c r="I132" i="3"/>
  <c r="F132" i="3"/>
  <c r="J132" i="3"/>
  <c r="G132" i="3"/>
  <c r="K132" i="3"/>
  <c r="F169" i="3"/>
  <c r="J169" i="3"/>
  <c r="G169" i="3"/>
  <c r="K169" i="3"/>
  <c r="D169" i="3"/>
  <c r="H169" i="3"/>
  <c r="E169" i="3"/>
  <c r="I169" i="3"/>
  <c r="F161" i="3"/>
  <c r="J161" i="3"/>
  <c r="G161" i="3"/>
  <c r="K161" i="3"/>
  <c r="D161" i="3"/>
  <c r="H161" i="3"/>
  <c r="E161" i="3"/>
  <c r="I161" i="3"/>
  <c r="F153" i="3"/>
  <c r="J153" i="3"/>
  <c r="G153" i="3"/>
  <c r="K153" i="3"/>
  <c r="D153" i="3"/>
  <c r="H153" i="3"/>
  <c r="E153" i="3"/>
  <c r="I153" i="3"/>
  <c r="F145" i="3"/>
  <c r="J145" i="3"/>
  <c r="G145" i="3"/>
  <c r="K145" i="3"/>
  <c r="D145" i="3"/>
  <c r="H145" i="3"/>
  <c r="E145" i="3"/>
  <c r="I145" i="3"/>
  <c r="F137" i="3"/>
  <c r="J137" i="3"/>
  <c r="G137" i="3"/>
  <c r="K137" i="3"/>
  <c r="D137" i="3"/>
  <c r="H137" i="3"/>
  <c r="E137" i="3"/>
  <c r="I137" i="3"/>
  <c r="E129" i="3"/>
  <c r="F129" i="3"/>
  <c r="J129" i="3"/>
  <c r="G129" i="3"/>
  <c r="K129" i="3"/>
  <c r="H129" i="3"/>
  <c r="D129" i="3"/>
  <c r="I129" i="3"/>
  <c r="D121" i="3"/>
  <c r="H121" i="3"/>
  <c r="E121" i="3"/>
  <c r="I121" i="3"/>
  <c r="F121" i="3"/>
  <c r="J121" i="3"/>
  <c r="G121" i="3"/>
  <c r="K121" i="3"/>
  <c r="D113" i="3"/>
  <c r="H113" i="3"/>
  <c r="E113" i="3"/>
  <c r="I113" i="3"/>
  <c r="F113" i="3"/>
  <c r="J113" i="3"/>
  <c r="G113" i="3"/>
  <c r="K113" i="3"/>
  <c r="D105" i="3"/>
  <c r="H105" i="3"/>
  <c r="E105" i="3"/>
  <c r="I105" i="3"/>
  <c r="F105" i="3"/>
  <c r="J105" i="3"/>
  <c r="G105" i="3"/>
  <c r="K105" i="3"/>
  <c r="G128" i="3"/>
  <c r="K128" i="3"/>
  <c r="E128" i="3"/>
  <c r="I128" i="3"/>
  <c r="H128" i="3"/>
  <c r="J128" i="3"/>
  <c r="D128" i="3"/>
  <c r="F128" i="3"/>
  <c r="F120" i="3"/>
  <c r="J120" i="3"/>
  <c r="G120" i="3"/>
  <c r="K120" i="3"/>
  <c r="D120" i="3"/>
  <c r="H120" i="3"/>
  <c r="E120" i="3"/>
  <c r="I120" i="3"/>
  <c r="F112" i="3"/>
  <c r="J112" i="3"/>
  <c r="G112" i="3"/>
  <c r="K112" i="3"/>
  <c r="D112" i="3"/>
  <c r="H112" i="3"/>
  <c r="E112" i="3"/>
  <c r="I112" i="3"/>
  <c r="F104" i="3"/>
  <c r="J104" i="3"/>
  <c r="G104" i="3"/>
  <c r="K104" i="3"/>
  <c r="D104" i="3"/>
  <c r="H104" i="3"/>
  <c r="E104" i="3"/>
  <c r="I104" i="3"/>
  <c r="E96" i="3"/>
  <c r="I96" i="3"/>
  <c r="G96" i="3"/>
  <c r="K96" i="3"/>
  <c r="D96" i="3"/>
  <c r="F96" i="3"/>
  <c r="H96" i="3"/>
  <c r="J96" i="3"/>
  <c r="D88" i="3"/>
  <c r="H88" i="3"/>
  <c r="E88" i="3"/>
  <c r="I88" i="3"/>
  <c r="F88" i="3"/>
  <c r="J88" i="3"/>
  <c r="G88" i="3"/>
  <c r="K88" i="3"/>
  <c r="D80" i="3"/>
  <c r="H80" i="3"/>
  <c r="E80" i="3"/>
  <c r="I80" i="3"/>
  <c r="F80" i="3"/>
  <c r="J80" i="3"/>
  <c r="G80" i="3"/>
  <c r="K80" i="3"/>
  <c r="D72" i="3"/>
  <c r="H72" i="3"/>
  <c r="E72" i="3"/>
  <c r="I72" i="3"/>
  <c r="F72" i="3"/>
  <c r="J72" i="3"/>
  <c r="G72" i="3"/>
  <c r="K72" i="3"/>
  <c r="D65" i="3"/>
  <c r="H65" i="3"/>
  <c r="F65" i="3"/>
  <c r="J65" i="3"/>
  <c r="G65" i="3"/>
  <c r="I65" i="3"/>
  <c r="K65" i="3"/>
  <c r="E65" i="3"/>
  <c r="D53" i="3"/>
  <c r="H53" i="3"/>
  <c r="E53" i="3"/>
  <c r="I53" i="3"/>
  <c r="F53" i="3"/>
  <c r="J53" i="3"/>
  <c r="K53" i="3"/>
  <c r="G53" i="3"/>
  <c r="F91" i="3"/>
  <c r="J91" i="3"/>
  <c r="G91" i="3"/>
  <c r="K91" i="3"/>
  <c r="D91" i="3"/>
  <c r="H91" i="3"/>
  <c r="E91" i="3"/>
  <c r="I91" i="3"/>
  <c r="F83" i="3"/>
  <c r="J83" i="3"/>
  <c r="G83" i="3"/>
  <c r="K83" i="3"/>
  <c r="D83" i="3"/>
  <c r="H83" i="3"/>
  <c r="E83" i="3"/>
  <c r="I83" i="3"/>
  <c r="F75" i="3"/>
  <c r="J75" i="3"/>
  <c r="G75" i="3"/>
  <c r="K75" i="3"/>
  <c r="D75" i="3"/>
  <c r="H75" i="3"/>
  <c r="E75" i="3"/>
  <c r="I75" i="3"/>
  <c r="F70" i="3"/>
  <c r="H70" i="3"/>
  <c r="D70" i="3"/>
  <c r="I70" i="3"/>
  <c r="E70" i="3"/>
  <c r="J70" i="3"/>
  <c r="G70" i="3"/>
  <c r="K70" i="3"/>
  <c r="F62" i="3"/>
  <c r="J62" i="3"/>
  <c r="D62" i="3"/>
  <c r="H62" i="3"/>
  <c r="K62" i="3"/>
  <c r="E62" i="3"/>
  <c r="G62" i="3"/>
  <c r="I62" i="3"/>
  <c r="D49" i="3"/>
  <c r="H49" i="3"/>
  <c r="E49" i="3"/>
  <c r="I49" i="3"/>
  <c r="F49" i="3"/>
  <c r="J49" i="3"/>
  <c r="G49" i="3"/>
  <c r="K49" i="3"/>
  <c r="F56" i="3"/>
  <c r="J56" i="3"/>
  <c r="G56" i="3"/>
  <c r="K56" i="3"/>
  <c r="D56" i="3"/>
  <c r="H56" i="3"/>
  <c r="E56" i="3"/>
  <c r="I56" i="3"/>
  <c r="F48" i="3"/>
  <c r="J48" i="3"/>
  <c r="G48" i="3"/>
  <c r="K48" i="3"/>
  <c r="D48" i="3"/>
  <c r="H48" i="3"/>
  <c r="E48" i="3"/>
  <c r="I48" i="3"/>
  <c r="F43" i="3"/>
  <c r="J43" i="3"/>
  <c r="H43" i="3"/>
  <c r="D43" i="3"/>
  <c r="I43" i="3"/>
  <c r="E43" i="3"/>
  <c r="K43" i="3"/>
  <c r="G43" i="3"/>
  <c r="F39" i="3"/>
  <c r="J39" i="3"/>
  <c r="H39" i="3"/>
  <c r="D39" i="3"/>
  <c r="I39" i="3"/>
  <c r="E39" i="3"/>
  <c r="K39" i="3"/>
  <c r="G39" i="3"/>
  <c r="F35" i="3"/>
  <c r="J35" i="3"/>
  <c r="H35" i="3"/>
  <c r="D35" i="3"/>
  <c r="I35" i="3"/>
  <c r="E35" i="3"/>
  <c r="K35" i="3"/>
  <c r="G35" i="3"/>
  <c r="D24" i="3"/>
  <c r="H24" i="3"/>
  <c r="E24" i="3"/>
  <c r="I24" i="3"/>
  <c r="G24" i="3"/>
  <c r="K24" i="3"/>
  <c r="F24" i="3"/>
  <c r="J24" i="3"/>
  <c r="D16" i="3"/>
  <c r="H16" i="3"/>
  <c r="E16" i="3"/>
  <c r="I16" i="3"/>
  <c r="G16" i="3"/>
  <c r="K16" i="3"/>
  <c r="F16" i="3"/>
  <c r="J16" i="3"/>
  <c r="D8" i="3"/>
  <c r="H8" i="3"/>
  <c r="E8" i="3"/>
  <c r="I8" i="3"/>
  <c r="F8" i="3"/>
  <c r="J8" i="3"/>
  <c r="G8" i="3"/>
  <c r="K8" i="3"/>
  <c r="F31" i="3"/>
  <c r="J31" i="3"/>
  <c r="G31" i="3"/>
  <c r="K31" i="3"/>
  <c r="H31" i="3"/>
  <c r="I31" i="3"/>
  <c r="D31" i="3"/>
  <c r="E31" i="3"/>
  <c r="F23" i="3"/>
  <c r="J23" i="3"/>
  <c r="G23" i="3"/>
  <c r="K23" i="3"/>
  <c r="E23" i="3"/>
  <c r="I23" i="3"/>
  <c r="D23" i="3"/>
  <c r="H23" i="3"/>
  <c r="F15" i="3"/>
  <c r="J15" i="3"/>
  <c r="G15" i="3"/>
  <c r="K15" i="3"/>
  <c r="E15" i="3"/>
  <c r="I15" i="3"/>
  <c r="D15" i="3"/>
  <c r="H15" i="3"/>
  <c r="F7" i="3"/>
  <c r="J7" i="3"/>
  <c r="G7" i="3"/>
  <c r="K7" i="3"/>
  <c r="D7" i="3"/>
  <c r="H7" i="3"/>
  <c r="E7" i="3"/>
  <c r="I7" i="3"/>
  <c r="H367" i="3"/>
  <c r="E367" i="3"/>
  <c r="F367" i="3"/>
  <c r="J367" i="3"/>
  <c r="I367" i="3"/>
  <c r="G367" i="3"/>
  <c r="K367" i="3"/>
  <c r="D367" i="3"/>
  <c r="I359" i="3"/>
  <c r="E359" i="3"/>
  <c r="F359" i="3"/>
  <c r="J359" i="3"/>
  <c r="D359" i="3"/>
  <c r="H359" i="3"/>
  <c r="G359" i="3"/>
  <c r="K359" i="3"/>
  <c r="E351" i="3"/>
  <c r="I351" i="3"/>
  <c r="F351" i="3"/>
  <c r="J351" i="3"/>
  <c r="H351" i="3"/>
  <c r="G351" i="3"/>
  <c r="K351" i="3"/>
  <c r="D351" i="3"/>
  <c r="H343" i="3"/>
  <c r="E343" i="3"/>
  <c r="I343" i="3"/>
  <c r="F343" i="3"/>
  <c r="J343" i="3"/>
  <c r="D343" i="3"/>
  <c r="G343" i="3"/>
  <c r="K343" i="3"/>
  <c r="E330" i="3"/>
  <c r="I330" i="3"/>
  <c r="F330" i="3"/>
  <c r="J330" i="3"/>
  <c r="D330" i="3"/>
  <c r="G330" i="3"/>
  <c r="H330" i="3"/>
  <c r="K330" i="3"/>
  <c r="J366" i="3"/>
  <c r="K366" i="3"/>
  <c r="D366" i="3"/>
  <c r="H366" i="3"/>
  <c r="E366" i="3"/>
  <c r="I366" i="3"/>
  <c r="F366" i="3"/>
  <c r="G366" i="3"/>
  <c r="E324" i="3"/>
  <c r="I324" i="3"/>
  <c r="F324" i="3"/>
  <c r="J324" i="3"/>
  <c r="G324" i="3"/>
  <c r="H324" i="3"/>
  <c r="K324" i="3"/>
  <c r="D324" i="3"/>
  <c r="G348" i="3"/>
  <c r="K348" i="3"/>
  <c r="D348" i="3"/>
  <c r="H348" i="3"/>
  <c r="F348" i="3"/>
  <c r="J348" i="3"/>
  <c r="E348" i="3"/>
  <c r="I348" i="3"/>
  <c r="F340" i="3"/>
  <c r="G340" i="3"/>
  <c r="K340" i="3"/>
  <c r="D340" i="3"/>
  <c r="H340" i="3"/>
  <c r="J340" i="3"/>
  <c r="E340" i="3"/>
  <c r="I340" i="3"/>
  <c r="E318" i="3"/>
  <c r="I318" i="3"/>
  <c r="F318" i="3"/>
  <c r="J318" i="3"/>
  <c r="H318" i="3"/>
  <c r="K318" i="3"/>
  <c r="D318" i="3"/>
  <c r="G318" i="3"/>
  <c r="E336" i="3"/>
  <c r="I336" i="3"/>
  <c r="F336" i="3"/>
  <c r="J336" i="3"/>
  <c r="D336" i="3"/>
  <c r="K336" i="3"/>
  <c r="G336" i="3"/>
  <c r="H336" i="3"/>
  <c r="E304" i="3"/>
  <c r="I304" i="3"/>
  <c r="F304" i="3"/>
  <c r="J304" i="3"/>
  <c r="K304" i="3"/>
  <c r="D304" i="3"/>
  <c r="G304" i="3"/>
  <c r="H304" i="3"/>
  <c r="E227" i="3"/>
  <c r="I227" i="3"/>
  <c r="F227" i="3"/>
  <c r="J227" i="3"/>
  <c r="D227" i="3"/>
  <c r="G227" i="3"/>
  <c r="H227" i="3"/>
  <c r="K227" i="3"/>
  <c r="G333" i="3"/>
  <c r="K333" i="3"/>
  <c r="D333" i="3"/>
  <c r="H333" i="3"/>
  <c r="F333" i="3"/>
  <c r="I333" i="3"/>
  <c r="J333" i="3"/>
  <c r="E333" i="3"/>
  <c r="G325" i="3"/>
  <c r="K325" i="3"/>
  <c r="D325" i="3"/>
  <c r="H325" i="3"/>
  <c r="E325" i="3"/>
  <c r="F325" i="3"/>
  <c r="I325" i="3"/>
  <c r="J325" i="3"/>
  <c r="G317" i="3"/>
  <c r="K317" i="3"/>
  <c r="D317" i="3"/>
  <c r="H317" i="3"/>
  <c r="E317" i="3"/>
  <c r="F317" i="3"/>
  <c r="I317" i="3"/>
  <c r="J317" i="3"/>
  <c r="G309" i="3"/>
  <c r="K309" i="3"/>
  <c r="D309" i="3"/>
  <c r="H309" i="3"/>
  <c r="E309" i="3"/>
  <c r="F309" i="3"/>
  <c r="I309" i="3"/>
  <c r="J309" i="3"/>
  <c r="E301" i="3"/>
  <c r="I301" i="3"/>
  <c r="F301" i="3"/>
  <c r="J301" i="3"/>
  <c r="G301" i="3"/>
  <c r="K301" i="3"/>
  <c r="D301" i="3"/>
  <c r="H301" i="3"/>
  <c r="E293" i="3"/>
  <c r="I293" i="3"/>
  <c r="F293" i="3"/>
  <c r="J293" i="3"/>
  <c r="G293" i="3"/>
  <c r="K293" i="3"/>
  <c r="D293" i="3"/>
  <c r="H293" i="3"/>
  <c r="E285" i="3"/>
  <c r="I285" i="3"/>
  <c r="F285" i="3"/>
  <c r="J285" i="3"/>
  <c r="G285" i="3"/>
  <c r="K285" i="3"/>
  <c r="D285" i="3"/>
  <c r="H285" i="3"/>
  <c r="E277" i="3"/>
  <c r="I277" i="3"/>
  <c r="F277" i="3"/>
  <c r="J277" i="3"/>
  <c r="G277" i="3"/>
  <c r="K277" i="3"/>
  <c r="D277" i="3"/>
  <c r="H277" i="3"/>
  <c r="E269" i="3"/>
  <c r="I269" i="3"/>
  <c r="F269" i="3"/>
  <c r="J269" i="3"/>
  <c r="G269" i="3"/>
  <c r="K269" i="3"/>
  <c r="D269" i="3"/>
  <c r="H269" i="3"/>
  <c r="E261" i="3"/>
  <c r="I261" i="3"/>
  <c r="F261" i="3"/>
  <c r="J261" i="3"/>
  <c r="G261" i="3"/>
  <c r="K261" i="3"/>
  <c r="D261" i="3"/>
  <c r="H261" i="3"/>
  <c r="E253" i="3"/>
  <c r="I253" i="3"/>
  <c r="F253" i="3"/>
  <c r="J253" i="3"/>
  <c r="G253" i="3"/>
  <c r="H253" i="3"/>
  <c r="K253" i="3"/>
  <c r="D253" i="3"/>
  <c r="E221" i="3"/>
  <c r="I221" i="3"/>
  <c r="F221" i="3"/>
  <c r="J221" i="3"/>
  <c r="G221" i="3"/>
  <c r="H221" i="3"/>
  <c r="K221" i="3"/>
  <c r="D221" i="3"/>
  <c r="E223" i="3"/>
  <c r="I223" i="3"/>
  <c r="F223" i="3"/>
  <c r="J223" i="3"/>
  <c r="H223" i="3"/>
  <c r="K223" i="3"/>
  <c r="D223" i="3"/>
  <c r="G223" i="3"/>
  <c r="G298" i="3"/>
  <c r="K298" i="3"/>
  <c r="D298" i="3"/>
  <c r="H298" i="3"/>
  <c r="E298" i="3"/>
  <c r="I298" i="3"/>
  <c r="F298" i="3"/>
  <c r="J298" i="3"/>
  <c r="G290" i="3"/>
  <c r="K290" i="3"/>
  <c r="D290" i="3"/>
  <c r="H290" i="3"/>
  <c r="E290" i="3"/>
  <c r="I290" i="3"/>
  <c r="F290" i="3"/>
  <c r="J290" i="3"/>
  <c r="G282" i="3"/>
  <c r="K282" i="3"/>
  <c r="D282" i="3"/>
  <c r="H282" i="3"/>
  <c r="E282" i="3"/>
  <c r="I282" i="3"/>
  <c r="F282" i="3"/>
  <c r="J282" i="3"/>
  <c r="G274" i="3"/>
  <c r="K274" i="3"/>
  <c r="D274" i="3"/>
  <c r="H274" i="3"/>
  <c r="E274" i="3"/>
  <c r="I274" i="3"/>
  <c r="F274" i="3"/>
  <c r="J274" i="3"/>
  <c r="G266" i="3"/>
  <c r="K266" i="3"/>
  <c r="D266" i="3"/>
  <c r="H266" i="3"/>
  <c r="E266" i="3"/>
  <c r="I266" i="3"/>
  <c r="F266" i="3"/>
  <c r="J266" i="3"/>
  <c r="G258" i="3"/>
  <c r="K258" i="3"/>
  <c r="D258" i="3"/>
  <c r="H258" i="3"/>
  <c r="E258" i="3"/>
  <c r="I258" i="3"/>
  <c r="F258" i="3"/>
  <c r="J258" i="3"/>
  <c r="E241" i="3"/>
  <c r="I241" i="3"/>
  <c r="F241" i="3"/>
  <c r="J241" i="3"/>
  <c r="K241" i="3"/>
  <c r="D241" i="3"/>
  <c r="G241" i="3"/>
  <c r="H241" i="3"/>
  <c r="D193" i="3"/>
  <c r="H193" i="3"/>
  <c r="E193" i="3"/>
  <c r="I193" i="3"/>
  <c r="F193" i="3"/>
  <c r="G193" i="3"/>
  <c r="J193" i="3"/>
  <c r="K193" i="3"/>
  <c r="G250" i="3"/>
  <c r="K250" i="3"/>
  <c r="D250" i="3"/>
  <c r="H250" i="3"/>
  <c r="I250" i="3"/>
  <c r="J250" i="3"/>
  <c r="E250" i="3"/>
  <c r="F250" i="3"/>
  <c r="G242" i="3"/>
  <c r="K242" i="3"/>
  <c r="D242" i="3"/>
  <c r="H242" i="3"/>
  <c r="I242" i="3"/>
  <c r="J242" i="3"/>
  <c r="E242" i="3"/>
  <c r="F242" i="3"/>
  <c r="G234" i="3"/>
  <c r="K234" i="3"/>
  <c r="D234" i="3"/>
  <c r="H234" i="3"/>
  <c r="I234" i="3"/>
  <c r="J234" i="3"/>
  <c r="E234" i="3"/>
  <c r="F234" i="3"/>
  <c r="G226" i="3"/>
  <c r="K226" i="3"/>
  <c r="D226" i="3"/>
  <c r="H226" i="3"/>
  <c r="I226" i="3"/>
  <c r="J226" i="3"/>
  <c r="E226" i="3"/>
  <c r="F226" i="3"/>
  <c r="G218" i="3"/>
  <c r="K218" i="3"/>
  <c r="D218" i="3"/>
  <c r="H218" i="3"/>
  <c r="I218" i="3"/>
  <c r="J218" i="3"/>
  <c r="E218" i="3"/>
  <c r="F218" i="3"/>
  <c r="E210" i="3"/>
  <c r="I210" i="3"/>
  <c r="F210" i="3"/>
  <c r="J210" i="3"/>
  <c r="G210" i="3"/>
  <c r="K210" i="3"/>
  <c r="D210" i="3"/>
  <c r="H210" i="3"/>
  <c r="E202" i="3"/>
  <c r="I202" i="3"/>
  <c r="F202" i="3"/>
  <c r="J202" i="3"/>
  <c r="G202" i="3"/>
  <c r="K202" i="3"/>
  <c r="D202" i="3"/>
  <c r="H202" i="3"/>
  <c r="D187" i="3"/>
  <c r="H187" i="3"/>
  <c r="E187" i="3"/>
  <c r="I187" i="3"/>
  <c r="G187" i="3"/>
  <c r="J187" i="3"/>
  <c r="K187" i="3"/>
  <c r="F187" i="3"/>
  <c r="G211" i="3"/>
  <c r="K211" i="3"/>
  <c r="D211" i="3"/>
  <c r="H211" i="3"/>
  <c r="E211" i="3"/>
  <c r="I211" i="3"/>
  <c r="F211" i="3"/>
  <c r="J211" i="3"/>
  <c r="G203" i="3"/>
  <c r="K203" i="3"/>
  <c r="D203" i="3"/>
  <c r="H203" i="3"/>
  <c r="E203" i="3"/>
  <c r="I203" i="3"/>
  <c r="F203" i="3"/>
  <c r="J203" i="3"/>
  <c r="D191" i="3"/>
  <c r="H191" i="3"/>
  <c r="E191" i="3"/>
  <c r="I191" i="3"/>
  <c r="K191" i="3"/>
  <c r="F191" i="3"/>
  <c r="G191" i="3"/>
  <c r="J191" i="3"/>
  <c r="F194" i="3"/>
  <c r="J194" i="3"/>
  <c r="G194" i="3"/>
  <c r="K194" i="3"/>
  <c r="I194" i="3"/>
  <c r="D194" i="3"/>
  <c r="E194" i="3"/>
  <c r="H194" i="3"/>
  <c r="F186" i="3"/>
  <c r="J186" i="3"/>
  <c r="G186" i="3"/>
  <c r="K186" i="3"/>
  <c r="I186" i="3"/>
  <c r="D186" i="3"/>
  <c r="E186" i="3"/>
  <c r="H186" i="3"/>
  <c r="F178" i="3"/>
  <c r="J178" i="3"/>
  <c r="G178" i="3"/>
  <c r="K178" i="3"/>
  <c r="I178" i="3"/>
  <c r="D178" i="3"/>
  <c r="E178" i="3"/>
  <c r="H178" i="3"/>
  <c r="D170" i="3"/>
  <c r="H170" i="3"/>
  <c r="E170" i="3"/>
  <c r="I170" i="3"/>
  <c r="F170" i="3"/>
  <c r="J170" i="3"/>
  <c r="G170" i="3"/>
  <c r="K170" i="3"/>
  <c r="D162" i="3"/>
  <c r="H162" i="3"/>
  <c r="E162" i="3"/>
  <c r="I162" i="3"/>
  <c r="F162" i="3"/>
  <c r="J162" i="3"/>
  <c r="G162" i="3"/>
  <c r="K162" i="3"/>
  <c r="D154" i="3"/>
  <c r="H154" i="3"/>
  <c r="E154" i="3"/>
  <c r="I154" i="3"/>
  <c r="F154" i="3"/>
  <c r="J154" i="3"/>
  <c r="G154" i="3"/>
  <c r="K154" i="3"/>
  <c r="D146" i="3"/>
  <c r="H146" i="3"/>
  <c r="E146" i="3"/>
  <c r="I146" i="3"/>
  <c r="F146" i="3"/>
  <c r="J146" i="3"/>
  <c r="G146" i="3"/>
  <c r="K146" i="3"/>
  <c r="D138" i="3"/>
  <c r="H138" i="3"/>
  <c r="E138" i="3"/>
  <c r="I138" i="3"/>
  <c r="F138" i="3"/>
  <c r="J138" i="3"/>
  <c r="G138" i="3"/>
  <c r="K138" i="3"/>
  <c r="D130" i="3"/>
  <c r="H130" i="3"/>
  <c r="E130" i="3"/>
  <c r="I130" i="3"/>
  <c r="F130" i="3"/>
  <c r="J130" i="3"/>
  <c r="G130" i="3"/>
  <c r="K130" i="3"/>
  <c r="F167" i="3"/>
  <c r="J167" i="3"/>
  <c r="G167" i="3"/>
  <c r="K167" i="3"/>
  <c r="D167" i="3"/>
  <c r="H167" i="3"/>
  <c r="E167" i="3"/>
  <c r="I167" i="3"/>
  <c r="F159" i="3"/>
  <c r="J159" i="3"/>
  <c r="G159" i="3"/>
  <c r="K159" i="3"/>
  <c r="D159" i="3"/>
  <c r="H159" i="3"/>
  <c r="E159" i="3"/>
  <c r="I159" i="3"/>
  <c r="F151" i="3"/>
  <c r="J151" i="3"/>
  <c r="G151" i="3"/>
  <c r="K151" i="3"/>
  <c r="D151" i="3"/>
  <c r="H151" i="3"/>
  <c r="E151" i="3"/>
  <c r="I151" i="3"/>
  <c r="F143" i="3"/>
  <c r="J143" i="3"/>
  <c r="G143" i="3"/>
  <c r="K143" i="3"/>
  <c r="D143" i="3"/>
  <c r="H143" i="3"/>
  <c r="E143" i="3"/>
  <c r="I143" i="3"/>
  <c r="F135" i="3"/>
  <c r="J135" i="3"/>
  <c r="G135" i="3"/>
  <c r="K135" i="3"/>
  <c r="D135" i="3"/>
  <c r="H135" i="3"/>
  <c r="E135" i="3"/>
  <c r="I135" i="3"/>
  <c r="D127" i="3"/>
  <c r="H127" i="3"/>
  <c r="E127" i="3"/>
  <c r="I127" i="3"/>
  <c r="F127" i="3"/>
  <c r="J127" i="3"/>
  <c r="G127" i="3"/>
  <c r="K127" i="3"/>
  <c r="D119" i="3"/>
  <c r="H119" i="3"/>
  <c r="E119" i="3"/>
  <c r="I119" i="3"/>
  <c r="F119" i="3"/>
  <c r="J119" i="3"/>
  <c r="G119" i="3"/>
  <c r="K119" i="3"/>
  <c r="D111" i="3"/>
  <c r="H111" i="3"/>
  <c r="E111" i="3"/>
  <c r="I111" i="3"/>
  <c r="F111" i="3"/>
  <c r="J111" i="3"/>
  <c r="G111" i="3"/>
  <c r="K111" i="3"/>
  <c r="D103" i="3"/>
  <c r="H103" i="3"/>
  <c r="E103" i="3"/>
  <c r="I103" i="3"/>
  <c r="F103" i="3"/>
  <c r="J103" i="3"/>
  <c r="G103" i="3"/>
  <c r="K103" i="3"/>
  <c r="F126" i="3"/>
  <c r="J126" i="3"/>
  <c r="G126" i="3"/>
  <c r="K126" i="3"/>
  <c r="D126" i="3"/>
  <c r="H126" i="3"/>
  <c r="E126" i="3"/>
  <c r="I126" i="3"/>
  <c r="F118" i="3"/>
  <c r="J118" i="3"/>
  <c r="G118" i="3"/>
  <c r="K118" i="3"/>
  <c r="D118" i="3"/>
  <c r="H118" i="3"/>
  <c r="E118" i="3"/>
  <c r="I118" i="3"/>
  <c r="F110" i="3"/>
  <c r="J110" i="3"/>
  <c r="G110" i="3"/>
  <c r="K110" i="3"/>
  <c r="D110" i="3"/>
  <c r="H110" i="3"/>
  <c r="E110" i="3"/>
  <c r="I110" i="3"/>
  <c r="F102" i="3"/>
  <c r="J102" i="3"/>
  <c r="G102" i="3"/>
  <c r="K102" i="3"/>
  <c r="D102" i="3"/>
  <c r="H102" i="3"/>
  <c r="E102" i="3"/>
  <c r="I102" i="3"/>
  <c r="E94" i="3"/>
  <c r="I94" i="3"/>
  <c r="G94" i="3"/>
  <c r="K94" i="3"/>
  <c r="H94" i="3"/>
  <c r="J94" i="3"/>
  <c r="D94" i="3"/>
  <c r="F94" i="3"/>
  <c r="D86" i="3"/>
  <c r="H86" i="3"/>
  <c r="E86" i="3"/>
  <c r="I86" i="3"/>
  <c r="F86" i="3"/>
  <c r="J86" i="3"/>
  <c r="G86" i="3"/>
  <c r="K86" i="3"/>
  <c r="D78" i="3"/>
  <c r="H78" i="3"/>
  <c r="E78" i="3"/>
  <c r="I78" i="3"/>
  <c r="F78" i="3"/>
  <c r="J78" i="3"/>
  <c r="G78" i="3"/>
  <c r="K78" i="3"/>
  <c r="D51" i="3"/>
  <c r="H51" i="3"/>
  <c r="E51" i="3"/>
  <c r="I51" i="3"/>
  <c r="F51" i="3"/>
  <c r="J51" i="3"/>
  <c r="G51" i="3"/>
  <c r="K51" i="3"/>
  <c r="D63" i="3"/>
  <c r="H63" i="3"/>
  <c r="F63" i="3"/>
  <c r="J63" i="3"/>
  <c r="G63" i="3"/>
  <c r="I63" i="3"/>
  <c r="K63" i="3"/>
  <c r="E63" i="3"/>
  <c r="E97" i="3"/>
  <c r="H97" i="3"/>
  <c r="D97" i="3"/>
  <c r="I97" i="3"/>
  <c r="F97" i="3"/>
  <c r="J97" i="3"/>
  <c r="G97" i="3"/>
  <c r="K97" i="3"/>
  <c r="F89" i="3"/>
  <c r="J89" i="3"/>
  <c r="G89" i="3"/>
  <c r="K89" i="3"/>
  <c r="D89" i="3"/>
  <c r="H89" i="3"/>
  <c r="E89" i="3"/>
  <c r="I89" i="3"/>
  <c r="F81" i="3"/>
  <c r="J81" i="3"/>
  <c r="G81" i="3"/>
  <c r="K81" i="3"/>
  <c r="D81" i="3"/>
  <c r="H81" i="3"/>
  <c r="E81" i="3"/>
  <c r="I81" i="3"/>
  <c r="F73" i="3"/>
  <c r="J73" i="3"/>
  <c r="G73" i="3"/>
  <c r="K73" i="3"/>
  <c r="D73" i="3"/>
  <c r="H73" i="3"/>
  <c r="E73" i="3"/>
  <c r="I73" i="3"/>
  <c r="F68" i="3"/>
  <c r="J68" i="3"/>
  <c r="D68" i="3"/>
  <c r="H68" i="3"/>
  <c r="K68" i="3"/>
  <c r="E68" i="3"/>
  <c r="G68" i="3"/>
  <c r="I68" i="3"/>
  <c r="F60" i="3"/>
  <c r="J60" i="3"/>
  <c r="D60" i="3"/>
  <c r="H60" i="3"/>
  <c r="K60" i="3"/>
  <c r="E60" i="3"/>
  <c r="G60" i="3"/>
  <c r="I60" i="3"/>
  <c r="D47" i="3"/>
  <c r="H47" i="3"/>
  <c r="E47" i="3"/>
  <c r="I47" i="3"/>
  <c r="F47" i="3"/>
  <c r="J47" i="3"/>
  <c r="G47" i="3"/>
  <c r="K47" i="3"/>
  <c r="F54" i="3"/>
  <c r="J54" i="3"/>
  <c r="G54" i="3"/>
  <c r="K54" i="3"/>
  <c r="D54" i="3"/>
  <c r="H54" i="3"/>
  <c r="E54" i="3"/>
  <c r="I54" i="3"/>
  <c r="F46" i="3"/>
  <c r="J46" i="3"/>
  <c r="G46" i="3"/>
  <c r="K46" i="3"/>
  <c r="D46" i="3"/>
  <c r="H46" i="3"/>
  <c r="E46" i="3"/>
  <c r="I46" i="3"/>
  <c r="D42" i="3"/>
  <c r="H42" i="3"/>
  <c r="I42" i="3"/>
  <c r="E42" i="3"/>
  <c r="J42" i="3"/>
  <c r="F42" i="3"/>
  <c r="K42" i="3"/>
  <c r="G42" i="3"/>
  <c r="D38" i="3"/>
  <c r="H38" i="3"/>
  <c r="I38" i="3"/>
  <c r="E38" i="3"/>
  <c r="J38" i="3"/>
  <c r="F38" i="3"/>
  <c r="K38" i="3"/>
  <c r="G38" i="3"/>
  <c r="D30" i="3"/>
  <c r="H30" i="3"/>
  <c r="E30" i="3"/>
  <c r="I30" i="3"/>
  <c r="K30" i="3"/>
  <c r="F30" i="3"/>
  <c r="G30" i="3"/>
  <c r="J30" i="3"/>
  <c r="D22" i="3"/>
  <c r="H22" i="3"/>
  <c r="E22" i="3"/>
  <c r="I22" i="3"/>
  <c r="G22" i="3"/>
  <c r="K22" i="3"/>
  <c r="F22" i="3"/>
  <c r="J22" i="3"/>
  <c r="D14" i="3"/>
  <c r="H14" i="3"/>
  <c r="E14" i="3"/>
  <c r="I14" i="3"/>
  <c r="G14" i="3"/>
  <c r="K14" i="3"/>
  <c r="F14" i="3"/>
  <c r="J14" i="3"/>
  <c r="D6" i="3"/>
  <c r="H6" i="3"/>
  <c r="E6" i="3"/>
  <c r="I6" i="3"/>
  <c r="F6" i="3"/>
  <c r="J6" i="3"/>
  <c r="G6" i="3"/>
  <c r="K6" i="3"/>
  <c r="F29" i="3"/>
  <c r="J29" i="3"/>
  <c r="G29" i="3"/>
  <c r="K29" i="3"/>
  <c r="E29" i="3"/>
  <c r="H29" i="3"/>
  <c r="I29" i="3"/>
  <c r="D29" i="3"/>
  <c r="F21" i="3"/>
  <c r="J21" i="3"/>
  <c r="G21" i="3"/>
  <c r="K21" i="3"/>
  <c r="E21" i="3"/>
  <c r="I21" i="3"/>
  <c r="H21" i="3"/>
  <c r="D21" i="3"/>
  <c r="F13" i="3"/>
  <c r="J13" i="3"/>
  <c r="G13" i="3"/>
  <c r="K13" i="3"/>
  <c r="E13" i="3"/>
  <c r="I13" i="3"/>
  <c r="H13" i="3"/>
  <c r="D13" i="3"/>
  <c r="F5" i="3"/>
  <c r="J5" i="3"/>
  <c r="G5" i="3"/>
  <c r="K5" i="3"/>
  <c r="D5" i="3"/>
  <c r="H5" i="3"/>
  <c r="E5" i="3"/>
  <c r="I5" i="3"/>
  <c r="J356" i="3"/>
  <c r="G356" i="3"/>
  <c r="D356" i="3"/>
  <c r="H356" i="3"/>
  <c r="K356" i="3"/>
  <c r="E356" i="3"/>
  <c r="I356" i="3"/>
  <c r="F356" i="3"/>
  <c r="D365" i="3"/>
  <c r="I365" i="3"/>
  <c r="E365" i="3"/>
  <c r="F365" i="3"/>
  <c r="J365" i="3"/>
  <c r="H365" i="3"/>
  <c r="G365" i="3"/>
  <c r="K365" i="3"/>
  <c r="H357" i="3"/>
  <c r="I357" i="3"/>
  <c r="F357" i="3"/>
  <c r="J357" i="3"/>
  <c r="G357" i="3"/>
  <c r="K357" i="3"/>
  <c r="D357" i="3"/>
  <c r="E357" i="3"/>
  <c r="E349" i="3"/>
  <c r="I349" i="3"/>
  <c r="F349" i="3"/>
  <c r="J349" i="3"/>
  <c r="D349" i="3"/>
  <c r="G349" i="3"/>
  <c r="K349" i="3"/>
  <c r="H349" i="3"/>
  <c r="D341" i="3"/>
  <c r="E341" i="3"/>
  <c r="I341" i="3"/>
  <c r="F341" i="3"/>
  <c r="J341" i="3"/>
  <c r="H341" i="3"/>
  <c r="G341" i="3"/>
  <c r="K341" i="3"/>
  <c r="E322" i="3"/>
  <c r="I322" i="3"/>
  <c r="F322" i="3"/>
  <c r="J322" i="3"/>
  <c r="D322" i="3"/>
  <c r="G322" i="3"/>
  <c r="H322" i="3"/>
  <c r="K322" i="3"/>
  <c r="F360" i="3"/>
  <c r="D360" i="3"/>
  <c r="H360" i="3"/>
  <c r="J360" i="3"/>
  <c r="K360" i="3"/>
  <c r="E360" i="3"/>
  <c r="I360" i="3"/>
  <c r="G360" i="3"/>
  <c r="E316" i="3"/>
  <c r="I316" i="3"/>
  <c r="F316" i="3"/>
  <c r="J316" i="3"/>
  <c r="G316" i="3"/>
  <c r="H316" i="3"/>
  <c r="K316" i="3"/>
  <c r="D316" i="3"/>
  <c r="G346" i="3"/>
  <c r="K346" i="3"/>
  <c r="D346" i="3"/>
  <c r="H346" i="3"/>
  <c r="J346" i="3"/>
  <c r="E346" i="3"/>
  <c r="I346" i="3"/>
  <c r="F346" i="3"/>
  <c r="G338" i="3"/>
  <c r="K338" i="3"/>
  <c r="D338" i="3"/>
  <c r="H338" i="3"/>
  <c r="F338" i="3"/>
  <c r="J338" i="3"/>
  <c r="E338" i="3"/>
  <c r="I338" i="3"/>
  <c r="E310" i="3"/>
  <c r="I310" i="3"/>
  <c r="F310" i="3"/>
  <c r="J310" i="3"/>
  <c r="H310" i="3"/>
  <c r="K310" i="3"/>
  <c r="D310" i="3"/>
  <c r="G310" i="3"/>
  <c r="E328" i="3"/>
  <c r="I328" i="3"/>
  <c r="F328" i="3"/>
  <c r="J328" i="3"/>
  <c r="K328" i="3"/>
  <c r="D328" i="3"/>
  <c r="G328" i="3"/>
  <c r="H328" i="3"/>
  <c r="E251" i="3"/>
  <c r="I251" i="3"/>
  <c r="F251" i="3"/>
  <c r="J251" i="3"/>
  <c r="D251" i="3"/>
  <c r="G251" i="3"/>
  <c r="H251" i="3"/>
  <c r="K251" i="3"/>
  <c r="E219" i="3"/>
  <c r="I219" i="3"/>
  <c r="F219" i="3"/>
  <c r="J219" i="3"/>
  <c r="D219" i="3"/>
  <c r="G219" i="3"/>
  <c r="H219" i="3"/>
  <c r="K219" i="3"/>
  <c r="G331" i="3"/>
  <c r="K331" i="3"/>
  <c r="D331" i="3"/>
  <c r="H331" i="3"/>
  <c r="J331" i="3"/>
  <c r="E331" i="3"/>
  <c r="F331" i="3"/>
  <c r="I331" i="3"/>
  <c r="G323" i="3"/>
  <c r="K323" i="3"/>
  <c r="D323" i="3"/>
  <c r="H323" i="3"/>
  <c r="J323" i="3"/>
  <c r="E323" i="3"/>
  <c r="F323" i="3"/>
  <c r="I323" i="3"/>
  <c r="G315" i="3"/>
  <c r="K315" i="3"/>
  <c r="D315" i="3"/>
  <c r="H315" i="3"/>
  <c r="J315" i="3"/>
  <c r="E315" i="3"/>
  <c r="F315" i="3"/>
  <c r="I315" i="3"/>
  <c r="G307" i="3"/>
  <c r="K307" i="3"/>
  <c r="D307" i="3"/>
  <c r="H307" i="3"/>
  <c r="J307" i="3"/>
  <c r="E307" i="3"/>
  <c r="F307" i="3"/>
  <c r="I307" i="3"/>
  <c r="E299" i="3"/>
  <c r="I299" i="3"/>
  <c r="F299" i="3"/>
  <c r="J299" i="3"/>
  <c r="G299" i="3"/>
  <c r="K299" i="3"/>
  <c r="D299" i="3"/>
  <c r="H299" i="3"/>
  <c r="E291" i="3"/>
  <c r="I291" i="3"/>
  <c r="F291" i="3"/>
  <c r="J291" i="3"/>
  <c r="G291" i="3"/>
  <c r="K291" i="3"/>
  <c r="D291" i="3"/>
  <c r="H291" i="3"/>
  <c r="E283" i="3"/>
  <c r="I283" i="3"/>
  <c r="F283" i="3"/>
  <c r="J283" i="3"/>
  <c r="G283" i="3"/>
  <c r="K283" i="3"/>
  <c r="D283" i="3"/>
  <c r="H283" i="3"/>
  <c r="E275" i="3"/>
  <c r="I275" i="3"/>
  <c r="F275" i="3"/>
  <c r="J275" i="3"/>
  <c r="G275" i="3"/>
  <c r="K275" i="3"/>
  <c r="D275" i="3"/>
  <c r="H275" i="3"/>
  <c r="E267" i="3"/>
  <c r="I267" i="3"/>
  <c r="F267" i="3"/>
  <c r="J267" i="3"/>
  <c r="G267" i="3"/>
  <c r="K267" i="3"/>
  <c r="D267" i="3"/>
  <c r="H267" i="3"/>
  <c r="E259" i="3"/>
  <c r="I259" i="3"/>
  <c r="F259" i="3"/>
  <c r="J259" i="3"/>
  <c r="G259" i="3"/>
  <c r="K259" i="3"/>
  <c r="D259" i="3"/>
  <c r="H259" i="3"/>
  <c r="E245" i="3"/>
  <c r="I245" i="3"/>
  <c r="F245" i="3"/>
  <c r="J245" i="3"/>
  <c r="G245" i="3"/>
  <c r="H245" i="3"/>
  <c r="K245" i="3"/>
  <c r="D245" i="3"/>
  <c r="E247" i="3"/>
  <c r="I247" i="3"/>
  <c r="F247" i="3"/>
  <c r="J247" i="3"/>
  <c r="H247" i="3"/>
  <c r="K247" i="3"/>
  <c r="D247" i="3"/>
  <c r="G247" i="3"/>
  <c r="E215" i="3"/>
  <c r="I215" i="3"/>
  <c r="F215" i="3"/>
  <c r="J215" i="3"/>
  <c r="H215" i="3"/>
  <c r="K215" i="3"/>
  <c r="D215" i="3"/>
  <c r="G215" i="3"/>
  <c r="G296" i="3"/>
  <c r="K296" i="3"/>
  <c r="D296" i="3"/>
  <c r="H296" i="3"/>
  <c r="E296" i="3"/>
  <c r="I296" i="3"/>
  <c r="F296" i="3"/>
  <c r="J296" i="3"/>
  <c r="G288" i="3"/>
  <c r="K288" i="3"/>
  <c r="D288" i="3"/>
  <c r="H288" i="3"/>
  <c r="E288" i="3"/>
  <c r="I288" i="3"/>
  <c r="F288" i="3"/>
  <c r="J288" i="3"/>
  <c r="G280" i="3"/>
  <c r="K280" i="3"/>
  <c r="D280" i="3"/>
  <c r="H280" i="3"/>
  <c r="E280" i="3"/>
  <c r="I280" i="3"/>
  <c r="F280" i="3"/>
  <c r="J280" i="3"/>
  <c r="G272" i="3"/>
  <c r="K272" i="3"/>
  <c r="D272" i="3"/>
  <c r="H272" i="3"/>
  <c r="E272" i="3"/>
  <c r="I272" i="3"/>
  <c r="F272" i="3"/>
  <c r="J272" i="3"/>
  <c r="G264" i="3"/>
  <c r="K264" i="3"/>
  <c r="D264" i="3"/>
  <c r="H264" i="3"/>
  <c r="E264" i="3"/>
  <c r="I264" i="3"/>
  <c r="F264" i="3"/>
  <c r="J264" i="3"/>
  <c r="G256" i="3"/>
  <c r="K256" i="3"/>
  <c r="D256" i="3"/>
  <c r="H256" i="3"/>
  <c r="E256" i="3"/>
  <c r="I256" i="3"/>
  <c r="F256" i="3"/>
  <c r="J256" i="3"/>
  <c r="E233" i="3"/>
  <c r="I233" i="3"/>
  <c r="F233" i="3"/>
  <c r="J233" i="3"/>
  <c r="K233" i="3"/>
  <c r="D233" i="3"/>
  <c r="G233" i="3"/>
  <c r="H233" i="3"/>
  <c r="D185" i="3"/>
  <c r="H185" i="3"/>
  <c r="E185" i="3"/>
  <c r="I185" i="3"/>
  <c r="F185" i="3"/>
  <c r="G185" i="3"/>
  <c r="J185" i="3"/>
  <c r="K185" i="3"/>
  <c r="G248" i="3"/>
  <c r="K248" i="3"/>
  <c r="D248" i="3"/>
  <c r="H248" i="3"/>
  <c r="F248" i="3"/>
  <c r="I248" i="3"/>
  <c r="J248" i="3"/>
  <c r="E248" i="3"/>
  <c r="G240" i="3"/>
  <c r="K240" i="3"/>
  <c r="D240" i="3"/>
  <c r="H240" i="3"/>
  <c r="F240" i="3"/>
  <c r="I240" i="3"/>
  <c r="J240" i="3"/>
  <c r="E240" i="3"/>
  <c r="G232" i="3"/>
  <c r="K232" i="3"/>
  <c r="D232" i="3"/>
  <c r="H232" i="3"/>
  <c r="F232" i="3"/>
  <c r="I232" i="3"/>
  <c r="J232" i="3"/>
  <c r="E232" i="3"/>
  <c r="G224" i="3"/>
  <c r="K224" i="3"/>
  <c r="D224" i="3"/>
  <c r="H224" i="3"/>
  <c r="F224" i="3"/>
  <c r="I224" i="3"/>
  <c r="J224" i="3"/>
  <c r="E224" i="3"/>
  <c r="G216" i="3"/>
  <c r="K216" i="3"/>
  <c r="D216" i="3"/>
  <c r="H216" i="3"/>
  <c r="F216" i="3"/>
  <c r="I216" i="3"/>
  <c r="J216" i="3"/>
  <c r="E216" i="3"/>
  <c r="E208" i="3"/>
  <c r="I208" i="3"/>
  <c r="F208" i="3"/>
  <c r="J208" i="3"/>
  <c r="G208" i="3"/>
  <c r="K208" i="3"/>
  <c r="D208" i="3"/>
  <c r="H208" i="3"/>
  <c r="E200" i="3"/>
  <c r="I200" i="3"/>
  <c r="F200" i="3"/>
  <c r="J200" i="3"/>
  <c r="G200" i="3"/>
  <c r="K200" i="3"/>
  <c r="D200" i="3"/>
  <c r="H200" i="3"/>
  <c r="D179" i="3"/>
  <c r="H179" i="3"/>
  <c r="E179" i="3"/>
  <c r="I179" i="3"/>
  <c r="G179" i="3"/>
  <c r="J179" i="3"/>
  <c r="K179" i="3"/>
  <c r="F179" i="3"/>
  <c r="G209" i="3"/>
  <c r="K209" i="3"/>
  <c r="D209" i="3"/>
  <c r="H209" i="3"/>
  <c r="E209" i="3"/>
  <c r="I209" i="3"/>
  <c r="F209" i="3"/>
  <c r="J209" i="3"/>
  <c r="G201" i="3"/>
  <c r="K201" i="3"/>
  <c r="D201" i="3"/>
  <c r="H201" i="3"/>
  <c r="E201" i="3"/>
  <c r="I201" i="3"/>
  <c r="F201" i="3"/>
  <c r="J201" i="3"/>
  <c r="D183" i="3"/>
  <c r="H183" i="3"/>
  <c r="E183" i="3"/>
  <c r="I183" i="3"/>
  <c r="K183" i="3"/>
  <c r="F183" i="3"/>
  <c r="G183" i="3"/>
  <c r="J183" i="3"/>
  <c r="F192" i="3"/>
  <c r="J192" i="3"/>
  <c r="G192" i="3"/>
  <c r="K192" i="3"/>
  <c r="H192" i="3"/>
  <c r="I192" i="3"/>
  <c r="D192" i="3"/>
  <c r="E192" i="3"/>
  <c r="F184" i="3"/>
  <c r="J184" i="3"/>
  <c r="G184" i="3"/>
  <c r="K184" i="3"/>
  <c r="H184" i="3"/>
  <c r="I184" i="3"/>
  <c r="D184" i="3"/>
  <c r="E184" i="3"/>
  <c r="F176" i="3"/>
  <c r="J176" i="3"/>
  <c r="G176" i="3"/>
  <c r="K176" i="3"/>
  <c r="H176" i="3"/>
  <c r="I176" i="3"/>
  <c r="D176" i="3"/>
  <c r="E176" i="3"/>
  <c r="D168" i="3"/>
  <c r="H168" i="3"/>
  <c r="E168" i="3"/>
  <c r="I168" i="3"/>
  <c r="F168" i="3"/>
  <c r="J168" i="3"/>
  <c r="G168" i="3"/>
  <c r="K168" i="3"/>
  <c r="D160" i="3"/>
  <c r="H160" i="3"/>
  <c r="E160" i="3"/>
  <c r="I160" i="3"/>
  <c r="F160" i="3"/>
  <c r="J160" i="3"/>
  <c r="G160" i="3"/>
  <c r="K160" i="3"/>
  <c r="D152" i="3"/>
  <c r="H152" i="3"/>
  <c r="E152" i="3"/>
  <c r="I152" i="3"/>
  <c r="F152" i="3"/>
  <c r="J152" i="3"/>
  <c r="G152" i="3"/>
  <c r="K152" i="3"/>
  <c r="D144" i="3"/>
  <c r="H144" i="3"/>
  <c r="E144" i="3"/>
  <c r="I144" i="3"/>
  <c r="F144" i="3"/>
  <c r="J144" i="3"/>
  <c r="G144" i="3"/>
  <c r="K144" i="3"/>
  <c r="D136" i="3"/>
  <c r="H136" i="3"/>
  <c r="E136" i="3"/>
  <c r="I136" i="3"/>
  <c r="F136" i="3"/>
  <c r="J136" i="3"/>
  <c r="G136" i="3"/>
  <c r="K136" i="3"/>
  <c r="G173" i="3"/>
  <c r="D173" i="3"/>
  <c r="H173" i="3"/>
  <c r="E173" i="3"/>
  <c r="I173" i="3"/>
  <c r="J173" i="3"/>
  <c r="K173" i="3"/>
  <c r="F173" i="3"/>
  <c r="F165" i="3"/>
  <c r="J165" i="3"/>
  <c r="G165" i="3"/>
  <c r="K165" i="3"/>
  <c r="D165" i="3"/>
  <c r="H165" i="3"/>
  <c r="E165" i="3"/>
  <c r="I165" i="3"/>
  <c r="F157" i="3"/>
  <c r="J157" i="3"/>
  <c r="G157" i="3"/>
  <c r="K157" i="3"/>
  <c r="D157" i="3"/>
  <c r="H157" i="3"/>
  <c r="E157" i="3"/>
  <c r="I157" i="3"/>
  <c r="F149" i="3"/>
  <c r="J149" i="3"/>
  <c r="G149" i="3"/>
  <c r="K149" i="3"/>
  <c r="D149" i="3"/>
  <c r="H149" i="3"/>
  <c r="E149" i="3"/>
  <c r="I149" i="3"/>
  <c r="F141" i="3"/>
  <c r="J141" i="3"/>
  <c r="G141" i="3"/>
  <c r="K141" i="3"/>
  <c r="D141" i="3"/>
  <c r="H141" i="3"/>
  <c r="E141" i="3"/>
  <c r="I141" i="3"/>
  <c r="F133" i="3"/>
  <c r="J133" i="3"/>
  <c r="G133" i="3"/>
  <c r="K133" i="3"/>
  <c r="D133" i="3"/>
  <c r="H133" i="3"/>
  <c r="E133" i="3"/>
  <c r="I133" i="3"/>
  <c r="D125" i="3"/>
  <c r="H125" i="3"/>
  <c r="E125" i="3"/>
  <c r="I125" i="3"/>
  <c r="F125" i="3"/>
  <c r="J125" i="3"/>
  <c r="G125" i="3"/>
  <c r="K125" i="3"/>
  <c r="D117" i="3"/>
  <c r="H117" i="3"/>
  <c r="E117" i="3"/>
  <c r="I117" i="3"/>
  <c r="F117" i="3"/>
  <c r="J117" i="3"/>
  <c r="G117" i="3"/>
  <c r="K117" i="3"/>
  <c r="D109" i="3"/>
  <c r="H109" i="3"/>
  <c r="E109" i="3"/>
  <c r="I109" i="3"/>
  <c r="F109" i="3"/>
  <c r="J109" i="3"/>
  <c r="G109" i="3"/>
  <c r="K109" i="3"/>
  <c r="D101" i="3"/>
  <c r="H101" i="3"/>
  <c r="E101" i="3"/>
  <c r="I101" i="3"/>
  <c r="F101" i="3"/>
  <c r="J101" i="3"/>
  <c r="G101" i="3"/>
  <c r="K101" i="3"/>
  <c r="F124" i="3"/>
  <c r="J124" i="3"/>
  <c r="G124" i="3"/>
  <c r="K124" i="3"/>
  <c r="D124" i="3"/>
  <c r="H124" i="3"/>
  <c r="E124" i="3"/>
  <c r="I124" i="3"/>
  <c r="F116" i="3"/>
  <c r="J116" i="3"/>
  <c r="G116" i="3"/>
  <c r="K116" i="3"/>
  <c r="D116" i="3"/>
  <c r="H116" i="3"/>
  <c r="E116" i="3"/>
  <c r="I116" i="3"/>
  <c r="F108" i="3"/>
  <c r="J108" i="3"/>
  <c r="G108" i="3"/>
  <c r="K108" i="3"/>
  <c r="D108" i="3"/>
  <c r="H108" i="3"/>
  <c r="E108" i="3"/>
  <c r="I108" i="3"/>
  <c r="F100" i="3"/>
  <c r="J100" i="3"/>
  <c r="G100" i="3"/>
  <c r="K100" i="3"/>
  <c r="D100" i="3"/>
  <c r="H100" i="3"/>
  <c r="E100" i="3"/>
  <c r="I100" i="3"/>
  <c r="D92" i="3"/>
  <c r="H92" i="3"/>
  <c r="E92" i="3"/>
  <c r="I92" i="3"/>
  <c r="G92" i="3"/>
  <c r="K92" i="3"/>
  <c r="F92" i="3"/>
  <c r="J92" i="3"/>
  <c r="D84" i="3"/>
  <c r="H84" i="3"/>
  <c r="E84" i="3"/>
  <c r="I84" i="3"/>
  <c r="F84" i="3"/>
  <c r="J84" i="3"/>
  <c r="G84" i="3"/>
  <c r="K84" i="3"/>
  <c r="D76" i="3"/>
  <c r="H76" i="3"/>
  <c r="E76" i="3"/>
  <c r="I76" i="3"/>
  <c r="F76" i="3"/>
  <c r="J76" i="3"/>
  <c r="G76" i="3"/>
  <c r="K76" i="3"/>
  <c r="D69" i="3"/>
  <c r="H69" i="3"/>
  <c r="F69" i="3"/>
  <c r="J69" i="3"/>
  <c r="G69" i="3"/>
  <c r="I69" i="3"/>
  <c r="K69" i="3"/>
  <c r="E69" i="3"/>
  <c r="D61" i="3"/>
  <c r="H61" i="3"/>
  <c r="F61" i="3"/>
  <c r="J61" i="3"/>
  <c r="G61" i="3"/>
  <c r="I61" i="3"/>
  <c r="K61" i="3"/>
  <c r="E61" i="3"/>
  <c r="G95" i="3"/>
  <c r="K95" i="3"/>
  <c r="E95" i="3"/>
  <c r="I95" i="3"/>
  <c r="F95" i="3"/>
  <c r="H95" i="3"/>
  <c r="J95" i="3"/>
  <c r="D95" i="3"/>
  <c r="F87" i="3"/>
  <c r="J87" i="3"/>
  <c r="G87" i="3"/>
  <c r="K87" i="3"/>
  <c r="D87" i="3"/>
  <c r="H87" i="3"/>
  <c r="E87" i="3"/>
  <c r="I87" i="3"/>
  <c r="F79" i="3"/>
  <c r="J79" i="3"/>
  <c r="G79" i="3"/>
  <c r="K79" i="3"/>
  <c r="D79" i="3"/>
  <c r="H79" i="3"/>
  <c r="E79" i="3"/>
  <c r="I79" i="3"/>
  <c r="F71" i="3"/>
  <c r="J71" i="3"/>
  <c r="G71" i="3"/>
  <c r="K71" i="3"/>
  <c r="D71" i="3"/>
  <c r="H71" i="3"/>
  <c r="E71" i="3"/>
  <c r="I71" i="3"/>
  <c r="F66" i="3"/>
  <c r="J66" i="3"/>
  <c r="D66" i="3"/>
  <c r="H66" i="3"/>
  <c r="K66" i="3"/>
  <c r="E66" i="3"/>
  <c r="G66" i="3"/>
  <c r="I66" i="3"/>
  <c r="F58" i="3"/>
  <c r="J58" i="3"/>
  <c r="D58" i="3"/>
  <c r="H58" i="3"/>
  <c r="K58" i="3"/>
  <c r="E58" i="3"/>
  <c r="G58" i="3"/>
  <c r="I58" i="3"/>
  <c r="D32" i="3"/>
  <c r="H32" i="3"/>
  <c r="E32" i="3"/>
  <c r="I32" i="3"/>
  <c r="F32" i="3"/>
  <c r="G32" i="3"/>
  <c r="J32" i="3"/>
  <c r="K32" i="3"/>
  <c r="F52" i="3"/>
  <c r="J52" i="3"/>
  <c r="G52" i="3"/>
  <c r="K52" i="3"/>
  <c r="D52" i="3"/>
  <c r="H52" i="3"/>
  <c r="I52" i="3"/>
  <c r="E52" i="3"/>
  <c r="F45" i="3"/>
  <c r="H45" i="3"/>
  <c r="D45" i="3"/>
  <c r="I45" i="3"/>
  <c r="E45" i="3"/>
  <c r="J45" i="3"/>
  <c r="G45" i="3"/>
  <c r="K45" i="3"/>
  <c r="F41" i="3"/>
  <c r="J41" i="3"/>
  <c r="H41" i="3"/>
  <c r="D41" i="3"/>
  <c r="I41" i="3"/>
  <c r="E41" i="3"/>
  <c r="K41" i="3"/>
  <c r="G41" i="3"/>
  <c r="F37" i="3"/>
  <c r="J37" i="3"/>
  <c r="H37" i="3"/>
  <c r="D37" i="3"/>
  <c r="I37" i="3"/>
  <c r="E37" i="3"/>
  <c r="K37" i="3"/>
  <c r="G37" i="3"/>
  <c r="D28" i="3"/>
  <c r="H28" i="3"/>
  <c r="E28" i="3"/>
  <c r="I28" i="3"/>
  <c r="G28" i="3"/>
  <c r="K28" i="3"/>
  <c r="F28" i="3"/>
  <c r="J28" i="3"/>
  <c r="D20" i="3"/>
  <c r="H20" i="3"/>
  <c r="E20" i="3"/>
  <c r="I20" i="3"/>
  <c r="G20" i="3"/>
  <c r="K20" i="3"/>
  <c r="F20" i="3"/>
  <c r="J20" i="3"/>
  <c r="D12" i="3"/>
  <c r="H12" i="3"/>
  <c r="E12" i="3"/>
  <c r="I12" i="3"/>
  <c r="F12" i="3"/>
  <c r="J12" i="3"/>
  <c r="G12" i="3"/>
  <c r="K12" i="3"/>
  <c r="D4" i="3"/>
  <c r="H4" i="3"/>
  <c r="E4" i="3"/>
  <c r="I4" i="3"/>
  <c r="F4" i="3"/>
  <c r="J4" i="3"/>
  <c r="G4" i="3"/>
  <c r="K4" i="3"/>
  <c r="F27" i="3"/>
  <c r="J27" i="3"/>
  <c r="G27" i="3"/>
  <c r="K27" i="3"/>
  <c r="E27" i="3"/>
  <c r="I27" i="3"/>
  <c r="D27" i="3"/>
  <c r="H27" i="3"/>
  <c r="F19" i="3"/>
  <c r="J19" i="3"/>
  <c r="G19" i="3"/>
  <c r="K19" i="3"/>
  <c r="E19" i="3"/>
  <c r="I19" i="3"/>
  <c r="D19" i="3"/>
  <c r="H19" i="3"/>
  <c r="F11" i="3"/>
  <c r="J11" i="3"/>
  <c r="G11" i="3"/>
  <c r="K11" i="3"/>
  <c r="D11" i="3"/>
  <c r="H11" i="3"/>
  <c r="E11" i="3"/>
  <c r="I11" i="3"/>
  <c r="F3" i="3"/>
  <c r="J3" i="3"/>
  <c r="G3" i="3"/>
  <c r="K3" i="3"/>
  <c r="D3" i="3"/>
  <c r="H3" i="3"/>
  <c r="E3" i="3"/>
  <c r="I3" i="3"/>
  <c r="I2" i="3"/>
  <c r="K2" i="3"/>
  <c r="E2" i="3"/>
  <c r="G2" i="3"/>
  <c r="J2" i="3"/>
  <c r="H2" i="3"/>
  <c r="D2" i="3"/>
  <c r="F2" i="3"/>
  <c r="D3" i="2"/>
  <c r="E3" i="2"/>
  <c r="E2" i="2"/>
  <c r="E368" i="2"/>
  <c r="D368" i="2"/>
  <c r="D2" i="2"/>
  <c r="A5" i="6" l="1"/>
  <c r="A7" i="6"/>
  <c r="A9" i="6"/>
  <c r="A11" i="6"/>
  <c r="A13" i="6"/>
  <c r="A15" i="6"/>
  <c r="A17" i="6"/>
  <c r="A19" i="6"/>
  <c r="A21" i="6"/>
  <c r="A25" i="6"/>
  <c r="A29" i="6"/>
  <c r="A33" i="6"/>
  <c r="A45" i="6"/>
  <c r="A51" i="6"/>
  <c r="A55" i="6"/>
  <c r="A59" i="6"/>
  <c r="A63" i="6"/>
  <c r="A239" i="6"/>
  <c r="A243" i="6"/>
  <c r="A39" i="6"/>
  <c r="A67" i="6"/>
  <c r="A71" i="6"/>
  <c r="A75" i="6"/>
  <c r="A79" i="6"/>
  <c r="A83" i="6"/>
  <c r="A87" i="6"/>
  <c r="A91" i="6"/>
  <c r="A95" i="6"/>
  <c r="A103" i="6"/>
  <c r="A111" i="6"/>
  <c r="A119" i="6"/>
  <c r="A127" i="6"/>
  <c r="A135" i="6"/>
  <c r="A143" i="6"/>
  <c r="A147" i="6"/>
  <c r="A151" i="6"/>
  <c r="A155" i="6"/>
  <c r="A159" i="6"/>
  <c r="A163" i="6"/>
  <c r="A171" i="6"/>
  <c r="A247" i="6"/>
  <c r="A251" i="6"/>
  <c r="A255" i="6"/>
  <c r="A144" i="6"/>
  <c r="A148" i="6"/>
  <c r="A152" i="6"/>
  <c r="A156" i="6"/>
  <c r="A160" i="6"/>
  <c r="A3" i="6"/>
  <c r="A23" i="6"/>
  <c r="A31" i="6"/>
  <c r="A35" i="6"/>
  <c r="A37" i="6"/>
  <c r="A41" i="6"/>
  <c r="A43" i="6"/>
  <c r="A115" i="6"/>
  <c r="A123" i="6"/>
  <c r="A131" i="6"/>
  <c r="A139" i="6"/>
  <c r="A2" i="6"/>
  <c r="A27" i="6"/>
  <c r="A47" i="6"/>
  <c r="A49" i="6"/>
  <c r="A99" i="6"/>
  <c r="A107" i="6"/>
  <c r="A167" i="6"/>
  <c r="A175" i="6"/>
  <c r="A179" i="6"/>
  <c r="A183" i="6"/>
  <c r="A187" i="6"/>
  <c r="A191" i="6"/>
  <c r="A195" i="6"/>
  <c r="A199" i="6"/>
  <c r="A203" i="6"/>
  <c r="A207" i="6"/>
  <c r="A211" i="6"/>
  <c r="A215" i="6"/>
  <c r="A219" i="6"/>
  <c r="A223" i="6"/>
  <c r="A227" i="6"/>
  <c r="A231" i="6"/>
  <c r="A235" i="6"/>
  <c r="A259" i="6"/>
  <c r="A263" i="6"/>
  <c r="A267" i="6"/>
  <c r="A271" i="6"/>
  <c r="A275" i="6"/>
  <c r="A279" i="6"/>
  <c r="A283" i="6"/>
  <c r="A287" i="6"/>
  <c r="A291" i="6"/>
  <c r="A295" i="6"/>
  <c r="A299" i="6"/>
  <c r="A303" i="6"/>
  <c r="A307" i="6"/>
  <c r="A311" i="6"/>
  <c r="A315" i="6"/>
  <c r="A319" i="6"/>
  <c r="A323" i="6"/>
  <c r="A327" i="6"/>
  <c r="A331" i="6"/>
  <c r="A335" i="6"/>
  <c r="A339" i="6"/>
  <c r="A349" i="6"/>
  <c r="A357" i="6"/>
  <c r="A361" i="6"/>
  <c r="A365" i="6"/>
  <c r="A345" i="6"/>
  <c r="A353" i="6"/>
  <c r="A350" i="6"/>
  <c r="A354" i="6"/>
  <c r="A4" i="6"/>
  <c r="A8" i="6"/>
  <c r="A12" i="6"/>
  <c r="A16" i="6"/>
  <c r="A20" i="6"/>
  <c r="A24" i="6"/>
  <c r="A28" i="6"/>
  <c r="A32" i="6"/>
  <c r="A36" i="6"/>
  <c r="A40" i="6"/>
  <c r="A44" i="6"/>
  <c r="A48" i="6"/>
  <c r="A52" i="6"/>
  <c r="A56" i="6"/>
  <c r="A60" i="6"/>
  <c r="A64" i="6"/>
  <c r="A68" i="6"/>
  <c r="A72" i="6"/>
  <c r="A76" i="6"/>
  <c r="A80" i="6"/>
  <c r="A84" i="6"/>
  <c r="A88" i="6"/>
  <c r="A92" i="6"/>
  <c r="A96" i="6"/>
  <c r="A100" i="6"/>
  <c r="A104" i="6"/>
  <c r="A108" i="6"/>
  <c r="A112" i="6"/>
  <c r="A116" i="6"/>
  <c r="A120" i="6"/>
  <c r="A124" i="6"/>
  <c r="A128" i="6"/>
  <c r="A132" i="6"/>
  <c r="A136" i="6"/>
  <c r="A140" i="6"/>
  <c r="A164" i="6"/>
  <c r="A168" i="6"/>
  <c r="A172" i="6"/>
  <c r="A176" i="6"/>
  <c r="A180" i="6"/>
  <c r="A184" i="6"/>
  <c r="A188" i="6"/>
  <c r="A192" i="6"/>
  <c r="A196" i="6"/>
  <c r="A200" i="6"/>
  <c r="A204" i="6"/>
  <c r="A208" i="6"/>
  <c r="A212" i="6"/>
  <c r="A216" i="6"/>
  <c r="A220" i="6"/>
  <c r="A224" i="6"/>
  <c r="A228" i="6"/>
  <c r="A232" i="6"/>
  <c r="A236" i="6"/>
  <c r="A240" i="6"/>
  <c r="A244" i="6"/>
  <c r="A248" i="6"/>
  <c r="A252" i="6"/>
  <c r="A256" i="6"/>
  <c r="A260" i="6"/>
  <c r="A264" i="6"/>
  <c r="A268" i="6"/>
  <c r="A272" i="6"/>
  <c r="A276" i="6"/>
  <c r="A280" i="6"/>
  <c r="A284" i="6"/>
  <c r="A288" i="6"/>
  <c r="A292" i="6"/>
  <c r="A296" i="6"/>
  <c r="A300" i="6"/>
  <c r="A304" i="6"/>
  <c r="A308" i="6"/>
  <c r="A312" i="6"/>
  <c r="A316" i="6"/>
  <c r="A320" i="6"/>
  <c r="A324" i="6"/>
  <c r="A328" i="6"/>
  <c r="A332" i="6"/>
  <c r="A336" i="6"/>
  <c r="A338" i="6"/>
  <c r="A342" i="6"/>
  <c r="A346" i="6"/>
  <c r="A358" i="6"/>
  <c r="A362" i="6"/>
  <c r="A366" i="6"/>
  <c r="A53" i="6"/>
  <c r="A57" i="6"/>
  <c r="A61" i="6"/>
  <c r="A65" i="6"/>
  <c r="A69" i="6"/>
  <c r="A73" i="6"/>
  <c r="A77" i="6"/>
  <c r="A81" i="6"/>
  <c r="A85" i="6"/>
  <c r="A89" i="6"/>
  <c r="A93" i="6"/>
  <c r="A97" i="6"/>
  <c r="A101" i="6"/>
  <c r="A105" i="6"/>
  <c r="A109" i="6"/>
  <c r="A113" i="6"/>
  <c r="A117" i="6"/>
  <c r="A121" i="6"/>
  <c r="A125" i="6"/>
  <c r="A129" i="6"/>
  <c r="A133" i="6"/>
  <c r="A137" i="6"/>
  <c r="A141" i="6"/>
  <c r="A145" i="6"/>
  <c r="A149" i="6"/>
  <c r="A153" i="6"/>
  <c r="A157" i="6"/>
  <c r="A161" i="6"/>
  <c r="A165" i="6"/>
  <c r="A169" i="6"/>
  <c r="A173" i="6"/>
  <c r="A177" i="6"/>
  <c r="A181" i="6"/>
  <c r="A185" i="6"/>
  <c r="A189" i="6"/>
  <c r="A193" i="6"/>
  <c r="A197" i="6"/>
  <c r="A201" i="6"/>
  <c r="A205" i="6"/>
  <c r="A209" i="6"/>
  <c r="A213" i="6"/>
  <c r="A217" i="6"/>
  <c r="A221" i="6"/>
  <c r="A225" i="6"/>
  <c r="A229" i="6"/>
  <c r="A233" i="6"/>
  <c r="A237" i="6"/>
  <c r="A241" i="6"/>
  <c r="A245" i="6"/>
  <c r="A249" i="6"/>
  <c r="A253" i="6"/>
  <c r="A257" i="6"/>
  <c r="A261" i="6"/>
  <c r="A265" i="6"/>
  <c r="A269" i="6"/>
  <c r="A273" i="6"/>
  <c r="A277" i="6"/>
  <c r="A281" i="6"/>
  <c r="A285" i="6"/>
  <c r="A289" i="6"/>
  <c r="A293" i="6"/>
  <c r="A297" i="6"/>
  <c r="A301" i="6"/>
  <c r="A305" i="6"/>
  <c r="A309" i="6"/>
  <c r="A313" i="6"/>
  <c r="A317" i="6"/>
  <c r="A321" i="6"/>
  <c r="A325" i="6"/>
  <c r="A329" i="6"/>
  <c r="A333" i="6"/>
  <c r="A337" i="6"/>
  <c r="A343" i="6"/>
  <c r="A347" i="6"/>
  <c r="A351" i="6"/>
  <c r="A359" i="6"/>
  <c r="A363" i="6"/>
  <c r="A367" i="6"/>
  <c r="A6" i="6"/>
  <c r="A10" i="6"/>
  <c r="A14" i="6"/>
  <c r="A18" i="6"/>
  <c r="A22" i="6"/>
  <c r="A26" i="6"/>
  <c r="A30" i="6"/>
  <c r="A34" i="6"/>
  <c r="A38" i="6"/>
  <c r="A42" i="6"/>
  <c r="A46" i="6"/>
  <c r="A50" i="6"/>
  <c r="A54" i="6"/>
  <c r="A58" i="6"/>
  <c r="A62" i="6"/>
  <c r="A66" i="6"/>
  <c r="A70" i="6"/>
  <c r="A74" i="6"/>
  <c r="A78" i="6"/>
  <c r="A82" i="6"/>
  <c r="A86" i="6"/>
  <c r="A90" i="6"/>
  <c r="A94" i="6"/>
  <c r="A98" i="6"/>
  <c r="A102" i="6"/>
  <c r="A106" i="6"/>
  <c r="A110" i="6"/>
  <c r="A114" i="6"/>
  <c r="A118" i="6"/>
  <c r="A122" i="6"/>
  <c r="A126" i="6"/>
  <c r="A130" i="6"/>
  <c r="A134" i="6"/>
  <c r="A138" i="6"/>
  <c r="A142" i="6"/>
  <c r="A146" i="6"/>
  <c r="A150" i="6"/>
  <c r="A154" i="6"/>
  <c r="A158" i="6"/>
  <c r="A162" i="6"/>
  <c r="A166" i="6"/>
  <c r="A170" i="6"/>
  <c r="A174" i="6"/>
  <c r="A178" i="6"/>
  <c r="A182" i="6"/>
  <c r="A186" i="6"/>
  <c r="A190" i="6"/>
  <c r="A194" i="6"/>
  <c r="A198" i="6"/>
  <c r="A202" i="6"/>
  <c r="A206" i="6"/>
  <c r="A210" i="6"/>
  <c r="A214" i="6"/>
  <c r="A218" i="6"/>
  <c r="A222" i="6"/>
  <c r="A226" i="6"/>
  <c r="A230" i="6"/>
  <c r="A234" i="6"/>
  <c r="A238" i="6"/>
  <c r="A242" i="6"/>
  <c r="A246" i="6"/>
  <c r="A250" i="6"/>
  <c r="A254" i="6"/>
  <c r="A258" i="6"/>
  <c r="A262" i="6"/>
  <c r="A266" i="6"/>
  <c r="A270" i="6"/>
  <c r="A274" i="6"/>
  <c r="A278" i="6"/>
  <c r="A282" i="6"/>
  <c r="A286" i="6"/>
  <c r="A290" i="6"/>
  <c r="A294" i="6"/>
  <c r="A298" i="6"/>
  <c r="A302" i="6"/>
  <c r="A306" i="6"/>
  <c r="A310" i="6"/>
  <c r="A314" i="6"/>
  <c r="A318" i="6"/>
  <c r="A322" i="6"/>
  <c r="A326" i="6"/>
  <c r="A330" i="6"/>
  <c r="A334" i="6"/>
  <c r="A344" i="6"/>
  <c r="A348" i="6"/>
  <c r="A356" i="6"/>
  <c r="A364" i="6"/>
  <c r="A341" i="6"/>
  <c r="A355" i="6"/>
  <c r="A340" i="6"/>
  <c r="A352" i="6"/>
  <c r="A360" i="6"/>
  <c r="A368" i="5"/>
  <c r="A3" i="5"/>
  <c r="E369" i="2"/>
  <c r="D369" i="2"/>
  <c r="E4" i="2"/>
  <c r="D4" i="2"/>
  <c r="A2" i="5"/>
  <c r="A369" i="5" l="1"/>
  <c r="A4" i="5"/>
  <c r="E5" i="2"/>
  <c r="D370" i="2"/>
  <c r="E370" i="2"/>
  <c r="D5" i="2"/>
  <c r="A5" i="5" l="1"/>
  <c r="A370" i="5"/>
  <c r="E6" i="2"/>
  <c r="D371" i="2"/>
  <c r="D6" i="2"/>
  <c r="E371" i="2"/>
  <c r="A6" i="5" l="1"/>
  <c r="A371" i="5"/>
  <c r="E372" i="2"/>
  <c r="D7" i="2"/>
  <c r="E7" i="2"/>
  <c r="D372" i="2"/>
  <c r="A372" i="5" l="1"/>
  <c r="A7" i="5"/>
  <c r="E732" i="2" l="1"/>
  <c r="E733" i="2"/>
  <c r="D367" i="2"/>
  <c r="D732" i="2"/>
  <c r="E367" i="2"/>
  <c r="D733" i="2"/>
  <c r="A733" i="5" s="1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A676" i="5" s="1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A549" i="5" s="1"/>
  <c r="D517" i="2"/>
  <c r="D485" i="2"/>
  <c r="A485" i="5" s="1"/>
  <c r="D453" i="2"/>
  <c r="A453" i="5" s="1"/>
  <c r="D420" i="2"/>
  <c r="A420" i="5" s="1"/>
  <c r="D388" i="2"/>
  <c r="D354" i="2"/>
  <c r="A354" i="5" s="1"/>
  <c r="D322" i="2"/>
  <c r="A322" i="5" s="1"/>
  <c r="D290" i="2"/>
  <c r="A290" i="5" s="1"/>
  <c r="D258" i="2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A309" i="5" s="1"/>
  <c r="D341" i="2"/>
  <c r="A341" i="5" s="1"/>
  <c r="D375" i="2"/>
  <c r="D407" i="2"/>
  <c r="D438" i="2"/>
  <c r="A438" i="5" s="1"/>
  <c r="D470" i="2"/>
  <c r="A470" i="5" s="1"/>
  <c r="D502" i="2"/>
  <c r="D534" i="2"/>
  <c r="D566" i="2"/>
  <c r="A566" i="5" s="1"/>
  <c r="D598" i="2"/>
  <c r="A598" i="5" s="1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A636" i="5" s="1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A240" i="5" s="1"/>
  <c r="D208" i="2"/>
  <c r="A208" i="5" s="1"/>
  <c r="D176" i="2"/>
  <c r="D145" i="2"/>
  <c r="D113" i="2"/>
  <c r="A113" i="5" s="1"/>
  <c r="D80" i="2"/>
  <c r="A80" i="5" s="1"/>
  <c r="D48" i="2"/>
  <c r="D16" i="2"/>
  <c r="A16" i="5" s="1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D19" i="2"/>
  <c r="A19" i="5" s="1"/>
  <c r="D51" i="2"/>
  <c r="E83" i="2"/>
  <c r="D114" i="2"/>
  <c r="A114" i="5" s="1"/>
  <c r="D146" i="2"/>
  <c r="A146" i="5" s="1"/>
  <c r="D179" i="2"/>
  <c r="D211" i="2"/>
  <c r="D243" i="2"/>
  <c r="A243" i="5" s="1"/>
  <c r="E275" i="2"/>
  <c r="E307" i="2"/>
  <c r="E339" i="2"/>
  <c r="E377" i="2"/>
  <c r="E409" i="2"/>
  <c r="E440" i="2"/>
  <c r="E472" i="2"/>
  <c r="E504" i="2"/>
  <c r="E536" i="2"/>
  <c r="E568" i="2"/>
  <c r="E600" i="2"/>
  <c r="D631" i="2"/>
  <c r="A631" i="5" s="1"/>
  <c r="D663" i="2"/>
  <c r="A663" i="5" s="1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D725" i="2"/>
  <c r="A725" i="5" s="1"/>
  <c r="D692" i="2"/>
  <c r="D660" i="2"/>
  <c r="D628" i="2"/>
  <c r="A628" i="5" s="1"/>
  <c r="E595" i="2"/>
  <c r="E563" i="2"/>
  <c r="E531" i="2"/>
  <c r="E499" i="2"/>
  <c r="E467" i="2"/>
  <c r="E435" i="2"/>
  <c r="E402" i="2"/>
  <c r="E360" i="2"/>
  <c r="E328" i="2"/>
  <c r="E296" i="2"/>
  <c r="E264" i="2"/>
  <c r="D232" i="2"/>
  <c r="A232" i="5" s="1"/>
  <c r="D200" i="2"/>
  <c r="A200" i="5" s="1"/>
  <c r="E169" i="2"/>
  <c r="D137" i="2"/>
  <c r="D105" i="2"/>
  <c r="A105" i="5" s="1"/>
  <c r="D72" i="2"/>
  <c r="A72" i="5" s="1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A57" i="5" s="1"/>
  <c r="E89" i="2"/>
  <c r="D120" i="2"/>
  <c r="D152" i="2"/>
  <c r="D185" i="2"/>
  <c r="A185" i="5" s="1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A696" i="5" s="1"/>
  <c r="D728" i="2"/>
  <c r="A728" i="5" s="1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E707" i="2"/>
  <c r="E642" i="2"/>
  <c r="D577" i="2"/>
  <c r="D513" i="2"/>
  <c r="E589" i="2"/>
  <c r="D606" i="2"/>
  <c r="D699" i="2"/>
  <c r="A699" i="5" s="1"/>
  <c r="D670" i="2"/>
  <c r="A670" i="5" s="1"/>
  <c r="D690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E230" i="2"/>
  <c r="D278" i="2"/>
  <c r="A278" i="5" s="1"/>
  <c r="D334" i="2"/>
  <c r="A334" i="5" s="1"/>
  <c r="D392" i="2"/>
  <c r="D646" i="2"/>
  <c r="D715" i="2"/>
  <c r="D686" i="2"/>
  <c r="D707" i="2"/>
  <c r="D678" i="2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A366" i="5" s="1"/>
  <c r="D433" i="2"/>
  <c r="A433" i="5" s="1"/>
  <c r="E70" i="2"/>
  <c r="E135" i="2"/>
  <c r="E198" i="2"/>
  <c r="D254" i="2"/>
  <c r="D310" i="2"/>
  <c r="A310" i="5" s="1"/>
  <c r="D358" i="2"/>
  <c r="D424" i="2"/>
  <c r="D682" i="2"/>
  <c r="D654" i="2"/>
  <c r="D719" i="2"/>
  <c r="A719" i="5" s="1"/>
  <c r="D674" i="2"/>
  <c r="A674" i="5" s="1"/>
  <c r="D650" i="2"/>
  <c r="A650" i="5" s="1"/>
  <c r="D711" i="2"/>
  <c r="D94" i="2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l="1"/>
  <c r="A731" i="5"/>
  <c r="A13" i="5"/>
  <c r="A306" i="5"/>
  <c r="A469" i="5"/>
  <c r="A597" i="5"/>
  <c r="A82" i="5"/>
  <c r="A338" i="5"/>
  <c r="A501" i="5"/>
  <c r="A254" i="5"/>
  <c r="A508" i="5"/>
  <c r="A381" i="5"/>
  <c r="A94" i="5"/>
  <c r="A488" i="5"/>
  <c r="A258" i="5"/>
  <c r="A388" i="5"/>
  <c r="A517" i="5"/>
  <c r="A715" i="5"/>
  <c r="A167" i="5"/>
  <c r="A149" i="5"/>
  <c r="A358" i="5"/>
  <c r="A686" i="5"/>
  <c r="A577" i="5"/>
  <c r="A476" i="5"/>
  <c r="A343" i="5"/>
  <c r="A87" i="5"/>
  <c r="A42" i="5"/>
  <c r="A52" i="5"/>
  <c r="A117" i="5"/>
  <c r="A180" i="5"/>
  <c r="A244" i="5"/>
  <c r="A632" i="5"/>
  <c r="A697" i="5"/>
  <c r="A610" i="5"/>
  <c r="A212" i="5"/>
  <c r="A664" i="5"/>
  <c r="A729" i="5"/>
  <c r="A707" i="5"/>
  <c r="A86" i="5"/>
  <c r="A711" i="5"/>
  <c r="A723" i="5"/>
  <c r="A646" i="5"/>
  <c r="A606" i="5"/>
  <c r="A584" i="5"/>
  <c r="A456" i="5"/>
  <c r="A323" i="5"/>
  <c r="A60" i="5"/>
  <c r="A125" i="5"/>
  <c r="A188" i="5"/>
  <c r="A640" i="5"/>
  <c r="A705" i="5"/>
  <c r="A706" i="5"/>
  <c r="A643" i="5"/>
  <c r="A191" i="5"/>
  <c r="A126" i="5"/>
  <c r="A63" i="5"/>
  <c r="A708" i="5"/>
  <c r="A645" i="5"/>
  <c r="A197" i="5"/>
  <c r="A132" i="5"/>
  <c r="A69" i="5"/>
  <c r="A732" i="5"/>
  <c r="A384" i="5"/>
  <c r="A513" i="5"/>
  <c r="A562" i="5"/>
  <c r="A498" i="5"/>
  <c r="A434" i="5"/>
  <c r="A289" i="5"/>
  <c r="A160" i="5"/>
  <c r="A33" i="5"/>
  <c r="A673" i="5"/>
  <c r="A609" i="5"/>
  <c r="A209" i="5"/>
  <c r="A694" i="5"/>
  <c r="A424" i="5"/>
  <c r="A687" i="5"/>
  <c r="A623" i="5"/>
  <c r="A235" i="5"/>
  <c r="A106" i="5"/>
  <c r="A478" i="5"/>
  <c r="A349" i="5"/>
  <c r="A93" i="5"/>
  <c r="A30" i="5"/>
  <c r="A144" i="5"/>
  <c r="A81" i="5"/>
  <c r="A17" i="5"/>
  <c r="A564" i="5"/>
  <c r="A500" i="5"/>
  <c r="A436" i="5"/>
  <c r="A373" i="5"/>
  <c r="A303" i="5"/>
  <c r="A174" i="5"/>
  <c r="A716" i="5"/>
  <c r="A205" i="5"/>
  <c r="A77" i="5"/>
  <c r="A497" i="5"/>
  <c r="A561" i="5"/>
  <c r="A702" i="5"/>
  <c r="A639" i="5"/>
  <c r="A187" i="5"/>
  <c r="A122" i="5"/>
  <c r="A59" i="5"/>
  <c r="A218" i="5"/>
  <c r="A680" i="5"/>
  <c r="A376" i="5"/>
  <c r="A270" i="5"/>
  <c r="A654" i="5"/>
  <c r="A682" i="5"/>
  <c r="A638" i="5"/>
  <c r="A666" i="5"/>
  <c r="A678" i="5"/>
  <c r="A690" i="5"/>
  <c r="A621" i="5"/>
  <c r="A237" i="5"/>
  <c r="A108" i="5"/>
  <c r="A35" i="5"/>
  <c r="A220" i="5"/>
  <c r="A608" i="5"/>
  <c r="A672" i="5"/>
  <c r="A655" i="5"/>
  <c r="A138" i="5"/>
  <c r="A11" i="5"/>
  <c r="A675" i="5"/>
  <c r="A611" i="5"/>
  <c r="A223" i="5"/>
  <c r="A31" i="5"/>
  <c r="A574" i="5"/>
  <c r="A510" i="5"/>
  <c r="A446" i="5"/>
  <c r="A383" i="5"/>
  <c r="A317" i="5"/>
  <c r="A253" i="5"/>
  <c r="A10" i="5"/>
  <c r="A677" i="5"/>
  <c r="A20" i="5"/>
  <c r="A594" i="5"/>
  <c r="A530" i="5"/>
  <c r="A466" i="5"/>
  <c r="A403" i="5"/>
  <c r="A321" i="5"/>
  <c r="A257" i="5"/>
  <c r="A704" i="5"/>
  <c r="A177" i="5"/>
  <c r="A49" i="5"/>
  <c r="A596" i="5"/>
  <c r="A468" i="5"/>
  <c r="A335" i="5"/>
  <c r="A552" i="5"/>
  <c r="A425" i="5"/>
  <c r="A291" i="5"/>
  <c r="A162" i="5"/>
  <c r="A529" i="5"/>
  <c r="A607" i="5"/>
  <c r="A219" i="5"/>
  <c r="A133" i="5"/>
  <c r="A648" i="5"/>
  <c r="A367" i="5"/>
  <c r="A107" i="5"/>
  <c r="A234" i="5"/>
  <c r="A622" i="5"/>
  <c r="A342" i="5"/>
  <c r="A633" i="5"/>
  <c r="A120" i="5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39" i="5"/>
  <c r="A602" i="5"/>
  <c r="A58" i="5"/>
  <c r="A186" i="5"/>
  <c r="A34" i="5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<sst xmlns="http://schemas.openxmlformats.org/spreadsheetml/2006/main" count="437" uniqueCount="52">
  <si>
    <t>Datum</t>
  </si>
  <si>
    <t>Regenval [0,1 mm]</t>
  </si>
  <si>
    <t>Stn</t>
  </si>
  <si>
    <t>Niveau</t>
  </si>
  <si>
    <t>Rd</t>
  </si>
  <si>
    <t>qRd</t>
  </si>
  <si>
    <t>Tijd</t>
  </si>
  <si>
    <t>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</si>
  <si>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</si>
  <si>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</si>
  <si>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</si>
  <si>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</si>
  <si>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</si>
  <si>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</si>
  <si>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</si>
  <si>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</si>
  <si>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</si>
  <si>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</si>
  <si>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</si>
  <si>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</si>
  <si>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</si>
  <si>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</si>
  <si>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</si>
  <si>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</si>
  <si>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</si>
  <si>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</si>
  <si>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</si>
  <si>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</si>
  <si>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</si>
  <si>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hoogste</t>
  </si>
  <si>
    <t>laagste</t>
  </si>
  <si>
    <t>Thermometerstand</t>
  </si>
  <si>
    <t>Kralendijk</t>
  </si>
  <si>
    <t>Rincon</t>
  </si>
  <si>
    <t>Px</t>
  </si>
  <si>
    <t>qPx</t>
  </si>
  <si>
    <t>24.00</t>
  </si>
  <si>
    <t>Pn</t>
  </si>
  <si>
    <t>qPn</t>
  </si>
  <si>
    <t>Tx</t>
  </si>
  <si>
    <t>qTx</t>
  </si>
  <si>
    <t>Tn</t>
  </si>
  <si>
    <t>qTn</t>
  </si>
  <si>
    <t>x</t>
  </si>
  <si>
    <t>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</si>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</sst>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_0_0_0_0_0;\-0_0_0_0_0_0;&quot;∙&quot;_,_0_0_0_0_0;@_0_0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.0_,_0_0_0_0;\-0.0_,_0_0_0_0;&quot;∙&quot;_,_0_0_0_0_0;@_0_0_0_0_0"/>
    <numFmt numFmtId="172" formatCode="0.0_0_0;\-0.0_0_0;0.0_0_0;@_0_0_0"/>
    <numFmt numFmtId="173" formatCode="General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5" borderId="5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5" fontId="0" fillId="5" borderId="5" xfId="0" applyNumberFormat="1" applyFill="1" applyBorder="1" applyAlignment="1" applyProtection="1">
      <protection locked="0"/>
    </xf>
    <xf numFmtId="165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9" xfId="0" applyBorder="1"/>
    <xf numFmtId="167" fontId="0" fillId="0" borderId="9" xfId="0" applyNumberFormat="1" applyBorder="1"/>
    <xf numFmtId="166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170" fontId="0" fillId="4" borderId="5" xfId="0" applyNumberFormat="1" applyFill="1" applyBorder="1"/>
    <xf numFmtId="170" fontId="0" fillId="4" borderId="0" xfId="0" applyNumberFormat="1" applyFill="1" applyBorder="1"/>
    <xf numFmtId="170" fontId="0" fillId="3" borderId="5" xfId="0" applyNumberFormat="1" applyFill="1" applyBorder="1"/>
    <xf numFmtId="170" fontId="0" fillId="3" borderId="0" xfId="0" applyNumberFormat="1" applyFill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8" fontId="0" fillId="0" borderId="0" xfId="0" applyNumberFormat="1" applyAlignment="1">
      <alignment horizontal="right"/>
    </xf>
    <xf numFmtId="0" fontId="0" fillId="0" borderId="0" xfId="0" applyFill="1" applyBorder="1"/>
    <xf numFmtId="166" fontId="0" fillId="0" borderId="0" xfId="0" applyNumberFormat="1" applyBorder="1" applyAlignment="1">
      <alignment horizontal="center"/>
    </xf>
    <xf numFmtId="172" fontId="0" fillId="0" borderId="0" xfId="0" applyNumberFormat="1" applyAlignment="1">
      <alignment horizontal="right"/>
    </xf>
    <xf numFmtId="173" fontId="0" fillId="4" borderId="5" xfId="0" applyNumberFormat="1" applyFill="1" applyBorder="1" applyProtection="1">
      <protection locked="0"/>
    </xf>
    <xf numFmtId="173" fontId="0" fillId="4" borderId="0" xfId="0" applyNumberFormat="1" applyFill="1" applyBorder="1" applyProtection="1">
      <protection locked="0"/>
    </xf>
    <xf numFmtId="173" fontId="0" fillId="3" borderId="5" xfId="0" applyNumberFormat="1" applyFill="1" applyBorder="1" applyProtection="1">
      <protection locked="0"/>
    </xf>
    <xf numFmtId="173" fontId="0" fillId="3" borderId="0" xfId="0" applyNumberFormat="1" applyFill="1" applyBorder="1" applyProtection="1">
      <protection locked="0"/>
    </xf>
    <xf numFmtId="173" fontId="0" fillId="3" borderId="5" xfId="0" applyNumberFormat="1" applyFill="1" applyBorder="1" applyAlignment="1" applyProtection="1">
      <alignment horizontal="right"/>
      <protection locked="0"/>
    </xf>
    <xf numFmtId="0" fontId="1" fillId="6" borderId="3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382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6" max="7" width="14.28515625" customWidth="1"/>
  </cols>
  <sheetData>
    <row r="1" spans="1:7" ht="20.25" x14ac:dyDescent="0.3">
      <c r="A1" s="46" t="s">
        <v>27</v>
      </c>
      <c r="B1" s="46"/>
      <c r="C1" s="46"/>
      <c r="D1" s="46"/>
      <c r="E1" s="46"/>
      <c r="F1" s="46"/>
      <c r="G1" s="46"/>
    </row>
    <row r="3" spans="1:7" x14ac:dyDescent="0.25">
      <c r="A3" s="44" t="s">
        <v>0</v>
      </c>
      <c r="B3" s="41" t="s">
        <v>28</v>
      </c>
      <c r="C3" s="43"/>
      <c r="D3" s="41" t="s">
        <v>31</v>
      </c>
      <c r="E3" s="43"/>
      <c r="F3" s="41" t="s">
        <v>1</v>
      </c>
      <c r="G3" s="42"/>
    </row>
    <row r="4" spans="1:7" x14ac:dyDescent="0.25">
      <c r="A4" s="45"/>
      <c r="B4" s="2" t="s">
        <v>29</v>
      </c>
      <c r="C4" s="3" t="s">
        <v>30</v>
      </c>
      <c r="D4" s="2" t="s">
        <v>29</v>
      </c>
      <c r="E4" s="3" t="s">
        <v>30</v>
      </c>
      <c r="F4" s="2" t="s">
        <v>32</v>
      </c>
      <c r="G4" s="4" t="s">
        <v>33</v>
      </c>
    </row>
    <row r="5" spans="1:7" x14ac:dyDescent="0.25">
      <c r="A5" s="1">
        <f ca="1">DATE(VALUE(MID(CELL("bestandsnaam"),FIND(".",CELL("bestandsnaam"))-4,4)),1,1)</f>
        <v>7306</v>
      </c>
      <c r="B5" s="36">
        <v>7570</v>
      </c>
      <c r="C5" s="37">
        <v>7565</v>
      </c>
      <c r="D5" s="38">
        <v>290</v>
      </c>
      <c r="E5" s="39">
        <v>285</v>
      </c>
      <c r="F5" s="5">
        <v>0</v>
      </c>
      <c r="G5" s="6">
        <v>0</v>
      </c>
    </row>
    <row r="6" spans="1:7" x14ac:dyDescent="0.25">
      <c r="A6" s="1">
        <f ca="1">IF(ISTEXT(A5),A4+1,IF(MONTH(A5+1)=MONTH(A5),A5+1,"Totaal"))</f>
        <v>7307</v>
      </c>
      <c r="B6" s="36">
        <v>7575</v>
      </c>
      <c r="C6" s="37">
        <v>7570</v>
      </c>
      <c r="D6" s="38">
        <v>290</v>
      </c>
      <c r="E6" s="39">
        <v>290</v>
      </c>
      <c r="F6" s="7">
        <v>0</v>
      </c>
      <c r="G6" s="6">
        <v>0</v>
      </c>
    </row>
    <row r="7" spans="1:7" x14ac:dyDescent="0.25">
      <c r="A7" s="1">
        <f t="shared" ref="A7:A70" ca="1" si="0">IF(ISTEXT(A6),A5+1,IF(MONTH(A6+1)=MONTH(A6),A6+1,"Totaal"))</f>
        <v>7308</v>
      </c>
      <c r="B7" s="36">
        <v>7560</v>
      </c>
      <c r="C7" s="37">
        <v>7555</v>
      </c>
      <c r="D7" s="40">
        <v>295</v>
      </c>
      <c r="E7" s="39">
        <v>290</v>
      </c>
      <c r="F7" s="8">
        <v>0</v>
      </c>
      <c r="G7" s="6">
        <v>0</v>
      </c>
    </row>
    <row r="8" spans="1:7" x14ac:dyDescent="0.25">
      <c r="A8" s="1">
        <f t="shared" ca="1" si="0"/>
        <v>7309</v>
      </c>
      <c r="B8" s="36">
        <v>7570</v>
      </c>
      <c r="C8" s="37">
        <v>7565</v>
      </c>
      <c r="D8" s="38">
        <v>285</v>
      </c>
      <c r="E8" s="39">
        <v>280</v>
      </c>
      <c r="F8" s="5">
        <v>0</v>
      </c>
      <c r="G8" s="6">
        <v>0</v>
      </c>
    </row>
    <row r="9" spans="1:7" x14ac:dyDescent="0.25">
      <c r="A9" s="1">
        <f t="shared" ca="1" si="0"/>
        <v>7310</v>
      </c>
      <c r="B9" s="36">
        <v>7565</v>
      </c>
      <c r="C9" s="37">
        <v>7555</v>
      </c>
      <c r="D9" s="38">
        <v>290</v>
      </c>
      <c r="E9" s="39">
        <v>285</v>
      </c>
      <c r="F9" s="5">
        <v>0</v>
      </c>
      <c r="G9" s="6">
        <v>0</v>
      </c>
    </row>
    <row r="10" spans="1:7" x14ac:dyDescent="0.25">
      <c r="A10" s="1">
        <f t="shared" ca="1" si="0"/>
        <v>7311</v>
      </c>
      <c r="B10" s="36">
        <v>7575</v>
      </c>
      <c r="C10" s="37">
        <v>7570</v>
      </c>
      <c r="D10" s="38">
        <v>280</v>
      </c>
      <c r="E10" s="39">
        <v>275</v>
      </c>
      <c r="F10" s="5">
        <v>98</v>
      </c>
      <c r="G10" s="6">
        <v>0</v>
      </c>
    </row>
    <row r="11" spans="1:7" x14ac:dyDescent="0.25">
      <c r="A11" s="1">
        <f t="shared" ca="1" si="0"/>
        <v>7312</v>
      </c>
      <c r="B11" s="36">
        <v>7575</v>
      </c>
      <c r="C11" s="37">
        <v>7565</v>
      </c>
      <c r="D11" s="38">
        <v>285</v>
      </c>
      <c r="E11" s="39">
        <v>280</v>
      </c>
      <c r="F11" s="5">
        <v>0</v>
      </c>
      <c r="G11" s="6">
        <v>0</v>
      </c>
    </row>
    <row r="12" spans="1:7" x14ac:dyDescent="0.25">
      <c r="A12" s="1">
        <f t="shared" ca="1" si="0"/>
        <v>7313</v>
      </c>
      <c r="B12" s="36">
        <v>7575</v>
      </c>
      <c r="C12" s="37">
        <v>7570</v>
      </c>
      <c r="D12" s="38">
        <v>285</v>
      </c>
      <c r="E12" s="39">
        <v>280</v>
      </c>
      <c r="F12" s="5">
        <v>0</v>
      </c>
      <c r="G12" s="6">
        <v>0</v>
      </c>
    </row>
    <row r="13" spans="1:7" x14ac:dyDescent="0.25">
      <c r="A13" s="1">
        <f t="shared" ca="1" si="0"/>
        <v>7314</v>
      </c>
      <c r="B13" s="36">
        <v>7580</v>
      </c>
      <c r="C13" s="37">
        <v>7575</v>
      </c>
      <c r="D13" s="38">
        <v>290</v>
      </c>
      <c r="E13" s="39">
        <v>285</v>
      </c>
      <c r="F13" s="5">
        <v>8</v>
      </c>
      <c r="G13" s="6">
        <v>120</v>
      </c>
    </row>
    <row r="14" spans="1:7" x14ac:dyDescent="0.25">
      <c r="A14" s="1">
        <f t="shared" ca="1" si="0"/>
        <v>7315</v>
      </c>
      <c r="B14" s="36">
        <v>7580</v>
      </c>
      <c r="C14" s="37">
        <v>7565</v>
      </c>
      <c r="D14" s="38">
        <v>270</v>
      </c>
      <c r="E14" s="39">
        <v>260</v>
      </c>
      <c r="F14" s="5">
        <v>94</v>
      </c>
      <c r="G14" s="6">
        <v>240</v>
      </c>
    </row>
    <row r="15" spans="1:7" x14ac:dyDescent="0.25">
      <c r="A15" s="1">
        <f t="shared" ca="1" si="0"/>
        <v>7316</v>
      </c>
      <c r="B15" s="36">
        <v>7580</v>
      </c>
      <c r="C15" s="37">
        <v>7565</v>
      </c>
      <c r="D15" s="38">
        <v>270</v>
      </c>
      <c r="E15" s="39">
        <v>260</v>
      </c>
      <c r="F15" s="5">
        <v>0</v>
      </c>
      <c r="G15" s="6">
        <v>0</v>
      </c>
    </row>
    <row r="16" spans="1:7" x14ac:dyDescent="0.25">
      <c r="A16" s="1">
        <f t="shared" ca="1" si="0"/>
        <v>7317</v>
      </c>
      <c r="B16" s="36">
        <v>7580</v>
      </c>
      <c r="C16" s="37">
        <v>7560</v>
      </c>
      <c r="D16" s="38">
        <v>270</v>
      </c>
      <c r="E16" s="39">
        <v>265</v>
      </c>
      <c r="F16" s="5">
        <v>0</v>
      </c>
      <c r="G16" s="6">
        <v>60</v>
      </c>
    </row>
    <row r="17" spans="1:7" x14ac:dyDescent="0.25">
      <c r="A17" s="1">
        <f t="shared" ca="1" si="0"/>
        <v>7318</v>
      </c>
      <c r="B17" s="36">
        <v>7575</v>
      </c>
      <c r="C17" s="37">
        <v>7565</v>
      </c>
      <c r="D17" s="38">
        <v>280</v>
      </c>
      <c r="E17" s="39">
        <v>265</v>
      </c>
      <c r="F17" s="5">
        <v>0</v>
      </c>
      <c r="G17" s="6">
        <v>40</v>
      </c>
    </row>
    <row r="18" spans="1:7" x14ac:dyDescent="0.25">
      <c r="A18" s="1">
        <f t="shared" ca="1" si="0"/>
        <v>7319</v>
      </c>
      <c r="B18" s="36">
        <v>7580</v>
      </c>
      <c r="C18" s="37">
        <v>7560</v>
      </c>
      <c r="D18" s="38">
        <v>280</v>
      </c>
      <c r="E18" s="39">
        <v>280</v>
      </c>
      <c r="F18" s="5">
        <v>54</v>
      </c>
      <c r="G18" s="6">
        <v>30</v>
      </c>
    </row>
    <row r="19" spans="1:7" x14ac:dyDescent="0.25">
      <c r="A19" s="1">
        <f t="shared" ca="1" si="0"/>
        <v>7320</v>
      </c>
      <c r="B19" s="36">
        <v>7575</v>
      </c>
      <c r="C19" s="37">
        <v>7565</v>
      </c>
      <c r="D19" s="38">
        <v>265</v>
      </c>
      <c r="E19" s="39">
        <v>260</v>
      </c>
      <c r="F19" s="5">
        <v>75</v>
      </c>
      <c r="G19" s="6">
        <v>70</v>
      </c>
    </row>
    <row r="20" spans="1:7" x14ac:dyDescent="0.25">
      <c r="A20" s="1">
        <f t="shared" ca="1" si="0"/>
        <v>7321</v>
      </c>
      <c r="B20" s="36">
        <v>7575</v>
      </c>
      <c r="C20" s="37">
        <v>7555</v>
      </c>
      <c r="D20" s="38">
        <v>280</v>
      </c>
      <c r="E20" s="39">
        <v>270</v>
      </c>
      <c r="F20" s="5">
        <v>0</v>
      </c>
      <c r="G20" s="6">
        <v>0</v>
      </c>
    </row>
    <row r="21" spans="1:7" x14ac:dyDescent="0.25">
      <c r="A21" s="1">
        <f t="shared" ca="1" si="0"/>
        <v>7322</v>
      </c>
      <c r="B21" s="36">
        <v>7575</v>
      </c>
      <c r="C21" s="37">
        <v>7565</v>
      </c>
      <c r="D21" s="38">
        <v>290</v>
      </c>
      <c r="E21" s="39">
        <v>275</v>
      </c>
      <c r="F21" s="5">
        <v>0</v>
      </c>
      <c r="G21" s="6">
        <v>0</v>
      </c>
    </row>
    <row r="22" spans="1:7" x14ac:dyDescent="0.25">
      <c r="A22" s="1">
        <f t="shared" ca="1" si="0"/>
        <v>7323</v>
      </c>
      <c r="B22" s="36">
        <v>7580</v>
      </c>
      <c r="C22" s="37">
        <v>7575</v>
      </c>
      <c r="D22" s="38">
        <v>285</v>
      </c>
      <c r="E22" s="39">
        <v>280</v>
      </c>
      <c r="F22" s="5">
        <v>0</v>
      </c>
      <c r="G22" s="6">
        <v>0</v>
      </c>
    </row>
    <row r="23" spans="1:7" x14ac:dyDescent="0.25">
      <c r="A23" s="1">
        <f t="shared" ca="1" si="0"/>
        <v>7324</v>
      </c>
      <c r="B23" s="36">
        <v>7575</v>
      </c>
      <c r="C23" s="37">
        <v>7565</v>
      </c>
      <c r="D23" s="38">
        <v>275</v>
      </c>
      <c r="E23" s="39">
        <v>270</v>
      </c>
      <c r="F23" s="5">
        <v>95</v>
      </c>
      <c r="G23" s="6">
        <v>85</v>
      </c>
    </row>
    <row r="24" spans="1:7" x14ac:dyDescent="0.25">
      <c r="A24" s="1">
        <f t="shared" ca="1" si="0"/>
        <v>7325</v>
      </c>
      <c r="B24" s="36">
        <v>7580</v>
      </c>
      <c r="C24" s="37">
        <v>7555</v>
      </c>
      <c r="D24" s="38">
        <v>275</v>
      </c>
      <c r="E24" s="39">
        <v>265</v>
      </c>
      <c r="F24" s="5">
        <v>9</v>
      </c>
      <c r="G24" s="6">
        <v>40</v>
      </c>
    </row>
    <row r="25" spans="1:7" x14ac:dyDescent="0.25">
      <c r="A25" s="1">
        <f t="shared" ca="1" si="0"/>
        <v>7326</v>
      </c>
      <c r="B25" s="36">
        <v>7580</v>
      </c>
      <c r="C25" s="37">
        <v>7565</v>
      </c>
      <c r="D25" s="38">
        <v>260</v>
      </c>
      <c r="E25" s="39">
        <v>255</v>
      </c>
      <c r="F25" s="5">
        <v>12</v>
      </c>
      <c r="G25" s="6">
        <v>60</v>
      </c>
    </row>
    <row r="26" spans="1:7" x14ac:dyDescent="0.25">
      <c r="A26" s="1">
        <f t="shared" ca="1" si="0"/>
        <v>7327</v>
      </c>
      <c r="B26" s="36">
        <v>7575</v>
      </c>
      <c r="C26" s="37">
        <v>7570</v>
      </c>
      <c r="D26" s="38">
        <v>265</v>
      </c>
      <c r="E26" s="39">
        <v>260</v>
      </c>
      <c r="F26" s="5">
        <v>55</v>
      </c>
      <c r="G26" s="6">
        <v>12</v>
      </c>
    </row>
    <row r="27" spans="1:7" x14ac:dyDescent="0.25">
      <c r="A27" s="1">
        <f t="shared" ca="1" si="0"/>
        <v>7328</v>
      </c>
      <c r="B27" s="36">
        <v>7575</v>
      </c>
      <c r="C27" s="37">
        <v>7570</v>
      </c>
      <c r="D27" s="38">
        <v>270</v>
      </c>
      <c r="E27" s="39">
        <v>265</v>
      </c>
      <c r="F27" s="5">
        <v>0</v>
      </c>
      <c r="G27" s="6">
        <v>40</v>
      </c>
    </row>
    <row r="28" spans="1:7" x14ac:dyDescent="0.25">
      <c r="A28" s="1">
        <f t="shared" ca="1" si="0"/>
        <v>7329</v>
      </c>
      <c r="B28" s="36">
        <v>7575</v>
      </c>
      <c r="C28" s="37">
        <v>7560</v>
      </c>
      <c r="D28" s="38">
        <v>275</v>
      </c>
      <c r="E28" s="39">
        <v>265</v>
      </c>
      <c r="F28" s="5">
        <v>43</v>
      </c>
      <c r="G28" s="6">
        <v>8</v>
      </c>
    </row>
    <row r="29" spans="1:7" x14ac:dyDescent="0.25">
      <c r="A29" s="1">
        <f t="shared" ca="1" si="0"/>
        <v>7330</v>
      </c>
      <c r="B29" s="36">
        <v>7570</v>
      </c>
      <c r="C29" s="37">
        <v>7565</v>
      </c>
      <c r="D29" s="38">
        <v>285</v>
      </c>
      <c r="E29" s="39">
        <v>270</v>
      </c>
      <c r="F29" s="5">
        <v>0</v>
      </c>
      <c r="G29" s="6">
        <v>0</v>
      </c>
    </row>
    <row r="30" spans="1:7" x14ac:dyDescent="0.25">
      <c r="A30" s="1">
        <f t="shared" ca="1" si="0"/>
        <v>7331</v>
      </c>
      <c r="B30" s="36">
        <v>7575</v>
      </c>
      <c r="C30" s="37">
        <v>7570</v>
      </c>
      <c r="D30" s="38">
        <v>280</v>
      </c>
      <c r="E30" s="39">
        <v>270</v>
      </c>
      <c r="F30" s="5">
        <v>0</v>
      </c>
      <c r="G30" s="6">
        <v>0</v>
      </c>
    </row>
    <row r="31" spans="1:7" x14ac:dyDescent="0.25">
      <c r="A31" s="1">
        <f t="shared" ca="1" si="0"/>
        <v>7332</v>
      </c>
      <c r="B31" s="36">
        <v>7580</v>
      </c>
      <c r="C31" s="37">
        <v>7565</v>
      </c>
      <c r="D31" s="38">
        <v>280</v>
      </c>
      <c r="E31" s="39">
        <v>275</v>
      </c>
      <c r="F31" s="5">
        <v>0</v>
      </c>
      <c r="G31" s="6">
        <v>20</v>
      </c>
    </row>
    <row r="32" spans="1:7" x14ac:dyDescent="0.25">
      <c r="A32" s="1">
        <f t="shared" ca="1" si="0"/>
        <v>7333</v>
      </c>
      <c r="B32" s="36">
        <v>7580</v>
      </c>
      <c r="C32" s="37">
        <v>7560</v>
      </c>
      <c r="D32" s="38">
        <v>275</v>
      </c>
      <c r="E32" s="39">
        <v>270</v>
      </c>
      <c r="F32" s="5">
        <v>0</v>
      </c>
      <c r="G32" s="6">
        <v>0</v>
      </c>
    </row>
    <row r="33" spans="1:7" x14ac:dyDescent="0.25">
      <c r="A33" s="1">
        <f t="shared" ca="1" si="0"/>
        <v>7334</v>
      </c>
      <c r="B33" s="36">
        <v>7575</v>
      </c>
      <c r="C33" s="37">
        <v>7570</v>
      </c>
      <c r="D33" s="38">
        <v>270</v>
      </c>
      <c r="E33" s="39">
        <v>265</v>
      </c>
      <c r="F33" s="5">
        <v>0</v>
      </c>
      <c r="G33" s="6">
        <v>0</v>
      </c>
    </row>
    <row r="34" spans="1:7" x14ac:dyDescent="0.25">
      <c r="A34" s="1">
        <f t="shared" ca="1" si="0"/>
        <v>7335</v>
      </c>
      <c r="B34" s="36">
        <v>7575</v>
      </c>
      <c r="C34" s="37">
        <v>7555</v>
      </c>
      <c r="D34" s="38">
        <v>270</v>
      </c>
      <c r="E34" s="39">
        <v>265</v>
      </c>
      <c r="F34" s="5">
        <v>35</v>
      </c>
      <c r="G34" s="6">
        <v>48</v>
      </c>
    </row>
    <row r="35" spans="1:7" x14ac:dyDescent="0.25">
      <c r="A35" s="1">
        <f t="shared" ca="1" si="0"/>
        <v>7336</v>
      </c>
      <c r="B35" s="36">
        <v>7570</v>
      </c>
      <c r="C35" s="37">
        <v>7560</v>
      </c>
      <c r="D35" s="38">
        <v>275</v>
      </c>
      <c r="E35" s="39">
        <v>270</v>
      </c>
      <c r="F35" s="5">
        <v>0</v>
      </c>
      <c r="G35" s="6">
        <v>0</v>
      </c>
    </row>
    <row r="36" spans="1:7" x14ac:dyDescent="0.25">
      <c r="A36" s="1" t="str">
        <f t="shared" ca="1" si="0"/>
        <v>Totaal</v>
      </c>
      <c r="B36" s="21">
        <f>IF(COUNT(B5:B35)&gt;0,AVERAGE(B5:B35)/10,"")</f>
        <v>757.51612903225805</v>
      </c>
      <c r="C36" s="22">
        <f>IF(COUNT(C5:C35)&gt;0,AVERAGE(C5:C35)/10,"")</f>
        <v>756.43548387096769</v>
      </c>
      <c r="D36" s="23">
        <f>IF(COUNT(D5:D35)&gt;0,AVERAGE(D5:D35)/10,"")</f>
        <v>27.85483870967742</v>
      </c>
      <c r="E36" s="24">
        <f>IF(COUNT(E5:E35)&gt;0,AVERAGE(E5:E35)/10,"")</f>
        <v>27.193548387096776</v>
      </c>
      <c r="F36" s="25">
        <f>SUM(F5:F35)/10</f>
        <v>57.8</v>
      </c>
      <c r="G36" s="26">
        <f>SUM(G5:G35)/10</f>
        <v>87.3</v>
      </c>
    </row>
    <row r="37" spans="1:7" x14ac:dyDescent="0.25">
      <c r="A37" s="1">
        <f t="shared" ca="1" si="0"/>
        <v>7337</v>
      </c>
      <c r="B37" s="36">
        <v>7580</v>
      </c>
      <c r="C37" s="37">
        <v>7560</v>
      </c>
      <c r="D37" s="38">
        <v>290</v>
      </c>
      <c r="E37" s="39">
        <v>280</v>
      </c>
      <c r="F37" s="5">
        <v>68</v>
      </c>
      <c r="G37" s="6">
        <v>0</v>
      </c>
    </row>
    <row r="38" spans="1:7" x14ac:dyDescent="0.25">
      <c r="A38" s="1">
        <f t="shared" ca="1" si="0"/>
        <v>7338</v>
      </c>
      <c r="B38" s="36">
        <v>7585</v>
      </c>
      <c r="C38" s="37">
        <v>7570</v>
      </c>
      <c r="D38" s="38">
        <v>290</v>
      </c>
      <c r="E38" s="39">
        <v>285</v>
      </c>
      <c r="F38" s="5">
        <v>0</v>
      </c>
      <c r="G38" s="6">
        <v>0</v>
      </c>
    </row>
    <row r="39" spans="1:7" x14ac:dyDescent="0.25">
      <c r="A39" s="1">
        <f t="shared" ca="1" si="0"/>
        <v>7339</v>
      </c>
      <c r="B39" s="36">
        <v>7570</v>
      </c>
      <c r="C39" s="37">
        <v>7550</v>
      </c>
      <c r="D39" s="38">
        <v>280</v>
      </c>
      <c r="E39" s="39">
        <v>270</v>
      </c>
      <c r="F39" s="5">
        <v>0</v>
      </c>
      <c r="G39" s="6">
        <v>0</v>
      </c>
    </row>
    <row r="40" spans="1:7" x14ac:dyDescent="0.25">
      <c r="A40" s="1">
        <f t="shared" ca="1" si="0"/>
        <v>7340</v>
      </c>
      <c r="B40" s="36">
        <v>7565</v>
      </c>
      <c r="C40" s="37">
        <v>7555</v>
      </c>
      <c r="D40" s="38">
        <v>285</v>
      </c>
      <c r="E40" s="39">
        <v>275</v>
      </c>
      <c r="F40" s="5">
        <v>0</v>
      </c>
      <c r="G40" s="6">
        <v>0</v>
      </c>
    </row>
    <row r="41" spans="1:7" x14ac:dyDescent="0.25">
      <c r="A41" s="1">
        <f t="shared" ca="1" si="0"/>
        <v>7341</v>
      </c>
      <c r="B41" s="36">
        <v>7560</v>
      </c>
      <c r="C41" s="37">
        <v>7545</v>
      </c>
      <c r="D41" s="38">
        <v>285</v>
      </c>
      <c r="E41" s="39">
        <v>270</v>
      </c>
      <c r="F41" s="5">
        <v>0</v>
      </c>
      <c r="G41" s="6">
        <v>0</v>
      </c>
    </row>
    <row r="42" spans="1:7" x14ac:dyDescent="0.25">
      <c r="A42" s="1">
        <f t="shared" ca="1" si="0"/>
        <v>7342</v>
      </c>
      <c r="B42" s="36">
        <v>7560</v>
      </c>
      <c r="C42" s="37">
        <v>7545</v>
      </c>
      <c r="D42" s="38">
        <v>290</v>
      </c>
      <c r="E42" s="39">
        <v>265</v>
      </c>
      <c r="F42" s="5">
        <v>0</v>
      </c>
      <c r="G42" s="6">
        <v>0</v>
      </c>
    </row>
    <row r="43" spans="1:7" x14ac:dyDescent="0.25">
      <c r="A43" s="1">
        <f t="shared" ca="1" si="0"/>
        <v>7343</v>
      </c>
      <c r="B43" s="36">
        <v>7565</v>
      </c>
      <c r="C43" s="37">
        <v>7555</v>
      </c>
      <c r="D43" s="38">
        <v>280</v>
      </c>
      <c r="E43" s="39">
        <v>270</v>
      </c>
      <c r="F43" s="5">
        <v>0</v>
      </c>
      <c r="G43" s="6">
        <v>0</v>
      </c>
    </row>
    <row r="44" spans="1:7" x14ac:dyDescent="0.25">
      <c r="A44" s="1">
        <f t="shared" ca="1" si="0"/>
        <v>7344</v>
      </c>
      <c r="B44" s="36">
        <v>7570</v>
      </c>
      <c r="C44" s="37">
        <v>7565</v>
      </c>
      <c r="D44" s="38">
        <v>290</v>
      </c>
      <c r="E44" s="39">
        <v>260</v>
      </c>
      <c r="F44" s="5">
        <v>0</v>
      </c>
      <c r="G44" s="6">
        <v>8</v>
      </c>
    </row>
    <row r="45" spans="1:7" x14ac:dyDescent="0.25">
      <c r="A45" s="1">
        <f t="shared" ca="1" si="0"/>
        <v>7345</v>
      </c>
      <c r="B45" s="36">
        <v>7590</v>
      </c>
      <c r="C45" s="37">
        <v>7580</v>
      </c>
      <c r="D45" s="38">
        <v>280</v>
      </c>
      <c r="E45" s="39">
        <v>275</v>
      </c>
      <c r="F45" s="5">
        <v>0</v>
      </c>
      <c r="G45" s="6">
        <v>0</v>
      </c>
    </row>
    <row r="46" spans="1:7" x14ac:dyDescent="0.25">
      <c r="A46" s="1">
        <f t="shared" ca="1" si="0"/>
        <v>7346</v>
      </c>
      <c r="B46" s="36">
        <v>7590</v>
      </c>
      <c r="C46" s="37">
        <v>7575</v>
      </c>
      <c r="D46" s="38">
        <v>275</v>
      </c>
      <c r="E46" s="39">
        <v>270</v>
      </c>
      <c r="F46" s="5">
        <v>0</v>
      </c>
      <c r="G46" s="6">
        <v>0</v>
      </c>
    </row>
    <row r="47" spans="1:7" x14ac:dyDescent="0.25">
      <c r="A47" s="1">
        <f t="shared" ca="1" si="0"/>
        <v>7347</v>
      </c>
      <c r="B47" s="36">
        <v>7580</v>
      </c>
      <c r="C47" s="37">
        <v>7550</v>
      </c>
      <c r="D47" s="38">
        <v>280</v>
      </c>
      <c r="E47" s="39">
        <v>275</v>
      </c>
      <c r="F47" s="5">
        <v>35</v>
      </c>
      <c r="G47" s="6">
        <v>0</v>
      </c>
    </row>
    <row r="48" spans="1:7" x14ac:dyDescent="0.25">
      <c r="A48" s="1">
        <f t="shared" ca="1" si="0"/>
        <v>7348</v>
      </c>
      <c r="B48" s="36">
        <v>7575</v>
      </c>
      <c r="C48" s="37">
        <v>7560</v>
      </c>
      <c r="D48" s="38">
        <v>280</v>
      </c>
      <c r="E48" s="39">
        <v>275</v>
      </c>
      <c r="F48" s="5">
        <v>0</v>
      </c>
      <c r="G48" s="6">
        <v>0</v>
      </c>
    </row>
    <row r="49" spans="1:7" x14ac:dyDescent="0.25">
      <c r="A49" s="1">
        <f t="shared" ca="1" si="0"/>
        <v>7349</v>
      </c>
      <c r="B49" s="36">
        <v>7580</v>
      </c>
      <c r="C49" s="37">
        <v>7565</v>
      </c>
      <c r="D49" s="38">
        <v>285</v>
      </c>
      <c r="E49" s="39">
        <v>275</v>
      </c>
      <c r="F49" s="5">
        <v>0</v>
      </c>
      <c r="G49" s="6">
        <v>0</v>
      </c>
    </row>
    <row r="50" spans="1:7" x14ac:dyDescent="0.25">
      <c r="A50" s="1">
        <f t="shared" ca="1" si="0"/>
        <v>7350</v>
      </c>
      <c r="B50" s="36">
        <v>7590</v>
      </c>
      <c r="C50" s="37">
        <v>7565</v>
      </c>
      <c r="D50" s="38">
        <v>285</v>
      </c>
      <c r="E50" s="39">
        <v>270</v>
      </c>
      <c r="F50" s="5">
        <v>0</v>
      </c>
      <c r="G50" s="6">
        <v>0</v>
      </c>
    </row>
    <row r="51" spans="1:7" x14ac:dyDescent="0.25">
      <c r="A51" s="1">
        <f t="shared" ca="1" si="0"/>
        <v>7351</v>
      </c>
      <c r="B51" s="36">
        <v>7590</v>
      </c>
      <c r="C51" s="37">
        <v>7565</v>
      </c>
      <c r="D51" s="38">
        <v>285</v>
      </c>
      <c r="E51" s="39">
        <v>270</v>
      </c>
      <c r="F51" s="5">
        <v>0</v>
      </c>
      <c r="G51" s="6">
        <v>0</v>
      </c>
    </row>
    <row r="52" spans="1:7" x14ac:dyDescent="0.25">
      <c r="A52" s="1">
        <f t="shared" ca="1" si="0"/>
        <v>7352</v>
      </c>
      <c r="B52" s="36">
        <v>7580</v>
      </c>
      <c r="C52" s="37">
        <v>7555</v>
      </c>
      <c r="D52" s="38">
        <v>285</v>
      </c>
      <c r="E52" s="39">
        <v>270</v>
      </c>
      <c r="F52" s="5">
        <v>0</v>
      </c>
      <c r="G52" s="6">
        <v>0</v>
      </c>
    </row>
    <row r="53" spans="1:7" x14ac:dyDescent="0.25">
      <c r="A53" s="1">
        <f t="shared" ca="1" si="0"/>
        <v>7353</v>
      </c>
      <c r="B53" s="36">
        <v>7570</v>
      </c>
      <c r="C53" s="37">
        <v>7545</v>
      </c>
      <c r="D53" s="38">
        <v>280</v>
      </c>
      <c r="E53" s="39">
        <v>270</v>
      </c>
      <c r="F53" s="5">
        <v>0</v>
      </c>
      <c r="G53" s="6">
        <v>0</v>
      </c>
    </row>
    <row r="54" spans="1:7" x14ac:dyDescent="0.25">
      <c r="A54" s="1">
        <f t="shared" ca="1" si="0"/>
        <v>7354</v>
      </c>
      <c r="B54" s="36">
        <v>7565</v>
      </c>
      <c r="C54" s="37">
        <v>7545</v>
      </c>
      <c r="D54" s="38">
        <v>285</v>
      </c>
      <c r="E54" s="39">
        <v>275</v>
      </c>
      <c r="F54" s="5">
        <v>0</v>
      </c>
      <c r="G54" s="6">
        <v>0</v>
      </c>
    </row>
    <row r="55" spans="1:7" x14ac:dyDescent="0.25">
      <c r="A55" s="1">
        <f t="shared" ca="1" si="0"/>
        <v>7355</v>
      </c>
      <c r="B55" s="36">
        <v>7565</v>
      </c>
      <c r="C55" s="37">
        <v>7545</v>
      </c>
      <c r="D55" s="38">
        <v>280</v>
      </c>
      <c r="E55" s="39">
        <v>275</v>
      </c>
      <c r="F55" s="5">
        <v>0</v>
      </c>
      <c r="G55" s="6">
        <v>0</v>
      </c>
    </row>
    <row r="56" spans="1:7" x14ac:dyDescent="0.25">
      <c r="A56" s="1">
        <f t="shared" ca="1" si="0"/>
        <v>7356</v>
      </c>
      <c r="B56" s="36">
        <v>7575</v>
      </c>
      <c r="C56" s="37">
        <v>7565</v>
      </c>
      <c r="D56" s="38">
        <v>285</v>
      </c>
      <c r="E56" s="39">
        <v>275</v>
      </c>
      <c r="F56" s="5">
        <v>0</v>
      </c>
      <c r="G56" s="6">
        <v>0</v>
      </c>
    </row>
    <row r="57" spans="1:7" x14ac:dyDescent="0.25">
      <c r="A57" s="1">
        <f t="shared" ca="1" si="0"/>
        <v>7357</v>
      </c>
      <c r="B57" s="36">
        <v>7575</v>
      </c>
      <c r="C57" s="37">
        <v>7555</v>
      </c>
      <c r="D57" s="38">
        <v>280</v>
      </c>
      <c r="E57" s="39">
        <v>270</v>
      </c>
      <c r="F57" s="5">
        <v>0</v>
      </c>
      <c r="G57" s="6">
        <v>0</v>
      </c>
    </row>
    <row r="58" spans="1:7" x14ac:dyDescent="0.25">
      <c r="A58" s="1">
        <f t="shared" ca="1" si="0"/>
        <v>7358</v>
      </c>
      <c r="B58" s="36">
        <v>7575</v>
      </c>
      <c r="C58" s="37">
        <v>7555</v>
      </c>
      <c r="D58" s="38">
        <v>280</v>
      </c>
      <c r="E58" s="39">
        <v>270</v>
      </c>
      <c r="F58" s="5">
        <v>10</v>
      </c>
      <c r="G58" s="6">
        <v>0</v>
      </c>
    </row>
    <row r="59" spans="1:7" x14ac:dyDescent="0.25">
      <c r="A59" s="1">
        <f t="shared" ca="1" si="0"/>
        <v>7359</v>
      </c>
      <c r="B59" s="36">
        <v>7570</v>
      </c>
      <c r="C59" s="37">
        <v>7530</v>
      </c>
      <c r="D59" s="38">
        <v>275</v>
      </c>
      <c r="E59" s="39">
        <v>270</v>
      </c>
      <c r="F59" s="5">
        <v>0</v>
      </c>
      <c r="G59" s="6">
        <v>0</v>
      </c>
    </row>
    <row r="60" spans="1:7" x14ac:dyDescent="0.25">
      <c r="A60" s="1">
        <f t="shared" ca="1" si="0"/>
        <v>7360</v>
      </c>
      <c r="B60" s="36">
        <v>7590</v>
      </c>
      <c r="C60" s="37">
        <v>7580</v>
      </c>
      <c r="D60" s="38">
        <v>280</v>
      </c>
      <c r="E60" s="39">
        <v>275</v>
      </c>
      <c r="F60" s="5">
        <v>0</v>
      </c>
      <c r="G60" s="6">
        <v>0</v>
      </c>
    </row>
    <row r="61" spans="1:7" x14ac:dyDescent="0.25">
      <c r="A61" s="1">
        <f t="shared" ca="1" si="0"/>
        <v>7361</v>
      </c>
      <c r="B61" s="36">
        <v>7575</v>
      </c>
      <c r="C61" s="37">
        <v>7550</v>
      </c>
      <c r="D61" s="38">
        <v>290</v>
      </c>
      <c r="E61" s="39">
        <v>275</v>
      </c>
      <c r="F61" s="5">
        <v>0</v>
      </c>
      <c r="G61" s="6">
        <v>0</v>
      </c>
    </row>
    <row r="62" spans="1:7" x14ac:dyDescent="0.25">
      <c r="A62" s="1">
        <f t="shared" ca="1" si="0"/>
        <v>7362</v>
      </c>
      <c r="B62" s="36">
        <v>7580</v>
      </c>
      <c r="C62" s="37">
        <v>7560</v>
      </c>
      <c r="D62" s="38">
        <v>280</v>
      </c>
      <c r="E62" s="39">
        <v>275</v>
      </c>
      <c r="F62" s="5">
        <v>0</v>
      </c>
      <c r="G62" s="6">
        <v>0</v>
      </c>
    </row>
    <row r="63" spans="1:7" x14ac:dyDescent="0.25">
      <c r="A63" s="1">
        <f t="shared" ca="1" si="0"/>
        <v>7363</v>
      </c>
      <c r="B63" s="36">
        <v>7595</v>
      </c>
      <c r="C63" s="37">
        <v>7590</v>
      </c>
      <c r="D63" s="38">
        <v>295</v>
      </c>
      <c r="E63" s="39">
        <v>290</v>
      </c>
      <c r="F63" s="5">
        <v>0</v>
      </c>
      <c r="G63" s="6">
        <v>0</v>
      </c>
    </row>
    <row r="64" spans="1:7" x14ac:dyDescent="0.25">
      <c r="A64" s="1">
        <f t="shared" ca="1" si="0"/>
        <v>7364</v>
      </c>
      <c r="B64" s="36">
        <v>7595</v>
      </c>
      <c r="C64" s="37">
        <v>7590</v>
      </c>
      <c r="D64" s="38">
        <v>290</v>
      </c>
      <c r="E64" s="39">
        <v>285</v>
      </c>
      <c r="F64" s="5">
        <v>0</v>
      </c>
      <c r="G64" s="6">
        <v>0</v>
      </c>
    </row>
    <row r="65" spans="1:7" x14ac:dyDescent="0.25">
      <c r="A65" s="1">
        <f t="shared" ca="1" si="0"/>
        <v>7365</v>
      </c>
      <c r="B65" s="36">
        <v>7590</v>
      </c>
      <c r="C65" s="37">
        <v>7580</v>
      </c>
      <c r="D65" s="38">
        <v>285</v>
      </c>
      <c r="E65" s="39">
        <v>280</v>
      </c>
      <c r="F65" s="5">
        <v>0</v>
      </c>
      <c r="G65" s="6">
        <v>0</v>
      </c>
    </row>
    <row r="66" spans="1:7" x14ac:dyDescent="0.25">
      <c r="A66" s="1" t="str">
        <f t="shared" ca="1" si="0"/>
        <v>Totaal</v>
      </c>
      <c r="B66" s="21">
        <f>IF(COUNT(B37:B65)&gt;0,AVERAGE(B37:B65)/10,"")</f>
        <v>757.75862068965512</v>
      </c>
      <c r="C66" s="22">
        <f>IF(COUNT(C37:C65)&gt;0,AVERAGE(C37:C65)/10,"")</f>
        <v>756.0344827586207</v>
      </c>
      <c r="D66" s="23">
        <f>IF(COUNT(D37:D65)&gt;0,AVERAGE(D37:D65)/10,"")</f>
        <v>28.379310344827587</v>
      </c>
      <c r="E66" s="24">
        <f>IF(COUNT(E37:E65)&gt;0,AVERAGE(E37:E65)/10,"")</f>
        <v>27.379310344827587</v>
      </c>
      <c r="F66" s="25">
        <f>SUM(F37:F65)/10</f>
        <v>11.3</v>
      </c>
      <c r="G66" s="26">
        <f>SUM(G37:G65)/10</f>
        <v>0.8</v>
      </c>
    </row>
    <row r="67" spans="1:7" x14ac:dyDescent="0.25">
      <c r="A67" s="1">
        <f t="shared" ca="1" si="0"/>
        <v>7366</v>
      </c>
      <c r="B67" s="36">
        <v>7555</v>
      </c>
      <c r="C67" s="37">
        <v>7535</v>
      </c>
      <c r="D67" s="38">
        <v>295</v>
      </c>
      <c r="E67" s="39">
        <v>280</v>
      </c>
      <c r="F67" s="5">
        <v>0</v>
      </c>
      <c r="G67" s="6">
        <v>0</v>
      </c>
    </row>
    <row r="68" spans="1:7" x14ac:dyDescent="0.25">
      <c r="A68" s="1">
        <f t="shared" ca="1" si="0"/>
        <v>7367</v>
      </c>
      <c r="B68" s="36">
        <v>7575</v>
      </c>
      <c r="C68" s="37">
        <v>7555</v>
      </c>
      <c r="D68" s="38">
        <v>290</v>
      </c>
      <c r="E68" s="39">
        <v>280</v>
      </c>
      <c r="F68" s="5">
        <v>0</v>
      </c>
      <c r="G68" s="6">
        <v>0</v>
      </c>
    </row>
    <row r="69" spans="1:7" x14ac:dyDescent="0.25">
      <c r="A69" s="1">
        <f t="shared" ca="1" si="0"/>
        <v>7368</v>
      </c>
      <c r="B69" s="36">
        <v>7595</v>
      </c>
      <c r="C69" s="37">
        <v>7575</v>
      </c>
      <c r="D69" s="38">
        <v>285</v>
      </c>
      <c r="E69" s="39">
        <v>280</v>
      </c>
      <c r="F69" s="5">
        <v>0</v>
      </c>
      <c r="G69" s="6">
        <v>0</v>
      </c>
    </row>
    <row r="70" spans="1:7" x14ac:dyDescent="0.25">
      <c r="A70" s="1">
        <f t="shared" ca="1" si="0"/>
        <v>7369</v>
      </c>
      <c r="B70" s="36">
        <v>7570</v>
      </c>
      <c r="C70" s="37">
        <v>7545</v>
      </c>
      <c r="D70" s="38">
        <v>290</v>
      </c>
      <c r="E70" s="39">
        <v>280</v>
      </c>
      <c r="F70" s="5">
        <v>0</v>
      </c>
      <c r="G70" s="6">
        <v>0</v>
      </c>
    </row>
    <row r="71" spans="1:7" x14ac:dyDescent="0.25">
      <c r="A71" s="1">
        <f t="shared" ref="A71:A134" ca="1" si="1">IF(ISTEXT(A70),A69+1,IF(MONTH(A70+1)=MONTH(A70),A70+1,"Totaal"))</f>
        <v>7370</v>
      </c>
      <c r="B71" s="36">
        <v>7575</v>
      </c>
      <c r="C71" s="37">
        <v>7560</v>
      </c>
      <c r="D71" s="38">
        <v>290</v>
      </c>
      <c r="E71" s="39">
        <v>280</v>
      </c>
      <c r="F71" s="5">
        <v>0</v>
      </c>
      <c r="G71" s="6">
        <v>0</v>
      </c>
    </row>
    <row r="72" spans="1:7" x14ac:dyDescent="0.25">
      <c r="A72" s="1">
        <f t="shared" ca="1" si="1"/>
        <v>7371</v>
      </c>
      <c r="B72" s="36">
        <v>7590</v>
      </c>
      <c r="C72" s="37">
        <v>7565</v>
      </c>
      <c r="D72" s="38">
        <v>290</v>
      </c>
      <c r="E72" s="39">
        <v>280</v>
      </c>
      <c r="F72" s="5">
        <v>0</v>
      </c>
      <c r="G72" s="6">
        <v>0</v>
      </c>
    </row>
    <row r="73" spans="1:7" x14ac:dyDescent="0.25">
      <c r="A73" s="1">
        <f t="shared" ca="1" si="1"/>
        <v>7372</v>
      </c>
      <c r="B73" s="36">
        <v>7585</v>
      </c>
      <c r="C73" s="37">
        <v>7570</v>
      </c>
      <c r="D73" s="38">
        <v>285</v>
      </c>
      <c r="E73" s="39">
        <v>280</v>
      </c>
      <c r="F73" s="5">
        <v>0</v>
      </c>
      <c r="G73" s="6">
        <v>0</v>
      </c>
    </row>
    <row r="74" spans="1:7" x14ac:dyDescent="0.25">
      <c r="A74" s="1">
        <f t="shared" ca="1" si="1"/>
        <v>7373</v>
      </c>
      <c r="B74" s="36">
        <v>7605</v>
      </c>
      <c r="C74" s="37">
        <v>7590</v>
      </c>
      <c r="D74" s="38">
        <v>280</v>
      </c>
      <c r="E74" s="39">
        <v>275</v>
      </c>
      <c r="F74" s="5">
        <v>0</v>
      </c>
      <c r="G74" s="6">
        <v>0</v>
      </c>
    </row>
    <row r="75" spans="1:7" x14ac:dyDescent="0.25">
      <c r="A75" s="1">
        <f t="shared" ca="1" si="1"/>
        <v>7374</v>
      </c>
      <c r="B75" s="36">
        <v>7595</v>
      </c>
      <c r="C75" s="37">
        <v>7580</v>
      </c>
      <c r="D75" s="38">
        <v>285</v>
      </c>
      <c r="E75" s="39">
        <v>270</v>
      </c>
      <c r="F75" s="5">
        <v>0</v>
      </c>
      <c r="G75" s="6">
        <v>0</v>
      </c>
    </row>
    <row r="76" spans="1:7" x14ac:dyDescent="0.25">
      <c r="A76" s="1">
        <f t="shared" ca="1" si="1"/>
        <v>7375</v>
      </c>
      <c r="B76" s="36">
        <v>7595</v>
      </c>
      <c r="C76" s="37">
        <v>7570</v>
      </c>
      <c r="D76" s="38">
        <v>280</v>
      </c>
      <c r="E76" s="39">
        <v>275</v>
      </c>
      <c r="F76" s="5">
        <v>0</v>
      </c>
      <c r="G76" s="6">
        <v>0</v>
      </c>
    </row>
    <row r="77" spans="1:7" x14ac:dyDescent="0.25">
      <c r="A77" s="1">
        <f t="shared" ca="1" si="1"/>
        <v>7376</v>
      </c>
      <c r="B77" s="36">
        <v>7585</v>
      </c>
      <c r="C77" s="37">
        <v>7570</v>
      </c>
      <c r="D77" s="38">
        <v>280</v>
      </c>
      <c r="E77" s="39">
        <v>270</v>
      </c>
      <c r="F77" s="5">
        <v>0</v>
      </c>
      <c r="G77" s="6">
        <v>0</v>
      </c>
    </row>
    <row r="78" spans="1:7" x14ac:dyDescent="0.25">
      <c r="A78" s="1">
        <f t="shared" ca="1" si="1"/>
        <v>7377</v>
      </c>
      <c r="B78" s="36">
        <v>7585</v>
      </c>
      <c r="C78" s="37">
        <v>7565</v>
      </c>
      <c r="D78" s="38">
        <v>285</v>
      </c>
      <c r="E78" s="39">
        <v>275</v>
      </c>
      <c r="F78" s="5">
        <v>0</v>
      </c>
      <c r="G78" s="6">
        <v>0</v>
      </c>
    </row>
    <row r="79" spans="1:7" x14ac:dyDescent="0.25">
      <c r="A79" s="1">
        <f t="shared" ca="1" si="1"/>
        <v>7378</v>
      </c>
      <c r="B79" s="36">
        <v>7585</v>
      </c>
      <c r="C79" s="37">
        <v>7560</v>
      </c>
      <c r="D79" s="38">
        <v>280</v>
      </c>
      <c r="E79" s="39">
        <v>275</v>
      </c>
      <c r="F79" s="5">
        <v>0</v>
      </c>
      <c r="G79" s="6">
        <v>0</v>
      </c>
    </row>
    <row r="80" spans="1:7" x14ac:dyDescent="0.25">
      <c r="A80" s="1">
        <f t="shared" ca="1" si="1"/>
        <v>7379</v>
      </c>
      <c r="B80" s="36">
        <v>7585</v>
      </c>
      <c r="C80" s="37">
        <v>7560</v>
      </c>
      <c r="D80" s="38">
        <v>280</v>
      </c>
      <c r="E80" s="39">
        <v>275</v>
      </c>
      <c r="F80" s="5">
        <v>0</v>
      </c>
      <c r="G80" s="6">
        <v>0</v>
      </c>
    </row>
    <row r="81" spans="1:7" x14ac:dyDescent="0.25">
      <c r="A81" s="1">
        <f t="shared" ca="1" si="1"/>
        <v>7380</v>
      </c>
      <c r="B81" s="36">
        <v>7575</v>
      </c>
      <c r="C81" s="37">
        <v>7560</v>
      </c>
      <c r="D81" s="38">
        <v>280</v>
      </c>
      <c r="E81" s="39">
        <v>275</v>
      </c>
      <c r="F81" s="5">
        <v>0</v>
      </c>
      <c r="G81" s="6">
        <v>0</v>
      </c>
    </row>
    <row r="82" spans="1:7" x14ac:dyDescent="0.25">
      <c r="A82" s="1">
        <f t="shared" ca="1" si="1"/>
        <v>7381</v>
      </c>
      <c r="B82" s="36">
        <v>7580</v>
      </c>
      <c r="C82" s="37">
        <v>7565</v>
      </c>
      <c r="D82" s="38">
        <v>290</v>
      </c>
      <c r="E82" s="39">
        <v>270</v>
      </c>
      <c r="F82" s="5">
        <v>0</v>
      </c>
      <c r="G82" s="6">
        <v>0</v>
      </c>
    </row>
    <row r="83" spans="1:7" x14ac:dyDescent="0.25">
      <c r="A83" s="1">
        <f t="shared" ca="1" si="1"/>
        <v>7382</v>
      </c>
      <c r="B83" s="36">
        <v>7590</v>
      </c>
      <c r="C83" s="37">
        <v>7580</v>
      </c>
      <c r="D83" s="38">
        <v>285</v>
      </c>
      <c r="E83" s="39">
        <v>280</v>
      </c>
      <c r="F83" s="5">
        <v>0</v>
      </c>
      <c r="G83" s="6">
        <v>0</v>
      </c>
    </row>
    <row r="84" spans="1:7" x14ac:dyDescent="0.25">
      <c r="A84" s="1">
        <f t="shared" ca="1" si="1"/>
        <v>7383</v>
      </c>
      <c r="B84" s="36">
        <v>7580</v>
      </c>
      <c r="C84" s="37">
        <v>7560</v>
      </c>
      <c r="D84" s="38">
        <v>280</v>
      </c>
      <c r="E84" s="39">
        <v>270</v>
      </c>
      <c r="F84" s="5">
        <v>0</v>
      </c>
      <c r="G84" s="6">
        <v>0</v>
      </c>
    </row>
    <row r="85" spans="1:7" x14ac:dyDescent="0.25">
      <c r="A85" s="1">
        <f t="shared" ca="1" si="1"/>
        <v>7384</v>
      </c>
      <c r="B85" s="36">
        <v>7565</v>
      </c>
      <c r="C85" s="37">
        <v>7540</v>
      </c>
      <c r="D85" s="38">
        <v>280</v>
      </c>
      <c r="E85" s="39">
        <v>270</v>
      </c>
      <c r="F85" s="5">
        <v>0</v>
      </c>
      <c r="G85" s="6">
        <v>0</v>
      </c>
    </row>
    <row r="86" spans="1:7" x14ac:dyDescent="0.25">
      <c r="A86" s="1">
        <f t="shared" ca="1" si="1"/>
        <v>7385</v>
      </c>
      <c r="B86" s="36">
        <v>7560</v>
      </c>
      <c r="C86" s="37">
        <v>7545</v>
      </c>
      <c r="D86" s="38">
        <v>290</v>
      </c>
      <c r="E86" s="39">
        <v>270</v>
      </c>
      <c r="F86" s="5">
        <v>0</v>
      </c>
      <c r="G86" s="6">
        <v>0</v>
      </c>
    </row>
    <row r="87" spans="1:7" x14ac:dyDescent="0.25">
      <c r="A87" s="1">
        <f t="shared" ca="1" si="1"/>
        <v>7386</v>
      </c>
      <c r="B87" s="36">
        <v>7590</v>
      </c>
      <c r="C87" s="37">
        <v>7580</v>
      </c>
      <c r="D87" s="38">
        <v>290</v>
      </c>
      <c r="E87" s="39">
        <v>280</v>
      </c>
      <c r="F87" s="5">
        <v>0</v>
      </c>
      <c r="G87" s="6">
        <v>0</v>
      </c>
    </row>
    <row r="88" spans="1:7" x14ac:dyDescent="0.25">
      <c r="A88" s="1">
        <f t="shared" ca="1" si="1"/>
        <v>7387</v>
      </c>
      <c r="B88" s="36">
        <v>7590</v>
      </c>
      <c r="C88" s="37">
        <v>7580</v>
      </c>
      <c r="D88" s="38">
        <v>290</v>
      </c>
      <c r="E88" s="39">
        <v>280</v>
      </c>
      <c r="F88" s="5">
        <v>0</v>
      </c>
      <c r="G88" s="6">
        <v>0</v>
      </c>
    </row>
    <row r="89" spans="1:7" x14ac:dyDescent="0.25">
      <c r="A89" s="1">
        <f t="shared" ca="1" si="1"/>
        <v>7388</v>
      </c>
      <c r="B89" s="36">
        <v>7580</v>
      </c>
      <c r="C89" s="37">
        <v>7570</v>
      </c>
      <c r="D89" s="38">
        <v>285</v>
      </c>
      <c r="E89" s="39">
        <v>270</v>
      </c>
      <c r="F89" s="5">
        <v>0</v>
      </c>
      <c r="G89" s="6">
        <v>0</v>
      </c>
    </row>
    <row r="90" spans="1:7" x14ac:dyDescent="0.25">
      <c r="A90" s="1">
        <f t="shared" ca="1" si="1"/>
        <v>7389</v>
      </c>
      <c r="B90" s="36">
        <v>7580</v>
      </c>
      <c r="C90" s="37">
        <v>7550</v>
      </c>
      <c r="D90" s="38">
        <v>280</v>
      </c>
      <c r="E90" s="39">
        <v>275</v>
      </c>
      <c r="F90" s="5">
        <v>0</v>
      </c>
      <c r="G90" s="6">
        <v>0</v>
      </c>
    </row>
    <row r="91" spans="1:7" x14ac:dyDescent="0.25">
      <c r="A91" s="1">
        <f t="shared" ca="1" si="1"/>
        <v>7390</v>
      </c>
      <c r="B91" s="36">
        <v>7580</v>
      </c>
      <c r="C91" s="37">
        <v>7575</v>
      </c>
      <c r="D91" s="38">
        <v>280</v>
      </c>
      <c r="E91" s="39">
        <v>270</v>
      </c>
      <c r="F91" s="5">
        <v>0</v>
      </c>
      <c r="G91" s="6">
        <v>0</v>
      </c>
    </row>
    <row r="92" spans="1:7" x14ac:dyDescent="0.25">
      <c r="A92" s="1">
        <f t="shared" ca="1" si="1"/>
        <v>7391</v>
      </c>
      <c r="B92" s="36">
        <v>7590</v>
      </c>
      <c r="C92" s="37">
        <v>7580</v>
      </c>
      <c r="D92" s="38">
        <v>280</v>
      </c>
      <c r="E92" s="39">
        <v>270</v>
      </c>
      <c r="F92" s="5">
        <v>0</v>
      </c>
      <c r="G92" s="6">
        <v>0</v>
      </c>
    </row>
    <row r="93" spans="1:7" x14ac:dyDescent="0.25">
      <c r="A93" s="1">
        <f t="shared" ca="1" si="1"/>
        <v>7392</v>
      </c>
      <c r="B93" s="36">
        <v>7585</v>
      </c>
      <c r="C93" s="37">
        <v>7555</v>
      </c>
      <c r="D93" s="38">
        <v>285</v>
      </c>
      <c r="E93" s="39">
        <v>270</v>
      </c>
      <c r="F93" s="5">
        <v>0</v>
      </c>
      <c r="G93" s="6">
        <v>0</v>
      </c>
    </row>
    <row r="94" spans="1:7" x14ac:dyDescent="0.25">
      <c r="A94" s="1">
        <f t="shared" ca="1" si="1"/>
        <v>7393</v>
      </c>
      <c r="B94" s="36">
        <v>7585</v>
      </c>
      <c r="C94" s="37">
        <v>7555</v>
      </c>
      <c r="D94" s="38">
        <v>285</v>
      </c>
      <c r="E94" s="39">
        <v>270</v>
      </c>
      <c r="F94" s="5">
        <v>0</v>
      </c>
      <c r="G94" s="6">
        <v>20</v>
      </c>
    </row>
    <row r="95" spans="1:7" x14ac:dyDescent="0.25">
      <c r="A95" s="1">
        <f t="shared" ca="1" si="1"/>
        <v>7394</v>
      </c>
      <c r="B95" s="36">
        <v>7580</v>
      </c>
      <c r="C95" s="37">
        <v>7560</v>
      </c>
      <c r="D95" s="38">
        <v>280</v>
      </c>
      <c r="E95" s="39">
        <v>280</v>
      </c>
      <c r="F95" s="5">
        <v>0</v>
      </c>
      <c r="G95" s="6">
        <v>0</v>
      </c>
    </row>
    <row r="96" spans="1:7" x14ac:dyDescent="0.25">
      <c r="A96" s="1">
        <f t="shared" ca="1" si="1"/>
        <v>7395</v>
      </c>
      <c r="B96" s="36">
        <v>7590</v>
      </c>
      <c r="C96" s="37">
        <v>7565</v>
      </c>
      <c r="D96" s="38">
        <v>280</v>
      </c>
      <c r="E96" s="39">
        <v>270</v>
      </c>
      <c r="F96" s="5">
        <v>0</v>
      </c>
      <c r="G96" s="6">
        <v>0</v>
      </c>
    </row>
    <row r="97" spans="1:7" x14ac:dyDescent="0.25">
      <c r="A97" s="1">
        <f t="shared" ca="1" si="1"/>
        <v>7396</v>
      </c>
      <c r="B97" s="36">
        <v>7585</v>
      </c>
      <c r="C97" s="37">
        <v>7565</v>
      </c>
      <c r="D97" s="38">
        <v>285</v>
      </c>
      <c r="E97" s="39">
        <v>280</v>
      </c>
      <c r="F97" s="5">
        <v>0</v>
      </c>
      <c r="G97" s="6">
        <v>0</v>
      </c>
    </row>
    <row r="98" spans="1:7" x14ac:dyDescent="0.25">
      <c r="A98" s="1" t="str">
        <f t="shared" ca="1" si="1"/>
        <v>Totaal</v>
      </c>
      <c r="B98" s="21">
        <f>IF(COUNT(B67:B97)&gt;0,AVERAGE(B67:B97)/10,"")</f>
        <v>758.27419354838707</v>
      </c>
      <c r="C98" s="22">
        <f>IF(COUNT(C67:C97)&gt;0,AVERAGE(C67:C97)/10,"")</f>
        <v>756.40322580645159</v>
      </c>
      <c r="D98" s="23">
        <f>IF(COUNT(D67:D97)&gt;0,AVERAGE(D67:D97)/10,"")</f>
        <v>28.451612903225804</v>
      </c>
      <c r="E98" s="24">
        <f>IF(COUNT(E67:E97)&gt;0,AVERAGE(E67:E97)/10,"")</f>
        <v>27.5</v>
      </c>
      <c r="F98" s="25">
        <f>SUM(F67:F97)/10</f>
        <v>0</v>
      </c>
      <c r="G98" s="26">
        <f>SUM(G67:G97)/10</f>
        <v>2</v>
      </c>
    </row>
    <row r="99" spans="1:7" x14ac:dyDescent="0.25">
      <c r="A99" s="1">
        <f t="shared" ca="1" si="1"/>
        <v>7397</v>
      </c>
      <c r="B99" s="36">
        <v>7590</v>
      </c>
      <c r="C99" s="37">
        <v>7570</v>
      </c>
      <c r="D99" s="38">
        <v>280</v>
      </c>
      <c r="E99" s="39">
        <v>280</v>
      </c>
      <c r="F99" s="5">
        <v>0</v>
      </c>
      <c r="G99" s="6">
        <v>0</v>
      </c>
    </row>
    <row r="100" spans="1:7" x14ac:dyDescent="0.25">
      <c r="A100" s="1">
        <f t="shared" ca="1" si="1"/>
        <v>7398</v>
      </c>
      <c r="B100" s="36">
        <v>7580</v>
      </c>
      <c r="C100" s="37">
        <v>7570</v>
      </c>
      <c r="D100" s="38">
        <v>280</v>
      </c>
      <c r="E100" s="39">
        <v>280</v>
      </c>
      <c r="F100" s="5">
        <v>0</v>
      </c>
      <c r="G100" s="6">
        <v>0</v>
      </c>
    </row>
    <row r="101" spans="1:7" x14ac:dyDescent="0.25">
      <c r="A101" s="1">
        <f t="shared" ca="1" si="1"/>
        <v>7399</v>
      </c>
      <c r="B101" s="36">
        <v>7585</v>
      </c>
      <c r="C101" s="37">
        <v>7560</v>
      </c>
      <c r="D101" s="38">
        <v>280</v>
      </c>
      <c r="E101" s="39">
        <v>270</v>
      </c>
      <c r="F101" s="5">
        <v>0</v>
      </c>
      <c r="G101" s="6">
        <v>0</v>
      </c>
    </row>
    <row r="102" spans="1:7" x14ac:dyDescent="0.25">
      <c r="A102" s="1">
        <f t="shared" ca="1" si="1"/>
        <v>7400</v>
      </c>
      <c r="B102" s="36">
        <v>7585</v>
      </c>
      <c r="C102" s="37">
        <v>7560</v>
      </c>
      <c r="D102" s="38">
        <v>280</v>
      </c>
      <c r="E102" s="39">
        <v>270</v>
      </c>
      <c r="F102" s="5">
        <v>0</v>
      </c>
      <c r="G102" s="6">
        <v>0</v>
      </c>
    </row>
    <row r="103" spans="1:7" x14ac:dyDescent="0.25">
      <c r="A103" s="1">
        <f t="shared" ca="1" si="1"/>
        <v>7401</v>
      </c>
      <c r="B103" s="36">
        <v>7585</v>
      </c>
      <c r="C103" s="37">
        <v>7560</v>
      </c>
      <c r="D103" s="38">
        <v>280</v>
      </c>
      <c r="E103" s="39">
        <v>270</v>
      </c>
      <c r="F103" s="5">
        <v>0</v>
      </c>
      <c r="G103" s="6">
        <v>0</v>
      </c>
    </row>
    <row r="104" spans="1:7" x14ac:dyDescent="0.25">
      <c r="A104" s="1">
        <f t="shared" ca="1" si="1"/>
        <v>7402</v>
      </c>
      <c r="B104" s="36">
        <v>7575</v>
      </c>
      <c r="C104" s="37">
        <v>7565</v>
      </c>
      <c r="D104" s="38">
        <v>285</v>
      </c>
      <c r="E104" s="39">
        <v>280</v>
      </c>
      <c r="F104" s="5">
        <v>0</v>
      </c>
      <c r="G104" s="6">
        <v>0</v>
      </c>
    </row>
    <row r="105" spans="1:7" x14ac:dyDescent="0.25">
      <c r="A105" s="1">
        <f t="shared" ca="1" si="1"/>
        <v>7403</v>
      </c>
      <c r="B105" s="36">
        <v>7575</v>
      </c>
      <c r="C105" s="37">
        <v>7550</v>
      </c>
      <c r="D105" s="38">
        <v>280</v>
      </c>
      <c r="E105" s="39">
        <v>275</v>
      </c>
      <c r="F105" s="5">
        <v>0</v>
      </c>
      <c r="G105" s="6">
        <v>0</v>
      </c>
    </row>
    <row r="106" spans="1:7" x14ac:dyDescent="0.25">
      <c r="A106" s="1">
        <f t="shared" ca="1" si="1"/>
        <v>7404</v>
      </c>
      <c r="B106" s="36">
        <v>7570</v>
      </c>
      <c r="C106" s="37">
        <v>7545</v>
      </c>
      <c r="D106" s="38">
        <v>280</v>
      </c>
      <c r="E106" s="39">
        <v>280</v>
      </c>
      <c r="F106" s="5">
        <v>0</v>
      </c>
      <c r="G106" s="6">
        <v>0</v>
      </c>
    </row>
    <row r="107" spans="1:7" x14ac:dyDescent="0.25">
      <c r="A107" s="1">
        <f t="shared" ca="1" si="1"/>
        <v>7405</v>
      </c>
      <c r="B107" s="36">
        <v>7565</v>
      </c>
      <c r="C107" s="37">
        <v>7545</v>
      </c>
      <c r="D107" s="38">
        <v>280</v>
      </c>
      <c r="E107" s="39">
        <v>270</v>
      </c>
      <c r="F107" s="5">
        <v>0</v>
      </c>
      <c r="G107" s="6">
        <v>0</v>
      </c>
    </row>
    <row r="108" spans="1:7" x14ac:dyDescent="0.25">
      <c r="A108" s="1">
        <f t="shared" ca="1" si="1"/>
        <v>7406</v>
      </c>
      <c r="B108" s="36">
        <v>7565</v>
      </c>
      <c r="C108" s="37">
        <v>7545</v>
      </c>
      <c r="D108" s="38">
        <v>290</v>
      </c>
      <c r="E108" s="39">
        <v>270</v>
      </c>
      <c r="F108" s="5">
        <v>0</v>
      </c>
      <c r="G108" s="6">
        <v>0</v>
      </c>
    </row>
    <row r="109" spans="1:7" x14ac:dyDescent="0.25">
      <c r="A109" s="1">
        <f t="shared" ca="1" si="1"/>
        <v>7407</v>
      </c>
      <c r="B109" s="36">
        <v>7545</v>
      </c>
      <c r="C109" s="37">
        <v>7545</v>
      </c>
      <c r="D109" s="38">
        <v>290</v>
      </c>
      <c r="E109" s="39">
        <v>270</v>
      </c>
      <c r="F109" s="5">
        <v>0</v>
      </c>
      <c r="G109" s="6">
        <v>0</v>
      </c>
    </row>
    <row r="110" spans="1:7" x14ac:dyDescent="0.25">
      <c r="A110" s="1">
        <f t="shared" ca="1" si="1"/>
        <v>7408</v>
      </c>
      <c r="B110" s="36">
        <v>7565</v>
      </c>
      <c r="C110" s="37">
        <v>7540</v>
      </c>
      <c r="D110" s="38">
        <v>290</v>
      </c>
      <c r="E110" s="39">
        <v>270</v>
      </c>
      <c r="F110" s="5">
        <v>0</v>
      </c>
      <c r="G110" s="6">
        <v>0</v>
      </c>
    </row>
    <row r="111" spans="1:7" x14ac:dyDescent="0.25">
      <c r="A111" s="1">
        <f t="shared" ca="1" si="1"/>
        <v>7409</v>
      </c>
      <c r="B111" s="36">
        <v>7565</v>
      </c>
      <c r="C111" s="37">
        <v>7545</v>
      </c>
      <c r="D111" s="38">
        <v>290</v>
      </c>
      <c r="E111" s="39">
        <v>280</v>
      </c>
      <c r="F111" s="5">
        <v>0</v>
      </c>
      <c r="G111" s="6">
        <v>0</v>
      </c>
    </row>
    <row r="112" spans="1:7" x14ac:dyDescent="0.25">
      <c r="A112" s="1">
        <f t="shared" ca="1" si="1"/>
        <v>7410</v>
      </c>
      <c r="B112" s="36">
        <v>7565</v>
      </c>
      <c r="C112" s="37">
        <v>7550</v>
      </c>
      <c r="D112" s="38">
        <v>285</v>
      </c>
      <c r="E112" s="39">
        <v>270</v>
      </c>
      <c r="F112" s="5">
        <v>0</v>
      </c>
      <c r="G112" s="6">
        <v>0</v>
      </c>
    </row>
    <row r="113" spans="1:7" x14ac:dyDescent="0.25">
      <c r="A113" s="1">
        <f t="shared" ca="1" si="1"/>
        <v>7411</v>
      </c>
      <c r="B113" s="36">
        <v>7570</v>
      </c>
      <c r="C113" s="37">
        <v>7550</v>
      </c>
      <c r="D113" s="38">
        <v>285</v>
      </c>
      <c r="E113" s="39">
        <v>270</v>
      </c>
      <c r="F113" s="5">
        <v>0</v>
      </c>
      <c r="G113" s="6">
        <v>0</v>
      </c>
    </row>
    <row r="114" spans="1:7" x14ac:dyDescent="0.25">
      <c r="A114" s="1">
        <f t="shared" ca="1" si="1"/>
        <v>7412</v>
      </c>
      <c r="B114" s="36">
        <v>7575</v>
      </c>
      <c r="C114" s="37">
        <v>7550</v>
      </c>
      <c r="D114" s="38">
        <v>280</v>
      </c>
      <c r="E114" s="39">
        <v>270</v>
      </c>
      <c r="F114" s="5">
        <v>0</v>
      </c>
      <c r="G114" s="6">
        <v>0</v>
      </c>
    </row>
    <row r="115" spans="1:7" x14ac:dyDescent="0.25">
      <c r="A115" s="1">
        <f t="shared" ca="1" si="1"/>
        <v>7413</v>
      </c>
      <c r="B115" s="36">
        <v>7570</v>
      </c>
      <c r="C115" s="37">
        <v>7545</v>
      </c>
      <c r="D115" s="38">
        <v>280</v>
      </c>
      <c r="E115" s="39">
        <v>270</v>
      </c>
      <c r="F115" s="5">
        <v>0</v>
      </c>
      <c r="G115" s="6">
        <v>0</v>
      </c>
    </row>
    <row r="116" spans="1:7" x14ac:dyDescent="0.25">
      <c r="A116" s="1">
        <f t="shared" ca="1" si="1"/>
        <v>7414</v>
      </c>
      <c r="B116" s="36">
        <v>7570</v>
      </c>
      <c r="C116" s="37">
        <v>7545</v>
      </c>
      <c r="D116" s="38">
        <v>280</v>
      </c>
      <c r="E116" s="39">
        <v>270</v>
      </c>
      <c r="F116" s="5">
        <v>0</v>
      </c>
      <c r="G116" s="6">
        <v>0</v>
      </c>
    </row>
    <row r="117" spans="1:7" x14ac:dyDescent="0.25">
      <c r="A117" s="1">
        <f t="shared" ca="1" si="1"/>
        <v>7415</v>
      </c>
      <c r="B117" s="36">
        <v>7565</v>
      </c>
      <c r="C117" s="37">
        <v>7550</v>
      </c>
      <c r="D117" s="38">
        <v>280</v>
      </c>
      <c r="E117" s="39">
        <v>270</v>
      </c>
      <c r="F117" s="5">
        <v>0</v>
      </c>
      <c r="G117" s="6">
        <v>0</v>
      </c>
    </row>
    <row r="118" spans="1:7" x14ac:dyDescent="0.25">
      <c r="A118" s="1">
        <f t="shared" ca="1" si="1"/>
        <v>7416</v>
      </c>
      <c r="B118" s="36">
        <v>7575</v>
      </c>
      <c r="C118" s="37">
        <v>7560</v>
      </c>
      <c r="D118" s="38">
        <v>290</v>
      </c>
      <c r="E118" s="39">
        <v>280</v>
      </c>
      <c r="F118" s="5">
        <v>0</v>
      </c>
      <c r="G118" s="6">
        <v>0</v>
      </c>
    </row>
    <row r="119" spans="1:7" x14ac:dyDescent="0.25">
      <c r="A119" s="1">
        <f t="shared" ca="1" si="1"/>
        <v>7417</v>
      </c>
      <c r="B119" s="36">
        <v>7595</v>
      </c>
      <c r="C119" s="37">
        <v>7570</v>
      </c>
      <c r="D119" s="38">
        <v>290</v>
      </c>
      <c r="E119" s="39">
        <v>280</v>
      </c>
      <c r="F119" s="5">
        <v>0</v>
      </c>
      <c r="G119" s="6">
        <v>0</v>
      </c>
    </row>
    <row r="120" spans="1:7" x14ac:dyDescent="0.25">
      <c r="A120" s="1">
        <f t="shared" ca="1" si="1"/>
        <v>7418</v>
      </c>
      <c r="B120" s="36">
        <v>7590</v>
      </c>
      <c r="C120" s="37">
        <v>7585</v>
      </c>
      <c r="D120" s="38">
        <v>290</v>
      </c>
      <c r="E120" s="39">
        <v>280</v>
      </c>
      <c r="F120" s="5">
        <v>0</v>
      </c>
      <c r="G120" s="6">
        <v>0</v>
      </c>
    </row>
    <row r="121" spans="1:7" x14ac:dyDescent="0.25">
      <c r="A121" s="1">
        <f t="shared" ca="1" si="1"/>
        <v>7419</v>
      </c>
      <c r="B121" s="36">
        <v>7585</v>
      </c>
      <c r="C121" s="37">
        <v>7565</v>
      </c>
      <c r="D121" s="38">
        <v>290</v>
      </c>
      <c r="E121" s="39">
        <v>280</v>
      </c>
      <c r="F121" s="5">
        <v>0</v>
      </c>
      <c r="G121" s="6">
        <v>0</v>
      </c>
    </row>
    <row r="122" spans="1:7" x14ac:dyDescent="0.25">
      <c r="A122" s="1">
        <f t="shared" ca="1" si="1"/>
        <v>7420</v>
      </c>
      <c r="B122" s="36">
        <v>7595</v>
      </c>
      <c r="C122" s="37">
        <v>7565</v>
      </c>
      <c r="D122" s="38">
        <v>290</v>
      </c>
      <c r="E122" s="39">
        <v>280</v>
      </c>
      <c r="F122" s="5">
        <v>0</v>
      </c>
      <c r="G122" s="6">
        <v>0</v>
      </c>
    </row>
    <row r="123" spans="1:7" x14ac:dyDescent="0.25">
      <c r="A123" s="1">
        <f t="shared" ca="1" si="1"/>
        <v>7421</v>
      </c>
      <c r="B123" s="36">
        <v>7595</v>
      </c>
      <c r="C123" s="37">
        <v>7565</v>
      </c>
      <c r="D123" s="38">
        <v>290</v>
      </c>
      <c r="E123" s="39">
        <v>280</v>
      </c>
      <c r="F123" s="5">
        <v>0</v>
      </c>
      <c r="G123" s="6">
        <v>0</v>
      </c>
    </row>
    <row r="124" spans="1:7" x14ac:dyDescent="0.25">
      <c r="A124" s="1">
        <f t="shared" ca="1" si="1"/>
        <v>7422</v>
      </c>
      <c r="B124" s="36">
        <v>7585</v>
      </c>
      <c r="C124" s="37">
        <v>7585</v>
      </c>
      <c r="D124" s="38">
        <v>280</v>
      </c>
      <c r="E124" s="39">
        <v>270</v>
      </c>
      <c r="F124" s="5">
        <v>0</v>
      </c>
      <c r="G124" s="6">
        <v>0</v>
      </c>
    </row>
    <row r="125" spans="1:7" x14ac:dyDescent="0.25">
      <c r="A125" s="1">
        <f t="shared" ca="1" si="1"/>
        <v>7423</v>
      </c>
      <c r="B125" s="36">
        <v>7585</v>
      </c>
      <c r="C125" s="37">
        <v>7555</v>
      </c>
      <c r="D125" s="38">
        <v>285</v>
      </c>
      <c r="E125" s="39">
        <v>280</v>
      </c>
      <c r="F125" s="5">
        <v>0</v>
      </c>
      <c r="G125" s="6">
        <v>0</v>
      </c>
    </row>
    <row r="126" spans="1:7" x14ac:dyDescent="0.25">
      <c r="A126" s="1">
        <f t="shared" ca="1" si="1"/>
        <v>7424</v>
      </c>
      <c r="B126" s="36">
        <v>7580</v>
      </c>
      <c r="C126" s="37">
        <v>7555</v>
      </c>
      <c r="D126" s="38">
        <v>290</v>
      </c>
      <c r="E126" s="39">
        <v>280</v>
      </c>
      <c r="F126" s="5">
        <v>0</v>
      </c>
      <c r="G126" s="6">
        <v>0</v>
      </c>
    </row>
    <row r="127" spans="1:7" x14ac:dyDescent="0.25">
      <c r="A127" s="1">
        <f t="shared" ca="1" si="1"/>
        <v>7425</v>
      </c>
      <c r="B127" s="36">
        <v>7570</v>
      </c>
      <c r="C127" s="37">
        <v>7550</v>
      </c>
      <c r="D127" s="38">
        <v>290</v>
      </c>
      <c r="E127" s="39">
        <v>280</v>
      </c>
      <c r="F127" s="5">
        <v>0</v>
      </c>
      <c r="G127" s="6">
        <v>0</v>
      </c>
    </row>
    <row r="128" spans="1:7" x14ac:dyDescent="0.25">
      <c r="A128" s="1">
        <f t="shared" ca="1" si="1"/>
        <v>7426</v>
      </c>
      <c r="B128" s="36">
        <v>7595</v>
      </c>
      <c r="C128" s="37">
        <v>7575</v>
      </c>
      <c r="D128" s="38">
        <v>290</v>
      </c>
      <c r="E128" s="39">
        <v>280</v>
      </c>
      <c r="F128" s="5">
        <v>0</v>
      </c>
      <c r="G128" s="6">
        <v>0</v>
      </c>
    </row>
    <row r="129" spans="1:7" x14ac:dyDescent="0.25">
      <c r="A129" s="1" t="str">
        <f t="shared" ca="1" si="1"/>
        <v>Totaal</v>
      </c>
      <c r="B129" s="21">
        <f>IF(COUNT(B99:B128)&gt;0,AVERAGE(B99:B128)/10,"")</f>
        <v>757.7166666666667</v>
      </c>
      <c r="C129" s="22">
        <f>IF(COUNT(C99:C128)&gt;0,AVERAGE(C99:C128)/10,"")</f>
        <v>755.73333333333335</v>
      </c>
      <c r="D129" s="23">
        <f>IF(COUNT(D99:D128)&gt;0,AVERAGE(D99:D128)/10,"")</f>
        <v>28.5</v>
      </c>
      <c r="E129" s="24">
        <f>IF(COUNT(E99:E128)&gt;0,AVERAGE(E99:E128)/10,"")</f>
        <v>27.516666666666669</v>
      </c>
      <c r="F129" s="25">
        <f>SUM(F99:F128)/10</f>
        <v>0</v>
      </c>
      <c r="G129" s="26">
        <f>SUM(G99:G128)/10</f>
        <v>0</v>
      </c>
    </row>
    <row r="130" spans="1:7" x14ac:dyDescent="0.25">
      <c r="A130" s="1">
        <f t="shared" ca="1" si="1"/>
        <v>7427</v>
      </c>
      <c r="B130" s="36">
        <v>7575</v>
      </c>
      <c r="C130" s="37">
        <v>7555</v>
      </c>
      <c r="D130" s="38">
        <v>290</v>
      </c>
      <c r="E130" s="39">
        <v>280</v>
      </c>
      <c r="F130" s="5">
        <v>0</v>
      </c>
      <c r="G130" s="6">
        <v>0</v>
      </c>
    </row>
    <row r="131" spans="1:7" x14ac:dyDescent="0.25">
      <c r="A131" s="1">
        <f t="shared" ca="1" si="1"/>
        <v>7428</v>
      </c>
      <c r="B131" s="36">
        <v>7580</v>
      </c>
      <c r="C131" s="37">
        <v>7560</v>
      </c>
      <c r="D131" s="38">
        <v>295</v>
      </c>
      <c r="E131" s="39">
        <v>290</v>
      </c>
      <c r="F131" s="5">
        <v>0</v>
      </c>
      <c r="G131" s="6">
        <v>0</v>
      </c>
    </row>
    <row r="132" spans="1:7" x14ac:dyDescent="0.25">
      <c r="A132" s="1">
        <f t="shared" ca="1" si="1"/>
        <v>7429</v>
      </c>
      <c r="B132" s="36">
        <v>7555</v>
      </c>
      <c r="C132" s="37">
        <v>7545</v>
      </c>
      <c r="D132" s="38">
        <v>290</v>
      </c>
      <c r="E132" s="39">
        <v>280</v>
      </c>
      <c r="F132" s="5">
        <v>0</v>
      </c>
      <c r="G132" s="6">
        <v>0</v>
      </c>
    </row>
    <row r="133" spans="1:7" x14ac:dyDescent="0.25">
      <c r="A133" s="1">
        <f t="shared" ca="1" si="1"/>
        <v>7430</v>
      </c>
      <c r="B133" s="36">
        <v>7570</v>
      </c>
      <c r="C133" s="37">
        <v>7555</v>
      </c>
      <c r="D133" s="38">
        <v>290</v>
      </c>
      <c r="E133" s="39">
        <v>280</v>
      </c>
      <c r="F133" s="5">
        <v>0</v>
      </c>
      <c r="G133" s="6">
        <v>0</v>
      </c>
    </row>
    <row r="134" spans="1:7" x14ac:dyDescent="0.25">
      <c r="A134" s="1">
        <f t="shared" ca="1" si="1"/>
        <v>7431</v>
      </c>
      <c r="B134" s="36">
        <v>7575</v>
      </c>
      <c r="C134" s="37">
        <v>7565</v>
      </c>
      <c r="D134" s="38">
        <v>290</v>
      </c>
      <c r="E134" s="39">
        <v>280</v>
      </c>
      <c r="F134" s="5">
        <v>0</v>
      </c>
      <c r="G134" s="6">
        <v>0</v>
      </c>
    </row>
    <row r="135" spans="1:7" x14ac:dyDescent="0.25">
      <c r="A135" s="1">
        <f t="shared" ref="A135:A198" ca="1" si="2">IF(ISTEXT(A134),A133+1,IF(MONTH(A134+1)=MONTH(A134),A134+1,"Totaal"))</f>
        <v>7432</v>
      </c>
      <c r="B135" s="36">
        <v>7575</v>
      </c>
      <c r="C135" s="37">
        <v>7550</v>
      </c>
      <c r="D135" s="38">
        <v>290</v>
      </c>
      <c r="E135" s="39">
        <v>280</v>
      </c>
      <c r="F135" s="5">
        <v>0</v>
      </c>
      <c r="G135" s="6">
        <v>0</v>
      </c>
    </row>
    <row r="136" spans="1:7" x14ac:dyDescent="0.25">
      <c r="A136" s="1">
        <f t="shared" ca="1" si="2"/>
        <v>7433</v>
      </c>
      <c r="B136" s="36">
        <v>7575</v>
      </c>
      <c r="C136" s="37">
        <v>7555</v>
      </c>
      <c r="D136" s="38">
        <v>290</v>
      </c>
      <c r="E136" s="39">
        <v>280</v>
      </c>
      <c r="F136" s="5">
        <v>0</v>
      </c>
      <c r="G136" s="6">
        <v>0</v>
      </c>
    </row>
    <row r="137" spans="1:7" x14ac:dyDescent="0.25">
      <c r="A137" s="1">
        <f t="shared" ca="1" si="2"/>
        <v>7434</v>
      </c>
      <c r="B137" s="36">
        <v>7580</v>
      </c>
      <c r="C137" s="37">
        <v>7550</v>
      </c>
      <c r="D137" s="38">
        <v>290</v>
      </c>
      <c r="E137" s="39">
        <v>280</v>
      </c>
      <c r="F137" s="5">
        <v>0</v>
      </c>
      <c r="G137" s="6">
        <v>0</v>
      </c>
    </row>
    <row r="138" spans="1:7" x14ac:dyDescent="0.25">
      <c r="A138" s="1">
        <f t="shared" ca="1" si="2"/>
        <v>7435</v>
      </c>
      <c r="B138" s="36">
        <v>7580</v>
      </c>
      <c r="C138" s="37">
        <v>7550</v>
      </c>
      <c r="D138" s="38">
        <v>290</v>
      </c>
      <c r="E138" s="39">
        <v>280</v>
      </c>
      <c r="F138" s="5">
        <v>0</v>
      </c>
      <c r="G138" s="6">
        <v>0</v>
      </c>
    </row>
    <row r="139" spans="1:7" x14ac:dyDescent="0.25">
      <c r="A139" s="1">
        <f t="shared" ca="1" si="2"/>
        <v>7436</v>
      </c>
      <c r="B139" s="36">
        <v>7575</v>
      </c>
      <c r="C139" s="37">
        <v>7560</v>
      </c>
      <c r="D139" s="38">
        <v>290</v>
      </c>
      <c r="E139" s="39">
        <v>280</v>
      </c>
      <c r="F139" s="5">
        <v>0</v>
      </c>
      <c r="G139" s="6">
        <v>0</v>
      </c>
    </row>
    <row r="140" spans="1:7" x14ac:dyDescent="0.25">
      <c r="A140" s="1">
        <f t="shared" ca="1" si="2"/>
        <v>7437</v>
      </c>
      <c r="B140" s="36">
        <v>7570</v>
      </c>
      <c r="C140" s="37">
        <v>7550</v>
      </c>
      <c r="D140" s="38">
        <v>290</v>
      </c>
      <c r="E140" s="39">
        <v>280</v>
      </c>
      <c r="F140" s="5">
        <v>0</v>
      </c>
      <c r="G140" s="6">
        <v>0</v>
      </c>
    </row>
    <row r="141" spans="1:7" x14ac:dyDescent="0.25">
      <c r="A141" s="1">
        <f t="shared" ca="1" si="2"/>
        <v>7438</v>
      </c>
      <c r="B141" s="36">
        <v>7575</v>
      </c>
      <c r="C141" s="37">
        <v>7550</v>
      </c>
      <c r="D141" s="38">
        <v>290</v>
      </c>
      <c r="E141" s="39">
        <v>270</v>
      </c>
      <c r="F141" s="5">
        <v>0</v>
      </c>
      <c r="G141" s="6">
        <v>0</v>
      </c>
    </row>
    <row r="142" spans="1:7" x14ac:dyDescent="0.25">
      <c r="A142" s="1">
        <f t="shared" ca="1" si="2"/>
        <v>7439</v>
      </c>
      <c r="B142" s="36">
        <v>7575</v>
      </c>
      <c r="C142" s="37">
        <v>7550</v>
      </c>
      <c r="D142" s="38">
        <v>290</v>
      </c>
      <c r="E142" s="39">
        <v>270</v>
      </c>
      <c r="F142" s="5">
        <v>0</v>
      </c>
      <c r="G142" s="6">
        <v>0</v>
      </c>
    </row>
    <row r="143" spans="1:7" x14ac:dyDescent="0.25">
      <c r="A143" s="1">
        <f t="shared" ca="1" si="2"/>
        <v>7440</v>
      </c>
      <c r="B143" s="36">
        <v>7560</v>
      </c>
      <c r="C143" s="37">
        <v>7545</v>
      </c>
      <c r="D143" s="38">
        <v>280</v>
      </c>
      <c r="E143" s="39">
        <v>260</v>
      </c>
      <c r="F143" s="5">
        <v>0</v>
      </c>
      <c r="G143" s="6">
        <v>0</v>
      </c>
    </row>
    <row r="144" spans="1:7" x14ac:dyDescent="0.25">
      <c r="A144" s="1">
        <f t="shared" ca="1" si="2"/>
        <v>7441</v>
      </c>
      <c r="B144" s="36">
        <v>7565</v>
      </c>
      <c r="C144" s="37">
        <v>7550</v>
      </c>
      <c r="D144" s="38">
        <v>280</v>
      </c>
      <c r="E144" s="39">
        <v>260</v>
      </c>
      <c r="F144" s="5">
        <v>0</v>
      </c>
      <c r="G144" s="6">
        <v>0</v>
      </c>
    </row>
    <row r="145" spans="1:7" x14ac:dyDescent="0.25">
      <c r="A145" s="1">
        <f t="shared" ca="1" si="2"/>
        <v>7442</v>
      </c>
      <c r="B145" s="36">
        <v>7565</v>
      </c>
      <c r="C145" s="37">
        <v>7550</v>
      </c>
      <c r="D145" s="38">
        <v>280</v>
      </c>
      <c r="E145" s="39">
        <v>260</v>
      </c>
      <c r="F145" s="5">
        <v>0</v>
      </c>
      <c r="G145" s="6">
        <v>0</v>
      </c>
    </row>
    <row r="146" spans="1:7" x14ac:dyDescent="0.25">
      <c r="A146" s="1">
        <f t="shared" ca="1" si="2"/>
        <v>7443</v>
      </c>
      <c r="B146" s="36">
        <v>7565</v>
      </c>
      <c r="C146" s="37">
        <v>7540</v>
      </c>
      <c r="D146" s="38">
        <v>285</v>
      </c>
      <c r="E146" s="39">
        <v>280</v>
      </c>
      <c r="F146" s="5">
        <v>0</v>
      </c>
      <c r="G146" s="6">
        <v>0</v>
      </c>
    </row>
    <row r="147" spans="1:7" x14ac:dyDescent="0.25">
      <c r="A147" s="1">
        <f t="shared" ca="1" si="2"/>
        <v>7444</v>
      </c>
      <c r="B147" s="36">
        <v>7560</v>
      </c>
      <c r="C147" s="37">
        <v>7550</v>
      </c>
      <c r="D147" s="38">
        <v>290</v>
      </c>
      <c r="E147" s="39">
        <v>280</v>
      </c>
      <c r="F147" s="5">
        <v>0</v>
      </c>
      <c r="G147" s="6">
        <v>0</v>
      </c>
    </row>
    <row r="148" spans="1:7" x14ac:dyDescent="0.25">
      <c r="A148" s="1">
        <f t="shared" ca="1" si="2"/>
        <v>7445</v>
      </c>
      <c r="B148" s="36">
        <v>7565</v>
      </c>
      <c r="C148" s="37">
        <v>7550</v>
      </c>
      <c r="D148" s="38">
        <v>295</v>
      </c>
      <c r="E148" s="39">
        <v>290</v>
      </c>
      <c r="F148" s="5">
        <v>0</v>
      </c>
      <c r="G148" s="6">
        <v>90</v>
      </c>
    </row>
    <row r="149" spans="1:7" x14ac:dyDescent="0.25">
      <c r="A149" s="1">
        <f t="shared" ca="1" si="2"/>
        <v>7446</v>
      </c>
      <c r="B149" s="36">
        <v>7560</v>
      </c>
      <c r="C149" s="37">
        <v>7550</v>
      </c>
      <c r="D149" s="38">
        <v>295</v>
      </c>
      <c r="E149" s="39">
        <v>280</v>
      </c>
      <c r="F149" s="5">
        <v>69</v>
      </c>
      <c r="G149" s="6">
        <v>0</v>
      </c>
    </row>
    <row r="150" spans="1:7" x14ac:dyDescent="0.25">
      <c r="A150" s="1">
        <f t="shared" ca="1" si="2"/>
        <v>7447</v>
      </c>
      <c r="B150" s="36">
        <v>7565</v>
      </c>
      <c r="C150" s="37">
        <v>7565</v>
      </c>
      <c r="D150" s="38">
        <v>295</v>
      </c>
      <c r="E150" s="39">
        <v>280</v>
      </c>
      <c r="F150" s="5">
        <v>0</v>
      </c>
      <c r="G150" s="6">
        <v>0</v>
      </c>
    </row>
    <row r="151" spans="1:7" x14ac:dyDescent="0.25">
      <c r="A151" s="1">
        <f t="shared" ca="1" si="2"/>
        <v>7448</v>
      </c>
      <c r="B151" s="36">
        <v>7560</v>
      </c>
      <c r="C151" s="37">
        <v>7540</v>
      </c>
      <c r="D151" s="38">
        <v>290</v>
      </c>
      <c r="E151" s="39">
        <v>280</v>
      </c>
      <c r="F151" s="5">
        <v>0</v>
      </c>
      <c r="G151" s="6">
        <v>0</v>
      </c>
    </row>
    <row r="152" spans="1:7" x14ac:dyDescent="0.25">
      <c r="A152" s="1">
        <f t="shared" ca="1" si="2"/>
        <v>7449</v>
      </c>
      <c r="B152" s="36">
        <v>7560</v>
      </c>
      <c r="C152" s="37">
        <v>7540</v>
      </c>
      <c r="D152" s="38">
        <v>290</v>
      </c>
      <c r="E152" s="39">
        <v>280</v>
      </c>
      <c r="F152" s="5">
        <v>0</v>
      </c>
      <c r="G152" s="6">
        <v>0</v>
      </c>
    </row>
    <row r="153" spans="1:7" x14ac:dyDescent="0.25">
      <c r="A153" s="1">
        <f t="shared" ca="1" si="2"/>
        <v>7450</v>
      </c>
      <c r="B153" s="36">
        <v>7560</v>
      </c>
      <c r="C153" s="37">
        <v>7540</v>
      </c>
      <c r="D153" s="38">
        <v>290</v>
      </c>
      <c r="E153" s="39">
        <v>280</v>
      </c>
      <c r="F153" s="5">
        <v>0</v>
      </c>
      <c r="G153" s="6">
        <v>0</v>
      </c>
    </row>
    <row r="154" spans="1:7" x14ac:dyDescent="0.25">
      <c r="A154" s="1">
        <f t="shared" ca="1" si="2"/>
        <v>7451</v>
      </c>
      <c r="B154" s="36">
        <v>7565</v>
      </c>
      <c r="C154" s="37">
        <v>7540</v>
      </c>
      <c r="D154" s="38">
        <v>295</v>
      </c>
      <c r="E154" s="39">
        <v>280</v>
      </c>
      <c r="F154" s="5">
        <v>0</v>
      </c>
      <c r="G154" s="6">
        <v>80</v>
      </c>
    </row>
    <row r="155" spans="1:7" x14ac:dyDescent="0.25">
      <c r="A155" s="1">
        <f t="shared" ca="1" si="2"/>
        <v>7452</v>
      </c>
      <c r="B155" s="36">
        <v>7560</v>
      </c>
      <c r="C155" s="37">
        <v>7535</v>
      </c>
      <c r="D155" s="38">
        <v>305</v>
      </c>
      <c r="E155" s="39">
        <v>290</v>
      </c>
      <c r="F155" s="5">
        <v>98</v>
      </c>
      <c r="G155" s="6">
        <v>0</v>
      </c>
    </row>
    <row r="156" spans="1:7" x14ac:dyDescent="0.25">
      <c r="A156" s="1">
        <f t="shared" ca="1" si="2"/>
        <v>7453</v>
      </c>
      <c r="B156" s="36">
        <v>7550</v>
      </c>
      <c r="C156" s="37">
        <v>7530</v>
      </c>
      <c r="D156" s="38">
        <v>310</v>
      </c>
      <c r="E156" s="39">
        <v>290</v>
      </c>
      <c r="F156" s="5">
        <v>0</v>
      </c>
      <c r="G156" s="6">
        <v>0</v>
      </c>
    </row>
    <row r="157" spans="1:7" x14ac:dyDescent="0.25">
      <c r="A157" s="1">
        <f t="shared" ca="1" si="2"/>
        <v>7454</v>
      </c>
      <c r="B157" s="36">
        <v>7555</v>
      </c>
      <c r="C157" s="37">
        <v>7520</v>
      </c>
      <c r="D157" s="38">
        <v>300</v>
      </c>
      <c r="E157" s="39">
        <v>280</v>
      </c>
      <c r="F157" s="5">
        <v>0</v>
      </c>
      <c r="G157" s="6">
        <v>0</v>
      </c>
    </row>
    <row r="158" spans="1:7" x14ac:dyDescent="0.25">
      <c r="A158" s="1">
        <f t="shared" ca="1" si="2"/>
        <v>7455</v>
      </c>
      <c r="B158" s="36">
        <v>7550</v>
      </c>
      <c r="C158" s="37">
        <v>7530</v>
      </c>
      <c r="D158" s="38">
        <v>310</v>
      </c>
      <c r="E158" s="39">
        <v>300</v>
      </c>
      <c r="F158" s="5">
        <v>0</v>
      </c>
      <c r="G158" s="6">
        <v>0</v>
      </c>
    </row>
    <row r="159" spans="1:7" x14ac:dyDescent="0.25">
      <c r="A159" s="1">
        <f t="shared" ca="1" si="2"/>
        <v>7456</v>
      </c>
      <c r="B159" s="36">
        <v>7550</v>
      </c>
      <c r="C159" s="37">
        <v>7530</v>
      </c>
      <c r="D159" s="38">
        <v>310</v>
      </c>
      <c r="E159" s="39">
        <v>300</v>
      </c>
      <c r="F159" s="5">
        <v>0</v>
      </c>
      <c r="G159" s="6">
        <v>0</v>
      </c>
    </row>
    <row r="160" spans="1:7" x14ac:dyDescent="0.25">
      <c r="A160" s="1">
        <f t="shared" ca="1" si="2"/>
        <v>7457</v>
      </c>
      <c r="B160" s="36">
        <v>7560</v>
      </c>
      <c r="C160" s="37">
        <v>7545</v>
      </c>
      <c r="D160" s="38">
        <v>300</v>
      </c>
      <c r="E160" s="39">
        <v>290</v>
      </c>
      <c r="F160" s="5">
        <v>0</v>
      </c>
      <c r="G160" s="6">
        <v>0</v>
      </c>
    </row>
    <row r="161" spans="1:7" x14ac:dyDescent="0.25">
      <c r="A161" s="1" t="str">
        <f t="shared" ca="1" si="2"/>
        <v>Totaal</v>
      </c>
      <c r="B161" s="21">
        <f>IF(COUNT(B130:B160)&gt;0,AVERAGE(B130:B160)/10,"")</f>
        <v>756.56451612903231</v>
      </c>
      <c r="C161" s="22">
        <f>IF(COUNT(C130:C160)&gt;0,AVERAGE(C130:C160)/10,"")</f>
        <v>754.66129032258073</v>
      </c>
      <c r="D161" s="23">
        <f>IF(COUNT(D130:D160)&gt;0,AVERAGE(D130:D160)/10,"")</f>
        <v>29.274193548387096</v>
      </c>
      <c r="E161" s="24">
        <f>IF(COUNT(E130:E160)&gt;0,AVERAGE(E130:E160)/10,"")</f>
        <v>28.032258064516128</v>
      </c>
      <c r="F161" s="25">
        <f>SUM(F130:F160)/10</f>
        <v>16.7</v>
      </c>
      <c r="G161" s="26">
        <f>SUM(G130:G160)/10</f>
        <v>17</v>
      </c>
    </row>
    <row r="162" spans="1:7" x14ac:dyDescent="0.25">
      <c r="A162" s="1">
        <f t="shared" ca="1" si="2"/>
        <v>7458</v>
      </c>
      <c r="B162" s="36">
        <v>7560</v>
      </c>
      <c r="C162" s="37">
        <v>7545</v>
      </c>
      <c r="D162" s="38">
        <v>290</v>
      </c>
      <c r="E162" s="39">
        <v>280</v>
      </c>
      <c r="F162" s="5">
        <v>0</v>
      </c>
      <c r="G162" s="6">
        <v>0</v>
      </c>
    </row>
    <row r="163" spans="1:7" x14ac:dyDescent="0.25">
      <c r="A163" s="1">
        <f t="shared" ca="1" si="2"/>
        <v>7459</v>
      </c>
      <c r="B163" s="36">
        <v>7570</v>
      </c>
      <c r="C163" s="37">
        <v>7545</v>
      </c>
      <c r="D163" s="38">
        <v>290</v>
      </c>
      <c r="E163" s="39">
        <v>280</v>
      </c>
      <c r="F163" s="5">
        <v>0</v>
      </c>
      <c r="G163" s="6">
        <v>0</v>
      </c>
    </row>
    <row r="164" spans="1:7" x14ac:dyDescent="0.25">
      <c r="A164" s="1">
        <f t="shared" ca="1" si="2"/>
        <v>7460</v>
      </c>
      <c r="B164" s="36">
        <v>7565</v>
      </c>
      <c r="C164" s="37">
        <v>7550</v>
      </c>
      <c r="D164" s="38">
        <v>290</v>
      </c>
      <c r="E164" s="39">
        <v>285</v>
      </c>
      <c r="F164" s="5">
        <v>0</v>
      </c>
      <c r="G164" s="6">
        <v>0</v>
      </c>
    </row>
    <row r="165" spans="1:7" x14ac:dyDescent="0.25">
      <c r="A165" s="1">
        <f t="shared" ca="1" si="2"/>
        <v>7461</v>
      </c>
      <c r="B165" s="36">
        <v>7570</v>
      </c>
      <c r="C165" s="37">
        <v>7550</v>
      </c>
      <c r="D165" s="38">
        <v>290</v>
      </c>
      <c r="E165" s="39">
        <v>280</v>
      </c>
      <c r="F165" s="5">
        <v>0</v>
      </c>
      <c r="G165" s="6">
        <v>0</v>
      </c>
    </row>
    <row r="166" spans="1:7" x14ac:dyDescent="0.25">
      <c r="A166" s="1">
        <f t="shared" ca="1" si="2"/>
        <v>7462</v>
      </c>
      <c r="B166" s="36">
        <v>7595</v>
      </c>
      <c r="C166" s="37">
        <v>7565</v>
      </c>
      <c r="D166" s="38">
        <v>290</v>
      </c>
      <c r="E166" s="39">
        <v>280</v>
      </c>
      <c r="F166" s="5">
        <v>0</v>
      </c>
      <c r="G166" s="6">
        <v>0</v>
      </c>
    </row>
    <row r="167" spans="1:7" x14ac:dyDescent="0.25">
      <c r="A167" s="1">
        <f t="shared" ca="1" si="2"/>
        <v>7463</v>
      </c>
      <c r="B167" s="36">
        <v>7595</v>
      </c>
      <c r="C167" s="37">
        <v>7565</v>
      </c>
      <c r="D167" s="38">
        <v>290</v>
      </c>
      <c r="E167" s="39">
        <v>280</v>
      </c>
      <c r="F167" s="5">
        <v>0</v>
      </c>
      <c r="G167" s="6">
        <v>0</v>
      </c>
    </row>
    <row r="168" spans="1:7" x14ac:dyDescent="0.25">
      <c r="A168" s="1">
        <f t="shared" ca="1" si="2"/>
        <v>7464</v>
      </c>
      <c r="B168" s="36">
        <v>7595</v>
      </c>
      <c r="C168" s="37">
        <v>7565</v>
      </c>
      <c r="D168" s="38">
        <v>295</v>
      </c>
      <c r="E168" s="39">
        <v>290</v>
      </c>
      <c r="F168" s="5">
        <v>0</v>
      </c>
      <c r="G168" s="6">
        <v>0</v>
      </c>
    </row>
    <row r="169" spans="1:7" x14ac:dyDescent="0.25">
      <c r="A169" s="1">
        <f t="shared" ca="1" si="2"/>
        <v>7465</v>
      </c>
      <c r="B169" s="36">
        <v>7565</v>
      </c>
      <c r="C169" s="37">
        <v>7545</v>
      </c>
      <c r="D169" s="38">
        <v>300</v>
      </c>
      <c r="E169" s="39">
        <v>290</v>
      </c>
      <c r="F169" s="5">
        <v>0</v>
      </c>
      <c r="G169" s="6">
        <v>0</v>
      </c>
    </row>
    <row r="170" spans="1:7" x14ac:dyDescent="0.25">
      <c r="A170" s="1">
        <f t="shared" ca="1" si="2"/>
        <v>7466</v>
      </c>
      <c r="B170" s="36">
        <v>7550</v>
      </c>
      <c r="C170" s="37">
        <v>7545</v>
      </c>
      <c r="D170" s="38">
        <v>300</v>
      </c>
      <c r="E170" s="39">
        <v>280</v>
      </c>
      <c r="F170" s="5">
        <v>0</v>
      </c>
      <c r="G170" s="6">
        <v>0</v>
      </c>
    </row>
    <row r="171" spans="1:7" x14ac:dyDescent="0.25">
      <c r="A171" s="1">
        <f t="shared" ca="1" si="2"/>
        <v>7467</v>
      </c>
      <c r="B171" s="36">
        <v>7550</v>
      </c>
      <c r="C171" s="37">
        <v>7535</v>
      </c>
      <c r="D171" s="38">
        <v>300</v>
      </c>
      <c r="E171" s="39">
        <v>290</v>
      </c>
      <c r="F171" s="5">
        <v>0</v>
      </c>
      <c r="G171" s="6">
        <v>0</v>
      </c>
    </row>
    <row r="172" spans="1:7" x14ac:dyDescent="0.25">
      <c r="A172" s="1">
        <f t="shared" ca="1" si="2"/>
        <v>7468</v>
      </c>
      <c r="B172" s="36">
        <v>7550</v>
      </c>
      <c r="C172" s="37">
        <v>7545</v>
      </c>
      <c r="D172" s="38">
        <v>300</v>
      </c>
      <c r="E172" s="39">
        <v>300</v>
      </c>
      <c r="F172" s="5">
        <v>0</v>
      </c>
      <c r="G172" s="6">
        <v>0</v>
      </c>
    </row>
    <row r="173" spans="1:7" x14ac:dyDescent="0.25">
      <c r="A173" s="1">
        <f t="shared" ca="1" si="2"/>
        <v>7469</v>
      </c>
      <c r="B173" s="36">
        <v>7565</v>
      </c>
      <c r="C173" s="37">
        <v>7550</v>
      </c>
      <c r="D173" s="38">
        <v>300</v>
      </c>
      <c r="E173" s="39">
        <v>290</v>
      </c>
      <c r="F173" s="5">
        <v>0</v>
      </c>
      <c r="G173" s="6">
        <v>0</v>
      </c>
    </row>
    <row r="174" spans="1:7" x14ac:dyDescent="0.25">
      <c r="A174" s="1">
        <f t="shared" ca="1" si="2"/>
        <v>7470</v>
      </c>
      <c r="B174" s="36">
        <v>7565</v>
      </c>
      <c r="C174" s="37">
        <v>7550</v>
      </c>
      <c r="D174" s="38">
        <v>300</v>
      </c>
      <c r="E174" s="39">
        <v>290</v>
      </c>
      <c r="F174" s="5">
        <v>0</v>
      </c>
      <c r="G174" s="6">
        <v>0</v>
      </c>
    </row>
    <row r="175" spans="1:7" x14ac:dyDescent="0.25">
      <c r="A175" s="1">
        <f t="shared" ca="1" si="2"/>
        <v>7471</v>
      </c>
      <c r="B175" s="36">
        <v>7570</v>
      </c>
      <c r="C175" s="37">
        <v>7550</v>
      </c>
      <c r="D175" s="38">
        <v>290</v>
      </c>
      <c r="E175" s="39">
        <v>280</v>
      </c>
      <c r="F175" s="5">
        <v>0</v>
      </c>
      <c r="G175" s="6">
        <v>0</v>
      </c>
    </row>
    <row r="176" spans="1:7" x14ac:dyDescent="0.25">
      <c r="A176" s="1">
        <f t="shared" ca="1" si="2"/>
        <v>7472</v>
      </c>
      <c r="B176" s="36">
        <v>7560</v>
      </c>
      <c r="C176" s="37">
        <v>7550</v>
      </c>
      <c r="D176" s="38">
        <v>290</v>
      </c>
      <c r="E176" s="39">
        <v>285</v>
      </c>
      <c r="F176" s="5">
        <v>0</v>
      </c>
      <c r="G176" s="6">
        <v>0</v>
      </c>
    </row>
    <row r="177" spans="1:7" x14ac:dyDescent="0.25">
      <c r="A177" s="1">
        <f t="shared" ca="1" si="2"/>
        <v>7473</v>
      </c>
      <c r="B177" s="36">
        <v>7560</v>
      </c>
      <c r="C177" s="37">
        <v>7540</v>
      </c>
      <c r="D177" s="38">
        <v>295</v>
      </c>
      <c r="E177" s="39">
        <v>290</v>
      </c>
      <c r="F177" s="5">
        <v>0</v>
      </c>
      <c r="G177" s="6">
        <v>0</v>
      </c>
    </row>
    <row r="178" spans="1:7" x14ac:dyDescent="0.25">
      <c r="A178" s="1">
        <f t="shared" ca="1" si="2"/>
        <v>7474</v>
      </c>
      <c r="B178" s="36">
        <v>7565</v>
      </c>
      <c r="C178" s="37">
        <v>7550</v>
      </c>
      <c r="D178" s="38">
        <v>300</v>
      </c>
      <c r="E178" s="39">
        <v>295</v>
      </c>
      <c r="F178" s="5">
        <v>0</v>
      </c>
      <c r="G178" s="6">
        <v>0</v>
      </c>
    </row>
    <row r="179" spans="1:7" x14ac:dyDescent="0.25">
      <c r="A179" s="1">
        <f t="shared" ca="1" si="2"/>
        <v>7475</v>
      </c>
      <c r="B179" s="36">
        <v>7575</v>
      </c>
      <c r="C179" s="37">
        <v>7550</v>
      </c>
      <c r="D179" s="38">
        <v>300</v>
      </c>
      <c r="E179" s="39">
        <v>290</v>
      </c>
      <c r="F179" s="5">
        <v>0</v>
      </c>
      <c r="G179" s="6">
        <v>0</v>
      </c>
    </row>
    <row r="180" spans="1:7" x14ac:dyDescent="0.25">
      <c r="A180" s="1">
        <f t="shared" ca="1" si="2"/>
        <v>7476</v>
      </c>
      <c r="B180" s="36">
        <v>7575</v>
      </c>
      <c r="C180" s="37">
        <v>7550</v>
      </c>
      <c r="D180" s="38">
        <v>295</v>
      </c>
      <c r="E180" s="39">
        <v>280</v>
      </c>
      <c r="F180" s="5">
        <v>0</v>
      </c>
      <c r="G180" s="6">
        <v>0</v>
      </c>
    </row>
    <row r="181" spans="1:7" x14ac:dyDescent="0.25">
      <c r="A181" s="1">
        <f t="shared" ca="1" si="2"/>
        <v>7477</v>
      </c>
      <c r="B181" s="36">
        <v>7575</v>
      </c>
      <c r="C181" s="37">
        <v>7550</v>
      </c>
      <c r="D181" s="38">
        <v>295</v>
      </c>
      <c r="E181" s="39">
        <v>280</v>
      </c>
      <c r="F181" s="5">
        <v>0</v>
      </c>
      <c r="G181" s="6">
        <v>0</v>
      </c>
    </row>
    <row r="182" spans="1:7" x14ac:dyDescent="0.25">
      <c r="A182" s="1">
        <f t="shared" ca="1" si="2"/>
        <v>7478</v>
      </c>
      <c r="B182" s="36">
        <v>7575</v>
      </c>
      <c r="C182" s="37">
        <v>7560</v>
      </c>
      <c r="D182" s="38">
        <v>280</v>
      </c>
      <c r="E182" s="39">
        <v>270</v>
      </c>
      <c r="F182" s="5">
        <v>35</v>
      </c>
      <c r="G182" s="6">
        <v>0</v>
      </c>
    </row>
    <row r="183" spans="1:7" x14ac:dyDescent="0.25">
      <c r="A183" s="1">
        <f t="shared" ca="1" si="2"/>
        <v>7479</v>
      </c>
      <c r="B183" s="36">
        <v>7565</v>
      </c>
      <c r="C183" s="37">
        <v>7550</v>
      </c>
      <c r="D183" s="38">
        <v>280</v>
      </c>
      <c r="E183" s="39">
        <v>250</v>
      </c>
      <c r="F183" s="5">
        <v>0</v>
      </c>
      <c r="G183" s="6">
        <v>0</v>
      </c>
    </row>
    <row r="184" spans="1:7" x14ac:dyDescent="0.25">
      <c r="A184" s="1">
        <f t="shared" ca="1" si="2"/>
        <v>7480</v>
      </c>
      <c r="B184" s="36">
        <v>7595</v>
      </c>
      <c r="C184" s="37">
        <v>7565</v>
      </c>
      <c r="D184" s="38">
        <v>290</v>
      </c>
      <c r="E184" s="39">
        <v>270</v>
      </c>
      <c r="F184" s="5">
        <v>39</v>
      </c>
      <c r="G184" s="6">
        <v>0</v>
      </c>
    </row>
    <row r="185" spans="1:7" x14ac:dyDescent="0.25">
      <c r="A185" s="1">
        <f t="shared" ca="1" si="2"/>
        <v>7481</v>
      </c>
      <c r="B185" s="36">
        <v>7570</v>
      </c>
      <c r="C185" s="37">
        <v>7560</v>
      </c>
      <c r="D185" s="38">
        <v>300</v>
      </c>
      <c r="E185" s="39">
        <v>280</v>
      </c>
      <c r="F185" s="5">
        <v>0</v>
      </c>
      <c r="G185" s="6">
        <v>0</v>
      </c>
    </row>
    <row r="186" spans="1:7" x14ac:dyDescent="0.25">
      <c r="A186" s="1">
        <f t="shared" ca="1" si="2"/>
        <v>7482</v>
      </c>
      <c r="B186" s="36">
        <v>7570</v>
      </c>
      <c r="C186" s="37">
        <v>7550</v>
      </c>
      <c r="D186" s="38">
        <v>290</v>
      </c>
      <c r="E186" s="39">
        <v>290</v>
      </c>
      <c r="F186" s="5">
        <v>0</v>
      </c>
      <c r="G186" s="6">
        <v>0</v>
      </c>
    </row>
    <row r="187" spans="1:7" x14ac:dyDescent="0.25">
      <c r="A187" s="1">
        <f t="shared" ca="1" si="2"/>
        <v>7483</v>
      </c>
      <c r="B187" s="36">
        <v>7560</v>
      </c>
      <c r="C187" s="37">
        <v>7560</v>
      </c>
      <c r="D187" s="38">
        <v>300</v>
      </c>
      <c r="E187" s="39">
        <v>290</v>
      </c>
      <c r="F187" s="5">
        <v>0</v>
      </c>
      <c r="G187" s="6">
        <v>0</v>
      </c>
    </row>
    <row r="188" spans="1:7" x14ac:dyDescent="0.25">
      <c r="A188" s="1">
        <f t="shared" ca="1" si="2"/>
        <v>7484</v>
      </c>
      <c r="B188" s="36">
        <v>7560</v>
      </c>
      <c r="C188" s="37">
        <v>7560</v>
      </c>
      <c r="D188" s="38">
        <v>300</v>
      </c>
      <c r="E188" s="39">
        <v>290</v>
      </c>
      <c r="F188" s="5">
        <v>0</v>
      </c>
      <c r="G188" s="6">
        <v>0</v>
      </c>
    </row>
    <row r="189" spans="1:7" x14ac:dyDescent="0.25">
      <c r="A189" s="1">
        <f t="shared" ca="1" si="2"/>
        <v>7485</v>
      </c>
      <c r="B189" s="36">
        <v>7550</v>
      </c>
      <c r="C189" s="37">
        <v>7550</v>
      </c>
      <c r="D189" s="38">
        <v>290</v>
      </c>
      <c r="E189" s="39">
        <v>280</v>
      </c>
      <c r="F189" s="5">
        <v>0</v>
      </c>
      <c r="G189" s="6">
        <v>0</v>
      </c>
    </row>
    <row r="190" spans="1:7" x14ac:dyDescent="0.25">
      <c r="A190" s="1">
        <f t="shared" ca="1" si="2"/>
        <v>7486</v>
      </c>
      <c r="B190" s="36">
        <v>7555</v>
      </c>
      <c r="C190" s="37">
        <v>7555</v>
      </c>
      <c r="D190" s="38">
        <v>290</v>
      </c>
      <c r="E190" s="39">
        <v>280</v>
      </c>
      <c r="F190" s="5">
        <v>0</v>
      </c>
      <c r="G190" s="6">
        <v>0</v>
      </c>
    </row>
    <row r="191" spans="1:7" x14ac:dyDescent="0.25">
      <c r="A191" s="1">
        <f t="shared" ca="1" si="2"/>
        <v>7487</v>
      </c>
      <c r="B191" s="36">
        <v>7560</v>
      </c>
      <c r="C191" s="37">
        <v>7560</v>
      </c>
      <c r="D191" s="38">
        <v>290</v>
      </c>
      <c r="E191" s="39">
        <v>280</v>
      </c>
      <c r="F191" s="5">
        <v>0</v>
      </c>
      <c r="G191" s="6">
        <v>0</v>
      </c>
    </row>
    <row r="192" spans="1:7" x14ac:dyDescent="0.25">
      <c r="A192" s="1" t="str">
        <f t="shared" ca="1" si="2"/>
        <v>Totaal</v>
      </c>
      <c r="B192" s="21">
        <f>IF(COUNT(B162:B191)&gt;0,AVERAGE(B162:B191)/10,"")</f>
        <v>756.7833333333333</v>
      </c>
      <c r="C192" s="22">
        <f>IF(COUNT(C162:C191)&gt;0,AVERAGE(C162:C191)/10,"")</f>
        <v>755.2166666666667</v>
      </c>
      <c r="D192" s="23">
        <f>IF(COUNT(D162:D191)&gt;0,AVERAGE(D162:D191)/10,"")</f>
        <v>29.366666666666667</v>
      </c>
      <c r="E192" s="24">
        <f>IF(COUNT(E162:E191)&gt;0,AVERAGE(E162:E191)/10,"")</f>
        <v>28.31666666666667</v>
      </c>
      <c r="F192" s="25">
        <f>SUM(F162:F191)/10</f>
        <v>7.4</v>
      </c>
      <c r="G192" s="26">
        <f>SUM(G162:G191)/10</f>
        <v>0</v>
      </c>
    </row>
    <row r="193" spans="1:7" x14ac:dyDescent="0.25">
      <c r="A193" s="1">
        <f t="shared" ca="1" si="2"/>
        <v>7488</v>
      </c>
      <c r="B193" s="36">
        <v>7585</v>
      </c>
      <c r="C193" s="37">
        <v>7560</v>
      </c>
      <c r="D193" s="38">
        <v>300</v>
      </c>
      <c r="E193" s="39">
        <v>290</v>
      </c>
      <c r="F193" s="5">
        <v>0</v>
      </c>
      <c r="G193" s="6">
        <v>0</v>
      </c>
    </row>
    <row r="194" spans="1:7" x14ac:dyDescent="0.25">
      <c r="A194" s="1">
        <f t="shared" ca="1" si="2"/>
        <v>7489</v>
      </c>
      <c r="B194" s="36">
        <v>7590</v>
      </c>
      <c r="C194" s="37">
        <v>7570</v>
      </c>
      <c r="D194" s="38">
        <v>290</v>
      </c>
      <c r="E194" s="39">
        <v>280</v>
      </c>
      <c r="F194" s="5">
        <v>0</v>
      </c>
      <c r="G194" s="6">
        <v>0</v>
      </c>
    </row>
    <row r="195" spans="1:7" x14ac:dyDescent="0.25">
      <c r="A195" s="1">
        <f t="shared" ca="1" si="2"/>
        <v>7490</v>
      </c>
      <c r="B195" s="36">
        <v>7585</v>
      </c>
      <c r="C195" s="37">
        <v>7565</v>
      </c>
      <c r="D195" s="38">
        <v>295</v>
      </c>
      <c r="E195" s="39">
        <v>270</v>
      </c>
      <c r="F195" s="5">
        <v>0</v>
      </c>
      <c r="G195" s="6">
        <v>0</v>
      </c>
    </row>
    <row r="196" spans="1:7" x14ac:dyDescent="0.25">
      <c r="A196" s="1">
        <f t="shared" ca="1" si="2"/>
        <v>7491</v>
      </c>
      <c r="B196" s="36">
        <v>7580</v>
      </c>
      <c r="C196" s="37">
        <v>7580</v>
      </c>
      <c r="D196" s="38">
        <v>290</v>
      </c>
      <c r="E196" s="39">
        <v>280</v>
      </c>
      <c r="F196" s="5">
        <v>0</v>
      </c>
      <c r="G196" s="6">
        <v>0</v>
      </c>
    </row>
    <row r="197" spans="1:7" x14ac:dyDescent="0.25">
      <c r="A197" s="1">
        <f t="shared" ca="1" si="2"/>
        <v>7492</v>
      </c>
      <c r="B197" s="36">
        <v>7590</v>
      </c>
      <c r="C197" s="37">
        <v>7570</v>
      </c>
      <c r="D197" s="38">
        <v>280</v>
      </c>
      <c r="E197" s="39">
        <v>280</v>
      </c>
      <c r="F197" s="5">
        <v>0</v>
      </c>
      <c r="G197" s="6">
        <v>0</v>
      </c>
    </row>
    <row r="198" spans="1:7" x14ac:dyDescent="0.25">
      <c r="A198" s="1">
        <f t="shared" ca="1" si="2"/>
        <v>7493</v>
      </c>
      <c r="B198" s="36">
        <v>7580</v>
      </c>
      <c r="C198" s="37">
        <v>7570</v>
      </c>
      <c r="D198" s="38">
        <v>290</v>
      </c>
      <c r="E198" s="39">
        <v>280</v>
      </c>
      <c r="F198" s="5">
        <v>0</v>
      </c>
      <c r="G198" s="6">
        <v>0</v>
      </c>
    </row>
    <row r="199" spans="1:7" x14ac:dyDescent="0.25">
      <c r="A199" s="1">
        <f t="shared" ref="A199:A262" ca="1" si="3">IF(ISTEXT(A198),A197+1,IF(MONTH(A198+1)=MONTH(A198),A198+1,"Totaal"))</f>
        <v>7494</v>
      </c>
      <c r="B199" s="36">
        <v>7570</v>
      </c>
      <c r="C199" s="37">
        <v>7560</v>
      </c>
      <c r="D199" s="38">
        <v>290</v>
      </c>
      <c r="E199" s="39">
        <v>270</v>
      </c>
      <c r="F199" s="5">
        <v>0</v>
      </c>
      <c r="G199" s="6">
        <v>0</v>
      </c>
    </row>
    <row r="200" spans="1:7" x14ac:dyDescent="0.25">
      <c r="A200" s="1">
        <f t="shared" ca="1" si="3"/>
        <v>7495</v>
      </c>
      <c r="B200" s="36">
        <v>7580</v>
      </c>
      <c r="C200" s="37">
        <v>7560</v>
      </c>
      <c r="D200" s="38">
        <v>295</v>
      </c>
      <c r="E200" s="39">
        <v>280</v>
      </c>
      <c r="F200" s="5">
        <v>0</v>
      </c>
      <c r="G200" s="6">
        <v>0</v>
      </c>
    </row>
    <row r="201" spans="1:7" x14ac:dyDescent="0.25">
      <c r="A201" s="1">
        <f t="shared" ca="1" si="3"/>
        <v>7496</v>
      </c>
      <c r="B201" s="36">
        <v>7590</v>
      </c>
      <c r="C201" s="37">
        <v>7560</v>
      </c>
      <c r="D201" s="38">
        <v>290</v>
      </c>
      <c r="E201" s="39">
        <v>285</v>
      </c>
      <c r="F201" s="5">
        <v>0</v>
      </c>
      <c r="G201" s="6">
        <v>0</v>
      </c>
    </row>
    <row r="202" spans="1:7" x14ac:dyDescent="0.25">
      <c r="A202" s="1">
        <f t="shared" ca="1" si="3"/>
        <v>7497</v>
      </c>
      <c r="B202" s="36">
        <v>7570</v>
      </c>
      <c r="C202" s="37">
        <v>7550</v>
      </c>
      <c r="D202" s="38">
        <v>300</v>
      </c>
      <c r="E202" s="39">
        <v>285</v>
      </c>
      <c r="F202" s="5">
        <v>0</v>
      </c>
      <c r="G202" s="6">
        <v>0</v>
      </c>
    </row>
    <row r="203" spans="1:7" x14ac:dyDescent="0.25">
      <c r="A203" s="1">
        <f t="shared" ca="1" si="3"/>
        <v>7498</v>
      </c>
      <c r="B203" s="36">
        <v>7570</v>
      </c>
      <c r="C203" s="37">
        <v>7550</v>
      </c>
      <c r="D203" s="38">
        <v>300</v>
      </c>
      <c r="E203" s="39">
        <v>285</v>
      </c>
      <c r="F203" s="5">
        <v>0</v>
      </c>
      <c r="G203" s="6">
        <v>30</v>
      </c>
    </row>
    <row r="204" spans="1:7" x14ac:dyDescent="0.25">
      <c r="A204" s="1">
        <f t="shared" ca="1" si="3"/>
        <v>7499</v>
      </c>
      <c r="B204" s="36">
        <v>7590</v>
      </c>
      <c r="C204" s="37">
        <v>7575</v>
      </c>
      <c r="D204" s="38">
        <v>290</v>
      </c>
      <c r="E204" s="39">
        <v>270</v>
      </c>
      <c r="F204" s="5">
        <v>0</v>
      </c>
      <c r="G204" s="6">
        <v>0</v>
      </c>
    </row>
    <row r="205" spans="1:7" x14ac:dyDescent="0.25">
      <c r="A205" s="1">
        <f t="shared" ca="1" si="3"/>
        <v>7500</v>
      </c>
      <c r="B205" s="36">
        <v>7590</v>
      </c>
      <c r="C205" s="37">
        <v>7575</v>
      </c>
      <c r="D205" s="38">
        <v>290</v>
      </c>
      <c r="E205" s="39">
        <v>270</v>
      </c>
      <c r="F205" s="5">
        <v>170</v>
      </c>
      <c r="G205" s="6">
        <v>80</v>
      </c>
    </row>
    <row r="206" spans="1:7" x14ac:dyDescent="0.25">
      <c r="A206" s="1">
        <f t="shared" ca="1" si="3"/>
        <v>7501</v>
      </c>
      <c r="B206" s="36">
        <v>7590</v>
      </c>
      <c r="C206" s="37">
        <v>7585</v>
      </c>
      <c r="D206" s="38">
        <v>290</v>
      </c>
      <c r="E206" s="39">
        <v>270</v>
      </c>
      <c r="F206" s="5">
        <v>92</v>
      </c>
      <c r="G206" s="6">
        <v>0</v>
      </c>
    </row>
    <row r="207" spans="1:7" x14ac:dyDescent="0.25">
      <c r="A207" s="1">
        <f t="shared" ca="1" si="3"/>
        <v>7502</v>
      </c>
      <c r="B207" s="36">
        <v>7570</v>
      </c>
      <c r="C207" s="37">
        <v>7550</v>
      </c>
      <c r="D207" s="38">
        <v>290</v>
      </c>
      <c r="E207" s="39">
        <v>280</v>
      </c>
      <c r="F207" s="5">
        <v>0</v>
      </c>
      <c r="G207" s="6">
        <v>0</v>
      </c>
    </row>
    <row r="208" spans="1:7" x14ac:dyDescent="0.25">
      <c r="A208" s="1">
        <f t="shared" ca="1" si="3"/>
        <v>7503</v>
      </c>
      <c r="B208" s="36">
        <v>7590</v>
      </c>
      <c r="C208" s="37">
        <v>7575</v>
      </c>
      <c r="D208" s="38">
        <v>300</v>
      </c>
      <c r="E208" s="39">
        <v>290</v>
      </c>
      <c r="F208" s="5">
        <v>0</v>
      </c>
      <c r="G208" s="6">
        <v>0</v>
      </c>
    </row>
    <row r="209" spans="1:7" x14ac:dyDescent="0.25">
      <c r="A209" s="1">
        <f t="shared" ca="1" si="3"/>
        <v>7504</v>
      </c>
      <c r="B209" s="36">
        <v>7590</v>
      </c>
      <c r="C209" s="37">
        <v>7580</v>
      </c>
      <c r="D209" s="38">
        <v>290</v>
      </c>
      <c r="E209" s="39">
        <v>280</v>
      </c>
      <c r="F209" s="5">
        <v>0</v>
      </c>
      <c r="G209" s="6">
        <v>0</v>
      </c>
    </row>
    <row r="210" spans="1:7" x14ac:dyDescent="0.25">
      <c r="A210" s="1">
        <f t="shared" ca="1" si="3"/>
        <v>7505</v>
      </c>
      <c r="B210" s="36">
        <v>7590</v>
      </c>
      <c r="C210" s="37">
        <v>7580</v>
      </c>
      <c r="D210" s="38">
        <v>290</v>
      </c>
      <c r="E210" s="39">
        <v>280</v>
      </c>
      <c r="F210" s="5">
        <v>0</v>
      </c>
      <c r="G210" s="6">
        <v>20</v>
      </c>
    </row>
    <row r="211" spans="1:7" x14ac:dyDescent="0.25">
      <c r="A211" s="1">
        <f t="shared" ca="1" si="3"/>
        <v>7506</v>
      </c>
      <c r="B211" s="36">
        <v>7590</v>
      </c>
      <c r="C211" s="37">
        <v>7570</v>
      </c>
      <c r="D211" s="38">
        <v>290</v>
      </c>
      <c r="E211" s="39">
        <v>280</v>
      </c>
      <c r="F211" s="5">
        <v>0</v>
      </c>
      <c r="G211" s="6">
        <v>0</v>
      </c>
    </row>
    <row r="212" spans="1:7" x14ac:dyDescent="0.25">
      <c r="A212" s="1">
        <f t="shared" ca="1" si="3"/>
        <v>7507</v>
      </c>
      <c r="B212" s="36">
        <v>7580</v>
      </c>
      <c r="C212" s="37">
        <v>7550</v>
      </c>
      <c r="D212" s="38">
        <v>300</v>
      </c>
      <c r="E212" s="39">
        <v>290</v>
      </c>
      <c r="F212" s="5">
        <v>0</v>
      </c>
      <c r="G212" s="6">
        <v>0</v>
      </c>
    </row>
    <row r="213" spans="1:7" x14ac:dyDescent="0.25">
      <c r="A213" s="1">
        <f t="shared" ca="1" si="3"/>
        <v>7508</v>
      </c>
      <c r="B213" s="36">
        <v>7585</v>
      </c>
      <c r="C213" s="37">
        <v>7580</v>
      </c>
      <c r="D213" s="38">
        <v>290</v>
      </c>
      <c r="E213" s="39">
        <v>280</v>
      </c>
      <c r="F213" s="5">
        <v>0</v>
      </c>
      <c r="G213" s="6">
        <v>0</v>
      </c>
    </row>
    <row r="214" spans="1:7" x14ac:dyDescent="0.25">
      <c r="A214" s="1">
        <f t="shared" ca="1" si="3"/>
        <v>7509</v>
      </c>
      <c r="B214" s="36">
        <v>7590</v>
      </c>
      <c r="C214" s="37">
        <v>7575</v>
      </c>
      <c r="D214" s="38">
        <v>300</v>
      </c>
      <c r="E214" s="39">
        <v>290</v>
      </c>
      <c r="F214" s="5">
        <v>0</v>
      </c>
      <c r="G214" s="6">
        <v>60</v>
      </c>
    </row>
    <row r="215" spans="1:7" x14ac:dyDescent="0.25">
      <c r="A215" s="1">
        <f t="shared" ca="1" si="3"/>
        <v>7510</v>
      </c>
      <c r="B215" s="36">
        <v>7580</v>
      </c>
      <c r="C215" s="37">
        <v>7575</v>
      </c>
      <c r="D215" s="38">
        <v>300</v>
      </c>
      <c r="E215" s="39">
        <v>280</v>
      </c>
      <c r="F215" s="5">
        <v>0</v>
      </c>
      <c r="G215" s="6">
        <v>30</v>
      </c>
    </row>
    <row r="216" spans="1:7" x14ac:dyDescent="0.25">
      <c r="A216" s="1">
        <f t="shared" ca="1" si="3"/>
        <v>7511</v>
      </c>
      <c r="B216" s="36">
        <v>7580</v>
      </c>
      <c r="C216" s="37">
        <v>7565</v>
      </c>
      <c r="D216" s="38">
        <v>290</v>
      </c>
      <c r="E216" s="39">
        <v>280</v>
      </c>
      <c r="F216" s="5">
        <v>0</v>
      </c>
      <c r="G216" s="6">
        <v>0</v>
      </c>
    </row>
    <row r="217" spans="1:7" x14ac:dyDescent="0.25">
      <c r="A217" s="1">
        <f t="shared" ca="1" si="3"/>
        <v>7512</v>
      </c>
      <c r="B217" s="36">
        <v>7580</v>
      </c>
      <c r="C217" s="37">
        <v>7565</v>
      </c>
      <c r="D217" s="38">
        <v>300</v>
      </c>
      <c r="E217" s="39">
        <v>280</v>
      </c>
      <c r="F217" s="5">
        <v>0</v>
      </c>
      <c r="G217" s="6">
        <v>0</v>
      </c>
    </row>
    <row r="218" spans="1:7" x14ac:dyDescent="0.25">
      <c r="A218" s="1">
        <f t="shared" ca="1" si="3"/>
        <v>7513</v>
      </c>
      <c r="B218" s="36">
        <v>7575</v>
      </c>
      <c r="C218" s="37">
        <v>7560</v>
      </c>
      <c r="D218" s="38">
        <v>300</v>
      </c>
      <c r="E218" s="39">
        <v>280</v>
      </c>
      <c r="F218" s="5">
        <v>0</v>
      </c>
      <c r="G218" s="6">
        <v>10</v>
      </c>
    </row>
    <row r="219" spans="1:7" x14ac:dyDescent="0.25">
      <c r="A219" s="1">
        <f t="shared" ca="1" si="3"/>
        <v>7514</v>
      </c>
      <c r="B219" s="36">
        <v>7580</v>
      </c>
      <c r="C219" s="37">
        <v>7560</v>
      </c>
      <c r="D219" s="38">
        <v>300</v>
      </c>
      <c r="E219" s="39">
        <v>290</v>
      </c>
      <c r="F219" s="5">
        <v>0</v>
      </c>
      <c r="G219" s="6">
        <v>0</v>
      </c>
    </row>
    <row r="220" spans="1:7" x14ac:dyDescent="0.25">
      <c r="A220" s="1">
        <f t="shared" ca="1" si="3"/>
        <v>7515</v>
      </c>
      <c r="B220" s="36">
        <v>7580</v>
      </c>
      <c r="C220" s="37">
        <v>7560</v>
      </c>
      <c r="D220" s="38">
        <v>300</v>
      </c>
      <c r="E220" s="39">
        <v>290</v>
      </c>
      <c r="F220" s="5">
        <v>0</v>
      </c>
      <c r="G220" s="6">
        <v>0</v>
      </c>
    </row>
    <row r="221" spans="1:7" x14ac:dyDescent="0.25">
      <c r="A221" s="1">
        <f t="shared" ca="1" si="3"/>
        <v>7516</v>
      </c>
      <c r="B221" s="36">
        <v>7585</v>
      </c>
      <c r="C221" s="37">
        <v>7565</v>
      </c>
      <c r="D221" s="38">
        <v>290</v>
      </c>
      <c r="E221" s="39">
        <v>290</v>
      </c>
      <c r="F221" s="5">
        <v>0</v>
      </c>
      <c r="G221" s="6">
        <v>0</v>
      </c>
    </row>
    <row r="222" spans="1:7" x14ac:dyDescent="0.25">
      <c r="A222" s="1">
        <f t="shared" ca="1" si="3"/>
        <v>7517</v>
      </c>
      <c r="B222" s="36">
        <v>7565</v>
      </c>
      <c r="C222" s="37">
        <v>7550</v>
      </c>
      <c r="D222" s="38">
        <v>300</v>
      </c>
      <c r="E222" s="39">
        <v>290</v>
      </c>
      <c r="F222" s="5">
        <v>0</v>
      </c>
      <c r="G222" s="6">
        <v>0</v>
      </c>
    </row>
    <row r="223" spans="1:7" x14ac:dyDescent="0.25">
      <c r="A223" s="1">
        <f t="shared" ca="1" si="3"/>
        <v>7518</v>
      </c>
      <c r="B223" s="36">
        <v>7580</v>
      </c>
      <c r="C223" s="37">
        <v>7565</v>
      </c>
      <c r="D223" s="38">
        <v>300</v>
      </c>
      <c r="E223" s="39">
        <v>280</v>
      </c>
      <c r="F223" s="5">
        <v>0</v>
      </c>
      <c r="G223" s="6">
        <v>0</v>
      </c>
    </row>
    <row r="224" spans="1:7" x14ac:dyDescent="0.25">
      <c r="A224" s="1" t="str">
        <f t="shared" ca="1" si="3"/>
        <v>Totaal</v>
      </c>
      <c r="B224" s="21">
        <f>IF(COUNT(B193:B223)&gt;0,AVERAGE(B193:B223)/10,"")</f>
        <v>758.22580645161293</v>
      </c>
      <c r="C224" s="22">
        <f>IF(COUNT(C193:C223)&gt;0,AVERAGE(C193:C223)/10,"")</f>
        <v>756.62903225806451</v>
      </c>
      <c r="D224" s="23">
        <f>IF(COUNT(D193:D223)&gt;0,AVERAGE(D193:D223)/10,"")</f>
        <v>29.419354838709676</v>
      </c>
      <c r="E224" s="24">
        <f>IF(COUNT(E193:E223)&gt;0,AVERAGE(E193:E223)/10,"")</f>
        <v>28.14516129032258</v>
      </c>
      <c r="F224" s="25">
        <f>SUM(F193:F223)/10</f>
        <v>26.2</v>
      </c>
      <c r="G224" s="26">
        <f>SUM(G193:G223)/10</f>
        <v>23</v>
      </c>
    </row>
    <row r="225" spans="1:7" x14ac:dyDescent="0.25">
      <c r="A225" s="1">
        <f t="shared" ca="1" si="3"/>
        <v>7519</v>
      </c>
      <c r="B225" s="36">
        <v>7570</v>
      </c>
      <c r="C225" s="37">
        <v>7550</v>
      </c>
      <c r="D225" s="38">
        <v>300</v>
      </c>
      <c r="E225" s="39">
        <v>290</v>
      </c>
      <c r="F225" s="5">
        <v>0</v>
      </c>
      <c r="G225" s="6">
        <v>0</v>
      </c>
    </row>
    <row r="226" spans="1:7" x14ac:dyDescent="0.25">
      <c r="A226" s="1">
        <f t="shared" ca="1" si="3"/>
        <v>7520</v>
      </c>
      <c r="B226" s="36">
        <v>7580</v>
      </c>
      <c r="C226" s="37">
        <v>7560</v>
      </c>
      <c r="D226" s="38">
        <v>280</v>
      </c>
      <c r="E226" s="39">
        <v>270</v>
      </c>
      <c r="F226" s="5">
        <v>0</v>
      </c>
      <c r="G226" s="6">
        <v>0</v>
      </c>
    </row>
    <row r="227" spans="1:7" x14ac:dyDescent="0.25">
      <c r="A227" s="1">
        <f t="shared" ca="1" si="3"/>
        <v>7521</v>
      </c>
      <c r="B227" s="36">
        <v>7560</v>
      </c>
      <c r="C227" s="37">
        <v>7560</v>
      </c>
      <c r="D227" s="38">
        <v>300</v>
      </c>
      <c r="E227" s="39">
        <v>280</v>
      </c>
      <c r="F227" s="5">
        <v>0</v>
      </c>
      <c r="G227" s="6">
        <v>0</v>
      </c>
    </row>
    <row r="228" spans="1:7" x14ac:dyDescent="0.25">
      <c r="A228" s="1">
        <f t="shared" ca="1" si="3"/>
        <v>7522</v>
      </c>
      <c r="B228" s="36">
        <v>7575</v>
      </c>
      <c r="C228" s="37">
        <v>7560</v>
      </c>
      <c r="D228" s="38">
        <v>300</v>
      </c>
      <c r="E228" s="39">
        <v>295</v>
      </c>
      <c r="F228" s="5">
        <v>0</v>
      </c>
      <c r="G228" s="6">
        <v>0</v>
      </c>
    </row>
    <row r="229" spans="1:7" x14ac:dyDescent="0.25">
      <c r="A229" s="1">
        <f t="shared" ca="1" si="3"/>
        <v>7523</v>
      </c>
      <c r="B229" s="36">
        <v>7570</v>
      </c>
      <c r="C229" s="37">
        <v>7560</v>
      </c>
      <c r="D229" s="38">
        <v>300</v>
      </c>
      <c r="E229" s="39">
        <v>290</v>
      </c>
      <c r="F229" s="5">
        <v>0</v>
      </c>
      <c r="G229" s="6">
        <v>0</v>
      </c>
    </row>
    <row r="230" spans="1:7" x14ac:dyDescent="0.25">
      <c r="A230" s="1">
        <f t="shared" ca="1" si="3"/>
        <v>7524</v>
      </c>
      <c r="B230" s="36">
        <v>7570</v>
      </c>
      <c r="C230" s="37">
        <v>7555</v>
      </c>
      <c r="D230" s="38">
        <v>300</v>
      </c>
      <c r="E230" s="39">
        <v>290</v>
      </c>
      <c r="F230" s="5">
        <v>0</v>
      </c>
      <c r="G230" s="6">
        <v>0</v>
      </c>
    </row>
    <row r="231" spans="1:7" x14ac:dyDescent="0.25">
      <c r="A231" s="1">
        <f t="shared" ca="1" si="3"/>
        <v>7525</v>
      </c>
      <c r="B231" s="36">
        <v>7570</v>
      </c>
      <c r="C231" s="37">
        <v>7560</v>
      </c>
      <c r="D231" s="38">
        <v>300</v>
      </c>
      <c r="E231" s="39">
        <v>290</v>
      </c>
      <c r="F231" s="5">
        <v>0</v>
      </c>
      <c r="G231" s="6">
        <v>0</v>
      </c>
    </row>
    <row r="232" spans="1:7" x14ac:dyDescent="0.25">
      <c r="A232" s="1">
        <f t="shared" ca="1" si="3"/>
        <v>7526</v>
      </c>
      <c r="B232" s="36">
        <v>7580</v>
      </c>
      <c r="C232" s="37">
        <v>7570</v>
      </c>
      <c r="D232" s="38">
        <v>290</v>
      </c>
      <c r="E232" s="39">
        <v>280</v>
      </c>
      <c r="F232" s="5">
        <v>0</v>
      </c>
      <c r="G232" s="6">
        <v>0</v>
      </c>
    </row>
    <row r="233" spans="1:7" x14ac:dyDescent="0.25">
      <c r="A233" s="1">
        <f t="shared" ca="1" si="3"/>
        <v>7527</v>
      </c>
      <c r="B233" s="36">
        <v>7560</v>
      </c>
      <c r="C233" s="37">
        <v>7550</v>
      </c>
      <c r="D233" s="38">
        <v>300</v>
      </c>
      <c r="E233" s="39">
        <v>280</v>
      </c>
      <c r="F233" s="5">
        <v>0</v>
      </c>
      <c r="G233" s="6">
        <v>0</v>
      </c>
    </row>
    <row r="234" spans="1:7" x14ac:dyDescent="0.25">
      <c r="A234" s="1">
        <f t="shared" ca="1" si="3"/>
        <v>7528</v>
      </c>
      <c r="B234" s="36">
        <v>7560</v>
      </c>
      <c r="C234" s="37">
        <v>7550</v>
      </c>
      <c r="D234" s="38">
        <v>290</v>
      </c>
      <c r="E234" s="39">
        <v>270</v>
      </c>
      <c r="F234" s="5">
        <v>260</v>
      </c>
      <c r="G234" s="6">
        <v>210</v>
      </c>
    </row>
    <row r="235" spans="1:7" x14ac:dyDescent="0.25">
      <c r="A235" s="1">
        <f t="shared" ca="1" si="3"/>
        <v>7529</v>
      </c>
      <c r="B235" s="36">
        <v>7570</v>
      </c>
      <c r="C235" s="37">
        <v>7550</v>
      </c>
      <c r="D235" s="38">
        <v>290</v>
      </c>
      <c r="E235" s="39">
        <v>270</v>
      </c>
      <c r="F235" s="5">
        <v>0</v>
      </c>
      <c r="G235" s="6">
        <v>0</v>
      </c>
    </row>
    <row r="236" spans="1:7" x14ac:dyDescent="0.25">
      <c r="A236" s="1">
        <f t="shared" ca="1" si="3"/>
        <v>7530</v>
      </c>
      <c r="B236" s="36">
        <v>7560</v>
      </c>
      <c r="C236" s="37">
        <v>7550</v>
      </c>
      <c r="D236" s="38">
        <v>290</v>
      </c>
      <c r="E236" s="39">
        <v>280</v>
      </c>
      <c r="F236" s="5">
        <v>0</v>
      </c>
      <c r="G236" s="6">
        <v>0</v>
      </c>
    </row>
    <row r="237" spans="1:7" x14ac:dyDescent="0.25">
      <c r="A237" s="1">
        <f t="shared" ca="1" si="3"/>
        <v>7531</v>
      </c>
      <c r="B237" s="36">
        <v>7560</v>
      </c>
      <c r="C237" s="37">
        <v>7545</v>
      </c>
      <c r="D237" s="38">
        <v>300</v>
      </c>
      <c r="E237" s="39">
        <v>270</v>
      </c>
      <c r="F237" s="5">
        <v>0</v>
      </c>
      <c r="G237" s="6">
        <v>0</v>
      </c>
    </row>
    <row r="238" spans="1:7" x14ac:dyDescent="0.25">
      <c r="A238" s="1">
        <f t="shared" ca="1" si="3"/>
        <v>7532</v>
      </c>
      <c r="B238" s="36">
        <v>7570</v>
      </c>
      <c r="C238" s="37">
        <v>7550</v>
      </c>
      <c r="D238" s="38">
        <v>300</v>
      </c>
      <c r="E238" s="39">
        <v>290</v>
      </c>
      <c r="F238" s="5">
        <v>0</v>
      </c>
      <c r="G238" s="6">
        <v>0</v>
      </c>
    </row>
    <row r="239" spans="1:7" x14ac:dyDescent="0.25">
      <c r="A239" s="1">
        <f t="shared" ca="1" si="3"/>
        <v>7533</v>
      </c>
      <c r="B239" s="36">
        <v>7570</v>
      </c>
      <c r="C239" s="37">
        <v>7550</v>
      </c>
      <c r="D239" s="38">
        <v>300</v>
      </c>
      <c r="E239" s="39">
        <v>290</v>
      </c>
      <c r="F239" s="5">
        <v>0</v>
      </c>
      <c r="G239" s="6">
        <v>0</v>
      </c>
    </row>
    <row r="240" spans="1:7" x14ac:dyDescent="0.25">
      <c r="A240" s="1">
        <f t="shared" ca="1" si="3"/>
        <v>7534</v>
      </c>
      <c r="B240" s="36">
        <v>7565</v>
      </c>
      <c r="C240" s="37">
        <v>7550</v>
      </c>
      <c r="D240" s="38">
        <v>290</v>
      </c>
      <c r="E240" s="39">
        <v>280</v>
      </c>
      <c r="F240" s="5">
        <v>74</v>
      </c>
      <c r="G240" s="6">
        <v>70</v>
      </c>
    </row>
    <row r="241" spans="1:7" x14ac:dyDescent="0.25">
      <c r="A241" s="1">
        <f t="shared" ca="1" si="3"/>
        <v>7535</v>
      </c>
      <c r="B241" s="36">
        <v>7560</v>
      </c>
      <c r="C241" s="37">
        <v>7550</v>
      </c>
      <c r="D241" s="38">
        <v>300</v>
      </c>
      <c r="E241" s="39">
        <v>290</v>
      </c>
      <c r="F241" s="5">
        <v>0</v>
      </c>
      <c r="G241" s="6">
        <v>0</v>
      </c>
    </row>
    <row r="242" spans="1:7" x14ac:dyDescent="0.25">
      <c r="A242" s="1">
        <f t="shared" ca="1" si="3"/>
        <v>7536</v>
      </c>
      <c r="B242" s="36">
        <v>7575</v>
      </c>
      <c r="C242" s="37">
        <v>7565</v>
      </c>
      <c r="D242" s="38">
        <v>290</v>
      </c>
      <c r="E242" s="39">
        <v>290</v>
      </c>
      <c r="F242" s="5">
        <v>18</v>
      </c>
      <c r="G242" s="6">
        <v>0</v>
      </c>
    </row>
    <row r="243" spans="1:7" x14ac:dyDescent="0.25">
      <c r="A243" s="1">
        <f t="shared" ca="1" si="3"/>
        <v>7537</v>
      </c>
      <c r="B243" s="36">
        <v>7580</v>
      </c>
      <c r="C243" s="37">
        <v>7565</v>
      </c>
      <c r="D243" s="38">
        <v>300</v>
      </c>
      <c r="E243" s="39">
        <v>280</v>
      </c>
      <c r="F243" s="5">
        <v>0</v>
      </c>
      <c r="G243" s="6">
        <v>0</v>
      </c>
    </row>
    <row r="244" spans="1:7" x14ac:dyDescent="0.25">
      <c r="A244" s="1">
        <f t="shared" ca="1" si="3"/>
        <v>7538</v>
      </c>
      <c r="B244" s="36">
        <v>7575</v>
      </c>
      <c r="C244" s="37">
        <v>7555</v>
      </c>
      <c r="D244" s="38">
        <v>300</v>
      </c>
      <c r="E244" s="39">
        <v>300</v>
      </c>
      <c r="F244" s="5">
        <v>0</v>
      </c>
      <c r="G244" s="6">
        <v>0</v>
      </c>
    </row>
    <row r="245" spans="1:7" x14ac:dyDescent="0.25">
      <c r="A245" s="1">
        <f t="shared" ca="1" si="3"/>
        <v>7539</v>
      </c>
      <c r="B245" s="36">
        <v>7575</v>
      </c>
      <c r="C245" s="37">
        <v>7550</v>
      </c>
      <c r="D245" s="38">
        <v>300</v>
      </c>
      <c r="E245" s="39">
        <v>290</v>
      </c>
      <c r="F245" s="5">
        <v>0</v>
      </c>
      <c r="G245" s="6">
        <v>0</v>
      </c>
    </row>
    <row r="246" spans="1:7" x14ac:dyDescent="0.25">
      <c r="A246" s="1">
        <f t="shared" ca="1" si="3"/>
        <v>7540</v>
      </c>
      <c r="B246" s="36">
        <v>7570</v>
      </c>
      <c r="C246" s="37">
        <v>7560</v>
      </c>
      <c r="D246" s="38">
        <v>300</v>
      </c>
      <c r="E246" s="39">
        <v>290</v>
      </c>
      <c r="F246" s="5">
        <v>0</v>
      </c>
      <c r="G246" s="6">
        <v>0</v>
      </c>
    </row>
    <row r="247" spans="1:7" x14ac:dyDescent="0.25">
      <c r="A247" s="1">
        <f t="shared" ca="1" si="3"/>
        <v>7541</v>
      </c>
      <c r="B247" s="36">
        <v>7570</v>
      </c>
      <c r="C247" s="37">
        <v>7560</v>
      </c>
      <c r="D247" s="38">
        <v>305</v>
      </c>
      <c r="E247" s="39">
        <v>300</v>
      </c>
      <c r="F247" s="5">
        <v>0</v>
      </c>
      <c r="G247" s="6">
        <v>0</v>
      </c>
    </row>
    <row r="248" spans="1:7" x14ac:dyDescent="0.25">
      <c r="A248" s="1">
        <f t="shared" ca="1" si="3"/>
        <v>7542</v>
      </c>
      <c r="B248" s="36">
        <v>7565</v>
      </c>
      <c r="C248" s="37">
        <v>7560</v>
      </c>
      <c r="D248" s="38">
        <v>290</v>
      </c>
      <c r="E248" s="39">
        <v>290</v>
      </c>
      <c r="F248" s="5">
        <v>0</v>
      </c>
      <c r="G248" s="6">
        <v>0</v>
      </c>
    </row>
    <row r="249" spans="1:7" x14ac:dyDescent="0.25">
      <c r="A249" s="1">
        <f t="shared" ca="1" si="3"/>
        <v>7543</v>
      </c>
      <c r="B249" s="36">
        <v>7570</v>
      </c>
      <c r="C249" s="37">
        <v>7560</v>
      </c>
      <c r="D249" s="38">
        <v>300</v>
      </c>
      <c r="E249" s="39">
        <v>290</v>
      </c>
      <c r="F249" s="5">
        <v>8</v>
      </c>
      <c r="G249" s="6">
        <v>0</v>
      </c>
    </row>
    <row r="250" spans="1:7" x14ac:dyDescent="0.25">
      <c r="A250" s="1">
        <f t="shared" ca="1" si="3"/>
        <v>7544</v>
      </c>
      <c r="B250" s="36">
        <v>7570</v>
      </c>
      <c r="C250" s="37">
        <v>7560</v>
      </c>
      <c r="D250" s="38">
        <v>300</v>
      </c>
      <c r="E250" s="39">
        <v>290</v>
      </c>
      <c r="F250" s="5">
        <v>0</v>
      </c>
      <c r="G250" s="6">
        <v>0</v>
      </c>
    </row>
    <row r="251" spans="1:7" x14ac:dyDescent="0.25">
      <c r="A251" s="1">
        <f t="shared" ca="1" si="3"/>
        <v>7545</v>
      </c>
      <c r="B251" s="36">
        <v>7565</v>
      </c>
      <c r="C251" s="37">
        <v>7560</v>
      </c>
      <c r="D251" s="38">
        <v>290</v>
      </c>
      <c r="E251" s="39">
        <v>290</v>
      </c>
      <c r="F251" s="5">
        <v>0</v>
      </c>
      <c r="G251" s="6">
        <v>0</v>
      </c>
    </row>
    <row r="252" spans="1:7" x14ac:dyDescent="0.25">
      <c r="A252" s="1">
        <f t="shared" ca="1" si="3"/>
        <v>7546</v>
      </c>
      <c r="B252" s="36">
        <v>7570</v>
      </c>
      <c r="C252" s="37">
        <v>7560</v>
      </c>
      <c r="D252" s="38">
        <v>300</v>
      </c>
      <c r="E252" s="39">
        <v>290</v>
      </c>
      <c r="F252" s="5">
        <v>0</v>
      </c>
      <c r="G252" s="6">
        <v>0</v>
      </c>
    </row>
    <row r="253" spans="1:7" x14ac:dyDescent="0.25">
      <c r="A253" s="1">
        <f t="shared" ca="1" si="3"/>
        <v>7547</v>
      </c>
      <c r="B253" s="36">
        <v>7580</v>
      </c>
      <c r="C253" s="37">
        <v>7570</v>
      </c>
      <c r="D253" s="38">
        <v>300</v>
      </c>
      <c r="E253" s="39">
        <v>290</v>
      </c>
      <c r="F253" s="5">
        <v>0</v>
      </c>
      <c r="G253" s="6">
        <v>0</v>
      </c>
    </row>
    <row r="254" spans="1:7" x14ac:dyDescent="0.25">
      <c r="A254" s="1">
        <f t="shared" ca="1" si="3"/>
        <v>7548</v>
      </c>
      <c r="B254" s="36">
        <v>7570</v>
      </c>
      <c r="C254" s="37">
        <v>7560</v>
      </c>
      <c r="D254" s="38">
        <v>300</v>
      </c>
      <c r="E254" s="39">
        <v>290</v>
      </c>
      <c r="F254" s="5">
        <v>0</v>
      </c>
      <c r="G254" s="6">
        <v>0</v>
      </c>
    </row>
    <row r="255" spans="1:7" x14ac:dyDescent="0.25">
      <c r="A255" s="1">
        <f t="shared" ca="1" si="3"/>
        <v>7549</v>
      </c>
      <c r="B255" s="36">
        <v>7565</v>
      </c>
      <c r="C255" s="37">
        <v>7560</v>
      </c>
      <c r="D255" s="38">
        <v>300</v>
      </c>
      <c r="E255" s="39">
        <v>290</v>
      </c>
      <c r="F255" s="5">
        <v>0</v>
      </c>
      <c r="G255" s="6">
        <v>0</v>
      </c>
    </row>
    <row r="256" spans="1:7" x14ac:dyDescent="0.25">
      <c r="A256" s="1" t="str">
        <f t="shared" ca="1" si="3"/>
        <v>Totaal</v>
      </c>
      <c r="B256" s="21">
        <f>IF(COUNT(B225:B255)&gt;0,AVERAGE(B225:B255)/10,"")</f>
        <v>756.93548387096769</v>
      </c>
      <c r="C256" s="22">
        <f>IF(COUNT(C225:C255)&gt;0,AVERAGE(C225:C255)/10,"")</f>
        <v>755.69354838709683</v>
      </c>
      <c r="D256" s="23">
        <f>IF(COUNT(D225:D255)&gt;0,AVERAGE(D225:D255)/10,"")</f>
        <v>29.693548387096776</v>
      </c>
      <c r="E256" s="24">
        <f>IF(COUNT(E225:E255)&gt;0,AVERAGE(E225:E255)/10,"")</f>
        <v>28.62903225806452</v>
      </c>
      <c r="F256" s="25">
        <f>SUM(F225:F255)/10</f>
        <v>36</v>
      </c>
      <c r="G256" s="26">
        <f>SUM(G225:G255)/10</f>
        <v>28</v>
      </c>
    </row>
    <row r="257" spans="1:7" x14ac:dyDescent="0.25">
      <c r="A257" s="1">
        <f t="shared" ca="1" si="3"/>
        <v>7550</v>
      </c>
      <c r="B257" s="36">
        <v>7570</v>
      </c>
      <c r="C257" s="37">
        <v>7560</v>
      </c>
      <c r="D257" s="38">
        <v>300</v>
      </c>
      <c r="E257" s="39">
        <v>290</v>
      </c>
      <c r="F257" s="5">
        <v>45</v>
      </c>
      <c r="G257" s="6">
        <v>150</v>
      </c>
    </row>
    <row r="258" spans="1:7" x14ac:dyDescent="0.25">
      <c r="A258" s="1">
        <f t="shared" ca="1" si="3"/>
        <v>7551</v>
      </c>
      <c r="B258" s="36">
        <v>7560</v>
      </c>
      <c r="C258" s="37">
        <v>7555</v>
      </c>
      <c r="D258" s="38">
        <v>305</v>
      </c>
      <c r="E258" s="39">
        <v>300</v>
      </c>
      <c r="F258" s="5">
        <v>0</v>
      </c>
      <c r="G258" s="6">
        <v>0</v>
      </c>
    </row>
    <row r="259" spans="1:7" x14ac:dyDescent="0.25">
      <c r="A259" s="1">
        <f t="shared" ca="1" si="3"/>
        <v>7552</v>
      </c>
      <c r="B259" s="36">
        <v>7570</v>
      </c>
      <c r="C259" s="37">
        <v>7550</v>
      </c>
      <c r="D259" s="38">
        <v>305</v>
      </c>
      <c r="E259" s="39">
        <v>300</v>
      </c>
      <c r="F259" s="5">
        <v>0</v>
      </c>
      <c r="G259" s="6">
        <v>0</v>
      </c>
    </row>
    <row r="260" spans="1:7" x14ac:dyDescent="0.25">
      <c r="A260" s="1">
        <f t="shared" ca="1" si="3"/>
        <v>7553</v>
      </c>
      <c r="B260" s="36">
        <v>7570</v>
      </c>
      <c r="C260" s="37">
        <v>7560</v>
      </c>
      <c r="D260" s="38">
        <v>300</v>
      </c>
      <c r="E260" s="39">
        <v>290</v>
      </c>
      <c r="F260" s="5">
        <v>0</v>
      </c>
      <c r="G260" s="6">
        <v>0</v>
      </c>
    </row>
    <row r="261" spans="1:7" x14ac:dyDescent="0.25">
      <c r="A261" s="1">
        <f t="shared" ca="1" si="3"/>
        <v>7554</v>
      </c>
      <c r="B261" s="36">
        <v>7570</v>
      </c>
      <c r="C261" s="37">
        <v>7560</v>
      </c>
      <c r="D261" s="38">
        <v>300</v>
      </c>
      <c r="E261" s="39">
        <v>290</v>
      </c>
      <c r="F261" s="5">
        <v>0</v>
      </c>
      <c r="G261" s="6">
        <v>0</v>
      </c>
    </row>
    <row r="262" spans="1:7" x14ac:dyDescent="0.25">
      <c r="A262" s="1">
        <f t="shared" ca="1" si="3"/>
        <v>7555</v>
      </c>
      <c r="B262" s="36">
        <v>7575</v>
      </c>
      <c r="C262" s="37">
        <v>7560</v>
      </c>
      <c r="D262" s="38">
        <v>305</v>
      </c>
      <c r="E262" s="39">
        <v>300</v>
      </c>
      <c r="F262" s="5">
        <v>0</v>
      </c>
      <c r="G262" s="6">
        <v>0</v>
      </c>
    </row>
    <row r="263" spans="1:7" x14ac:dyDescent="0.25">
      <c r="A263" s="1">
        <f t="shared" ref="A263:A326" ca="1" si="4">IF(ISTEXT(A262),A261+1,IF(MONTH(A262+1)=MONTH(A262),A262+1,"Totaal"))</f>
        <v>7556</v>
      </c>
      <c r="B263" s="36">
        <v>7575</v>
      </c>
      <c r="C263" s="37">
        <v>7550</v>
      </c>
      <c r="D263" s="38">
        <v>310</v>
      </c>
      <c r="E263" s="39">
        <v>305</v>
      </c>
      <c r="F263" s="5">
        <v>0</v>
      </c>
      <c r="G263" s="6">
        <v>0</v>
      </c>
    </row>
    <row r="264" spans="1:7" x14ac:dyDescent="0.25">
      <c r="A264" s="1">
        <f t="shared" ca="1" si="4"/>
        <v>7557</v>
      </c>
      <c r="B264" s="36">
        <v>7550</v>
      </c>
      <c r="C264" s="37">
        <v>7545</v>
      </c>
      <c r="D264" s="38">
        <v>305</v>
      </c>
      <c r="E264" s="39">
        <v>300</v>
      </c>
      <c r="F264" s="5">
        <v>0</v>
      </c>
      <c r="G264" s="6">
        <v>0</v>
      </c>
    </row>
    <row r="265" spans="1:7" x14ac:dyDescent="0.25">
      <c r="A265" s="1">
        <f t="shared" ca="1" si="4"/>
        <v>7558</v>
      </c>
      <c r="B265" s="36">
        <v>7550</v>
      </c>
      <c r="C265" s="37">
        <v>7540</v>
      </c>
      <c r="D265" s="38">
        <v>310</v>
      </c>
      <c r="E265" s="39">
        <v>300</v>
      </c>
      <c r="F265" s="5">
        <v>0</v>
      </c>
      <c r="G265" s="6">
        <v>0</v>
      </c>
    </row>
    <row r="266" spans="1:7" x14ac:dyDescent="0.25">
      <c r="A266" s="1">
        <f t="shared" ca="1" si="4"/>
        <v>7559</v>
      </c>
      <c r="B266" s="36">
        <v>7575</v>
      </c>
      <c r="C266" s="37">
        <v>7555</v>
      </c>
      <c r="D266" s="38">
        <v>305</v>
      </c>
      <c r="E266" s="39">
        <v>300</v>
      </c>
      <c r="F266" s="5">
        <v>0</v>
      </c>
      <c r="G266" s="6">
        <v>0</v>
      </c>
    </row>
    <row r="267" spans="1:7" x14ac:dyDescent="0.25">
      <c r="A267" s="1">
        <f t="shared" ca="1" si="4"/>
        <v>7560</v>
      </c>
      <c r="B267" s="36">
        <v>7560</v>
      </c>
      <c r="C267" s="37">
        <v>7555</v>
      </c>
      <c r="D267" s="38">
        <v>305</v>
      </c>
      <c r="E267" s="39">
        <v>300</v>
      </c>
      <c r="F267" s="5">
        <v>0</v>
      </c>
      <c r="G267" s="6">
        <v>0</v>
      </c>
    </row>
    <row r="268" spans="1:7" x14ac:dyDescent="0.25">
      <c r="A268" s="1">
        <f t="shared" ca="1" si="4"/>
        <v>7561</v>
      </c>
      <c r="B268" s="36">
        <v>7560</v>
      </c>
      <c r="C268" s="37">
        <v>7555</v>
      </c>
      <c r="D268" s="38">
        <v>305</v>
      </c>
      <c r="E268" s="39">
        <v>300</v>
      </c>
      <c r="F268" s="5">
        <v>0</v>
      </c>
      <c r="G268" s="6">
        <v>0</v>
      </c>
    </row>
    <row r="269" spans="1:7" x14ac:dyDescent="0.25">
      <c r="A269" s="1">
        <f t="shared" ca="1" si="4"/>
        <v>7562</v>
      </c>
      <c r="B269" s="36">
        <v>7560</v>
      </c>
      <c r="C269" s="37">
        <v>7540</v>
      </c>
      <c r="D269" s="38">
        <v>310</v>
      </c>
      <c r="E269" s="39">
        <v>310</v>
      </c>
      <c r="F269" s="5">
        <v>0</v>
      </c>
      <c r="G269" s="6">
        <v>375</v>
      </c>
    </row>
    <row r="270" spans="1:7" x14ac:dyDescent="0.25">
      <c r="A270" s="1">
        <f t="shared" ca="1" si="4"/>
        <v>7563</v>
      </c>
      <c r="B270" s="36">
        <v>7560</v>
      </c>
      <c r="C270" s="37">
        <v>7535</v>
      </c>
      <c r="D270" s="38">
        <v>295</v>
      </c>
      <c r="E270" s="39">
        <v>290</v>
      </c>
      <c r="F270" s="5">
        <v>155</v>
      </c>
      <c r="G270" s="6">
        <v>0</v>
      </c>
    </row>
    <row r="271" spans="1:7" x14ac:dyDescent="0.25">
      <c r="A271" s="1">
        <f t="shared" ca="1" si="4"/>
        <v>7564</v>
      </c>
      <c r="B271" s="36">
        <v>7565</v>
      </c>
      <c r="C271" s="37">
        <v>7545</v>
      </c>
      <c r="D271" s="38">
        <v>300</v>
      </c>
      <c r="E271" s="39">
        <v>300</v>
      </c>
      <c r="F271" s="5">
        <v>0</v>
      </c>
      <c r="G271" s="6">
        <v>0</v>
      </c>
    </row>
    <row r="272" spans="1:7" x14ac:dyDescent="0.25">
      <c r="A272" s="1">
        <f t="shared" ca="1" si="4"/>
        <v>7565</v>
      </c>
      <c r="B272" s="36">
        <v>7560</v>
      </c>
      <c r="C272" s="37">
        <v>7550</v>
      </c>
      <c r="D272" s="38">
        <v>300</v>
      </c>
      <c r="E272" s="39">
        <v>300</v>
      </c>
      <c r="F272" s="5">
        <v>0</v>
      </c>
      <c r="G272" s="6">
        <v>0</v>
      </c>
    </row>
    <row r="273" spans="1:7" x14ac:dyDescent="0.25">
      <c r="A273" s="1">
        <f t="shared" ca="1" si="4"/>
        <v>7566</v>
      </c>
      <c r="B273" s="36">
        <v>7560</v>
      </c>
      <c r="C273" s="37">
        <v>7535</v>
      </c>
      <c r="D273" s="38">
        <v>305</v>
      </c>
      <c r="E273" s="39">
        <v>300</v>
      </c>
      <c r="F273" s="5">
        <v>0</v>
      </c>
      <c r="G273" s="6">
        <v>0</v>
      </c>
    </row>
    <row r="274" spans="1:7" x14ac:dyDescent="0.25">
      <c r="A274" s="1">
        <f t="shared" ca="1" si="4"/>
        <v>7567</v>
      </c>
      <c r="B274" s="36">
        <v>7565</v>
      </c>
      <c r="C274" s="37">
        <v>7540</v>
      </c>
      <c r="D274" s="38">
        <v>300</v>
      </c>
      <c r="E274" s="39">
        <v>300</v>
      </c>
      <c r="F274" s="5">
        <v>0</v>
      </c>
      <c r="G274" s="6">
        <v>0</v>
      </c>
    </row>
    <row r="275" spans="1:7" x14ac:dyDescent="0.25">
      <c r="A275" s="1">
        <f t="shared" ca="1" si="4"/>
        <v>7568</v>
      </c>
      <c r="B275" s="36">
        <v>7565</v>
      </c>
      <c r="C275" s="37">
        <v>7540</v>
      </c>
      <c r="D275" s="38">
        <v>300</v>
      </c>
      <c r="E275" s="39">
        <v>300</v>
      </c>
      <c r="F275" s="5">
        <v>0</v>
      </c>
      <c r="G275" s="6">
        <v>0</v>
      </c>
    </row>
    <row r="276" spans="1:7" x14ac:dyDescent="0.25">
      <c r="A276" s="1">
        <f t="shared" ca="1" si="4"/>
        <v>7569</v>
      </c>
      <c r="B276" s="36">
        <v>7560</v>
      </c>
      <c r="C276" s="37">
        <v>7555</v>
      </c>
      <c r="D276" s="38">
        <v>310</v>
      </c>
      <c r="E276" s="39">
        <v>300</v>
      </c>
      <c r="F276" s="5">
        <v>0</v>
      </c>
      <c r="G276" s="6">
        <v>0</v>
      </c>
    </row>
    <row r="277" spans="1:7" x14ac:dyDescent="0.25">
      <c r="A277" s="1">
        <f t="shared" ca="1" si="4"/>
        <v>7570</v>
      </c>
      <c r="B277" s="36">
        <v>7550</v>
      </c>
      <c r="C277" s="37">
        <v>7540</v>
      </c>
      <c r="D277" s="38">
        <v>300</v>
      </c>
      <c r="E277" s="39">
        <v>300</v>
      </c>
      <c r="F277" s="5">
        <v>0</v>
      </c>
      <c r="G277" s="6">
        <v>0</v>
      </c>
    </row>
    <row r="278" spans="1:7" x14ac:dyDescent="0.25">
      <c r="A278" s="1">
        <f t="shared" ca="1" si="4"/>
        <v>7571</v>
      </c>
      <c r="B278" s="36">
        <v>7565</v>
      </c>
      <c r="C278" s="37">
        <v>7560</v>
      </c>
      <c r="D278" s="38">
        <v>300</v>
      </c>
      <c r="E278" s="39">
        <v>295</v>
      </c>
      <c r="F278" s="5">
        <v>0</v>
      </c>
      <c r="G278" s="6">
        <v>0</v>
      </c>
    </row>
    <row r="279" spans="1:7" x14ac:dyDescent="0.25">
      <c r="A279" s="1">
        <f t="shared" ca="1" si="4"/>
        <v>7572</v>
      </c>
      <c r="B279" s="36">
        <v>7570</v>
      </c>
      <c r="C279" s="37">
        <v>7560</v>
      </c>
      <c r="D279" s="38">
        <v>300</v>
      </c>
      <c r="E279" s="39">
        <v>300</v>
      </c>
      <c r="F279" s="5">
        <v>0</v>
      </c>
      <c r="G279" s="6">
        <v>0</v>
      </c>
    </row>
    <row r="280" spans="1:7" x14ac:dyDescent="0.25">
      <c r="A280" s="1">
        <f t="shared" ca="1" si="4"/>
        <v>7573</v>
      </c>
      <c r="B280" s="36">
        <v>7555</v>
      </c>
      <c r="C280" s="37">
        <v>7535</v>
      </c>
      <c r="D280" s="38">
        <v>310</v>
      </c>
      <c r="E280" s="39">
        <v>305</v>
      </c>
      <c r="F280" s="5">
        <v>0</v>
      </c>
      <c r="G280" s="6">
        <v>0</v>
      </c>
    </row>
    <row r="281" spans="1:7" x14ac:dyDescent="0.25">
      <c r="A281" s="1">
        <f t="shared" ca="1" si="4"/>
        <v>7574</v>
      </c>
      <c r="B281" s="36">
        <v>7540</v>
      </c>
      <c r="C281" s="37">
        <v>7535</v>
      </c>
      <c r="D281" s="38">
        <v>305</v>
      </c>
      <c r="E281" s="39">
        <v>300</v>
      </c>
      <c r="F281" s="5">
        <v>0</v>
      </c>
      <c r="G281" s="6">
        <v>0</v>
      </c>
    </row>
    <row r="282" spans="1:7" x14ac:dyDescent="0.25">
      <c r="A282" s="1">
        <f t="shared" ca="1" si="4"/>
        <v>7575</v>
      </c>
      <c r="B282" s="36">
        <v>7540</v>
      </c>
      <c r="C282" s="37">
        <v>7535</v>
      </c>
      <c r="D282" s="38">
        <v>300</v>
      </c>
      <c r="E282" s="39">
        <v>295</v>
      </c>
      <c r="F282" s="5">
        <v>0</v>
      </c>
      <c r="G282" s="6">
        <v>0</v>
      </c>
    </row>
    <row r="283" spans="1:7" x14ac:dyDescent="0.25">
      <c r="A283" s="1">
        <f t="shared" ca="1" si="4"/>
        <v>7576</v>
      </c>
      <c r="B283" s="36">
        <v>7560</v>
      </c>
      <c r="C283" s="37">
        <v>7540</v>
      </c>
      <c r="D283" s="38">
        <v>305</v>
      </c>
      <c r="E283" s="39">
        <v>300</v>
      </c>
      <c r="F283" s="5">
        <v>0</v>
      </c>
      <c r="G283" s="6">
        <v>0</v>
      </c>
    </row>
    <row r="284" spans="1:7" x14ac:dyDescent="0.25">
      <c r="A284" s="1">
        <f t="shared" ca="1" si="4"/>
        <v>7577</v>
      </c>
      <c r="B284" s="36">
        <v>7550</v>
      </c>
      <c r="C284" s="37">
        <v>7540</v>
      </c>
      <c r="D284" s="38">
        <v>315</v>
      </c>
      <c r="E284" s="39">
        <v>300</v>
      </c>
      <c r="F284" s="5">
        <v>0</v>
      </c>
      <c r="G284" s="6">
        <v>0</v>
      </c>
    </row>
    <row r="285" spans="1:7" x14ac:dyDescent="0.25">
      <c r="A285" s="1">
        <f t="shared" ca="1" si="4"/>
        <v>7578</v>
      </c>
      <c r="B285" s="36">
        <v>7570</v>
      </c>
      <c r="C285" s="37">
        <v>7550</v>
      </c>
      <c r="D285" s="38">
        <v>305</v>
      </c>
      <c r="E285" s="39">
        <v>300</v>
      </c>
      <c r="F285" s="5">
        <v>0</v>
      </c>
      <c r="G285" s="6">
        <v>0</v>
      </c>
    </row>
    <row r="286" spans="1:7" x14ac:dyDescent="0.25">
      <c r="A286" s="1">
        <f t="shared" ca="1" si="4"/>
        <v>7579</v>
      </c>
      <c r="B286" s="36">
        <v>7575</v>
      </c>
      <c r="C286" s="37">
        <v>7560</v>
      </c>
      <c r="D286" s="38">
        <v>305</v>
      </c>
      <c r="E286" s="39">
        <v>300</v>
      </c>
      <c r="F286" s="5">
        <v>0</v>
      </c>
      <c r="G286" s="6">
        <v>0</v>
      </c>
    </row>
    <row r="287" spans="1:7" x14ac:dyDescent="0.25">
      <c r="A287" s="1" t="str">
        <f t="shared" ca="1" si="4"/>
        <v>Totaal</v>
      </c>
      <c r="B287" s="21">
        <f>IF(COUNT(B257:B286)&gt;0,AVERAGE(B257:B286)/10,"")</f>
        <v>756.18333333333328</v>
      </c>
      <c r="C287" s="22">
        <f>IF(COUNT(C257:C286)&gt;0,AVERAGE(C257:C286)/10,"")</f>
        <v>754.8</v>
      </c>
      <c r="D287" s="23">
        <f>IF(COUNT(D257:D286)&gt;0,AVERAGE(D257:D286)/10,"")</f>
        <v>30.4</v>
      </c>
      <c r="E287" s="24">
        <f>IF(COUNT(E257:E286)&gt;0,AVERAGE(E257:E286)/10,"")</f>
        <v>29.9</v>
      </c>
      <c r="F287" s="25">
        <f>SUM(F257:F286)/10</f>
        <v>20</v>
      </c>
      <c r="G287" s="26">
        <f>SUM(G257:G286)/10</f>
        <v>52.5</v>
      </c>
    </row>
    <row r="288" spans="1:7" x14ac:dyDescent="0.25">
      <c r="A288" s="1">
        <f t="shared" ca="1" si="4"/>
        <v>7580</v>
      </c>
      <c r="B288" s="36">
        <v>7570</v>
      </c>
      <c r="C288" s="37">
        <v>7550</v>
      </c>
      <c r="D288" s="38">
        <v>310</v>
      </c>
      <c r="E288" s="39">
        <v>300</v>
      </c>
      <c r="F288" s="5">
        <v>0</v>
      </c>
      <c r="G288" s="6">
        <v>0</v>
      </c>
    </row>
    <row r="289" spans="1:7" x14ac:dyDescent="0.25">
      <c r="A289" s="1">
        <f t="shared" ca="1" si="4"/>
        <v>7581</v>
      </c>
      <c r="B289" s="36">
        <v>7575</v>
      </c>
      <c r="C289" s="37">
        <v>7545</v>
      </c>
      <c r="D289" s="38">
        <v>300</v>
      </c>
      <c r="E289" s="39">
        <v>290</v>
      </c>
      <c r="F289" s="5">
        <v>0</v>
      </c>
      <c r="G289" s="6">
        <v>0</v>
      </c>
    </row>
    <row r="290" spans="1:7" x14ac:dyDescent="0.25">
      <c r="A290" s="1">
        <f t="shared" ca="1" si="4"/>
        <v>7582</v>
      </c>
      <c r="B290" s="36">
        <v>7575</v>
      </c>
      <c r="C290" s="37">
        <v>7545</v>
      </c>
      <c r="D290" s="38">
        <v>300</v>
      </c>
      <c r="E290" s="39">
        <v>290</v>
      </c>
      <c r="F290" s="5">
        <v>0</v>
      </c>
      <c r="G290" s="6">
        <v>25</v>
      </c>
    </row>
    <row r="291" spans="1:7" x14ac:dyDescent="0.25">
      <c r="A291" s="1">
        <f t="shared" ca="1" si="4"/>
        <v>7583</v>
      </c>
      <c r="B291" s="36">
        <v>7570</v>
      </c>
      <c r="C291" s="37">
        <v>7550</v>
      </c>
      <c r="D291" s="38">
        <v>300</v>
      </c>
      <c r="E291" s="39">
        <v>290</v>
      </c>
      <c r="F291" s="5">
        <v>0</v>
      </c>
      <c r="G291" s="6">
        <v>0</v>
      </c>
    </row>
    <row r="292" spans="1:7" x14ac:dyDescent="0.25">
      <c r="A292" s="1">
        <f t="shared" ca="1" si="4"/>
        <v>7584</v>
      </c>
      <c r="B292" s="36">
        <v>7575</v>
      </c>
      <c r="C292" s="37">
        <v>7560</v>
      </c>
      <c r="D292" s="38">
        <v>300</v>
      </c>
      <c r="E292" s="39">
        <v>290</v>
      </c>
      <c r="F292" s="5">
        <v>0</v>
      </c>
      <c r="G292" s="6">
        <v>0</v>
      </c>
    </row>
    <row r="293" spans="1:7" x14ac:dyDescent="0.25">
      <c r="A293" s="1">
        <f t="shared" ca="1" si="4"/>
        <v>7585</v>
      </c>
      <c r="B293" s="36">
        <v>7575</v>
      </c>
      <c r="C293" s="37">
        <v>7545</v>
      </c>
      <c r="D293" s="38">
        <v>305</v>
      </c>
      <c r="E293" s="39">
        <v>300</v>
      </c>
      <c r="F293" s="5">
        <v>0</v>
      </c>
      <c r="G293" s="6">
        <v>0</v>
      </c>
    </row>
    <row r="294" spans="1:7" x14ac:dyDescent="0.25">
      <c r="A294" s="1">
        <f t="shared" ca="1" si="4"/>
        <v>7586</v>
      </c>
      <c r="B294" s="36">
        <v>7560</v>
      </c>
      <c r="C294" s="37">
        <v>7535</v>
      </c>
      <c r="D294" s="38">
        <v>300</v>
      </c>
      <c r="E294" s="39">
        <v>290</v>
      </c>
      <c r="F294" s="5">
        <v>0</v>
      </c>
      <c r="G294" s="6">
        <v>0</v>
      </c>
    </row>
    <row r="295" spans="1:7" x14ac:dyDescent="0.25">
      <c r="A295" s="1">
        <f t="shared" ca="1" si="4"/>
        <v>7587</v>
      </c>
      <c r="B295" s="36">
        <v>7565</v>
      </c>
      <c r="C295" s="37">
        <v>7540</v>
      </c>
      <c r="D295" s="38">
        <v>300</v>
      </c>
      <c r="E295" s="39">
        <v>290</v>
      </c>
      <c r="F295" s="5">
        <v>0</v>
      </c>
      <c r="G295" s="6">
        <v>0</v>
      </c>
    </row>
    <row r="296" spans="1:7" x14ac:dyDescent="0.25">
      <c r="A296" s="1">
        <f t="shared" ca="1" si="4"/>
        <v>7588</v>
      </c>
      <c r="B296" s="36">
        <v>7570</v>
      </c>
      <c r="C296" s="37">
        <v>7550</v>
      </c>
      <c r="D296" s="38">
        <v>300</v>
      </c>
      <c r="E296" s="39">
        <v>290</v>
      </c>
      <c r="F296" s="5">
        <v>0</v>
      </c>
      <c r="G296" s="6">
        <v>0</v>
      </c>
    </row>
    <row r="297" spans="1:7" x14ac:dyDescent="0.25">
      <c r="A297" s="1">
        <f t="shared" ca="1" si="4"/>
        <v>7589</v>
      </c>
      <c r="B297" s="36">
        <v>7570</v>
      </c>
      <c r="C297" s="37">
        <v>7550</v>
      </c>
      <c r="D297" s="38">
        <v>300</v>
      </c>
      <c r="E297" s="39">
        <v>290</v>
      </c>
      <c r="F297" s="5">
        <v>0</v>
      </c>
      <c r="G297" s="6">
        <v>0</v>
      </c>
    </row>
    <row r="298" spans="1:7" x14ac:dyDescent="0.25">
      <c r="A298" s="1">
        <f t="shared" ca="1" si="4"/>
        <v>7590</v>
      </c>
      <c r="B298" s="36">
        <v>7570</v>
      </c>
      <c r="C298" s="37">
        <v>7550</v>
      </c>
      <c r="D298" s="38">
        <v>300</v>
      </c>
      <c r="E298" s="39">
        <v>300</v>
      </c>
      <c r="F298" s="5">
        <v>0</v>
      </c>
      <c r="G298" s="6">
        <v>0</v>
      </c>
    </row>
    <row r="299" spans="1:7" x14ac:dyDescent="0.25">
      <c r="A299" s="1">
        <f t="shared" ca="1" si="4"/>
        <v>7591</v>
      </c>
      <c r="B299" s="36">
        <v>7565</v>
      </c>
      <c r="C299" s="37">
        <v>7550</v>
      </c>
      <c r="D299" s="38">
        <v>300</v>
      </c>
      <c r="E299" s="39">
        <v>290</v>
      </c>
      <c r="F299" s="5">
        <v>0</v>
      </c>
      <c r="G299" s="6">
        <v>40</v>
      </c>
    </row>
    <row r="300" spans="1:7" x14ac:dyDescent="0.25">
      <c r="A300" s="1">
        <f t="shared" ca="1" si="4"/>
        <v>7592</v>
      </c>
      <c r="B300" s="36">
        <v>7560</v>
      </c>
      <c r="C300" s="37">
        <v>7550</v>
      </c>
      <c r="D300" s="38">
        <v>300</v>
      </c>
      <c r="E300" s="39">
        <v>290</v>
      </c>
      <c r="F300" s="5">
        <v>0</v>
      </c>
      <c r="G300" s="6">
        <v>0</v>
      </c>
    </row>
    <row r="301" spans="1:7" x14ac:dyDescent="0.25">
      <c r="A301" s="1">
        <f t="shared" ca="1" si="4"/>
        <v>7593</v>
      </c>
      <c r="B301" s="36">
        <v>7540</v>
      </c>
      <c r="C301" s="37">
        <v>7520</v>
      </c>
      <c r="D301" s="38">
        <v>310</v>
      </c>
      <c r="E301" s="39">
        <v>300</v>
      </c>
      <c r="F301" s="5">
        <v>0</v>
      </c>
      <c r="G301" s="6">
        <v>0</v>
      </c>
    </row>
    <row r="302" spans="1:7" x14ac:dyDescent="0.25">
      <c r="A302" s="1">
        <f t="shared" ca="1" si="4"/>
        <v>7594</v>
      </c>
      <c r="B302" s="36">
        <v>7565</v>
      </c>
      <c r="C302" s="37">
        <v>7540</v>
      </c>
      <c r="D302" s="38">
        <v>310</v>
      </c>
      <c r="E302" s="39">
        <v>290</v>
      </c>
      <c r="F302" s="5">
        <v>0</v>
      </c>
      <c r="G302" s="6">
        <v>0</v>
      </c>
    </row>
    <row r="303" spans="1:7" x14ac:dyDescent="0.25">
      <c r="A303" s="1">
        <f t="shared" ca="1" si="4"/>
        <v>7595</v>
      </c>
      <c r="B303" s="36">
        <v>7565</v>
      </c>
      <c r="C303" s="37">
        <v>7530</v>
      </c>
      <c r="D303" s="38">
        <v>300</v>
      </c>
      <c r="E303" s="39">
        <v>290</v>
      </c>
      <c r="F303" s="5">
        <v>0</v>
      </c>
      <c r="G303" s="6">
        <v>0</v>
      </c>
    </row>
    <row r="304" spans="1:7" x14ac:dyDescent="0.25">
      <c r="A304" s="1">
        <f t="shared" ca="1" si="4"/>
        <v>7596</v>
      </c>
      <c r="B304" s="36">
        <v>7565</v>
      </c>
      <c r="C304" s="37">
        <v>7530</v>
      </c>
      <c r="D304" s="38">
        <v>300</v>
      </c>
      <c r="E304" s="39">
        <v>290</v>
      </c>
      <c r="F304" s="5">
        <v>0</v>
      </c>
      <c r="G304" s="6">
        <v>0</v>
      </c>
    </row>
    <row r="305" spans="1:7" x14ac:dyDescent="0.25">
      <c r="A305" s="1">
        <f t="shared" ca="1" si="4"/>
        <v>7597</v>
      </c>
      <c r="B305" s="36">
        <v>7555</v>
      </c>
      <c r="C305" s="37">
        <v>7535</v>
      </c>
      <c r="D305" s="38">
        <v>310</v>
      </c>
      <c r="E305" s="39">
        <v>300</v>
      </c>
      <c r="F305" s="5">
        <v>0</v>
      </c>
      <c r="G305" s="6">
        <v>0</v>
      </c>
    </row>
    <row r="306" spans="1:7" x14ac:dyDescent="0.25">
      <c r="A306" s="1">
        <f t="shared" ca="1" si="4"/>
        <v>7598</v>
      </c>
      <c r="B306" s="36">
        <v>7550</v>
      </c>
      <c r="C306" s="37">
        <v>7535</v>
      </c>
      <c r="D306" s="38">
        <v>300</v>
      </c>
      <c r="E306" s="39">
        <v>300</v>
      </c>
      <c r="F306" s="5">
        <v>0</v>
      </c>
      <c r="G306" s="6">
        <v>0</v>
      </c>
    </row>
    <row r="307" spans="1:7" x14ac:dyDescent="0.25">
      <c r="A307" s="1">
        <f t="shared" ca="1" si="4"/>
        <v>7599</v>
      </c>
      <c r="B307" s="36">
        <v>7530</v>
      </c>
      <c r="C307" s="37">
        <v>7530</v>
      </c>
      <c r="D307" s="38">
        <v>300</v>
      </c>
      <c r="E307" s="39">
        <v>295</v>
      </c>
      <c r="F307" s="5">
        <v>0</v>
      </c>
      <c r="G307" s="6">
        <v>0</v>
      </c>
    </row>
    <row r="308" spans="1:7" x14ac:dyDescent="0.25">
      <c r="A308" s="1">
        <f t="shared" ca="1" si="4"/>
        <v>7600</v>
      </c>
      <c r="B308" s="36">
        <v>7560</v>
      </c>
      <c r="C308" s="37">
        <v>7535</v>
      </c>
      <c r="D308" s="38">
        <v>300</v>
      </c>
      <c r="E308" s="39">
        <v>290</v>
      </c>
      <c r="F308" s="5">
        <v>0</v>
      </c>
      <c r="G308" s="6">
        <v>0</v>
      </c>
    </row>
    <row r="309" spans="1:7" x14ac:dyDescent="0.25">
      <c r="A309" s="1">
        <f t="shared" ca="1" si="4"/>
        <v>7601</v>
      </c>
      <c r="B309" s="36">
        <v>7550</v>
      </c>
      <c r="C309" s="37">
        <v>7520</v>
      </c>
      <c r="D309" s="38">
        <v>300</v>
      </c>
      <c r="E309" s="39">
        <v>290</v>
      </c>
      <c r="F309" s="5">
        <v>0</v>
      </c>
      <c r="G309" s="6">
        <v>0</v>
      </c>
    </row>
    <row r="310" spans="1:7" x14ac:dyDescent="0.25">
      <c r="A310" s="1">
        <f t="shared" ca="1" si="4"/>
        <v>7602</v>
      </c>
      <c r="B310" s="36">
        <v>7550</v>
      </c>
      <c r="C310" s="37">
        <v>7530</v>
      </c>
      <c r="D310" s="38">
        <v>300</v>
      </c>
      <c r="E310" s="39">
        <v>290</v>
      </c>
      <c r="F310" s="5">
        <v>0</v>
      </c>
      <c r="G310" s="6">
        <v>0</v>
      </c>
    </row>
    <row r="311" spans="1:7" x14ac:dyDescent="0.25">
      <c r="A311" s="1">
        <f t="shared" ca="1" si="4"/>
        <v>7603</v>
      </c>
      <c r="B311" s="36">
        <v>7550</v>
      </c>
      <c r="C311" s="37">
        <v>7530</v>
      </c>
      <c r="D311" s="38">
        <v>300</v>
      </c>
      <c r="E311" s="39">
        <v>290</v>
      </c>
      <c r="F311" s="5">
        <v>0</v>
      </c>
      <c r="G311" s="6">
        <v>0</v>
      </c>
    </row>
    <row r="312" spans="1:7" x14ac:dyDescent="0.25">
      <c r="A312" s="1">
        <f t="shared" ca="1" si="4"/>
        <v>7604</v>
      </c>
      <c r="B312" s="36">
        <v>7555</v>
      </c>
      <c r="C312" s="37">
        <v>7530</v>
      </c>
      <c r="D312" s="38">
        <v>290</v>
      </c>
      <c r="E312" s="39">
        <v>280</v>
      </c>
      <c r="F312" s="5">
        <v>0</v>
      </c>
      <c r="G312" s="6">
        <v>17</v>
      </c>
    </row>
    <row r="313" spans="1:7" x14ac:dyDescent="0.25">
      <c r="A313" s="1">
        <f t="shared" ca="1" si="4"/>
        <v>7605</v>
      </c>
      <c r="B313" s="36">
        <v>7540</v>
      </c>
      <c r="C313" s="37">
        <v>7520</v>
      </c>
      <c r="D313" s="38">
        <v>290</v>
      </c>
      <c r="E313" s="39">
        <v>280</v>
      </c>
      <c r="F313" s="5">
        <v>0</v>
      </c>
      <c r="G313" s="6">
        <v>0</v>
      </c>
    </row>
    <row r="314" spans="1:7" x14ac:dyDescent="0.25">
      <c r="A314" s="1">
        <f t="shared" ca="1" si="4"/>
        <v>7606</v>
      </c>
      <c r="B314" s="36">
        <v>7550</v>
      </c>
      <c r="C314" s="37">
        <v>7530</v>
      </c>
      <c r="D314" s="38">
        <v>310</v>
      </c>
      <c r="E314" s="39">
        <v>300</v>
      </c>
      <c r="F314" s="5">
        <v>0</v>
      </c>
      <c r="G314" s="6">
        <v>0</v>
      </c>
    </row>
    <row r="315" spans="1:7" x14ac:dyDescent="0.25">
      <c r="A315" s="1">
        <f t="shared" ca="1" si="4"/>
        <v>7607</v>
      </c>
      <c r="B315" s="36">
        <v>7550</v>
      </c>
      <c r="C315" s="37">
        <v>7515</v>
      </c>
      <c r="D315" s="38">
        <v>310</v>
      </c>
      <c r="E315" s="39">
        <v>300</v>
      </c>
      <c r="F315" s="5">
        <v>0</v>
      </c>
      <c r="G315" s="6">
        <v>0</v>
      </c>
    </row>
    <row r="316" spans="1:7" x14ac:dyDescent="0.25">
      <c r="A316" s="1">
        <f t="shared" ca="1" si="4"/>
        <v>7608</v>
      </c>
      <c r="B316" s="36">
        <v>7550</v>
      </c>
      <c r="C316" s="37">
        <v>7545</v>
      </c>
      <c r="D316" s="38">
        <v>300</v>
      </c>
      <c r="E316" s="39">
        <v>295</v>
      </c>
      <c r="F316" s="5">
        <v>0</v>
      </c>
      <c r="G316" s="6">
        <v>0</v>
      </c>
    </row>
    <row r="317" spans="1:7" x14ac:dyDescent="0.25">
      <c r="A317" s="1">
        <f t="shared" ca="1" si="4"/>
        <v>7609</v>
      </c>
      <c r="B317" s="36">
        <v>7555</v>
      </c>
      <c r="C317" s="37">
        <v>7535</v>
      </c>
      <c r="D317" s="38">
        <v>305</v>
      </c>
      <c r="E317" s="39">
        <v>300</v>
      </c>
      <c r="F317" s="5">
        <v>0</v>
      </c>
      <c r="G317" s="6">
        <v>0</v>
      </c>
    </row>
    <row r="318" spans="1:7" x14ac:dyDescent="0.25">
      <c r="A318" s="1">
        <f t="shared" ca="1" si="4"/>
        <v>7610</v>
      </c>
      <c r="B318" s="36">
        <v>7555</v>
      </c>
      <c r="C318" s="37">
        <v>7535</v>
      </c>
      <c r="D318" s="38">
        <v>305</v>
      </c>
      <c r="E318" s="39">
        <v>300</v>
      </c>
      <c r="F318" s="5">
        <v>0</v>
      </c>
      <c r="G318" s="6">
        <v>0</v>
      </c>
    </row>
    <row r="319" spans="1:7" x14ac:dyDescent="0.25">
      <c r="A319" s="1" t="str">
        <f t="shared" ca="1" si="4"/>
        <v>Totaal</v>
      </c>
      <c r="B319" s="21">
        <f>IF(COUNT(B288:B318)&gt;0,AVERAGE(B288:B318)/10,"")</f>
        <v>755.91935483870964</v>
      </c>
      <c r="C319" s="22">
        <f>IF(COUNT(C288:C318)&gt;0,AVERAGE(C288:C318)/10,"")</f>
        <v>753.75806451612902</v>
      </c>
      <c r="D319" s="23">
        <f>IF(COUNT(D288:D318)&gt;0,AVERAGE(D288:D318)/10,"")</f>
        <v>30.177419354838708</v>
      </c>
      <c r="E319" s="24">
        <f>IF(COUNT(E288:E318)&gt;0,AVERAGE(E288:E318)/10,"")</f>
        <v>29.29032258064516</v>
      </c>
      <c r="F319" s="25">
        <f>SUM(F288:F318)/10</f>
        <v>0</v>
      </c>
      <c r="G319" s="26">
        <f>SUM(G288:G318)/10</f>
        <v>8.1999999999999993</v>
      </c>
    </row>
    <row r="320" spans="1:7" x14ac:dyDescent="0.25">
      <c r="A320" s="1">
        <f t="shared" ca="1" si="4"/>
        <v>7611</v>
      </c>
      <c r="B320" s="36">
        <v>7555</v>
      </c>
      <c r="C320" s="37">
        <v>7530</v>
      </c>
      <c r="D320" s="38">
        <v>300</v>
      </c>
      <c r="E320" s="39">
        <v>290</v>
      </c>
      <c r="F320" s="5">
        <v>500</v>
      </c>
      <c r="G320" s="6">
        <v>0</v>
      </c>
    </row>
    <row r="321" spans="1:7" x14ac:dyDescent="0.25">
      <c r="A321" s="1">
        <f t="shared" ca="1" si="4"/>
        <v>7612</v>
      </c>
      <c r="B321" s="36">
        <v>7555</v>
      </c>
      <c r="C321" s="37">
        <v>7535</v>
      </c>
      <c r="D321" s="38">
        <v>290</v>
      </c>
      <c r="E321" s="39">
        <v>280</v>
      </c>
      <c r="F321" s="5">
        <v>0</v>
      </c>
      <c r="G321" s="6">
        <v>96</v>
      </c>
    </row>
    <row r="322" spans="1:7" x14ac:dyDescent="0.25">
      <c r="A322" s="1">
        <f t="shared" ca="1" si="4"/>
        <v>7613</v>
      </c>
      <c r="B322" s="36">
        <v>7555</v>
      </c>
      <c r="C322" s="37">
        <v>7530</v>
      </c>
      <c r="D322" s="38">
        <v>290</v>
      </c>
      <c r="E322" s="39">
        <v>280</v>
      </c>
      <c r="F322" s="5">
        <v>90</v>
      </c>
      <c r="G322" s="6">
        <v>165</v>
      </c>
    </row>
    <row r="323" spans="1:7" x14ac:dyDescent="0.25">
      <c r="A323" s="1">
        <f t="shared" ca="1" si="4"/>
        <v>7614</v>
      </c>
      <c r="B323" s="36">
        <v>7550</v>
      </c>
      <c r="C323" s="37">
        <v>7525</v>
      </c>
      <c r="D323" s="38">
        <v>300</v>
      </c>
      <c r="E323" s="39">
        <v>290</v>
      </c>
      <c r="F323" s="5">
        <v>0</v>
      </c>
      <c r="G323" s="6">
        <v>0</v>
      </c>
    </row>
    <row r="324" spans="1:7" x14ac:dyDescent="0.25">
      <c r="A324" s="1">
        <f t="shared" ca="1" si="4"/>
        <v>7615</v>
      </c>
      <c r="B324" s="36">
        <v>7550</v>
      </c>
      <c r="C324" s="37">
        <v>7535</v>
      </c>
      <c r="D324" s="38">
        <v>300</v>
      </c>
      <c r="E324" s="39">
        <v>300</v>
      </c>
      <c r="F324" s="5">
        <v>0</v>
      </c>
      <c r="G324" s="6">
        <v>0</v>
      </c>
    </row>
    <row r="325" spans="1:7" x14ac:dyDescent="0.25">
      <c r="A325" s="1">
        <f t="shared" ca="1" si="4"/>
        <v>7616</v>
      </c>
      <c r="B325" s="36">
        <v>7550</v>
      </c>
      <c r="C325" s="37">
        <v>7525</v>
      </c>
      <c r="D325" s="38">
        <v>300</v>
      </c>
      <c r="E325" s="39">
        <v>290</v>
      </c>
      <c r="F325" s="5">
        <v>0</v>
      </c>
      <c r="G325" s="6">
        <v>16</v>
      </c>
    </row>
    <row r="326" spans="1:7" x14ac:dyDescent="0.25">
      <c r="A326" s="1">
        <f t="shared" ca="1" si="4"/>
        <v>7617</v>
      </c>
      <c r="B326" s="36">
        <v>7550</v>
      </c>
      <c r="C326" s="37">
        <v>7525</v>
      </c>
      <c r="D326" s="38">
        <v>300</v>
      </c>
      <c r="E326" s="39">
        <v>290</v>
      </c>
      <c r="F326" s="5">
        <v>0</v>
      </c>
      <c r="G326" s="6">
        <v>0</v>
      </c>
    </row>
    <row r="327" spans="1:7" x14ac:dyDescent="0.25">
      <c r="A327" s="1">
        <f t="shared" ref="A327:A382" ca="1" si="5">IF(ISTEXT(A326),A325+1,IF(MONTH(A326+1)=MONTH(A326),A326+1,"Totaal"))</f>
        <v>7618</v>
      </c>
      <c r="B327" s="36">
        <v>7545</v>
      </c>
      <c r="C327" s="37">
        <v>7525</v>
      </c>
      <c r="D327" s="38">
        <v>300</v>
      </c>
      <c r="E327" s="39">
        <v>290</v>
      </c>
      <c r="F327" s="5">
        <v>0</v>
      </c>
      <c r="G327" s="6">
        <v>0</v>
      </c>
    </row>
    <row r="328" spans="1:7" x14ac:dyDescent="0.25">
      <c r="A328" s="1">
        <f t="shared" ca="1" si="5"/>
        <v>7619</v>
      </c>
      <c r="B328" s="36">
        <v>7565</v>
      </c>
      <c r="C328" s="37">
        <v>7545</v>
      </c>
      <c r="D328" s="38">
        <v>300</v>
      </c>
      <c r="E328" s="39">
        <v>290</v>
      </c>
      <c r="F328" s="5">
        <v>0</v>
      </c>
      <c r="G328" s="6">
        <v>0</v>
      </c>
    </row>
    <row r="329" spans="1:7" x14ac:dyDescent="0.25">
      <c r="A329" s="1">
        <f t="shared" ca="1" si="5"/>
        <v>7620</v>
      </c>
      <c r="B329" s="36">
        <v>7560</v>
      </c>
      <c r="C329" s="37">
        <v>7550</v>
      </c>
      <c r="D329" s="38">
        <v>300</v>
      </c>
      <c r="E329" s="39">
        <v>290</v>
      </c>
      <c r="F329" s="5">
        <v>0</v>
      </c>
      <c r="G329" s="6">
        <v>0</v>
      </c>
    </row>
    <row r="330" spans="1:7" x14ac:dyDescent="0.25">
      <c r="A330" s="1">
        <f t="shared" ca="1" si="5"/>
        <v>7621</v>
      </c>
      <c r="B330" s="36">
        <v>7550</v>
      </c>
      <c r="C330" s="37">
        <v>7520</v>
      </c>
      <c r="D330" s="38">
        <v>300</v>
      </c>
      <c r="E330" s="39">
        <v>295</v>
      </c>
      <c r="F330" s="5">
        <v>50</v>
      </c>
      <c r="G330" s="6">
        <v>0</v>
      </c>
    </row>
    <row r="331" spans="1:7" x14ac:dyDescent="0.25">
      <c r="A331" s="1">
        <f t="shared" ca="1" si="5"/>
        <v>7622</v>
      </c>
      <c r="B331" s="36">
        <v>7560</v>
      </c>
      <c r="C331" s="37">
        <v>7545</v>
      </c>
      <c r="D331" s="38">
        <v>300</v>
      </c>
      <c r="E331" s="39">
        <v>290</v>
      </c>
      <c r="F331" s="5">
        <v>0</v>
      </c>
      <c r="G331" s="6">
        <v>53</v>
      </c>
    </row>
    <row r="332" spans="1:7" x14ac:dyDescent="0.25">
      <c r="A332" s="1">
        <f t="shared" ca="1" si="5"/>
        <v>7623</v>
      </c>
      <c r="B332" s="36">
        <v>7565</v>
      </c>
      <c r="C332" s="37">
        <v>7550</v>
      </c>
      <c r="D332" s="38">
        <v>290</v>
      </c>
      <c r="E332" s="39">
        <v>290</v>
      </c>
      <c r="F332" s="5">
        <v>0</v>
      </c>
      <c r="G332" s="6">
        <v>0</v>
      </c>
    </row>
    <row r="333" spans="1:7" x14ac:dyDescent="0.25">
      <c r="A333" s="1">
        <f t="shared" ca="1" si="5"/>
        <v>7624</v>
      </c>
      <c r="B333" s="36">
        <v>7565</v>
      </c>
      <c r="C333" s="37">
        <v>7550</v>
      </c>
      <c r="D333" s="38">
        <v>290</v>
      </c>
      <c r="E333" s="39">
        <v>290</v>
      </c>
      <c r="F333" s="5">
        <v>0</v>
      </c>
      <c r="G333" s="6">
        <v>102</v>
      </c>
    </row>
    <row r="334" spans="1:7" x14ac:dyDescent="0.25">
      <c r="A334" s="1">
        <f t="shared" ca="1" si="5"/>
        <v>7625</v>
      </c>
      <c r="B334" s="36">
        <v>7575</v>
      </c>
      <c r="C334" s="37">
        <v>7545</v>
      </c>
      <c r="D334" s="38">
        <v>280</v>
      </c>
      <c r="E334" s="39">
        <v>270</v>
      </c>
      <c r="F334" s="5">
        <v>130</v>
      </c>
      <c r="G334" s="6">
        <v>66</v>
      </c>
    </row>
    <row r="335" spans="1:7" x14ac:dyDescent="0.25">
      <c r="A335" s="1">
        <f t="shared" ca="1" si="5"/>
        <v>7626</v>
      </c>
      <c r="B335" s="36">
        <v>7565</v>
      </c>
      <c r="C335" s="37">
        <v>7545</v>
      </c>
      <c r="D335" s="38">
        <v>280</v>
      </c>
      <c r="E335" s="39">
        <v>270</v>
      </c>
      <c r="F335" s="5">
        <v>50</v>
      </c>
      <c r="G335" s="6">
        <v>64</v>
      </c>
    </row>
    <row r="336" spans="1:7" x14ac:dyDescent="0.25">
      <c r="A336" s="1">
        <f t="shared" ca="1" si="5"/>
        <v>7627</v>
      </c>
      <c r="B336" s="36">
        <v>7570</v>
      </c>
      <c r="C336" s="37">
        <v>7550</v>
      </c>
      <c r="D336" s="38">
        <v>290</v>
      </c>
      <c r="E336" s="39">
        <v>280</v>
      </c>
      <c r="F336" s="5">
        <v>70</v>
      </c>
      <c r="G336" s="6">
        <v>9</v>
      </c>
    </row>
    <row r="337" spans="1:7" x14ac:dyDescent="0.25">
      <c r="A337" s="1">
        <f t="shared" ca="1" si="5"/>
        <v>7628</v>
      </c>
      <c r="B337" s="36">
        <v>7570</v>
      </c>
      <c r="C337" s="37">
        <v>7550</v>
      </c>
      <c r="D337" s="38">
        <v>290</v>
      </c>
      <c r="E337" s="39">
        <v>280</v>
      </c>
      <c r="F337" s="5">
        <v>72</v>
      </c>
      <c r="G337" s="6">
        <v>0</v>
      </c>
    </row>
    <row r="338" spans="1:7" x14ac:dyDescent="0.25">
      <c r="A338" s="1">
        <f t="shared" ca="1" si="5"/>
        <v>7629</v>
      </c>
      <c r="B338" s="36">
        <v>7565</v>
      </c>
      <c r="C338" s="37">
        <v>7560</v>
      </c>
      <c r="D338" s="38">
        <v>290</v>
      </c>
      <c r="E338" s="39">
        <v>280</v>
      </c>
      <c r="F338" s="5">
        <v>0</v>
      </c>
      <c r="G338" s="6">
        <v>49</v>
      </c>
    </row>
    <row r="339" spans="1:7" x14ac:dyDescent="0.25">
      <c r="A339" s="1">
        <f t="shared" ca="1" si="5"/>
        <v>7630</v>
      </c>
      <c r="B339" s="36">
        <v>7550</v>
      </c>
      <c r="C339" s="37">
        <v>7545</v>
      </c>
      <c r="D339" s="38">
        <v>290</v>
      </c>
      <c r="E339" s="39">
        <v>280</v>
      </c>
      <c r="F339" s="5">
        <v>0</v>
      </c>
      <c r="G339" s="6">
        <v>0</v>
      </c>
    </row>
    <row r="340" spans="1:7" x14ac:dyDescent="0.25">
      <c r="A340" s="1">
        <f t="shared" ca="1" si="5"/>
        <v>7631</v>
      </c>
      <c r="B340" s="36">
        <v>7560</v>
      </c>
      <c r="C340" s="37">
        <v>7545</v>
      </c>
      <c r="D340" s="38">
        <v>290</v>
      </c>
      <c r="E340" s="39">
        <v>280</v>
      </c>
      <c r="F340" s="5">
        <v>0</v>
      </c>
      <c r="G340" s="6">
        <v>85</v>
      </c>
    </row>
    <row r="341" spans="1:7" x14ac:dyDescent="0.25">
      <c r="A341" s="1">
        <f t="shared" ca="1" si="5"/>
        <v>7632</v>
      </c>
      <c r="B341" s="36">
        <v>7560</v>
      </c>
      <c r="C341" s="37">
        <v>7550</v>
      </c>
      <c r="D341" s="38">
        <v>290</v>
      </c>
      <c r="E341" s="39">
        <v>280</v>
      </c>
      <c r="F341" s="5">
        <v>0</v>
      </c>
      <c r="G341" s="6">
        <v>0</v>
      </c>
    </row>
    <row r="342" spans="1:7" x14ac:dyDescent="0.25">
      <c r="A342" s="1">
        <f t="shared" ca="1" si="5"/>
        <v>7633</v>
      </c>
      <c r="B342" s="36">
        <v>7570</v>
      </c>
      <c r="C342" s="37">
        <v>7545</v>
      </c>
      <c r="D342" s="38">
        <v>290</v>
      </c>
      <c r="E342" s="39">
        <v>270</v>
      </c>
      <c r="F342" s="5">
        <v>0</v>
      </c>
      <c r="G342" s="6">
        <v>0</v>
      </c>
    </row>
    <row r="343" spans="1:7" x14ac:dyDescent="0.25">
      <c r="A343" s="1">
        <f t="shared" ca="1" si="5"/>
        <v>7634</v>
      </c>
      <c r="B343" s="36">
        <v>7570</v>
      </c>
      <c r="C343" s="37">
        <v>7545</v>
      </c>
      <c r="D343" s="38">
        <v>290</v>
      </c>
      <c r="E343" s="39">
        <v>270</v>
      </c>
      <c r="F343" s="5">
        <v>0</v>
      </c>
      <c r="G343" s="6">
        <v>0</v>
      </c>
    </row>
    <row r="344" spans="1:7" x14ac:dyDescent="0.25">
      <c r="A344" s="1">
        <f t="shared" ca="1" si="5"/>
        <v>7635</v>
      </c>
      <c r="B344" s="36">
        <v>7565</v>
      </c>
      <c r="C344" s="37">
        <v>7540</v>
      </c>
      <c r="D344" s="38">
        <v>290</v>
      </c>
      <c r="E344" s="39">
        <v>280</v>
      </c>
      <c r="F344" s="5">
        <v>100</v>
      </c>
      <c r="G344" s="6">
        <v>20</v>
      </c>
    </row>
    <row r="345" spans="1:7" x14ac:dyDescent="0.25">
      <c r="A345" s="1">
        <f t="shared" ca="1" si="5"/>
        <v>7636</v>
      </c>
      <c r="B345" s="36">
        <v>7560</v>
      </c>
      <c r="C345" s="37">
        <v>7540</v>
      </c>
      <c r="D345" s="38">
        <v>290</v>
      </c>
      <c r="E345" s="39">
        <v>290</v>
      </c>
      <c r="F345" s="5">
        <v>0</v>
      </c>
      <c r="G345" s="6">
        <v>0</v>
      </c>
    </row>
    <row r="346" spans="1:7" x14ac:dyDescent="0.25">
      <c r="A346" s="1">
        <f t="shared" ca="1" si="5"/>
        <v>7637</v>
      </c>
      <c r="B346" s="36">
        <v>7565</v>
      </c>
      <c r="C346" s="37">
        <v>7550</v>
      </c>
      <c r="D346" s="38">
        <v>290</v>
      </c>
      <c r="E346" s="39">
        <v>290</v>
      </c>
      <c r="F346" s="5">
        <v>0</v>
      </c>
      <c r="G346" s="6">
        <v>0</v>
      </c>
    </row>
    <row r="347" spans="1:7" x14ac:dyDescent="0.25">
      <c r="A347" s="1">
        <f t="shared" ca="1" si="5"/>
        <v>7638</v>
      </c>
      <c r="B347" s="36">
        <v>7565</v>
      </c>
      <c r="C347" s="37">
        <v>7550</v>
      </c>
      <c r="D347" s="38">
        <v>290</v>
      </c>
      <c r="E347" s="39">
        <v>290</v>
      </c>
      <c r="F347" s="5">
        <v>0</v>
      </c>
      <c r="G347" s="6">
        <v>0</v>
      </c>
    </row>
    <row r="348" spans="1:7" x14ac:dyDescent="0.25">
      <c r="A348" s="1">
        <f t="shared" ca="1" si="5"/>
        <v>7639</v>
      </c>
      <c r="B348" s="36">
        <v>7575</v>
      </c>
      <c r="C348" s="37">
        <v>7555</v>
      </c>
      <c r="D348" s="38">
        <v>290</v>
      </c>
      <c r="E348" s="39">
        <v>290</v>
      </c>
      <c r="F348" s="5">
        <v>0</v>
      </c>
      <c r="G348" s="6">
        <v>0</v>
      </c>
    </row>
    <row r="349" spans="1:7" x14ac:dyDescent="0.25">
      <c r="A349" s="1">
        <f t="shared" ca="1" si="5"/>
        <v>7640</v>
      </c>
      <c r="B349" s="36">
        <v>7575</v>
      </c>
      <c r="C349" s="37">
        <v>7550</v>
      </c>
      <c r="D349" s="38">
        <v>290</v>
      </c>
      <c r="E349" s="39">
        <v>290</v>
      </c>
      <c r="F349" s="5">
        <v>0</v>
      </c>
      <c r="G349" s="6">
        <v>0</v>
      </c>
    </row>
    <row r="350" spans="1:7" x14ac:dyDescent="0.25">
      <c r="A350" s="1" t="str">
        <f t="shared" ca="1" si="5"/>
        <v>Totaal</v>
      </c>
      <c r="B350" s="21">
        <f>IF(COUNT(B320:B349)&gt;0,AVERAGE(B320:B349)/10,"")</f>
        <v>756.11666666666667</v>
      </c>
      <c r="C350" s="22">
        <f>IF(COUNT(C320:C349)&gt;0,AVERAGE(C320:C349)/10,"")</f>
        <v>754.18333333333328</v>
      </c>
      <c r="D350" s="23">
        <f>IF(COUNT(D320:D349)&gt;0,AVERAGE(D320:D349)/10,"")</f>
        <v>29.266666666666669</v>
      </c>
      <c r="E350" s="24">
        <f>IF(COUNT(E320:E349)&gt;0,AVERAGE(E320:E349)/10,"")</f>
        <v>28.483333333333331</v>
      </c>
      <c r="F350" s="25">
        <f>SUM(F320:F349)/10</f>
        <v>106.2</v>
      </c>
      <c r="G350" s="26">
        <f>SUM(G320:G349)/10</f>
        <v>72.5</v>
      </c>
    </row>
    <row r="351" spans="1:7" x14ac:dyDescent="0.25">
      <c r="A351" s="1">
        <f t="shared" ca="1" si="5"/>
        <v>7641</v>
      </c>
      <c r="B351" s="36">
        <v>7575</v>
      </c>
      <c r="C351" s="37">
        <v>7560</v>
      </c>
      <c r="D351" s="38">
        <v>290</v>
      </c>
      <c r="E351" s="39">
        <v>280</v>
      </c>
      <c r="F351" s="5">
        <v>0</v>
      </c>
      <c r="G351" s="6">
        <v>0</v>
      </c>
    </row>
    <row r="352" spans="1:7" x14ac:dyDescent="0.25">
      <c r="A352" s="1">
        <f t="shared" ca="1" si="5"/>
        <v>7642</v>
      </c>
      <c r="B352" s="36">
        <v>7575</v>
      </c>
      <c r="C352" s="37">
        <v>7550</v>
      </c>
      <c r="D352" s="38">
        <v>290</v>
      </c>
      <c r="E352" s="39">
        <v>280</v>
      </c>
      <c r="F352" s="5">
        <v>26</v>
      </c>
      <c r="G352" s="6">
        <v>42</v>
      </c>
    </row>
    <row r="353" spans="1:7" x14ac:dyDescent="0.25">
      <c r="A353" s="1">
        <f t="shared" ca="1" si="5"/>
        <v>7643</v>
      </c>
      <c r="B353" s="36">
        <v>7575</v>
      </c>
      <c r="C353" s="37">
        <v>7550</v>
      </c>
      <c r="D353" s="38">
        <v>290</v>
      </c>
      <c r="E353" s="39">
        <v>280</v>
      </c>
      <c r="F353" s="5">
        <v>0</v>
      </c>
      <c r="G353" s="6">
        <v>0</v>
      </c>
    </row>
    <row r="354" spans="1:7" x14ac:dyDescent="0.25">
      <c r="A354" s="1">
        <f t="shared" ca="1" si="5"/>
        <v>7644</v>
      </c>
      <c r="B354" s="36">
        <v>7570</v>
      </c>
      <c r="C354" s="37">
        <v>7550</v>
      </c>
      <c r="D354" s="38">
        <v>290</v>
      </c>
      <c r="E354" s="39">
        <v>280</v>
      </c>
      <c r="F354" s="5">
        <v>0</v>
      </c>
      <c r="G354" s="6">
        <v>0</v>
      </c>
    </row>
    <row r="355" spans="1:7" x14ac:dyDescent="0.25">
      <c r="A355" s="1">
        <f t="shared" ca="1" si="5"/>
        <v>7645</v>
      </c>
      <c r="B355" s="36">
        <v>7570</v>
      </c>
      <c r="C355" s="37">
        <v>7550</v>
      </c>
      <c r="D355" s="38">
        <v>290</v>
      </c>
      <c r="E355" s="39">
        <v>280</v>
      </c>
      <c r="F355" s="5">
        <v>0</v>
      </c>
      <c r="G355" s="6">
        <v>0</v>
      </c>
    </row>
    <row r="356" spans="1:7" x14ac:dyDescent="0.25">
      <c r="A356" s="1">
        <f t="shared" ca="1" si="5"/>
        <v>7646</v>
      </c>
      <c r="B356" s="36">
        <v>7560</v>
      </c>
      <c r="C356" s="37">
        <v>7535</v>
      </c>
      <c r="D356" s="38">
        <v>280</v>
      </c>
      <c r="E356" s="39">
        <v>270</v>
      </c>
      <c r="F356" s="5">
        <v>0</v>
      </c>
      <c r="G356" s="6">
        <v>46</v>
      </c>
    </row>
    <row r="357" spans="1:7" x14ac:dyDescent="0.25">
      <c r="A357" s="1">
        <f t="shared" ca="1" si="5"/>
        <v>7647</v>
      </c>
      <c r="B357" s="36">
        <v>7550</v>
      </c>
      <c r="C357" s="37">
        <v>7535</v>
      </c>
      <c r="D357" s="38">
        <v>285</v>
      </c>
      <c r="E357" s="39">
        <v>280</v>
      </c>
      <c r="F357" s="5">
        <v>0</v>
      </c>
      <c r="G357" s="6">
        <v>45</v>
      </c>
    </row>
    <row r="358" spans="1:7" x14ac:dyDescent="0.25">
      <c r="A358" s="1">
        <f t="shared" ca="1" si="5"/>
        <v>7648</v>
      </c>
      <c r="B358" s="36">
        <v>7570</v>
      </c>
      <c r="C358" s="37">
        <v>7550</v>
      </c>
      <c r="D358" s="38">
        <v>280</v>
      </c>
      <c r="E358" s="39">
        <v>280</v>
      </c>
      <c r="F358" s="5">
        <v>0</v>
      </c>
      <c r="G358" s="6">
        <v>0</v>
      </c>
    </row>
    <row r="359" spans="1:7" x14ac:dyDescent="0.25">
      <c r="A359" s="1">
        <f t="shared" ca="1" si="5"/>
        <v>7649</v>
      </c>
      <c r="B359" s="36">
        <v>7575</v>
      </c>
      <c r="C359" s="37">
        <v>7560</v>
      </c>
      <c r="D359" s="38">
        <v>280</v>
      </c>
      <c r="E359" s="39">
        <v>270</v>
      </c>
      <c r="F359" s="5">
        <v>114</v>
      </c>
      <c r="G359" s="6">
        <v>0</v>
      </c>
    </row>
    <row r="360" spans="1:7" x14ac:dyDescent="0.25">
      <c r="A360" s="1">
        <f t="shared" ca="1" si="5"/>
        <v>7650</v>
      </c>
      <c r="B360" s="36">
        <v>7550</v>
      </c>
      <c r="C360" s="37">
        <v>7550</v>
      </c>
      <c r="D360" s="38">
        <v>270</v>
      </c>
      <c r="E360" s="39">
        <v>260</v>
      </c>
      <c r="F360" s="5">
        <v>34</v>
      </c>
      <c r="G360" s="6">
        <v>35</v>
      </c>
    </row>
    <row r="361" spans="1:7" x14ac:dyDescent="0.25">
      <c r="A361" s="1">
        <f t="shared" ca="1" si="5"/>
        <v>7651</v>
      </c>
      <c r="B361" s="36">
        <v>7575</v>
      </c>
      <c r="C361" s="37">
        <v>7550</v>
      </c>
      <c r="D361" s="38">
        <v>275</v>
      </c>
      <c r="E361" s="39">
        <v>275</v>
      </c>
      <c r="F361" s="5">
        <v>84</v>
      </c>
      <c r="G361" s="6">
        <v>12</v>
      </c>
    </row>
    <row r="362" spans="1:7" x14ac:dyDescent="0.25">
      <c r="A362" s="1">
        <f t="shared" ca="1" si="5"/>
        <v>7652</v>
      </c>
      <c r="B362" s="36">
        <v>7570</v>
      </c>
      <c r="C362" s="37">
        <v>7550</v>
      </c>
      <c r="D362" s="38">
        <v>270</v>
      </c>
      <c r="E362" s="39">
        <v>270</v>
      </c>
      <c r="F362" s="5">
        <v>0</v>
      </c>
      <c r="G362" s="6">
        <v>0</v>
      </c>
    </row>
    <row r="363" spans="1:7" x14ac:dyDescent="0.25">
      <c r="A363" s="1">
        <f t="shared" ca="1" si="5"/>
        <v>7653</v>
      </c>
      <c r="B363" s="36">
        <v>7565</v>
      </c>
      <c r="C363" s="37">
        <v>7545</v>
      </c>
      <c r="D363" s="38">
        <v>280</v>
      </c>
      <c r="E363" s="39">
        <v>270</v>
      </c>
      <c r="F363" s="5">
        <v>0</v>
      </c>
      <c r="G363" s="6">
        <v>0</v>
      </c>
    </row>
    <row r="364" spans="1:7" x14ac:dyDescent="0.25">
      <c r="A364" s="1">
        <f t="shared" ca="1" si="5"/>
        <v>7654</v>
      </c>
      <c r="B364" s="36">
        <v>7565</v>
      </c>
      <c r="C364" s="37">
        <v>7545</v>
      </c>
      <c r="D364" s="38">
        <v>280</v>
      </c>
      <c r="E364" s="39">
        <v>290</v>
      </c>
      <c r="F364" s="5">
        <v>0</v>
      </c>
      <c r="G364" s="6">
        <v>20</v>
      </c>
    </row>
    <row r="365" spans="1:7" x14ac:dyDescent="0.25">
      <c r="A365" s="1">
        <f t="shared" ca="1" si="5"/>
        <v>7655</v>
      </c>
      <c r="B365" s="36">
        <v>7580</v>
      </c>
      <c r="C365" s="37">
        <v>7560</v>
      </c>
      <c r="D365" s="38">
        <v>290</v>
      </c>
      <c r="E365" s="39">
        <v>270</v>
      </c>
      <c r="F365" s="5">
        <v>0</v>
      </c>
      <c r="G365" s="6">
        <v>0</v>
      </c>
    </row>
    <row r="366" spans="1:7" x14ac:dyDescent="0.25">
      <c r="A366" s="1">
        <f t="shared" ca="1" si="5"/>
        <v>7656</v>
      </c>
      <c r="B366" s="36">
        <v>7570</v>
      </c>
      <c r="C366" s="37">
        <v>7545</v>
      </c>
      <c r="D366" s="38">
        <v>285</v>
      </c>
      <c r="E366" s="39">
        <v>280</v>
      </c>
      <c r="F366" s="5">
        <v>0</v>
      </c>
      <c r="G366" s="6">
        <v>0</v>
      </c>
    </row>
    <row r="367" spans="1:7" x14ac:dyDescent="0.25">
      <c r="A367" s="1">
        <f t="shared" ca="1" si="5"/>
        <v>7657</v>
      </c>
      <c r="B367" s="36">
        <v>7565</v>
      </c>
      <c r="C367" s="37">
        <v>7540</v>
      </c>
      <c r="D367" s="38">
        <v>290</v>
      </c>
      <c r="E367" s="39">
        <v>280</v>
      </c>
      <c r="F367" s="5">
        <v>0</v>
      </c>
      <c r="G367" s="6">
        <v>51</v>
      </c>
    </row>
    <row r="368" spans="1:7" x14ac:dyDescent="0.25">
      <c r="A368" s="1">
        <f t="shared" ca="1" si="5"/>
        <v>7658</v>
      </c>
      <c r="B368" s="36">
        <v>7570</v>
      </c>
      <c r="C368" s="37">
        <v>7545</v>
      </c>
      <c r="D368" s="38">
        <v>290</v>
      </c>
      <c r="E368" s="39">
        <v>280</v>
      </c>
      <c r="F368" s="5">
        <v>0</v>
      </c>
      <c r="G368" s="6"/>
    </row>
    <row r="369" spans="1:7" x14ac:dyDescent="0.25">
      <c r="A369" s="1">
        <f t="shared" ca="1" si="5"/>
        <v>7659</v>
      </c>
      <c r="B369" s="36">
        <v>7570</v>
      </c>
      <c r="C369" s="37">
        <v>7545</v>
      </c>
      <c r="D369" s="38">
        <v>290</v>
      </c>
      <c r="E369" s="39">
        <v>280</v>
      </c>
      <c r="F369" s="5">
        <v>0</v>
      </c>
      <c r="G369" s="6">
        <v>0</v>
      </c>
    </row>
    <row r="370" spans="1:7" x14ac:dyDescent="0.25">
      <c r="A370" s="1">
        <f t="shared" ca="1" si="5"/>
        <v>7660</v>
      </c>
      <c r="B370" s="36">
        <v>7560</v>
      </c>
      <c r="C370" s="37">
        <v>7555</v>
      </c>
      <c r="D370" s="38">
        <v>290</v>
      </c>
      <c r="E370" s="39">
        <v>280</v>
      </c>
      <c r="F370" s="5">
        <v>0</v>
      </c>
      <c r="G370" s="6">
        <v>0</v>
      </c>
    </row>
    <row r="371" spans="1:7" x14ac:dyDescent="0.25">
      <c r="A371" s="1">
        <f t="shared" ca="1" si="5"/>
        <v>7661</v>
      </c>
      <c r="B371" s="36">
        <v>7565</v>
      </c>
      <c r="C371" s="37">
        <v>7545</v>
      </c>
      <c r="D371" s="38">
        <v>280</v>
      </c>
      <c r="E371" s="39">
        <v>280</v>
      </c>
      <c r="F371" s="5">
        <v>0</v>
      </c>
      <c r="G371" s="6">
        <v>0</v>
      </c>
    </row>
    <row r="372" spans="1:7" x14ac:dyDescent="0.25">
      <c r="A372" s="1">
        <f t="shared" ca="1" si="5"/>
        <v>7662</v>
      </c>
      <c r="B372" s="36">
        <v>7575</v>
      </c>
      <c r="C372" s="37">
        <v>7555</v>
      </c>
      <c r="D372" s="38">
        <v>290</v>
      </c>
      <c r="E372" s="39">
        <v>280</v>
      </c>
      <c r="F372" s="5">
        <v>0</v>
      </c>
      <c r="G372" s="6">
        <v>0</v>
      </c>
    </row>
    <row r="373" spans="1:7" x14ac:dyDescent="0.25">
      <c r="A373" s="1">
        <f t="shared" ca="1" si="5"/>
        <v>7663</v>
      </c>
      <c r="B373" s="36">
        <v>7575</v>
      </c>
      <c r="C373" s="37">
        <v>7565</v>
      </c>
      <c r="D373" s="38">
        <v>290</v>
      </c>
      <c r="E373" s="39">
        <v>280</v>
      </c>
      <c r="F373" s="5">
        <v>0</v>
      </c>
      <c r="G373" s="6">
        <v>0</v>
      </c>
    </row>
    <row r="374" spans="1:7" x14ac:dyDescent="0.25">
      <c r="A374" s="1">
        <f t="shared" ca="1" si="5"/>
        <v>7664</v>
      </c>
      <c r="B374" s="36">
        <v>7575</v>
      </c>
      <c r="C374" s="37">
        <v>7565</v>
      </c>
      <c r="D374" s="38">
        <v>285</v>
      </c>
      <c r="E374" s="39">
        <v>270</v>
      </c>
      <c r="F374" s="5">
        <v>0</v>
      </c>
      <c r="G374" s="6">
        <v>0</v>
      </c>
    </row>
    <row r="375" spans="1:7" x14ac:dyDescent="0.25">
      <c r="A375" s="1">
        <f t="shared" ca="1" si="5"/>
        <v>7665</v>
      </c>
      <c r="B375" s="36">
        <v>7575</v>
      </c>
      <c r="C375" s="37">
        <v>7565</v>
      </c>
      <c r="D375" s="38">
        <v>280</v>
      </c>
      <c r="E375" s="39">
        <v>270</v>
      </c>
      <c r="F375" s="5">
        <v>0</v>
      </c>
      <c r="G375" s="6">
        <v>0</v>
      </c>
    </row>
    <row r="376" spans="1:7" x14ac:dyDescent="0.25">
      <c r="A376" s="1">
        <f t="shared" ca="1" si="5"/>
        <v>7666</v>
      </c>
      <c r="B376" s="36">
        <v>7570</v>
      </c>
      <c r="C376" s="37">
        <v>7560</v>
      </c>
      <c r="D376" s="38">
        <v>280</v>
      </c>
      <c r="E376" s="39">
        <v>270</v>
      </c>
      <c r="F376" s="5">
        <v>0</v>
      </c>
      <c r="G376" s="6">
        <v>0</v>
      </c>
    </row>
    <row r="377" spans="1:7" x14ac:dyDescent="0.25">
      <c r="A377" s="1">
        <f t="shared" ca="1" si="5"/>
        <v>7667</v>
      </c>
      <c r="B377" s="36">
        <v>7575</v>
      </c>
      <c r="C377" s="37">
        <v>7560</v>
      </c>
      <c r="D377" s="38">
        <v>280</v>
      </c>
      <c r="E377" s="39">
        <v>280</v>
      </c>
      <c r="F377" s="5">
        <v>0</v>
      </c>
      <c r="G377" s="6">
        <v>0</v>
      </c>
    </row>
    <row r="378" spans="1:7" x14ac:dyDescent="0.25">
      <c r="A378" s="1">
        <f t="shared" ca="1" si="5"/>
        <v>7668</v>
      </c>
      <c r="B378" s="36">
        <v>7560</v>
      </c>
      <c r="C378" s="37">
        <v>7550</v>
      </c>
      <c r="D378" s="38">
        <v>280</v>
      </c>
      <c r="E378" s="39">
        <v>270</v>
      </c>
      <c r="F378" s="5">
        <v>0</v>
      </c>
      <c r="G378" s="6">
        <v>30</v>
      </c>
    </row>
    <row r="379" spans="1:7" x14ac:dyDescent="0.25">
      <c r="A379" s="1">
        <f t="shared" ca="1" si="5"/>
        <v>7669</v>
      </c>
      <c r="B379" s="36">
        <v>7575</v>
      </c>
      <c r="C379" s="37">
        <v>7550</v>
      </c>
      <c r="D379" s="38">
        <v>280</v>
      </c>
      <c r="E379" s="39">
        <v>270</v>
      </c>
      <c r="F379" s="5">
        <v>0</v>
      </c>
      <c r="G379" s="6">
        <v>0</v>
      </c>
    </row>
    <row r="380" spans="1:7" x14ac:dyDescent="0.25">
      <c r="A380" s="1">
        <f t="shared" ca="1" si="5"/>
        <v>7670</v>
      </c>
      <c r="B380" s="36">
        <v>7570</v>
      </c>
      <c r="C380" s="37">
        <v>7550</v>
      </c>
      <c r="D380" s="38">
        <v>290</v>
      </c>
      <c r="E380" s="39">
        <v>270</v>
      </c>
      <c r="F380" s="5">
        <v>0</v>
      </c>
      <c r="G380" s="6">
        <v>0</v>
      </c>
    </row>
    <row r="381" spans="1:7" x14ac:dyDescent="0.25">
      <c r="A381" s="1">
        <f t="shared" ca="1" si="5"/>
        <v>7671</v>
      </c>
      <c r="B381" s="36">
        <v>7570</v>
      </c>
      <c r="C381" s="37">
        <v>7550</v>
      </c>
      <c r="D381" s="38">
        <v>290</v>
      </c>
      <c r="E381" s="39">
        <v>280</v>
      </c>
      <c r="F381" s="5">
        <v>0</v>
      </c>
      <c r="G381" s="6">
        <v>0</v>
      </c>
    </row>
    <row r="382" spans="1:7" x14ac:dyDescent="0.25">
      <c r="A382" s="1" t="str">
        <f t="shared" ca="1" si="5"/>
        <v>Totaal</v>
      </c>
      <c r="B382" s="21">
        <f>IF(COUNT(B351:B381)&gt;0,AVERAGE(B351:B381)/10,"")</f>
        <v>756.91935483870964</v>
      </c>
      <c r="C382" s="22">
        <f>IF(COUNT(C351:C381)&gt;0,AVERAGE(C351:C381)/10,"")</f>
        <v>755.11290322580646</v>
      </c>
      <c r="D382" s="23">
        <f>IF(COUNT(D351:D381)&gt;0,AVERAGE(D351:D381)/10,"")</f>
        <v>28.419354838709676</v>
      </c>
      <c r="E382" s="24">
        <f>IF(COUNT(E351:E381)&gt;0,AVERAGE(E351:E381)/10,"")</f>
        <v>27.596774193548384</v>
      </c>
      <c r="F382" s="25">
        <f>SUM(F351:F381)/10</f>
        <v>25.8</v>
      </c>
      <c r="G382" s="26">
        <f>SUM(G351:G381)/10</f>
        <v>28.1</v>
      </c>
    </row>
  </sheetData>
  <sheetProtection sheet="1" objects="1" scenarios="1" selectLockedCells="1"/>
  <mergeCells count="5">
    <mergeCell ref="F3:G3"/>
    <mergeCell ref="B3:C3"/>
    <mergeCell ref="D3:E3"/>
    <mergeCell ref="A3:A4"/>
    <mergeCell ref="A1:G1"/>
  </mergeCells>
  <conditionalFormatting sqref="A5:G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6" x14ac:dyDescent="0.25">
      <c r="A1" t="s">
        <v>9</v>
      </c>
      <c r="D1" t="s">
        <v>21</v>
      </c>
      <c r="G1" t="s">
        <v>19</v>
      </c>
      <c r="J1" t="s">
        <v>20</v>
      </c>
    </row>
    <row r="2" spans="1:16" ht="15.75" thickBot="1" x14ac:dyDescent="0.3"/>
    <row r="3" spans="1:16" ht="15.75" thickBot="1" x14ac:dyDescent="0.3">
      <c r="J3" s="47" t="s">
        <v>0</v>
      </c>
      <c r="K3" s="49" t="s">
        <v>28</v>
      </c>
      <c r="L3" s="49"/>
      <c r="M3" s="49" t="s">
        <v>31</v>
      </c>
      <c r="N3" s="49"/>
      <c r="O3" s="49" t="s">
        <v>1</v>
      </c>
      <c r="P3" s="49"/>
    </row>
    <row r="4" spans="1:16" x14ac:dyDescent="0.25">
      <c r="A4" s="29" t="s">
        <v>10</v>
      </c>
      <c r="B4" s="28" t="s">
        <v>11</v>
      </c>
      <c r="D4" s="28" t="s">
        <v>22</v>
      </c>
      <c r="E4" s="28" t="s">
        <v>24</v>
      </c>
      <c r="G4" s="16" t="s">
        <v>12</v>
      </c>
      <c r="H4" s="16" t="s">
        <v>13</v>
      </c>
      <c r="J4" s="48"/>
      <c r="K4" s="20" t="s">
        <v>29</v>
      </c>
      <c r="L4" s="20" t="s">
        <v>30</v>
      </c>
      <c r="M4" s="20" t="s">
        <v>29</v>
      </c>
      <c r="N4" s="20" t="s">
        <v>30</v>
      </c>
      <c r="O4" s="20" t="s">
        <v>32</v>
      </c>
      <c r="P4" s="20" t="s">
        <v>33</v>
      </c>
    </row>
    <row r="5" spans="1:16" x14ac:dyDescent="0.25">
      <c r="A5" s="11">
        <v>44</v>
      </c>
      <c r="B5" t="s">
        <v>32</v>
      </c>
      <c r="D5" t="s">
        <v>7</v>
      </c>
      <c r="E5" t="s">
        <v>23</v>
      </c>
      <c r="G5" t="s">
        <v>14</v>
      </c>
      <c r="H5" s="12">
        <v>0</v>
      </c>
    </row>
    <row r="6" spans="1:16" x14ac:dyDescent="0.25">
      <c r="A6" s="11">
        <v>42</v>
      </c>
      <c r="B6" t="s">
        <v>33</v>
      </c>
      <c r="D6" s="30" t="s">
        <v>8</v>
      </c>
      <c r="E6" s="30" t="s">
        <v>25</v>
      </c>
      <c r="G6" t="s">
        <v>15</v>
      </c>
      <c r="H6" s="12">
        <v>1</v>
      </c>
    </row>
    <row r="7" spans="1:16" x14ac:dyDescent="0.25">
      <c r="A7" s="34">
        <v>49</v>
      </c>
      <c r="B7" s="30" t="s">
        <v>45</v>
      </c>
      <c r="D7" s="33" t="s">
        <v>4</v>
      </c>
      <c r="E7" s="33" t="s">
        <v>26</v>
      </c>
      <c r="G7" t="s">
        <v>16</v>
      </c>
      <c r="H7" s="12">
        <v>4</v>
      </c>
    </row>
    <row r="8" spans="1:16" x14ac:dyDescent="0.25">
      <c r="A8" s="34">
        <v>41</v>
      </c>
      <c r="B8" t="s">
        <v>46</v>
      </c>
      <c r="D8" s="33" t="s">
        <v>43</v>
      </c>
      <c r="E8" s="33" t="s">
        <v>29</v>
      </c>
      <c r="G8" t="s">
        <v>17</v>
      </c>
      <c r="H8" s="12">
        <v>6</v>
      </c>
    </row>
    <row r="9" spans="1:16" ht="15.75" thickBot="1" x14ac:dyDescent="0.3">
      <c r="A9" s="34">
        <v>43</v>
      </c>
      <c r="B9" t="s">
        <v>47</v>
      </c>
      <c r="D9" s="31" t="s">
        <v>44</v>
      </c>
      <c r="E9" s="31" t="s">
        <v>30</v>
      </c>
      <c r="G9" s="13" t="s">
        <v>18</v>
      </c>
      <c r="H9" s="14">
        <v>7</v>
      </c>
    </row>
    <row r="10" spans="1:16" x14ac:dyDescent="0.25">
      <c r="A10" s="34">
        <v>45</v>
      </c>
      <c r="B10" t="s">
        <v>48</v>
      </c>
    </row>
    <row r="11" spans="1:16" x14ac:dyDescent="0.25">
      <c r="A11" s="34">
        <v>46</v>
      </c>
      <c r="B11" t="s">
        <v>49</v>
      </c>
    </row>
    <row r="12" spans="1:16" x14ac:dyDescent="0.25">
      <c r="A12" s="34">
        <v>47</v>
      </c>
      <c r="B12" t="s">
        <v>50</v>
      </c>
    </row>
    <row r="13" spans="1:16" ht="15.75" thickBot="1" x14ac:dyDescent="0.3">
      <c r="A13" s="15">
        <v>48</v>
      </c>
      <c r="B13" s="13" t="s">
        <v>51</v>
      </c>
    </row>
  </sheetData>
  <mergeCells count="4">
    <mergeCell ref="J3:J4"/>
    <mergeCell ref="K3:L3"/>
    <mergeCell ref="M3:N3"/>
    <mergeCell ref="O3:P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733"/>
  <sheetViews>
    <sheetView workbookViewId="0"/>
  </sheetViews>
  <sheetFormatPr defaultRowHeight="15" x14ac:dyDescent="0.25"/>
  <sheetData>
    <row r="1" spans="1:5" x14ac:dyDescent="0.25">
      <c r="A1" s="10" t="s">
        <v>2</v>
      </c>
      <c r="B1" s="9" t="s">
        <v>0</v>
      </c>
      <c r="C1" s="10" t="s">
        <v>3</v>
      </c>
      <c r="D1" s="10" t="s">
        <v>4</v>
      </c>
      <c r="E1" s="10" t="s">
        <v>5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19200101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19200102</v>
      </c>
      <c r="C3" s="12">
        <v>1</v>
      </c>
      <c r="D3" s="17">
        <f t="shared" ca="1" si="0"/>
        <v>0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19200103</v>
      </c>
      <c r="C4" s="12">
        <v>1</v>
      </c>
      <c r="D4" s="17">
        <f t="shared" ca="1" si="0"/>
        <v>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19200104</v>
      </c>
      <c r="C5" s="12">
        <v>1</v>
      </c>
      <c r="D5" s="17">
        <f t="shared" ca="1" si="0"/>
        <v>0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19200105</v>
      </c>
      <c r="C6" s="12">
        <v>1</v>
      </c>
      <c r="D6" s="17">
        <f t="shared" ca="1" si="0"/>
        <v>0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19200106</v>
      </c>
      <c r="C7" s="12">
        <v>1</v>
      </c>
      <c r="D7" s="17">
        <f t="shared" ca="1" si="0"/>
        <v>98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19200107</v>
      </c>
      <c r="C8" s="12">
        <v>1</v>
      </c>
      <c r="D8" s="17">
        <f t="shared" ca="1" si="0"/>
        <v>0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19200108</v>
      </c>
      <c r="C9" s="12">
        <v>1</v>
      </c>
      <c r="D9" s="17">
        <f t="shared" ca="1" si="0"/>
        <v>0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19200109</v>
      </c>
      <c r="C10" s="12">
        <v>1</v>
      </c>
      <c r="D10" s="17">
        <f t="shared" ca="1" si="0"/>
        <v>8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19200110</v>
      </c>
      <c r="C11" s="12">
        <v>1</v>
      </c>
      <c r="D11" s="17">
        <f t="shared" ca="1" si="0"/>
        <v>94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19200111</v>
      </c>
      <c r="C12" s="12">
        <v>1</v>
      </c>
      <c r="D12" s="17">
        <f t="shared" ca="1" si="0"/>
        <v>0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19200112</v>
      </c>
      <c r="C13" s="12">
        <v>1</v>
      </c>
      <c r="D13" s="17">
        <f t="shared" ca="1" si="0"/>
        <v>0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19200113</v>
      </c>
      <c r="C14" s="12">
        <v>1</v>
      </c>
      <c r="D14" s="17">
        <f t="shared" ca="1" si="0"/>
        <v>0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19200114</v>
      </c>
      <c r="C15" s="12">
        <v>1</v>
      </c>
      <c r="D15" s="17">
        <f t="shared" ca="1" si="0"/>
        <v>54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19200115</v>
      </c>
      <c r="C16" s="12">
        <v>1</v>
      </c>
      <c r="D16" s="17">
        <f t="shared" ca="1" si="0"/>
        <v>75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19200116</v>
      </c>
      <c r="C17" s="12">
        <v>1</v>
      </c>
      <c r="D17" s="17">
        <f t="shared" ca="1" si="0"/>
        <v>0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19200117</v>
      </c>
      <c r="C18" s="12">
        <v>1</v>
      </c>
      <c r="D18" s="17">
        <f t="shared" ca="1" si="0"/>
        <v>0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19200118</v>
      </c>
      <c r="C19" s="12">
        <v>1</v>
      </c>
      <c r="D19" s="17">
        <f t="shared" ca="1" si="0"/>
        <v>0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19200119</v>
      </c>
      <c r="C20" s="12">
        <v>1</v>
      </c>
      <c r="D20" s="17">
        <f t="shared" ca="1" si="0"/>
        <v>95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19200120</v>
      </c>
      <c r="C21" s="12">
        <v>1</v>
      </c>
      <c r="D21" s="17">
        <f t="shared" ca="1" si="0"/>
        <v>9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19200121</v>
      </c>
      <c r="C22" s="12">
        <v>1</v>
      </c>
      <c r="D22" s="17">
        <f t="shared" ca="1" si="0"/>
        <v>12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19200122</v>
      </c>
      <c r="C23" s="12">
        <v>1</v>
      </c>
      <c r="D23" s="17">
        <f t="shared" ca="1" si="0"/>
        <v>55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19200123</v>
      </c>
      <c r="C24" s="12">
        <v>1</v>
      </c>
      <c r="D24" s="17">
        <f t="shared" ca="1" si="0"/>
        <v>0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19200124</v>
      </c>
      <c r="C25" s="12">
        <v>1</v>
      </c>
      <c r="D25" s="17">
        <f t="shared" ca="1" si="0"/>
        <v>43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19200125</v>
      </c>
      <c r="C26" s="12">
        <v>1</v>
      </c>
      <c r="D26" s="17">
        <f t="shared" ca="1" si="0"/>
        <v>0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19200126</v>
      </c>
      <c r="C27" s="12">
        <v>1</v>
      </c>
      <c r="D27" s="17">
        <f t="shared" ca="1" si="0"/>
        <v>0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19200127</v>
      </c>
      <c r="C28" s="12">
        <v>1</v>
      </c>
      <c r="D28" s="17">
        <f t="shared" ca="1" si="0"/>
        <v>0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19200128</v>
      </c>
      <c r="C29" s="12">
        <v>1</v>
      </c>
      <c r="D29" s="17">
        <f t="shared" ca="1" si="0"/>
        <v>0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19200129</v>
      </c>
      <c r="C30" s="12">
        <v>1</v>
      </c>
      <c r="D30" s="17">
        <f t="shared" ca="1" si="0"/>
        <v>0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19200130</v>
      </c>
      <c r="C31" s="12">
        <v>1</v>
      </c>
      <c r="D31" s="17">
        <f t="shared" ca="1" si="0"/>
        <v>35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19200131</v>
      </c>
      <c r="C32" s="12">
        <v>1</v>
      </c>
      <c r="D32" s="17">
        <f t="shared" ca="1" si="0"/>
        <v>0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19200201</v>
      </c>
      <c r="C33" s="12">
        <v>1</v>
      </c>
      <c r="D33" s="17">
        <f t="shared" ca="1" si="0"/>
        <v>68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19200202</v>
      </c>
      <c r="C34" s="12">
        <v>1</v>
      </c>
      <c r="D34" s="17">
        <f t="shared" ca="1" si="0"/>
        <v>0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19200203</v>
      </c>
      <c r="C35" s="12">
        <v>1</v>
      </c>
      <c r="D35" s="17">
        <f t="shared" ca="1" si="0"/>
        <v>0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19200204</v>
      </c>
      <c r="C36" s="12">
        <v>1</v>
      </c>
      <c r="D36" s="17">
        <f t="shared" ca="1" si="0"/>
        <v>0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19200205</v>
      </c>
      <c r="C37" s="12">
        <v>1</v>
      </c>
      <c r="D37" s="17">
        <f t="shared" ca="1" si="0"/>
        <v>0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19200206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19200207</v>
      </c>
      <c r="C39" s="12">
        <v>1</v>
      </c>
      <c r="D39" s="17">
        <f t="shared" ca="1" si="0"/>
        <v>0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19200208</v>
      </c>
      <c r="C40" s="12">
        <v>1</v>
      </c>
      <c r="D40" s="17">
        <f t="shared" ca="1" si="0"/>
        <v>0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19200209</v>
      </c>
      <c r="C41" s="12">
        <v>1</v>
      </c>
      <c r="D41" s="17">
        <f t="shared" ca="1" si="0"/>
        <v>0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19200210</v>
      </c>
      <c r="C42" s="12">
        <v>1</v>
      </c>
      <c r="D42" s="17">
        <f t="shared" ca="1" si="0"/>
        <v>0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19200211</v>
      </c>
      <c r="C43" s="12">
        <v>1</v>
      </c>
      <c r="D43" s="17">
        <f t="shared" ca="1" si="0"/>
        <v>35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19200212</v>
      </c>
      <c r="C44" s="12">
        <v>1</v>
      </c>
      <c r="D44" s="17">
        <f t="shared" ca="1" si="0"/>
        <v>0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19200213</v>
      </c>
      <c r="C45" s="12">
        <v>1</v>
      </c>
      <c r="D45" s="17">
        <f t="shared" ca="1" si="0"/>
        <v>0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19200214</v>
      </c>
      <c r="C46" s="12">
        <v>1</v>
      </c>
      <c r="D46" s="17">
        <f t="shared" ca="1" si="0"/>
        <v>0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19200215</v>
      </c>
      <c r="C47" s="12">
        <v>1</v>
      </c>
      <c r="D47" s="17">
        <f t="shared" ca="1" si="0"/>
        <v>0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19200216</v>
      </c>
      <c r="C48" s="12">
        <v>1</v>
      </c>
      <c r="D48" s="17">
        <f t="shared" ca="1" si="0"/>
        <v>0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19200217</v>
      </c>
      <c r="C49" s="12">
        <v>1</v>
      </c>
      <c r="D49" s="17">
        <f t="shared" ca="1" si="0"/>
        <v>0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19200218</v>
      </c>
      <c r="C50" s="12">
        <v>1</v>
      </c>
      <c r="D50" s="17">
        <f t="shared" ca="1" si="0"/>
        <v>0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19200219</v>
      </c>
      <c r="C51" s="12">
        <v>1</v>
      </c>
      <c r="D51" s="17">
        <f t="shared" ca="1" si="0"/>
        <v>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19200220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19200221</v>
      </c>
      <c r="C53" s="12">
        <v>1</v>
      </c>
      <c r="D53" s="17">
        <f t="shared" ca="1" si="0"/>
        <v>0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19200222</v>
      </c>
      <c r="C54" s="12">
        <v>1</v>
      </c>
      <c r="D54" s="17">
        <f t="shared" ca="1" si="0"/>
        <v>10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19200223</v>
      </c>
      <c r="C55" s="12">
        <v>1</v>
      </c>
      <c r="D55" s="17">
        <f t="shared" ca="1" si="0"/>
        <v>0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19200224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19200225</v>
      </c>
      <c r="C57" s="12">
        <v>1</v>
      </c>
      <c r="D57" s="17">
        <f t="shared" ca="1" si="0"/>
        <v>0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19200226</v>
      </c>
      <c r="C58" s="12">
        <v>1</v>
      </c>
      <c r="D58" s="17">
        <f t="shared" ca="1" si="0"/>
        <v>0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19200227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19200228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19200229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19200301</v>
      </c>
      <c r="C62" s="12">
        <v>1</v>
      </c>
      <c r="D62" s="17">
        <f t="shared" ca="1" si="0"/>
        <v>0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19200302</v>
      </c>
      <c r="C63" s="12">
        <v>1</v>
      </c>
      <c r="D63" s="17">
        <f t="shared" ca="1" si="0"/>
        <v>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19200303</v>
      </c>
      <c r="C64" s="12">
        <v>1</v>
      </c>
      <c r="D64" s="17">
        <f t="shared" ca="1" si="0"/>
        <v>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19200304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19200305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19200306</v>
      </c>
      <c r="C67" s="12">
        <v>1</v>
      </c>
      <c r="D67" s="17">
        <f t="shared" ca="1" si="2"/>
        <v>0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19200307</v>
      </c>
      <c r="C68" s="12">
        <v>1</v>
      </c>
      <c r="D68" s="17">
        <f t="shared" ca="1" si="2"/>
        <v>0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19200308</v>
      </c>
      <c r="C69" s="12">
        <v>1</v>
      </c>
      <c r="D69" s="17">
        <f t="shared" ca="1" si="2"/>
        <v>0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19200309</v>
      </c>
      <c r="C70" s="12">
        <v>1</v>
      </c>
      <c r="D70" s="17">
        <f t="shared" ca="1" si="2"/>
        <v>0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19200310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19200311</v>
      </c>
      <c r="C72" s="12">
        <v>1</v>
      </c>
      <c r="D72" s="17">
        <f t="shared" ca="1" si="2"/>
        <v>0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19200312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19200313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19200314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19200315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19200316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19200317</v>
      </c>
      <c r="C78" s="12">
        <v>1</v>
      </c>
      <c r="D78" s="17">
        <f t="shared" ca="1" si="2"/>
        <v>0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19200318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19200319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19200320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19200321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19200322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19200323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19200324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19200325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19200326</v>
      </c>
      <c r="C87" s="12">
        <v>1</v>
      </c>
      <c r="D87" s="17">
        <f t="shared" ca="1" si="2"/>
        <v>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19200327</v>
      </c>
      <c r="C88" s="12">
        <v>1</v>
      </c>
      <c r="D88" s="17">
        <f t="shared" ca="1" si="2"/>
        <v>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19200328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19200329</v>
      </c>
      <c r="C90" s="12">
        <v>1</v>
      </c>
      <c r="D90" s="17">
        <f t="shared" ca="1" si="2"/>
        <v>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19200330</v>
      </c>
      <c r="C91" s="12">
        <v>1</v>
      </c>
      <c r="D91" s="17">
        <f t="shared" ca="1" si="2"/>
        <v>0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19200331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19200401</v>
      </c>
      <c r="C93" s="12">
        <v>1</v>
      </c>
      <c r="D93" s="17">
        <f t="shared" ca="1" si="2"/>
        <v>0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19200402</v>
      </c>
      <c r="C94" s="12">
        <v>1</v>
      </c>
      <c r="D94" s="17">
        <f t="shared" ca="1" si="2"/>
        <v>0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19200403</v>
      </c>
      <c r="C95" s="12">
        <v>1</v>
      </c>
      <c r="D95" s="17">
        <f t="shared" ca="1" si="2"/>
        <v>0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19200404</v>
      </c>
      <c r="C96" s="12">
        <v>1</v>
      </c>
      <c r="D96" s="17">
        <f t="shared" ca="1" si="2"/>
        <v>0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19200405</v>
      </c>
      <c r="C97" s="12">
        <v>1</v>
      </c>
      <c r="D97" s="17">
        <f t="shared" ca="1" si="2"/>
        <v>0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19200406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19200407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19200408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19200409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19200410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19200411</v>
      </c>
      <c r="C103" s="12">
        <v>1</v>
      </c>
      <c r="D103" s="17">
        <f t="shared" ca="1" si="2"/>
        <v>0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19200412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19200413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19200414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19200415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19200416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19200417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19200418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19200419</v>
      </c>
      <c r="C111" s="12">
        <v>1</v>
      </c>
      <c r="D111" s="17">
        <f t="shared" ca="1" si="2"/>
        <v>0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19200420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19200421</v>
      </c>
      <c r="C113" s="12">
        <v>1</v>
      </c>
      <c r="D113" s="17">
        <f t="shared" ca="1" si="2"/>
        <v>0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19200422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19200423</v>
      </c>
      <c r="C115" s="12">
        <v>1</v>
      </c>
      <c r="D115" s="17">
        <f t="shared" ca="1" si="2"/>
        <v>0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19200424</v>
      </c>
      <c r="C116" s="12">
        <v>1</v>
      </c>
      <c r="D116" s="17">
        <f t="shared" ca="1" si="2"/>
        <v>0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19200425</v>
      </c>
      <c r="C117" s="12">
        <v>1</v>
      </c>
      <c r="D117" s="17">
        <f t="shared" ca="1" si="2"/>
        <v>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19200426</v>
      </c>
      <c r="C118" s="12">
        <v>1</v>
      </c>
      <c r="D118" s="17">
        <f t="shared" ca="1" si="2"/>
        <v>0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19200427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19200428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19200429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19200430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19200501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19200502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19200503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19200504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19200505</v>
      </c>
      <c r="C127" s="12">
        <v>1</v>
      </c>
      <c r="D127" s="17">
        <f t="shared" ca="1" si="2"/>
        <v>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19200506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19200507</v>
      </c>
      <c r="C129" s="12">
        <v>1</v>
      </c>
      <c r="D129" s="17">
        <f t="shared" ca="1" si="2"/>
        <v>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19200508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19200509</v>
      </c>
      <c r="C131" s="12">
        <v>1</v>
      </c>
      <c r="D131" s="17">
        <f t="shared" ca="1" si="4"/>
        <v>0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19200510</v>
      </c>
      <c r="C132" s="12">
        <v>1</v>
      </c>
      <c r="D132" s="17">
        <f t="shared" ca="1" si="4"/>
        <v>0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19200511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19200512</v>
      </c>
      <c r="C134" s="12">
        <v>1</v>
      </c>
      <c r="D134" s="17">
        <f t="shared" ca="1" si="4"/>
        <v>0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19200513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19200514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19200515</v>
      </c>
      <c r="C137" s="12">
        <v>1</v>
      </c>
      <c r="D137" s="17">
        <f t="shared" ca="1" si="4"/>
        <v>0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19200516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19200517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19200518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19200519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19200520</v>
      </c>
      <c r="C142" s="12">
        <v>1</v>
      </c>
      <c r="D142" s="17">
        <f t="shared" ca="1" si="4"/>
        <v>69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19200521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19200522</v>
      </c>
      <c r="C144" s="12">
        <v>1</v>
      </c>
      <c r="D144" s="17">
        <f t="shared" ca="1" si="4"/>
        <v>0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19200523</v>
      </c>
      <c r="C145" s="12">
        <v>1</v>
      </c>
      <c r="D145" s="17">
        <f t="shared" ca="1" si="4"/>
        <v>0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19200524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19200525</v>
      </c>
      <c r="C147" s="12">
        <v>1</v>
      </c>
      <c r="D147" s="17">
        <f t="shared" ca="1" si="4"/>
        <v>0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19200526</v>
      </c>
      <c r="C148" s="12">
        <v>1</v>
      </c>
      <c r="D148" s="17">
        <f t="shared" ca="1" si="4"/>
        <v>98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19200527</v>
      </c>
      <c r="C149" s="12">
        <v>1</v>
      </c>
      <c r="D149" s="17">
        <f t="shared" ca="1" si="4"/>
        <v>0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19200528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19200529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19200530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19200531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19200601</v>
      </c>
      <c r="C154" s="12">
        <v>1</v>
      </c>
      <c r="D154" s="17">
        <f t="shared" ca="1" si="4"/>
        <v>0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19200602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19200603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19200604</v>
      </c>
      <c r="C157" s="12">
        <v>1</v>
      </c>
      <c r="D157" s="17">
        <f t="shared" ca="1" si="4"/>
        <v>0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19200605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19200606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19200607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19200608</v>
      </c>
      <c r="C161" s="12">
        <v>1</v>
      </c>
      <c r="D161" s="17">
        <f t="shared" ca="1" si="4"/>
        <v>0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19200609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19200610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19200611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19200612</v>
      </c>
      <c r="C165" s="12">
        <v>1</v>
      </c>
      <c r="D165" s="17">
        <f t="shared" ca="1" si="4"/>
        <v>0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19200613</v>
      </c>
      <c r="C166" s="12">
        <v>1</v>
      </c>
      <c r="D166" s="17">
        <f t="shared" ca="1" si="4"/>
        <v>0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19200614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19200615</v>
      </c>
      <c r="C168" s="12">
        <v>1</v>
      </c>
      <c r="D168" s="17">
        <f t="shared" ca="1" si="4"/>
        <v>0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19200616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19200617</v>
      </c>
      <c r="C170" s="12">
        <v>1</v>
      </c>
      <c r="D170" s="17">
        <f t="shared" ca="1" si="4"/>
        <v>0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19200618</v>
      </c>
      <c r="C171" s="12">
        <v>1</v>
      </c>
      <c r="D171" s="17">
        <f t="shared" ca="1" si="4"/>
        <v>0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19200619</v>
      </c>
      <c r="C172" s="12">
        <v>1</v>
      </c>
      <c r="D172" s="17">
        <f t="shared" ca="1" si="4"/>
        <v>0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19200620</v>
      </c>
      <c r="C173" s="12">
        <v>1</v>
      </c>
      <c r="D173" s="17">
        <f t="shared" ca="1" si="4"/>
        <v>0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19200621</v>
      </c>
      <c r="C174" s="12">
        <v>1</v>
      </c>
      <c r="D174" s="17">
        <f t="shared" ca="1" si="4"/>
        <v>35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19200622</v>
      </c>
      <c r="C175" s="12">
        <v>1</v>
      </c>
      <c r="D175" s="17">
        <f t="shared" ca="1" si="4"/>
        <v>0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19200623</v>
      </c>
      <c r="C176" s="12">
        <v>1</v>
      </c>
      <c r="D176" s="17">
        <f t="shared" ca="1" si="4"/>
        <v>39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19200624</v>
      </c>
      <c r="C177" s="12">
        <v>1</v>
      </c>
      <c r="D177" s="17">
        <f t="shared" ca="1" si="4"/>
        <v>0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19200625</v>
      </c>
      <c r="C178" s="12">
        <v>1</v>
      </c>
      <c r="D178" s="17">
        <f t="shared" ca="1" si="4"/>
        <v>0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19200626</v>
      </c>
      <c r="C179" s="12">
        <v>1</v>
      </c>
      <c r="D179" s="17">
        <f t="shared" ca="1" si="4"/>
        <v>0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19200627</v>
      </c>
      <c r="C180" s="12">
        <v>1</v>
      </c>
      <c r="D180" s="17">
        <f t="shared" ca="1" si="4"/>
        <v>0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19200628</v>
      </c>
      <c r="C181" s="12">
        <v>1</v>
      </c>
      <c r="D181" s="17">
        <f t="shared" ca="1" si="4"/>
        <v>0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19200629</v>
      </c>
      <c r="C182" s="12">
        <v>1</v>
      </c>
      <c r="D182" s="17">
        <f t="shared" ca="1" si="4"/>
        <v>0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19200630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19200701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19200702</v>
      </c>
      <c r="C185" s="12">
        <v>1</v>
      </c>
      <c r="D185" s="17">
        <f t="shared" ca="1" si="4"/>
        <v>0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19200703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19200704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19200705</v>
      </c>
      <c r="C188" s="12">
        <v>1</v>
      </c>
      <c r="D188" s="17">
        <f t="shared" ca="1" si="4"/>
        <v>0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19200706</v>
      </c>
      <c r="C189" s="12">
        <v>1</v>
      </c>
      <c r="D189" s="17">
        <f t="shared" ca="1" si="4"/>
        <v>0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19200707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19200708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19200709</v>
      </c>
      <c r="C192" s="12">
        <v>1</v>
      </c>
      <c r="D192" s="17">
        <f t="shared" ca="1" si="4"/>
        <v>0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19200710</v>
      </c>
      <c r="C193" s="12">
        <v>1</v>
      </c>
      <c r="D193" s="17">
        <f t="shared" ca="1" si="4"/>
        <v>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19200711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19200712</v>
      </c>
      <c r="C195" s="12">
        <v>1</v>
      </c>
      <c r="D195" s="17">
        <f t="shared" ca="1" si="6"/>
        <v>0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19200713</v>
      </c>
      <c r="C196" s="12">
        <v>1</v>
      </c>
      <c r="D196" s="17">
        <f t="shared" ca="1" si="6"/>
        <v>170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19200714</v>
      </c>
      <c r="C197" s="12">
        <v>1</v>
      </c>
      <c r="D197" s="17">
        <f t="shared" ca="1" si="6"/>
        <v>92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19200715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19200716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19200717</v>
      </c>
      <c r="C200" s="12">
        <v>1</v>
      </c>
      <c r="D200" s="17">
        <f t="shared" ca="1" si="6"/>
        <v>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19200718</v>
      </c>
      <c r="C201" s="12">
        <v>1</v>
      </c>
      <c r="D201" s="17">
        <f t="shared" ca="1" si="6"/>
        <v>0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19200719</v>
      </c>
      <c r="C202" s="12">
        <v>1</v>
      </c>
      <c r="D202" s="17">
        <f t="shared" ca="1" si="6"/>
        <v>0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19200720</v>
      </c>
      <c r="C203" s="12">
        <v>1</v>
      </c>
      <c r="D203" s="17">
        <f t="shared" ca="1" si="6"/>
        <v>0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19200721</v>
      </c>
      <c r="C204" s="12">
        <v>1</v>
      </c>
      <c r="D204" s="17">
        <f t="shared" ca="1" si="6"/>
        <v>0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19200722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19200723</v>
      </c>
      <c r="C206" s="12">
        <v>1</v>
      </c>
      <c r="D206" s="17">
        <f t="shared" ca="1" si="6"/>
        <v>0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19200724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19200725</v>
      </c>
      <c r="C208" s="12">
        <v>1</v>
      </c>
      <c r="D208" s="17">
        <f t="shared" ca="1" si="6"/>
        <v>0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19200726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19200727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19200728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19200729</v>
      </c>
      <c r="C212" s="12">
        <v>1</v>
      </c>
      <c r="D212" s="17">
        <f t="shared" ca="1" si="6"/>
        <v>0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19200730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19200731</v>
      </c>
      <c r="C214" s="12">
        <v>1</v>
      </c>
      <c r="D214" s="17">
        <f t="shared" ca="1" si="6"/>
        <v>0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19200801</v>
      </c>
      <c r="C215" s="12">
        <v>1</v>
      </c>
      <c r="D215" s="17">
        <f t="shared" ca="1" si="6"/>
        <v>0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19200802</v>
      </c>
      <c r="C216" s="12">
        <v>1</v>
      </c>
      <c r="D216" s="17">
        <f t="shared" ca="1" si="6"/>
        <v>0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19200803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19200804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19200805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19200806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19200807</v>
      </c>
      <c r="C221" s="12">
        <v>1</v>
      </c>
      <c r="D221" s="17">
        <f t="shared" ca="1" si="6"/>
        <v>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19200808</v>
      </c>
      <c r="C222" s="12">
        <v>1</v>
      </c>
      <c r="D222" s="17">
        <f t="shared" ca="1" si="6"/>
        <v>0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19200809</v>
      </c>
      <c r="C223" s="12">
        <v>1</v>
      </c>
      <c r="D223" s="17">
        <f t="shared" ca="1" si="6"/>
        <v>0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19200810</v>
      </c>
      <c r="C224" s="12">
        <v>1</v>
      </c>
      <c r="D224" s="17">
        <f t="shared" ca="1" si="6"/>
        <v>260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19200811</v>
      </c>
      <c r="C225" s="12">
        <v>1</v>
      </c>
      <c r="D225" s="17">
        <f t="shared" ca="1" si="6"/>
        <v>0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19200812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19200813</v>
      </c>
      <c r="C227" s="12">
        <v>1</v>
      </c>
      <c r="D227" s="17">
        <f t="shared" ca="1" si="6"/>
        <v>0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19200814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19200815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19200816</v>
      </c>
      <c r="C230" s="12">
        <v>1</v>
      </c>
      <c r="D230" s="17">
        <f t="shared" ca="1" si="6"/>
        <v>74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19200817</v>
      </c>
      <c r="C231" s="12">
        <v>1</v>
      </c>
      <c r="D231" s="17">
        <f t="shared" ca="1" si="6"/>
        <v>0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19200818</v>
      </c>
      <c r="C232" s="12">
        <v>1</v>
      </c>
      <c r="D232" s="17">
        <f t="shared" ca="1" si="6"/>
        <v>18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19200819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19200820</v>
      </c>
      <c r="C234" s="12">
        <v>1</v>
      </c>
      <c r="D234" s="17">
        <f t="shared" ca="1" si="6"/>
        <v>0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19200821</v>
      </c>
      <c r="C235" s="12">
        <v>1</v>
      </c>
      <c r="D235" s="17">
        <f t="shared" ca="1" si="6"/>
        <v>0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19200822</v>
      </c>
      <c r="C236" s="12">
        <v>1</v>
      </c>
      <c r="D236" s="17">
        <f t="shared" ca="1" si="6"/>
        <v>0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19200823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19200824</v>
      </c>
      <c r="C238" s="12">
        <v>1</v>
      </c>
      <c r="D238" s="17">
        <f t="shared" ca="1" si="6"/>
        <v>0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19200825</v>
      </c>
      <c r="C239" s="12">
        <v>1</v>
      </c>
      <c r="D239" s="17">
        <f t="shared" ca="1" si="6"/>
        <v>8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19200826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19200827</v>
      </c>
      <c r="C241" s="12">
        <v>1</v>
      </c>
      <c r="D241" s="17">
        <f t="shared" ca="1" si="6"/>
        <v>0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19200828</v>
      </c>
      <c r="C242" s="12">
        <v>1</v>
      </c>
      <c r="D242" s="17">
        <f t="shared" ca="1" si="6"/>
        <v>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19200829</v>
      </c>
      <c r="C243" s="12">
        <v>1</v>
      </c>
      <c r="D243" s="17">
        <f t="shared" ca="1" si="6"/>
        <v>0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19200830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19200831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19200901</v>
      </c>
      <c r="C246" s="12">
        <v>1</v>
      </c>
      <c r="D246" s="17">
        <f t="shared" ca="1" si="6"/>
        <v>45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19200902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19200903</v>
      </c>
      <c r="C248" s="12">
        <v>1</v>
      </c>
      <c r="D248" s="17">
        <f t="shared" ca="1" si="6"/>
        <v>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19200904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19200905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19200906</v>
      </c>
      <c r="C251" s="12">
        <v>1</v>
      </c>
      <c r="D251" s="17">
        <f t="shared" ca="1" si="6"/>
        <v>0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19200907</v>
      </c>
      <c r="C252" s="12">
        <v>1</v>
      </c>
      <c r="D252" s="17">
        <f t="shared" ca="1" si="6"/>
        <v>0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19200908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19200909</v>
      </c>
      <c r="C254" s="12">
        <v>1</v>
      </c>
      <c r="D254" s="17">
        <f t="shared" ca="1" si="6"/>
        <v>0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19200910</v>
      </c>
      <c r="C255" s="12">
        <v>1</v>
      </c>
      <c r="D255" s="17">
        <f t="shared" ca="1" si="6"/>
        <v>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19200911</v>
      </c>
      <c r="C256" s="12">
        <v>1</v>
      </c>
      <c r="D256" s="17">
        <f t="shared" ca="1" si="6"/>
        <v>0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19200912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19200913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19200914</v>
      </c>
      <c r="C259" s="12">
        <v>1</v>
      </c>
      <c r="D259" s="17">
        <f t="shared" ca="1" si="8"/>
        <v>155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19200915</v>
      </c>
      <c r="C260" s="12">
        <v>1</v>
      </c>
      <c r="D260" s="17">
        <f t="shared" ca="1" si="8"/>
        <v>0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19200916</v>
      </c>
      <c r="C261" s="12">
        <v>1</v>
      </c>
      <c r="D261" s="17">
        <f t="shared" ca="1" si="8"/>
        <v>0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19200917</v>
      </c>
      <c r="C262" s="12">
        <v>1</v>
      </c>
      <c r="D262" s="17">
        <f t="shared" ca="1" si="8"/>
        <v>0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19200918</v>
      </c>
      <c r="C263" s="12">
        <v>1</v>
      </c>
      <c r="D263" s="17">
        <f t="shared" ca="1" si="8"/>
        <v>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19200919</v>
      </c>
      <c r="C264" s="12">
        <v>1</v>
      </c>
      <c r="D264" s="17">
        <f t="shared" ca="1" si="8"/>
        <v>0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19200920</v>
      </c>
      <c r="C265" s="12">
        <v>1</v>
      </c>
      <c r="D265" s="17">
        <f t="shared" ca="1" si="8"/>
        <v>0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19200921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19200922</v>
      </c>
      <c r="C267" s="12">
        <v>1</v>
      </c>
      <c r="D267" s="17">
        <f t="shared" ca="1" si="8"/>
        <v>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19200923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19200924</v>
      </c>
      <c r="C269" s="12">
        <v>1</v>
      </c>
      <c r="D269" s="17">
        <f t="shared" ca="1" si="8"/>
        <v>0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19200925</v>
      </c>
      <c r="C270" s="12">
        <v>1</v>
      </c>
      <c r="D270" s="17">
        <f t="shared" ca="1" si="8"/>
        <v>0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19200926</v>
      </c>
      <c r="C271" s="12">
        <v>1</v>
      </c>
      <c r="D271" s="17">
        <f t="shared" ca="1" si="8"/>
        <v>0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19200927</v>
      </c>
      <c r="C272" s="12">
        <v>1</v>
      </c>
      <c r="D272" s="17">
        <f t="shared" ca="1" si="8"/>
        <v>0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19200928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19200929</v>
      </c>
      <c r="C274" s="12">
        <v>1</v>
      </c>
      <c r="D274" s="17">
        <f t="shared" ca="1" si="8"/>
        <v>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19200930</v>
      </c>
      <c r="C275" s="12">
        <v>1</v>
      </c>
      <c r="D275" s="17">
        <f t="shared" ca="1" si="8"/>
        <v>0</v>
      </c>
      <c r="E275" s="18">
        <f t="shared" ca="1" si="9"/>
        <v>0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19201001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19201002</v>
      </c>
      <c r="C277" s="12">
        <v>1</v>
      </c>
      <c r="D277" s="17">
        <f t="shared" ca="1" si="8"/>
        <v>0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19201003</v>
      </c>
      <c r="C278" s="12">
        <v>1</v>
      </c>
      <c r="D278" s="17">
        <f t="shared" ca="1" si="8"/>
        <v>0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19201004</v>
      </c>
      <c r="C279" s="12">
        <v>1</v>
      </c>
      <c r="D279" s="17">
        <f t="shared" ca="1" si="8"/>
        <v>0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19201005</v>
      </c>
      <c r="C280" s="12">
        <v>1</v>
      </c>
      <c r="D280" s="17">
        <f t="shared" ca="1" si="8"/>
        <v>0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19201006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19201007</v>
      </c>
      <c r="C282" s="12">
        <v>1</v>
      </c>
      <c r="D282" s="17">
        <f t="shared" ca="1" si="8"/>
        <v>0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19201008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19201009</v>
      </c>
      <c r="C284" s="12">
        <v>1</v>
      </c>
      <c r="D284" s="17">
        <f t="shared" ca="1" si="8"/>
        <v>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19201010</v>
      </c>
      <c r="C285" s="12">
        <v>1</v>
      </c>
      <c r="D285" s="17">
        <f t="shared" ca="1" si="8"/>
        <v>0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19201011</v>
      </c>
      <c r="C286" s="12">
        <v>1</v>
      </c>
      <c r="D286" s="17">
        <f t="shared" ca="1" si="8"/>
        <v>0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19201012</v>
      </c>
      <c r="C287" s="12">
        <v>1</v>
      </c>
      <c r="D287" s="17">
        <f t="shared" ca="1" si="8"/>
        <v>0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19201013</v>
      </c>
      <c r="C288" s="12">
        <v>1</v>
      </c>
      <c r="D288" s="17">
        <f t="shared" ca="1" si="8"/>
        <v>0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19201014</v>
      </c>
      <c r="C289" s="12">
        <v>1</v>
      </c>
      <c r="D289" s="17">
        <f t="shared" ca="1" si="8"/>
        <v>0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19201015</v>
      </c>
      <c r="C290" s="12">
        <v>1</v>
      </c>
      <c r="D290" s="17">
        <f t="shared" ca="1" si="8"/>
        <v>0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19201016</v>
      </c>
      <c r="C291" s="12">
        <v>1</v>
      </c>
      <c r="D291" s="17">
        <f t="shared" ca="1" si="8"/>
        <v>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19201017</v>
      </c>
      <c r="C292" s="12">
        <v>1</v>
      </c>
      <c r="D292" s="17">
        <f t="shared" ca="1" si="8"/>
        <v>0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19201018</v>
      </c>
      <c r="C293" s="12">
        <v>1</v>
      </c>
      <c r="D293" s="17">
        <f t="shared" ca="1" si="8"/>
        <v>0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19201019</v>
      </c>
      <c r="C294" s="12">
        <v>1</v>
      </c>
      <c r="D294" s="17">
        <f t="shared" ca="1" si="8"/>
        <v>0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19201020</v>
      </c>
      <c r="C295" s="12">
        <v>1</v>
      </c>
      <c r="D295" s="17">
        <f t="shared" ca="1" si="8"/>
        <v>0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19201021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19201022</v>
      </c>
      <c r="C297" s="12">
        <v>1</v>
      </c>
      <c r="D297" s="17">
        <f t="shared" ca="1" si="8"/>
        <v>0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19201023</v>
      </c>
      <c r="C298" s="12">
        <v>1</v>
      </c>
      <c r="D298" s="17">
        <f t="shared" ca="1" si="8"/>
        <v>0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19201024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19201025</v>
      </c>
      <c r="C300" s="12">
        <v>1</v>
      </c>
      <c r="D300" s="17">
        <f t="shared" ca="1" si="8"/>
        <v>0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19201026</v>
      </c>
      <c r="C301" s="12">
        <v>1</v>
      </c>
      <c r="D301" s="17">
        <f t="shared" ca="1" si="8"/>
        <v>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19201027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19201028</v>
      </c>
      <c r="C303" s="12">
        <v>1</v>
      </c>
      <c r="D303" s="17">
        <f t="shared" ca="1" si="8"/>
        <v>0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19201029</v>
      </c>
      <c r="C304" s="12">
        <v>1</v>
      </c>
      <c r="D304" s="17">
        <f t="shared" ca="1" si="8"/>
        <v>0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19201030</v>
      </c>
      <c r="C305" s="12">
        <v>1</v>
      </c>
      <c r="D305" s="17">
        <f t="shared" ca="1" si="8"/>
        <v>0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19201031</v>
      </c>
      <c r="C306" s="12">
        <v>1</v>
      </c>
      <c r="D306" s="17">
        <f t="shared" ca="1" si="8"/>
        <v>0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19201101</v>
      </c>
      <c r="C307" s="12">
        <v>1</v>
      </c>
      <c r="D307" s="17">
        <f t="shared" ca="1" si="8"/>
        <v>500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19201102</v>
      </c>
      <c r="C308" s="12">
        <v>1</v>
      </c>
      <c r="D308" s="17">
        <f t="shared" ca="1" si="8"/>
        <v>0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19201103</v>
      </c>
      <c r="C309" s="12">
        <v>1</v>
      </c>
      <c r="D309" s="17">
        <f t="shared" ca="1" si="8"/>
        <v>90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19201104</v>
      </c>
      <c r="C310" s="12">
        <v>1</v>
      </c>
      <c r="D310" s="17">
        <f t="shared" ca="1" si="8"/>
        <v>0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19201105</v>
      </c>
      <c r="C311" s="12">
        <v>1</v>
      </c>
      <c r="D311" s="17">
        <f t="shared" ca="1" si="8"/>
        <v>0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19201106</v>
      </c>
      <c r="C312" s="12">
        <v>1</v>
      </c>
      <c r="D312" s="17">
        <f t="shared" ca="1" si="8"/>
        <v>0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19201107</v>
      </c>
      <c r="C313" s="12">
        <v>1</v>
      </c>
      <c r="D313" s="17">
        <f t="shared" ca="1" si="8"/>
        <v>0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19201108</v>
      </c>
      <c r="C314" s="12">
        <v>1</v>
      </c>
      <c r="D314" s="17">
        <f t="shared" ca="1" si="8"/>
        <v>0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19201109</v>
      </c>
      <c r="C315" s="12">
        <v>1</v>
      </c>
      <c r="D315" s="17">
        <f t="shared" ca="1" si="8"/>
        <v>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19201110</v>
      </c>
      <c r="C316" s="12">
        <v>1</v>
      </c>
      <c r="D316" s="17">
        <f t="shared" ca="1" si="8"/>
        <v>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19201111</v>
      </c>
      <c r="C317" s="12">
        <v>1</v>
      </c>
      <c r="D317" s="17">
        <f t="shared" ca="1" si="8"/>
        <v>50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19201112</v>
      </c>
      <c r="C318" s="12">
        <v>1</v>
      </c>
      <c r="D318" s="17">
        <f t="shared" ca="1" si="8"/>
        <v>0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19201113</v>
      </c>
      <c r="C319" s="12">
        <v>1</v>
      </c>
      <c r="D319" s="17">
        <f t="shared" ca="1" si="8"/>
        <v>0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19201114</v>
      </c>
      <c r="C320" s="12">
        <v>1</v>
      </c>
      <c r="D320" s="17">
        <f t="shared" ca="1" si="8"/>
        <v>0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19201115</v>
      </c>
      <c r="C321" s="12">
        <v>1</v>
      </c>
      <c r="D321" s="17">
        <f t="shared" ca="1" si="8"/>
        <v>130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19201116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50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19201117</v>
      </c>
      <c r="C323" s="12">
        <v>1</v>
      </c>
      <c r="D323" s="17">
        <f t="shared" ca="1" si="10"/>
        <v>70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19201118</v>
      </c>
      <c r="C324" s="12">
        <v>1</v>
      </c>
      <c r="D324" s="17">
        <f t="shared" ca="1" si="10"/>
        <v>72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19201119</v>
      </c>
      <c r="C325" s="12">
        <v>1</v>
      </c>
      <c r="D325" s="17">
        <f t="shared" ca="1" si="10"/>
        <v>0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19201120</v>
      </c>
      <c r="C326" s="12">
        <v>1</v>
      </c>
      <c r="D326" s="17">
        <f t="shared" ca="1" si="10"/>
        <v>0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19201121</v>
      </c>
      <c r="C327" s="12">
        <v>1</v>
      </c>
      <c r="D327" s="17">
        <f t="shared" ca="1" si="10"/>
        <v>0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19201122</v>
      </c>
      <c r="C328" s="12">
        <v>1</v>
      </c>
      <c r="D328" s="17">
        <f t="shared" ca="1" si="10"/>
        <v>0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19201123</v>
      </c>
      <c r="C329" s="12">
        <v>1</v>
      </c>
      <c r="D329" s="17">
        <f t="shared" ca="1" si="10"/>
        <v>0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19201124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19201125</v>
      </c>
      <c r="C331" s="12">
        <v>1</v>
      </c>
      <c r="D331" s="17">
        <f t="shared" ca="1" si="10"/>
        <v>100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19201126</v>
      </c>
      <c r="C332" s="12">
        <v>1</v>
      </c>
      <c r="D332" s="17">
        <f t="shared" ca="1" si="10"/>
        <v>0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19201127</v>
      </c>
      <c r="C333" s="12">
        <v>1</v>
      </c>
      <c r="D333" s="17">
        <f t="shared" ca="1" si="10"/>
        <v>0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19201128</v>
      </c>
      <c r="C334" s="12">
        <v>1</v>
      </c>
      <c r="D334" s="17">
        <f t="shared" ca="1" si="10"/>
        <v>0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19201129</v>
      </c>
      <c r="C335" s="12">
        <v>1</v>
      </c>
      <c r="D335" s="17">
        <f t="shared" ca="1" si="10"/>
        <v>0</v>
      </c>
      <c r="E335" s="18">
        <f t="shared" ca="1" si="11"/>
        <v>0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19201130</v>
      </c>
      <c r="C336" s="12">
        <v>1</v>
      </c>
      <c r="D336" s="17">
        <f t="shared" ca="1" si="10"/>
        <v>0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19201201</v>
      </c>
      <c r="C337" s="12">
        <v>1</v>
      </c>
      <c r="D337" s="17">
        <f t="shared" ca="1" si="10"/>
        <v>0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19201202</v>
      </c>
      <c r="C338" s="12">
        <v>1</v>
      </c>
      <c r="D338" s="17">
        <f t="shared" ca="1" si="10"/>
        <v>26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19201203</v>
      </c>
      <c r="C339" s="12">
        <v>1</v>
      </c>
      <c r="D339" s="17">
        <f t="shared" ca="1" si="10"/>
        <v>0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19201204</v>
      </c>
      <c r="C340" s="12">
        <v>1</v>
      </c>
      <c r="D340" s="17">
        <f t="shared" ca="1" si="10"/>
        <v>0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19201205</v>
      </c>
      <c r="C341" s="12">
        <v>1</v>
      </c>
      <c r="D341" s="17">
        <f t="shared" ca="1" si="10"/>
        <v>0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19201206</v>
      </c>
      <c r="C342" s="12">
        <v>1</v>
      </c>
      <c r="D342" s="17">
        <f t="shared" ca="1" si="10"/>
        <v>0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19201207</v>
      </c>
      <c r="C343" s="12">
        <v>1</v>
      </c>
      <c r="D343" s="17">
        <f t="shared" ca="1" si="10"/>
        <v>0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19201208</v>
      </c>
      <c r="C344" s="12">
        <v>1</v>
      </c>
      <c r="D344" s="17">
        <f t="shared" ca="1" si="10"/>
        <v>0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19201209</v>
      </c>
      <c r="C345" s="12">
        <v>1</v>
      </c>
      <c r="D345" s="17">
        <f t="shared" ca="1" si="10"/>
        <v>114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19201210</v>
      </c>
      <c r="C346" s="12">
        <v>1</v>
      </c>
      <c r="D346" s="17">
        <f t="shared" ca="1" si="10"/>
        <v>34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19201211</v>
      </c>
      <c r="C347" s="12">
        <v>1</v>
      </c>
      <c r="D347" s="17">
        <f t="shared" ca="1" si="10"/>
        <v>84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19201212</v>
      </c>
      <c r="C348" s="12">
        <v>1</v>
      </c>
      <c r="D348" s="17">
        <f t="shared" ca="1" si="10"/>
        <v>0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19201213</v>
      </c>
      <c r="C349" s="12">
        <v>1</v>
      </c>
      <c r="D349" s="17">
        <f t="shared" ca="1" si="10"/>
        <v>0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19201214</v>
      </c>
      <c r="C350" s="12">
        <v>1</v>
      </c>
      <c r="D350" s="17">
        <f t="shared" ca="1" si="10"/>
        <v>0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19201215</v>
      </c>
      <c r="C351" s="12">
        <v>1</v>
      </c>
      <c r="D351" s="17">
        <f t="shared" ca="1" si="10"/>
        <v>0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19201216</v>
      </c>
      <c r="C352" s="12">
        <v>1</v>
      </c>
      <c r="D352" s="17">
        <f t="shared" ca="1" si="10"/>
        <v>0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19201217</v>
      </c>
      <c r="C353" s="12">
        <v>1</v>
      </c>
      <c r="D353" s="17">
        <f t="shared" ca="1" si="10"/>
        <v>0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19201218</v>
      </c>
      <c r="C354" s="12">
        <v>1</v>
      </c>
      <c r="D354" s="17">
        <f t="shared" ca="1" si="10"/>
        <v>0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19201219</v>
      </c>
      <c r="C355" s="12">
        <v>1</v>
      </c>
      <c r="D355" s="17">
        <f t="shared" ca="1" si="10"/>
        <v>0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19201220</v>
      </c>
      <c r="C356" s="12">
        <v>1</v>
      </c>
      <c r="D356" s="17">
        <f t="shared" ca="1" si="10"/>
        <v>0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19201221</v>
      </c>
      <c r="C357" s="12">
        <v>1</v>
      </c>
      <c r="D357" s="17">
        <f t="shared" ca="1" si="10"/>
        <v>0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19201222</v>
      </c>
      <c r="C358" s="12">
        <v>1</v>
      </c>
      <c r="D358" s="17">
        <f t="shared" ca="1" si="10"/>
        <v>0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19201223</v>
      </c>
      <c r="C359" s="12">
        <v>1</v>
      </c>
      <c r="D359" s="17">
        <f t="shared" ca="1" si="10"/>
        <v>0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19201224</v>
      </c>
      <c r="C360" s="12">
        <v>1</v>
      </c>
      <c r="D360" s="17">
        <f t="shared" ca="1" si="10"/>
        <v>0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19201225</v>
      </c>
      <c r="C361" s="12">
        <v>1</v>
      </c>
      <c r="D361" s="17">
        <f t="shared" ca="1" si="10"/>
        <v>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19201226</v>
      </c>
      <c r="C362" s="12">
        <v>1</v>
      </c>
      <c r="D362" s="17">
        <f t="shared" ca="1" si="10"/>
        <v>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19201227</v>
      </c>
      <c r="C363" s="12">
        <v>1</v>
      </c>
      <c r="D363" s="17">
        <f t="shared" ca="1" si="10"/>
        <v>0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19201228</v>
      </c>
      <c r="C364" s="12">
        <v>1</v>
      </c>
      <c r="D364" s="17">
        <f t="shared" ca="1" si="10"/>
        <v>0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19201229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19201230</v>
      </c>
      <c r="C366" s="12">
        <v>1</v>
      </c>
      <c r="D366" s="17">
        <f t="shared" ca="1" si="10"/>
        <v>0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44</v>
      </c>
      <c r="B367" t="str">
        <f ca="1">TEXT(DATE(YEAR(Invoer!$A$5),1,1)+MOD(ROWS(B$2:B367)-1,DATE(YEAR(Invoer!$A$5),12,31)-DATE(YEAR(Invoer!$A$5),1,1)+1),"jjjjmmdd")</f>
        <v>19201231</v>
      </c>
      <c r="C367" s="12">
        <v>1</v>
      </c>
      <c r="D367" s="17">
        <f t="shared" ca="1" si="10"/>
        <v>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19200101</v>
      </c>
      <c r="C368" s="12">
        <v>1</v>
      </c>
      <c r="D368" s="17">
        <f t="shared" ca="1" si="10"/>
        <v>0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19200102</v>
      </c>
      <c r="C369" s="12">
        <v>1</v>
      </c>
      <c r="D369" s="17">
        <f t="shared" ca="1" si="10"/>
        <v>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19200103</v>
      </c>
      <c r="C370" s="12">
        <v>1</v>
      </c>
      <c r="D370" s="17">
        <f t="shared" ca="1" si="10"/>
        <v>0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19200104</v>
      </c>
      <c r="C371" s="12">
        <v>1</v>
      </c>
      <c r="D371" s="17">
        <f t="shared" ca="1" si="10"/>
        <v>0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19200105</v>
      </c>
      <c r="C372" s="12">
        <v>1</v>
      </c>
      <c r="D372" s="17">
        <f t="shared" ca="1" si="10"/>
        <v>0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19200106</v>
      </c>
      <c r="C373" s="12">
        <v>1</v>
      </c>
      <c r="D373" s="17">
        <f t="shared" ca="1" si="10"/>
        <v>0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19200107</v>
      </c>
      <c r="C374" s="12">
        <v>1</v>
      </c>
      <c r="D374" s="17">
        <f t="shared" ca="1" si="10"/>
        <v>0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19200108</v>
      </c>
      <c r="C375" s="12">
        <v>1</v>
      </c>
      <c r="D375" s="17">
        <f t="shared" ca="1" si="10"/>
        <v>0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19200109</v>
      </c>
      <c r="C376" s="12">
        <v>1</v>
      </c>
      <c r="D376" s="17">
        <f t="shared" ca="1" si="10"/>
        <v>120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19200110</v>
      </c>
      <c r="C377" s="12">
        <v>1</v>
      </c>
      <c r="D377" s="17">
        <f t="shared" ca="1" si="10"/>
        <v>240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19200111</v>
      </c>
      <c r="C378" s="12">
        <v>1</v>
      </c>
      <c r="D378" s="17">
        <f t="shared" ca="1" si="10"/>
        <v>0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19200112</v>
      </c>
      <c r="C379" s="12">
        <v>1</v>
      </c>
      <c r="D379" s="17">
        <f t="shared" ca="1" si="10"/>
        <v>60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19200113</v>
      </c>
      <c r="C380" s="12">
        <v>1</v>
      </c>
      <c r="D380" s="17">
        <f t="shared" ca="1" si="10"/>
        <v>40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19200114</v>
      </c>
      <c r="C381" s="12">
        <v>1</v>
      </c>
      <c r="D381" s="17">
        <f t="shared" ca="1" si="10"/>
        <v>30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19200115</v>
      </c>
      <c r="C382" s="12">
        <v>1</v>
      </c>
      <c r="D382" s="17">
        <f t="shared" ca="1" si="10"/>
        <v>70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19200116</v>
      </c>
      <c r="C383" s="12">
        <v>1</v>
      </c>
      <c r="D383" s="17">
        <f t="shared" ca="1" si="10"/>
        <v>0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19200117</v>
      </c>
      <c r="C384" s="12">
        <v>1</v>
      </c>
      <c r="D384" s="17">
        <f t="shared" ca="1" si="10"/>
        <v>0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19200118</v>
      </c>
      <c r="C385" s="12">
        <v>1</v>
      </c>
      <c r="D385" s="17">
        <f t="shared" ca="1" si="10"/>
        <v>0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19200119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85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19200120</v>
      </c>
      <c r="C387" s="12">
        <v>1</v>
      </c>
      <c r="D387" s="17">
        <f t="shared" ca="1" si="12"/>
        <v>40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19200121</v>
      </c>
      <c r="C388" s="12">
        <v>1</v>
      </c>
      <c r="D388" s="17">
        <f t="shared" ca="1" si="12"/>
        <v>60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19200122</v>
      </c>
      <c r="C389" s="12">
        <v>1</v>
      </c>
      <c r="D389" s="17">
        <f t="shared" ca="1" si="12"/>
        <v>12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19200123</v>
      </c>
      <c r="C390" s="12">
        <v>1</v>
      </c>
      <c r="D390" s="17">
        <f t="shared" ca="1" si="12"/>
        <v>40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19200124</v>
      </c>
      <c r="C391" s="12">
        <v>1</v>
      </c>
      <c r="D391" s="17">
        <f t="shared" ca="1" si="12"/>
        <v>8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19200125</v>
      </c>
      <c r="C392" s="12">
        <v>1</v>
      </c>
      <c r="D392" s="17">
        <f t="shared" ca="1" si="12"/>
        <v>0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19200126</v>
      </c>
      <c r="C393" s="12">
        <v>1</v>
      </c>
      <c r="D393" s="17">
        <f t="shared" ca="1" si="12"/>
        <v>0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19200127</v>
      </c>
      <c r="C394" s="12">
        <v>1</v>
      </c>
      <c r="D394" s="17">
        <f t="shared" ca="1" si="12"/>
        <v>20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19200128</v>
      </c>
      <c r="C395" s="12">
        <v>1</v>
      </c>
      <c r="D395" s="17">
        <f t="shared" ca="1" si="12"/>
        <v>0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19200129</v>
      </c>
      <c r="C396" s="12">
        <v>1</v>
      </c>
      <c r="D396" s="17">
        <f t="shared" ca="1" si="12"/>
        <v>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19200130</v>
      </c>
      <c r="C397" s="12">
        <v>1</v>
      </c>
      <c r="D397" s="17">
        <f t="shared" ca="1" si="12"/>
        <v>48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19200131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19200201</v>
      </c>
      <c r="C399" s="12">
        <v>1</v>
      </c>
      <c r="D399" s="17">
        <f t="shared" ca="1" si="12"/>
        <v>0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19200202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19200203</v>
      </c>
      <c r="C401" s="12">
        <v>1</v>
      </c>
      <c r="D401" s="17">
        <f t="shared" ca="1" si="12"/>
        <v>0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19200204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19200205</v>
      </c>
      <c r="C403" s="12">
        <v>1</v>
      </c>
      <c r="D403" s="17">
        <f t="shared" ca="1" si="12"/>
        <v>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19200206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19200207</v>
      </c>
      <c r="C405" s="12">
        <v>1</v>
      </c>
      <c r="D405" s="17">
        <f t="shared" ca="1" si="12"/>
        <v>0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19200208</v>
      </c>
      <c r="C406" s="12">
        <v>1</v>
      </c>
      <c r="D406" s="17">
        <f t="shared" ca="1" si="12"/>
        <v>8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19200209</v>
      </c>
      <c r="C407" s="12">
        <v>1</v>
      </c>
      <c r="D407" s="17">
        <f t="shared" ca="1" si="12"/>
        <v>0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19200210</v>
      </c>
      <c r="C408" s="12">
        <v>1</v>
      </c>
      <c r="D408" s="17">
        <f t="shared" ca="1" si="12"/>
        <v>0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19200211</v>
      </c>
      <c r="C409" s="12">
        <v>1</v>
      </c>
      <c r="D409" s="17">
        <f t="shared" ca="1" si="12"/>
        <v>0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19200212</v>
      </c>
      <c r="C410" s="12">
        <v>1</v>
      </c>
      <c r="D410" s="17">
        <f t="shared" ca="1" si="12"/>
        <v>0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19200213</v>
      </c>
      <c r="C411" s="12">
        <v>1</v>
      </c>
      <c r="D411" s="17">
        <f t="shared" ca="1" si="12"/>
        <v>0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19200214</v>
      </c>
      <c r="C412" s="12">
        <v>1</v>
      </c>
      <c r="D412" s="17">
        <f t="shared" ca="1" si="12"/>
        <v>0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19200215</v>
      </c>
      <c r="C413" s="12">
        <v>1</v>
      </c>
      <c r="D413" s="17">
        <f t="shared" ca="1" si="12"/>
        <v>0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19200216</v>
      </c>
      <c r="C414" s="12">
        <v>1</v>
      </c>
      <c r="D414" s="17">
        <f t="shared" ca="1" si="12"/>
        <v>0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19200217</v>
      </c>
      <c r="C415" s="12">
        <v>1</v>
      </c>
      <c r="D415" s="17">
        <f t="shared" ca="1" si="12"/>
        <v>0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19200218</v>
      </c>
      <c r="C416" s="12">
        <v>1</v>
      </c>
      <c r="D416" s="17">
        <f t="shared" ca="1" si="12"/>
        <v>0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19200219</v>
      </c>
      <c r="C417" s="12">
        <v>1</v>
      </c>
      <c r="D417" s="17">
        <f t="shared" ca="1" si="12"/>
        <v>0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19200220</v>
      </c>
      <c r="C418" s="12">
        <v>1</v>
      </c>
      <c r="D418" s="17">
        <f t="shared" ca="1" si="12"/>
        <v>0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19200221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19200222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19200223</v>
      </c>
      <c r="C421" s="12">
        <v>1</v>
      </c>
      <c r="D421" s="17">
        <f t="shared" ca="1" si="12"/>
        <v>0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19200224</v>
      </c>
      <c r="C422" s="12">
        <v>1</v>
      </c>
      <c r="D422" s="17">
        <f t="shared" ca="1" si="12"/>
        <v>0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19200225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19200226</v>
      </c>
      <c r="C424" s="12">
        <v>1</v>
      </c>
      <c r="D424" s="17">
        <f t="shared" ca="1" si="12"/>
        <v>0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19200227</v>
      </c>
      <c r="C425" s="12">
        <v>1</v>
      </c>
      <c r="D425" s="17">
        <f t="shared" ca="1" si="12"/>
        <v>0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19200228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19200229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19200301</v>
      </c>
      <c r="C428" s="12">
        <v>1</v>
      </c>
      <c r="D428" s="17">
        <f t="shared" ca="1" si="12"/>
        <v>0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19200302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19200303</v>
      </c>
      <c r="C430" s="12">
        <v>1</v>
      </c>
      <c r="D430" s="17">
        <f t="shared" ca="1" si="12"/>
        <v>0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19200304</v>
      </c>
      <c r="C431" s="12">
        <v>1</v>
      </c>
      <c r="D431" s="17">
        <f t="shared" ca="1" si="12"/>
        <v>0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19200305</v>
      </c>
      <c r="C432" s="12">
        <v>1</v>
      </c>
      <c r="D432" s="17">
        <f t="shared" ca="1" si="12"/>
        <v>0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19200306</v>
      </c>
      <c r="C433" s="12">
        <v>1</v>
      </c>
      <c r="D433" s="17">
        <f t="shared" ca="1" si="12"/>
        <v>0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19200307</v>
      </c>
      <c r="C434" s="12">
        <v>1</v>
      </c>
      <c r="D434" s="17">
        <f t="shared" ca="1" si="12"/>
        <v>0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19200308</v>
      </c>
      <c r="C435" s="12">
        <v>1</v>
      </c>
      <c r="D435" s="17">
        <f t="shared" ca="1" si="12"/>
        <v>0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19200309</v>
      </c>
      <c r="C436" s="12">
        <v>1</v>
      </c>
      <c r="D436" s="17">
        <f t="shared" ca="1" si="12"/>
        <v>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19200310</v>
      </c>
      <c r="C437" s="12">
        <v>1</v>
      </c>
      <c r="D437" s="17">
        <f t="shared" ca="1" si="12"/>
        <v>0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19200311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19200312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19200313</v>
      </c>
      <c r="C440" s="12">
        <v>1</v>
      </c>
      <c r="D440" s="17">
        <f t="shared" ca="1" si="12"/>
        <v>0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19200314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19200315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19200316</v>
      </c>
      <c r="C443" s="12">
        <v>1</v>
      </c>
      <c r="D443" s="17">
        <f t="shared" ca="1" si="12"/>
        <v>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19200317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19200318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19200319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19200320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19200321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19200322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19200323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19200324</v>
      </c>
      <c r="C451" s="12">
        <v>1</v>
      </c>
      <c r="D451" s="17">
        <f t="shared" ca="1" si="14"/>
        <v>0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19200325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19200326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19200327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19200328</v>
      </c>
      <c r="C455" s="12">
        <v>1</v>
      </c>
      <c r="D455" s="17">
        <f t="shared" ca="1" si="14"/>
        <v>20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19200329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19200330</v>
      </c>
      <c r="C457" s="12">
        <v>1</v>
      </c>
      <c r="D457" s="17">
        <f t="shared" ca="1" si="14"/>
        <v>0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19200331</v>
      </c>
      <c r="C458" s="12">
        <v>1</v>
      </c>
      <c r="D458" s="17">
        <f t="shared" ca="1" si="14"/>
        <v>0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19200401</v>
      </c>
      <c r="C459" s="12">
        <v>1</v>
      </c>
      <c r="D459" s="17">
        <f t="shared" ca="1" si="14"/>
        <v>0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19200402</v>
      </c>
      <c r="C460" s="12">
        <v>1</v>
      </c>
      <c r="D460" s="17">
        <f t="shared" ca="1" si="14"/>
        <v>0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19200403</v>
      </c>
      <c r="C461" s="12">
        <v>1</v>
      </c>
      <c r="D461" s="17">
        <f t="shared" ca="1" si="14"/>
        <v>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19200404</v>
      </c>
      <c r="C462" s="12">
        <v>1</v>
      </c>
      <c r="D462" s="17">
        <f t="shared" ca="1" si="14"/>
        <v>0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19200405</v>
      </c>
      <c r="C463" s="12">
        <v>1</v>
      </c>
      <c r="D463" s="17">
        <f t="shared" ca="1" si="14"/>
        <v>0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19200406</v>
      </c>
      <c r="C464" s="12">
        <v>1</v>
      </c>
      <c r="D464" s="17">
        <f t="shared" ca="1" si="14"/>
        <v>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19200407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19200408</v>
      </c>
      <c r="C466" s="12">
        <v>1</v>
      </c>
      <c r="D466" s="17">
        <f t="shared" ca="1" si="14"/>
        <v>0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19200409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19200410</v>
      </c>
      <c r="C468" s="12">
        <v>1</v>
      </c>
      <c r="D468" s="17">
        <f t="shared" ca="1" si="14"/>
        <v>0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19200411</v>
      </c>
      <c r="C469" s="12">
        <v>1</v>
      </c>
      <c r="D469" s="17">
        <f t="shared" ca="1" si="14"/>
        <v>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19200412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19200413</v>
      </c>
      <c r="C471" s="12">
        <v>1</v>
      </c>
      <c r="D471" s="17">
        <f t="shared" ca="1" si="14"/>
        <v>0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19200414</v>
      </c>
      <c r="C472" s="12">
        <v>1</v>
      </c>
      <c r="D472" s="17">
        <f t="shared" ca="1" si="14"/>
        <v>0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19200415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19200416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19200417</v>
      </c>
      <c r="C475" s="12">
        <v>1</v>
      </c>
      <c r="D475" s="17">
        <f t="shared" ca="1" si="14"/>
        <v>0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19200418</v>
      </c>
      <c r="C476" s="12">
        <v>1</v>
      </c>
      <c r="D476" s="17">
        <f t="shared" ca="1" si="14"/>
        <v>0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19200419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19200420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19200421</v>
      </c>
      <c r="C479" s="12">
        <v>1</v>
      </c>
      <c r="D479" s="17">
        <f t="shared" ca="1" si="14"/>
        <v>0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19200422</v>
      </c>
      <c r="C480" s="12">
        <v>1</v>
      </c>
      <c r="D480" s="17">
        <f t="shared" ca="1" si="14"/>
        <v>0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19200423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19200424</v>
      </c>
      <c r="C482" s="12">
        <v>1</v>
      </c>
      <c r="D482" s="17">
        <f t="shared" ca="1" si="14"/>
        <v>0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19200425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19200426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19200427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19200428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19200429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19200430</v>
      </c>
      <c r="C488" s="12">
        <v>1</v>
      </c>
      <c r="D488" s="17">
        <f t="shared" ca="1" si="14"/>
        <v>0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19200501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19200502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19200503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19200504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19200505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19200506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19200507</v>
      </c>
      <c r="C495" s="12">
        <v>1</v>
      </c>
      <c r="D495" s="17">
        <f t="shared" ca="1" si="14"/>
        <v>0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19200508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19200509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19200510</v>
      </c>
      <c r="C498" s="12">
        <v>1</v>
      </c>
      <c r="D498" s="17">
        <f t="shared" ca="1" si="14"/>
        <v>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19200511</v>
      </c>
      <c r="C499" s="12">
        <v>1</v>
      </c>
      <c r="D499" s="17">
        <f t="shared" ca="1" si="14"/>
        <v>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19200512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19200513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19200514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19200515</v>
      </c>
      <c r="C503" s="12">
        <v>1</v>
      </c>
      <c r="D503" s="17">
        <f t="shared" ca="1" si="14"/>
        <v>0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19200516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19200517</v>
      </c>
      <c r="C505" s="12">
        <v>1</v>
      </c>
      <c r="D505" s="17">
        <f t="shared" ca="1" si="14"/>
        <v>0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19200518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19200519</v>
      </c>
      <c r="C507" s="12">
        <v>1</v>
      </c>
      <c r="D507" s="17">
        <f t="shared" ca="1" si="14"/>
        <v>90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19200520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19200521</v>
      </c>
      <c r="C509" s="12">
        <v>1</v>
      </c>
      <c r="D509" s="17">
        <f t="shared" ca="1" si="14"/>
        <v>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19200522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19200523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19200524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19200525</v>
      </c>
      <c r="C513" s="12">
        <v>1</v>
      </c>
      <c r="D513" s="17">
        <f t="shared" ca="1" si="14"/>
        <v>80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19200526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19200527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19200528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19200529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19200530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19200531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19200601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19200602</v>
      </c>
      <c r="C521" s="12">
        <v>1</v>
      </c>
      <c r="D521" s="17">
        <f t="shared" ca="1" si="16"/>
        <v>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19200603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19200604</v>
      </c>
      <c r="C523" s="12">
        <v>1</v>
      </c>
      <c r="D523" s="17">
        <f t="shared" ca="1" si="16"/>
        <v>0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19200605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19200606</v>
      </c>
      <c r="C525" s="12">
        <v>1</v>
      </c>
      <c r="D525" s="17">
        <f t="shared" ca="1" si="16"/>
        <v>0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19200607</v>
      </c>
      <c r="C526" s="12">
        <v>1</v>
      </c>
      <c r="D526" s="17">
        <f t="shared" ca="1" si="16"/>
        <v>0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19200608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19200609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19200610</v>
      </c>
      <c r="C529" s="12">
        <v>1</v>
      </c>
      <c r="D529" s="17">
        <f t="shared" ca="1" si="16"/>
        <v>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19200611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19200612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19200613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19200614</v>
      </c>
      <c r="C533" s="12">
        <v>1</v>
      </c>
      <c r="D533" s="17">
        <f t="shared" ca="1" si="16"/>
        <v>0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19200615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19200616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19200617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19200618</v>
      </c>
      <c r="C537" s="12">
        <v>1</v>
      </c>
      <c r="D537" s="17">
        <f t="shared" ca="1" si="16"/>
        <v>0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19200619</v>
      </c>
      <c r="C538" s="12">
        <v>1</v>
      </c>
      <c r="D538" s="17">
        <f t="shared" ca="1" si="16"/>
        <v>0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19200620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19200621</v>
      </c>
      <c r="C540" s="12">
        <v>1</v>
      </c>
      <c r="D540" s="17">
        <f t="shared" ca="1" si="16"/>
        <v>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19200622</v>
      </c>
      <c r="C541" s="12">
        <v>1</v>
      </c>
      <c r="D541" s="17">
        <f t="shared" ca="1" si="16"/>
        <v>0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19200623</v>
      </c>
      <c r="C542" s="12">
        <v>1</v>
      </c>
      <c r="D542" s="17">
        <f t="shared" ca="1" si="16"/>
        <v>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19200624</v>
      </c>
      <c r="C543" s="12">
        <v>1</v>
      </c>
      <c r="D543" s="17">
        <f t="shared" ca="1" si="16"/>
        <v>0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19200625</v>
      </c>
      <c r="C544" s="12">
        <v>1</v>
      </c>
      <c r="D544" s="17">
        <f t="shared" ca="1" si="16"/>
        <v>0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19200626</v>
      </c>
      <c r="C545" s="12">
        <v>1</v>
      </c>
      <c r="D545" s="17">
        <f t="shared" ca="1" si="16"/>
        <v>0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19200627</v>
      </c>
      <c r="C546" s="12">
        <v>1</v>
      </c>
      <c r="D546" s="17">
        <f t="shared" ca="1" si="16"/>
        <v>0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19200628</v>
      </c>
      <c r="C547" s="12">
        <v>1</v>
      </c>
      <c r="D547" s="17">
        <f t="shared" ca="1" si="16"/>
        <v>0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19200629</v>
      </c>
      <c r="C548" s="12">
        <v>1</v>
      </c>
      <c r="D548" s="17">
        <f t="shared" ca="1" si="16"/>
        <v>0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19200630</v>
      </c>
      <c r="C549" s="12">
        <v>1</v>
      </c>
      <c r="D549" s="17">
        <f t="shared" ca="1" si="16"/>
        <v>0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19200701</v>
      </c>
      <c r="C550" s="12">
        <v>1</v>
      </c>
      <c r="D550" s="17">
        <f t="shared" ca="1" si="16"/>
        <v>0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19200702</v>
      </c>
      <c r="C551" s="12">
        <v>1</v>
      </c>
      <c r="D551" s="17">
        <f t="shared" ca="1" si="16"/>
        <v>0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19200703</v>
      </c>
      <c r="C552" s="12">
        <v>1</v>
      </c>
      <c r="D552" s="17">
        <f t="shared" ca="1" si="16"/>
        <v>0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19200704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19200705</v>
      </c>
      <c r="C554" s="12">
        <v>1</v>
      </c>
      <c r="D554" s="17">
        <f t="shared" ca="1" si="16"/>
        <v>0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19200706</v>
      </c>
      <c r="C555" s="12">
        <v>1</v>
      </c>
      <c r="D555" s="17">
        <f t="shared" ca="1" si="16"/>
        <v>0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19200707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19200708</v>
      </c>
      <c r="C557" s="12">
        <v>1</v>
      </c>
      <c r="D557" s="17">
        <f t="shared" ca="1" si="16"/>
        <v>0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19200709</v>
      </c>
      <c r="C558" s="12">
        <v>1</v>
      </c>
      <c r="D558" s="17">
        <f t="shared" ca="1" si="16"/>
        <v>0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19200710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19200711</v>
      </c>
      <c r="C560" s="12">
        <v>1</v>
      </c>
      <c r="D560" s="17">
        <f t="shared" ca="1" si="16"/>
        <v>30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19200712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19200713</v>
      </c>
      <c r="C562" s="12">
        <v>1</v>
      </c>
      <c r="D562" s="17">
        <f t="shared" ca="1" si="16"/>
        <v>80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19200714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19200715</v>
      </c>
      <c r="C564" s="12">
        <v>1</v>
      </c>
      <c r="D564" s="17">
        <f t="shared" ca="1" si="16"/>
        <v>0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19200716</v>
      </c>
      <c r="C565" s="12">
        <v>1</v>
      </c>
      <c r="D565" s="17">
        <f t="shared" ca="1" si="16"/>
        <v>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19200717</v>
      </c>
      <c r="C566" s="12">
        <v>1</v>
      </c>
      <c r="D566" s="17">
        <f t="shared" ca="1" si="16"/>
        <v>0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19200718</v>
      </c>
      <c r="C567" s="12">
        <v>1</v>
      </c>
      <c r="D567" s="17">
        <f t="shared" ca="1" si="16"/>
        <v>20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19200719</v>
      </c>
      <c r="C568" s="12">
        <v>1</v>
      </c>
      <c r="D568" s="17">
        <f t="shared" ca="1" si="16"/>
        <v>0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19200720</v>
      </c>
      <c r="C569" s="12">
        <v>1</v>
      </c>
      <c r="D569" s="17">
        <f t="shared" ca="1" si="16"/>
        <v>0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19200721</v>
      </c>
      <c r="C570" s="12">
        <v>1</v>
      </c>
      <c r="D570" s="17">
        <f t="shared" ca="1" si="16"/>
        <v>0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19200722</v>
      </c>
      <c r="C571" s="12">
        <v>1</v>
      </c>
      <c r="D571" s="17">
        <f t="shared" ca="1" si="16"/>
        <v>60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19200723</v>
      </c>
      <c r="C572" s="12">
        <v>1</v>
      </c>
      <c r="D572" s="17">
        <f t="shared" ca="1" si="16"/>
        <v>30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19200724</v>
      </c>
      <c r="C573" s="12">
        <v>1</v>
      </c>
      <c r="D573" s="17">
        <f t="shared" ca="1" si="16"/>
        <v>0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19200725</v>
      </c>
      <c r="C574" s="12">
        <v>1</v>
      </c>
      <c r="D574" s="17">
        <f t="shared" ca="1" si="16"/>
        <v>0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19200726</v>
      </c>
      <c r="C575" s="12">
        <v>1</v>
      </c>
      <c r="D575" s="17">
        <f t="shared" ca="1" si="16"/>
        <v>10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19200727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19200728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19200729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19200730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19200731</v>
      </c>
      <c r="C580" s="12">
        <v>1</v>
      </c>
      <c r="D580" s="17">
        <f t="shared" ca="1" si="18"/>
        <v>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19200801</v>
      </c>
      <c r="C581" s="12">
        <v>1</v>
      </c>
      <c r="D581" s="17">
        <f t="shared" ca="1" si="18"/>
        <v>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19200802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19200803</v>
      </c>
      <c r="C583" s="12">
        <v>1</v>
      </c>
      <c r="D583" s="17">
        <f t="shared" ca="1" si="18"/>
        <v>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19200804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19200805</v>
      </c>
      <c r="C585" s="12">
        <v>1</v>
      </c>
      <c r="D585" s="17">
        <f t="shared" ca="1" si="18"/>
        <v>0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19200806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19200807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19200808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19200809</v>
      </c>
      <c r="C589" s="12">
        <v>1</v>
      </c>
      <c r="D589" s="17">
        <f t="shared" ca="1" si="18"/>
        <v>0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19200810</v>
      </c>
      <c r="C590" s="12">
        <v>1</v>
      </c>
      <c r="D590" s="17">
        <f t="shared" ca="1" si="18"/>
        <v>210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19200811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19200812</v>
      </c>
      <c r="C592" s="12">
        <v>1</v>
      </c>
      <c r="D592" s="17">
        <f t="shared" ca="1" si="18"/>
        <v>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19200813</v>
      </c>
      <c r="C593" s="12">
        <v>1</v>
      </c>
      <c r="D593" s="17">
        <f t="shared" ca="1" si="18"/>
        <v>0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19200814</v>
      </c>
      <c r="C594" s="12">
        <v>1</v>
      </c>
      <c r="D594" s="17">
        <f t="shared" ca="1" si="18"/>
        <v>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19200815</v>
      </c>
      <c r="C595" s="12">
        <v>1</v>
      </c>
      <c r="D595" s="17">
        <f t="shared" ca="1" si="18"/>
        <v>0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19200816</v>
      </c>
      <c r="C596" s="12">
        <v>1</v>
      </c>
      <c r="D596" s="17">
        <f t="shared" ca="1" si="18"/>
        <v>70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19200817</v>
      </c>
      <c r="C597" s="12">
        <v>1</v>
      </c>
      <c r="D597" s="17">
        <f t="shared" ca="1" si="18"/>
        <v>0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19200818</v>
      </c>
      <c r="C598" s="12">
        <v>1</v>
      </c>
      <c r="D598" s="17">
        <f t="shared" ca="1" si="18"/>
        <v>0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19200819</v>
      </c>
      <c r="C599" s="12">
        <v>1</v>
      </c>
      <c r="D599" s="17">
        <f t="shared" ca="1" si="18"/>
        <v>0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19200820</v>
      </c>
      <c r="C600" s="12">
        <v>1</v>
      </c>
      <c r="D600" s="17">
        <f t="shared" ca="1" si="18"/>
        <v>0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19200821</v>
      </c>
      <c r="C601" s="12">
        <v>1</v>
      </c>
      <c r="D601" s="17">
        <f t="shared" ca="1" si="18"/>
        <v>0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19200822</v>
      </c>
      <c r="C602" s="12">
        <v>1</v>
      </c>
      <c r="D602" s="17">
        <f t="shared" ca="1" si="18"/>
        <v>0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19200823</v>
      </c>
      <c r="C603" s="12">
        <v>1</v>
      </c>
      <c r="D603" s="17">
        <f t="shared" ca="1" si="18"/>
        <v>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19200824</v>
      </c>
      <c r="C604" s="12">
        <v>1</v>
      </c>
      <c r="D604" s="17">
        <f t="shared" ca="1" si="18"/>
        <v>0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19200825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19200826</v>
      </c>
      <c r="C606" s="12">
        <v>1</v>
      </c>
      <c r="D606" s="17">
        <f t="shared" ca="1" si="18"/>
        <v>0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19200827</v>
      </c>
      <c r="C607" s="12">
        <v>1</v>
      </c>
      <c r="D607" s="17">
        <f t="shared" ca="1" si="18"/>
        <v>0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19200828</v>
      </c>
      <c r="C608" s="12">
        <v>1</v>
      </c>
      <c r="D608" s="17">
        <f t="shared" ca="1" si="18"/>
        <v>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19200829</v>
      </c>
      <c r="C609" s="12">
        <v>1</v>
      </c>
      <c r="D609" s="17">
        <f t="shared" ca="1" si="18"/>
        <v>0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19200830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19200831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19200901</v>
      </c>
      <c r="C612" s="12">
        <v>1</v>
      </c>
      <c r="D612" s="17">
        <f t="shared" ca="1" si="18"/>
        <v>150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19200902</v>
      </c>
      <c r="C613" s="12">
        <v>1</v>
      </c>
      <c r="D613" s="17">
        <f t="shared" ca="1" si="18"/>
        <v>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19200903</v>
      </c>
      <c r="C614" s="12">
        <v>1</v>
      </c>
      <c r="D614" s="17">
        <f t="shared" ca="1" si="18"/>
        <v>0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19200904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19200905</v>
      </c>
      <c r="C616" s="12">
        <v>1</v>
      </c>
      <c r="D616" s="17">
        <f t="shared" ca="1" si="18"/>
        <v>0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19200906</v>
      </c>
      <c r="C617" s="12">
        <v>1</v>
      </c>
      <c r="D617" s="17">
        <f t="shared" ca="1" si="18"/>
        <v>0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19200907</v>
      </c>
      <c r="C618" s="12">
        <v>1</v>
      </c>
      <c r="D618" s="17">
        <f t="shared" ca="1" si="18"/>
        <v>0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19200908</v>
      </c>
      <c r="C619" s="12">
        <v>1</v>
      </c>
      <c r="D619" s="17">
        <f t="shared" ca="1" si="18"/>
        <v>0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19200909</v>
      </c>
      <c r="C620" s="12">
        <v>1</v>
      </c>
      <c r="D620" s="17">
        <f t="shared" ca="1" si="18"/>
        <v>0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19200910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19200911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19200912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19200913</v>
      </c>
      <c r="C624" s="12">
        <v>1</v>
      </c>
      <c r="D624" s="17">
        <f t="shared" ca="1" si="18"/>
        <v>375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19200914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19200915</v>
      </c>
      <c r="C626" s="12">
        <v>1</v>
      </c>
      <c r="D626" s="17">
        <f t="shared" ca="1" si="18"/>
        <v>0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19200916</v>
      </c>
      <c r="C627" s="12">
        <v>1</v>
      </c>
      <c r="D627" s="17">
        <f t="shared" ca="1" si="18"/>
        <v>0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19200917</v>
      </c>
      <c r="C628" s="12">
        <v>1</v>
      </c>
      <c r="D628" s="17">
        <f t="shared" ca="1" si="18"/>
        <v>0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19200918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19200919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19200920</v>
      </c>
      <c r="C631" s="12">
        <v>1</v>
      </c>
      <c r="D631" s="17">
        <f t="shared" ca="1" si="18"/>
        <v>0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19200921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19200922</v>
      </c>
      <c r="C633" s="12">
        <v>1</v>
      </c>
      <c r="D633" s="17">
        <f t="shared" ca="1" si="18"/>
        <v>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19200923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19200924</v>
      </c>
      <c r="C635" s="12">
        <v>1</v>
      </c>
      <c r="D635" s="17">
        <f t="shared" ca="1" si="18"/>
        <v>0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19200925</v>
      </c>
      <c r="C636" s="12">
        <v>1</v>
      </c>
      <c r="D636" s="17">
        <f t="shared" ca="1" si="18"/>
        <v>0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19200926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19200927</v>
      </c>
      <c r="C638" s="12">
        <v>1</v>
      </c>
      <c r="D638" s="17">
        <f t="shared" ca="1" si="18"/>
        <v>0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19200928</v>
      </c>
      <c r="C639" s="12">
        <v>1</v>
      </c>
      <c r="D639" s="17">
        <f t="shared" ca="1" si="18"/>
        <v>0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19200929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19200930</v>
      </c>
      <c r="C641" s="12">
        <v>1</v>
      </c>
      <c r="D641" s="17">
        <f t="shared" ca="1" si="18"/>
        <v>0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19201001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19201002</v>
      </c>
      <c r="C643" s="12">
        <v>1</v>
      </c>
      <c r="D643" s="17">
        <f t="shared" ca="1" si="20"/>
        <v>0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19201003</v>
      </c>
      <c r="C644" s="12">
        <v>1</v>
      </c>
      <c r="D644" s="17">
        <f t="shared" ca="1" si="20"/>
        <v>25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19201004</v>
      </c>
      <c r="C645" s="12">
        <v>1</v>
      </c>
      <c r="D645" s="17">
        <f t="shared" ca="1" si="20"/>
        <v>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19201005</v>
      </c>
      <c r="C646" s="12">
        <v>1</v>
      </c>
      <c r="D646" s="17">
        <f t="shared" ca="1" si="20"/>
        <v>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19201006</v>
      </c>
      <c r="C647" s="12">
        <v>1</v>
      </c>
      <c r="D647" s="17">
        <f t="shared" ca="1" si="20"/>
        <v>0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19201007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19201008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19201009</v>
      </c>
      <c r="C650" s="12">
        <v>1</v>
      </c>
      <c r="D650" s="17">
        <f t="shared" ca="1" si="20"/>
        <v>0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19201010</v>
      </c>
      <c r="C651" s="12">
        <v>1</v>
      </c>
      <c r="D651" s="17">
        <f t="shared" ca="1" si="20"/>
        <v>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19201011</v>
      </c>
      <c r="C652" s="12">
        <v>1</v>
      </c>
      <c r="D652" s="17">
        <f t="shared" ca="1" si="20"/>
        <v>0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19201012</v>
      </c>
      <c r="C653" s="12">
        <v>1</v>
      </c>
      <c r="D653" s="17">
        <f t="shared" ca="1" si="20"/>
        <v>40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19201013</v>
      </c>
      <c r="C654" s="12">
        <v>1</v>
      </c>
      <c r="D654" s="17">
        <f t="shared" ca="1" si="20"/>
        <v>0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19201014</v>
      </c>
      <c r="C655" s="12">
        <v>1</v>
      </c>
      <c r="D655" s="17">
        <f t="shared" ca="1" si="20"/>
        <v>0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19201015</v>
      </c>
      <c r="C656" s="12">
        <v>1</v>
      </c>
      <c r="D656" s="17">
        <f t="shared" ca="1" si="20"/>
        <v>0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19201016</v>
      </c>
      <c r="C657" s="12">
        <v>1</v>
      </c>
      <c r="D657" s="17">
        <f t="shared" ca="1" si="20"/>
        <v>0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19201017</v>
      </c>
      <c r="C658" s="12">
        <v>1</v>
      </c>
      <c r="D658" s="17">
        <f t="shared" ca="1" si="20"/>
        <v>0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19201018</v>
      </c>
      <c r="C659" s="12">
        <v>1</v>
      </c>
      <c r="D659" s="17">
        <f t="shared" ca="1" si="20"/>
        <v>0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19201019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19201020</v>
      </c>
      <c r="C661" s="12">
        <v>1</v>
      </c>
      <c r="D661" s="17">
        <f t="shared" ca="1" si="20"/>
        <v>0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19201021</v>
      </c>
      <c r="C662" s="12">
        <v>1</v>
      </c>
      <c r="D662" s="17">
        <f t="shared" ca="1" si="20"/>
        <v>0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19201022</v>
      </c>
      <c r="C663" s="12">
        <v>1</v>
      </c>
      <c r="D663" s="17">
        <f t="shared" ca="1" si="20"/>
        <v>0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19201023</v>
      </c>
      <c r="C664" s="12">
        <v>1</v>
      </c>
      <c r="D664" s="17">
        <f t="shared" ca="1" si="20"/>
        <v>0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19201024</v>
      </c>
      <c r="C665" s="12">
        <v>1</v>
      </c>
      <c r="D665" s="17">
        <f t="shared" ca="1" si="20"/>
        <v>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19201025</v>
      </c>
      <c r="C666" s="12">
        <v>1</v>
      </c>
      <c r="D666" s="17">
        <f t="shared" ca="1" si="20"/>
        <v>17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19201026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19201027</v>
      </c>
      <c r="C668" s="12">
        <v>1</v>
      </c>
      <c r="D668" s="17">
        <f t="shared" ca="1" si="20"/>
        <v>0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19201028</v>
      </c>
      <c r="C669" s="12">
        <v>1</v>
      </c>
      <c r="D669" s="17">
        <f t="shared" ca="1" si="20"/>
        <v>0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19201029</v>
      </c>
      <c r="C670" s="12">
        <v>1</v>
      </c>
      <c r="D670" s="17">
        <f t="shared" ca="1" si="20"/>
        <v>0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19201030</v>
      </c>
      <c r="C671" s="12">
        <v>1</v>
      </c>
      <c r="D671" s="17">
        <f t="shared" ca="1" si="20"/>
        <v>0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19201031</v>
      </c>
      <c r="C672" s="12">
        <v>1</v>
      </c>
      <c r="D672" s="17">
        <f t="shared" ca="1" si="20"/>
        <v>0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19201101</v>
      </c>
      <c r="C673" s="12">
        <v>1</v>
      </c>
      <c r="D673" s="17">
        <f t="shared" ca="1" si="20"/>
        <v>0</v>
      </c>
      <c r="E673" s="18">
        <f t="shared" ca="1" si="21"/>
        <v>0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19201102</v>
      </c>
      <c r="C674" s="12">
        <v>1</v>
      </c>
      <c r="D674" s="17">
        <f t="shared" ca="1" si="20"/>
        <v>96</v>
      </c>
      <c r="E674" s="18">
        <f t="shared" ca="1" si="21"/>
        <v>0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19201103</v>
      </c>
      <c r="C675" s="12">
        <v>1</v>
      </c>
      <c r="D675" s="17">
        <f t="shared" ca="1" si="20"/>
        <v>165</v>
      </c>
      <c r="E675" s="18">
        <f t="shared" ca="1" si="21"/>
        <v>0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19201104</v>
      </c>
      <c r="C676" s="12">
        <v>1</v>
      </c>
      <c r="D676" s="17">
        <f t="shared" ca="1" si="20"/>
        <v>0</v>
      </c>
      <c r="E676" s="18">
        <f t="shared" ca="1" si="21"/>
        <v>0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19201105</v>
      </c>
      <c r="C677" s="12">
        <v>1</v>
      </c>
      <c r="D677" s="17">
        <f t="shared" ca="1" si="20"/>
        <v>0</v>
      </c>
      <c r="E677" s="18">
        <f t="shared" ca="1" si="21"/>
        <v>0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19201106</v>
      </c>
      <c r="C678" s="12">
        <v>1</v>
      </c>
      <c r="D678" s="17">
        <f t="shared" ca="1" si="20"/>
        <v>16</v>
      </c>
      <c r="E678" s="18">
        <f t="shared" ca="1" si="21"/>
        <v>0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19201107</v>
      </c>
      <c r="C679" s="12">
        <v>1</v>
      </c>
      <c r="D679" s="17">
        <f t="shared" ca="1" si="20"/>
        <v>0</v>
      </c>
      <c r="E679" s="18">
        <f t="shared" ca="1" si="21"/>
        <v>0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19201108</v>
      </c>
      <c r="C680" s="12">
        <v>1</v>
      </c>
      <c r="D680" s="17">
        <f t="shared" ca="1" si="20"/>
        <v>0</v>
      </c>
      <c r="E680" s="18">
        <f t="shared" ca="1" si="21"/>
        <v>0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19201109</v>
      </c>
      <c r="C681" s="12">
        <v>1</v>
      </c>
      <c r="D681" s="17">
        <f t="shared" ca="1" si="20"/>
        <v>0</v>
      </c>
      <c r="E681" s="18">
        <f t="shared" ca="1" si="21"/>
        <v>0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19201110</v>
      </c>
      <c r="C682" s="12">
        <v>1</v>
      </c>
      <c r="D682" s="17">
        <f t="shared" ca="1" si="20"/>
        <v>0</v>
      </c>
      <c r="E682" s="18">
        <f t="shared" ca="1" si="21"/>
        <v>0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19201111</v>
      </c>
      <c r="C683" s="12">
        <v>1</v>
      </c>
      <c r="D683" s="17">
        <f t="shared" ca="1" si="20"/>
        <v>0</v>
      </c>
      <c r="E683" s="18">
        <f t="shared" ca="1" si="21"/>
        <v>0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19201112</v>
      </c>
      <c r="C684" s="12">
        <v>1</v>
      </c>
      <c r="D684" s="17">
        <f t="shared" ca="1" si="20"/>
        <v>53</v>
      </c>
      <c r="E684" s="18">
        <f t="shared" ca="1" si="21"/>
        <v>0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19201113</v>
      </c>
      <c r="C685" s="12">
        <v>1</v>
      </c>
      <c r="D685" s="17">
        <f t="shared" ca="1" si="20"/>
        <v>0</v>
      </c>
      <c r="E685" s="18">
        <f t="shared" ca="1" si="21"/>
        <v>0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19201114</v>
      </c>
      <c r="C686" s="12">
        <v>1</v>
      </c>
      <c r="D686" s="17">
        <f t="shared" ca="1" si="20"/>
        <v>102</v>
      </c>
      <c r="E686" s="18">
        <f t="shared" ca="1" si="21"/>
        <v>0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19201115</v>
      </c>
      <c r="C687" s="12">
        <v>1</v>
      </c>
      <c r="D687" s="17">
        <f t="shared" ca="1" si="20"/>
        <v>66</v>
      </c>
      <c r="E687" s="18">
        <f t="shared" ca="1" si="21"/>
        <v>0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19201116</v>
      </c>
      <c r="C688" s="12">
        <v>1</v>
      </c>
      <c r="D688" s="17">
        <f t="shared" ca="1" si="20"/>
        <v>64</v>
      </c>
      <c r="E688" s="18">
        <f t="shared" ca="1" si="21"/>
        <v>0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19201117</v>
      </c>
      <c r="C689" s="12">
        <v>1</v>
      </c>
      <c r="D689" s="17">
        <f t="shared" ca="1" si="20"/>
        <v>9</v>
      </c>
      <c r="E689" s="18">
        <f t="shared" ca="1" si="21"/>
        <v>0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19201118</v>
      </c>
      <c r="C690" s="12">
        <v>1</v>
      </c>
      <c r="D690" s="17">
        <f t="shared" ca="1" si="20"/>
        <v>0</v>
      </c>
      <c r="E690" s="18">
        <f t="shared" ca="1" si="21"/>
        <v>0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19201119</v>
      </c>
      <c r="C691" s="12">
        <v>1</v>
      </c>
      <c r="D691" s="17">
        <f t="shared" ca="1" si="20"/>
        <v>49</v>
      </c>
      <c r="E691" s="18">
        <f t="shared" ca="1" si="21"/>
        <v>0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19201120</v>
      </c>
      <c r="C692" s="12">
        <v>1</v>
      </c>
      <c r="D692" s="17">
        <f t="shared" ca="1" si="20"/>
        <v>0</v>
      </c>
      <c r="E692" s="18">
        <f t="shared" ca="1" si="21"/>
        <v>0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19201121</v>
      </c>
      <c r="C693" s="12">
        <v>1</v>
      </c>
      <c r="D693" s="17">
        <f t="shared" ca="1" si="20"/>
        <v>85</v>
      </c>
      <c r="E693" s="18">
        <f t="shared" ca="1" si="21"/>
        <v>0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19201122</v>
      </c>
      <c r="C694" s="12">
        <v>1</v>
      </c>
      <c r="D694" s="17">
        <f t="shared" ca="1" si="20"/>
        <v>0</v>
      </c>
      <c r="E694" s="18">
        <f t="shared" ca="1" si="21"/>
        <v>0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19201123</v>
      </c>
      <c r="C695" s="12">
        <v>1</v>
      </c>
      <c r="D695" s="17">
        <f t="shared" ca="1" si="20"/>
        <v>0</v>
      </c>
      <c r="E695" s="18">
        <f t="shared" ca="1" si="21"/>
        <v>0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19201124</v>
      </c>
      <c r="C696" s="12">
        <v>1</v>
      </c>
      <c r="D696" s="17">
        <f t="shared" ca="1" si="20"/>
        <v>0</v>
      </c>
      <c r="E696" s="18">
        <f t="shared" ca="1" si="21"/>
        <v>0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19201125</v>
      </c>
      <c r="C697" s="12">
        <v>1</v>
      </c>
      <c r="D697" s="17">
        <f t="shared" ca="1" si="20"/>
        <v>20</v>
      </c>
      <c r="E697" s="18">
        <f t="shared" ca="1" si="21"/>
        <v>0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19201126</v>
      </c>
      <c r="C698" s="12">
        <v>1</v>
      </c>
      <c r="D698" s="17">
        <f t="shared" ca="1" si="20"/>
        <v>0</v>
      </c>
      <c r="E698" s="18">
        <f t="shared" ca="1" si="21"/>
        <v>0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19201127</v>
      </c>
      <c r="C699" s="12">
        <v>1</v>
      </c>
      <c r="D699" s="17">
        <f t="shared" ca="1" si="20"/>
        <v>0</v>
      </c>
      <c r="E699" s="18">
        <f t="shared" ca="1" si="21"/>
        <v>0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19201128</v>
      </c>
      <c r="C700" s="12">
        <v>1</v>
      </c>
      <c r="D700" s="17">
        <f t="shared" ca="1" si="20"/>
        <v>0</v>
      </c>
      <c r="E700" s="18">
        <f t="shared" ca="1" si="21"/>
        <v>0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19201129</v>
      </c>
      <c r="C701" s="12">
        <v>1</v>
      </c>
      <c r="D701" s="17">
        <f t="shared" ca="1" si="20"/>
        <v>0</v>
      </c>
      <c r="E701" s="18">
        <f t="shared" ca="1" si="21"/>
        <v>0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19201130</v>
      </c>
      <c r="C702" s="12">
        <v>1</v>
      </c>
      <c r="D702" s="17">
        <f t="shared" ca="1" si="20"/>
        <v>0</v>
      </c>
      <c r="E702" s="18">
        <f t="shared" ca="1" si="21"/>
        <v>0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19201201</v>
      </c>
      <c r="C703" s="12">
        <v>1</v>
      </c>
      <c r="D703" s="17">
        <f t="shared" ca="1" si="20"/>
        <v>0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19201202</v>
      </c>
      <c r="C704" s="12">
        <v>1</v>
      </c>
      <c r="D704" s="17">
        <f t="shared" ca="1" si="20"/>
        <v>42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19201203</v>
      </c>
      <c r="C705" s="12">
        <v>1</v>
      </c>
      <c r="D705" s="17">
        <f t="shared" ca="1" si="20"/>
        <v>0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19201204</v>
      </c>
      <c r="C706" s="12">
        <v>1</v>
      </c>
      <c r="D706" s="17">
        <f t="shared" ref="D706:D733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8">
        <f t="shared" ref="E706:E733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19201205</v>
      </c>
      <c r="C707" s="12">
        <v>1</v>
      </c>
      <c r="D707" s="17">
        <f t="shared" ca="1" si="22"/>
        <v>0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19201206</v>
      </c>
      <c r="C708" s="12">
        <v>1</v>
      </c>
      <c r="D708" s="17">
        <f t="shared" ca="1" si="22"/>
        <v>46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19201207</v>
      </c>
      <c r="C709" s="12">
        <v>1</v>
      </c>
      <c r="D709" s="17">
        <f t="shared" ca="1" si="22"/>
        <v>45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19201208</v>
      </c>
      <c r="C710" s="12">
        <v>1</v>
      </c>
      <c r="D710" s="17">
        <f t="shared" ca="1" si="22"/>
        <v>0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19201209</v>
      </c>
      <c r="C711" s="12">
        <v>1</v>
      </c>
      <c r="D711" s="17">
        <f t="shared" ca="1" si="22"/>
        <v>0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19201210</v>
      </c>
      <c r="C712" s="12">
        <v>1</v>
      </c>
      <c r="D712" s="17">
        <f t="shared" ca="1" si="22"/>
        <v>35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19201211</v>
      </c>
      <c r="C713" s="12">
        <v>1</v>
      </c>
      <c r="D713" s="17">
        <f t="shared" ca="1" si="22"/>
        <v>12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19201212</v>
      </c>
      <c r="C714" s="12">
        <v>1</v>
      </c>
      <c r="D714" s="17">
        <f t="shared" ca="1" si="22"/>
        <v>0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19201213</v>
      </c>
      <c r="C715" s="12">
        <v>1</v>
      </c>
      <c r="D715" s="17">
        <f t="shared" ca="1" si="22"/>
        <v>0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19201214</v>
      </c>
      <c r="C716" s="12">
        <v>1</v>
      </c>
      <c r="D716" s="17">
        <f t="shared" ca="1" si="22"/>
        <v>20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19201215</v>
      </c>
      <c r="C717" s="12">
        <v>1</v>
      </c>
      <c r="D717" s="17">
        <f t="shared" ca="1" si="22"/>
        <v>0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19201216</v>
      </c>
      <c r="C718" s="12">
        <v>1</v>
      </c>
      <c r="D718" s="17">
        <f t="shared" ca="1" si="22"/>
        <v>0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19201217</v>
      </c>
      <c r="C719" s="12">
        <v>1</v>
      </c>
      <c r="D719" s="17">
        <f t="shared" ca="1" si="22"/>
        <v>51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19201218</v>
      </c>
      <c r="C720" s="12">
        <v>1</v>
      </c>
      <c r="D720" s="17" t="str">
        <f t="shared" ca="1" si="22"/>
        <v>—</v>
      </c>
      <c r="E720" s="18">
        <f t="shared" ca="1" si="23"/>
        <v>7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19201219</v>
      </c>
      <c r="C721" s="12">
        <v>1</v>
      </c>
      <c r="D721" s="17">
        <f t="shared" ca="1" si="22"/>
        <v>0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19201220</v>
      </c>
      <c r="C722" s="12">
        <v>1</v>
      </c>
      <c r="D722" s="17">
        <f t="shared" ca="1" si="22"/>
        <v>0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19201221</v>
      </c>
      <c r="C723" s="12">
        <v>1</v>
      </c>
      <c r="D723" s="17">
        <f t="shared" ca="1" si="22"/>
        <v>0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19201222</v>
      </c>
      <c r="C724" s="12">
        <v>1</v>
      </c>
      <c r="D724" s="17">
        <f t="shared" ca="1" si="22"/>
        <v>0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19201223</v>
      </c>
      <c r="C725" s="12">
        <v>1</v>
      </c>
      <c r="D725" s="17">
        <f t="shared" ca="1" si="22"/>
        <v>0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19201224</v>
      </c>
      <c r="C726" s="12">
        <v>1</v>
      </c>
      <c r="D726" s="17">
        <f t="shared" ca="1" si="22"/>
        <v>0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19201225</v>
      </c>
      <c r="C727" s="12">
        <v>1</v>
      </c>
      <c r="D727" s="17">
        <f t="shared" ca="1" si="22"/>
        <v>0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19201226</v>
      </c>
      <c r="C728" s="12">
        <v>1</v>
      </c>
      <c r="D728" s="17">
        <f t="shared" ca="1" si="22"/>
        <v>0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19201227</v>
      </c>
      <c r="C729" s="12">
        <v>1</v>
      </c>
      <c r="D729" s="17">
        <f t="shared" ca="1" si="22"/>
        <v>0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19201228</v>
      </c>
      <c r="C730" s="12">
        <v>1</v>
      </c>
      <c r="D730" s="17">
        <f t="shared" ca="1" si="22"/>
        <v>30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19201229</v>
      </c>
      <c r="C731" s="12">
        <v>1</v>
      </c>
      <c r="D731" s="17">
        <f t="shared" ca="1" si="22"/>
        <v>0</v>
      </c>
      <c r="E731" s="18">
        <f t="shared" ca="1" si="23"/>
        <v>0</v>
      </c>
    </row>
    <row r="732" spans="1:5" x14ac:dyDescent="0.25">
      <c r="A732" s="11">
        <f ca="1">INDEX(Stations,INT((ROWS(A$2:A732)-1)/(DATE(YEAR(Invoer!$A$5),12,31)-DATE(YEAR(Invoer!$A$5),1,1)+1))+2,1)</f>
        <v>42</v>
      </c>
      <c r="B732" t="str">
        <f ca="1">TEXT(DATE(YEAR(Invoer!$A$5),1,1)+MOD(ROWS(B$2:B732)-1,DATE(YEAR(Invoer!$A$5),12,31)-DATE(YEAR(Invoer!$A$5),1,1)+1),"jjjjmmdd")</f>
        <v>19201230</v>
      </c>
      <c r="C732" s="12">
        <v>1</v>
      </c>
      <c r="D732" s="17">
        <f t="shared" ca="1" si="22"/>
        <v>0</v>
      </c>
      <c r="E732" s="18">
        <f t="shared" ca="1" si="23"/>
        <v>0</v>
      </c>
    </row>
    <row r="733" spans="1:5" x14ac:dyDescent="0.25">
      <c r="A733" s="11">
        <f ca="1">INDEX(Stations,INT((ROWS(A$2:A733)-1)/(DATE(YEAR(Invoer!$A$5),12,31)-DATE(YEAR(Invoer!$A$5),1,1)+1))+2,1)</f>
        <v>42</v>
      </c>
      <c r="B733" t="str">
        <f ca="1">TEXT(DATE(YEAR(Invoer!$A$5),1,1)+MOD(ROWS(B$2:B733)-1,DATE(YEAR(Invoer!$A$5),12,31)-DATE(YEAR(Invoer!$A$5),1,1)+1),"jjjjmmdd")</f>
        <v>19201231</v>
      </c>
      <c r="C733" s="12">
        <v>1</v>
      </c>
      <c r="D733" s="17">
        <f t="shared" ca="1" si="22"/>
        <v>0</v>
      </c>
      <c r="E733" s="18">
        <f t="shared" ca="1" si="23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367"/>
  <sheetViews>
    <sheetView workbookViewId="0"/>
  </sheetViews>
  <sheetFormatPr defaultRowHeight="15" x14ac:dyDescent="0.25"/>
  <sheetData>
    <row r="1" spans="1:11" x14ac:dyDescent="0.25">
      <c r="A1" s="10" t="s">
        <v>2</v>
      </c>
      <c r="B1" s="9" t="s">
        <v>0</v>
      </c>
      <c r="C1" s="10" t="s">
        <v>6</v>
      </c>
      <c r="D1" s="10" t="s">
        <v>34</v>
      </c>
      <c r="E1" s="10" t="s">
        <v>35</v>
      </c>
      <c r="F1" s="10" t="s">
        <v>37</v>
      </c>
      <c r="G1" s="10" t="s">
        <v>38</v>
      </c>
      <c r="H1" s="10" t="s">
        <v>39</v>
      </c>
      <c r="I1" s="10" t="s">
        <v>40</v>
      </c>
      <c r="J1" s="10" t="s">
        <v>41</v>
      </c>
      <c r="K1" s="10" t="s">
        <v>42</v>
      </c>
    </row>
    <row r="2" spans="1:11" x14ac:dyDescent="0.25">
      <c r="A2" s="11">
        <f t="shared" ref="A2:A65" si="0">INDEX(Stations,2,1)</f>
        <v>44</v>
      </c>
      <c r="B2" t="str">
        <f ca="1">TEXT(DATE(YEAR(Invoer!$A$5),1,1)+ROWS(B$2:B2)-1,"jjjjmmdd")</f>
        <v>19200101</v>
      </c>
      <c r="C2" s="27" t="s">
        <v>36</v>
      </c>
      <c r="D2" s="35">
        <f t="shared" ref="D2:D65" ca="1" si="1">IF(OR(ISBLANK(VLOOKUP(DATEVALUE(LEFT($B2,4)&amp;"-"&amp;MID($B2,5,2)&amp;"-"&amp;RIGHT($B2,2)),Data,MATCH(LEFT(VLOOKUP(LEFT(D$1,1),Parameters,2,FALSE()),4)&amp;"*",OFFSET(Data,0,0,1),0)+MATCH(VLOOKUP(RIGHT(D$1,1),Parameters,2,FALSE()),OFFSET(Data,1,0,1),0)-2,FALSE())),ISTEXT(VLOOKUP(DATEVALUE(LEFT($B2,4)&amp;"-"&amp;MID($B2,5,2)&amp;"-"&amp;RIGHT($B2,2)),Data,MATCH(LEFT(VLOOKUP(LEFT(D$1,1),Parameters,2,FALSE()),4)&amp;"*",OFFSET(Data,0,0,1),0)+MATCH(VLOOKUP(RIGHT(D$1,1),Parameters,2,FALSE()),OFFSET(Data,1,0,1),0)-2,FALSE()))),"—",VLOOKUP(DATEVALUE(LEFT($B2,4)&amp;"-"&amp;MID($B2,5,2)&amp;"-"&amp;RIGHT($B2,2)),Data,MATCH(LEFT(VLOOKUP(LEFT(D$1,1),Parameters,2,FALSE()),4)&amp;"*",OFFSET(Data,0,0,1),0)+MATCH(VLOOKUP(RIGHT(D$1,1),Parameters,2,FALSE()),OFFSET(Data,1,0,1),0)-2,FALSE())/10)</f>
        <v>757</v>
      </c>
      <c r="E2" s="32">
        <f t="shared" ref="E2:E65" ca="1" si="2">IF(OR(ISBLANK(VLOOKUP(DATEVALUE(LEFT($B2,4)&amp;"-"&amp;MID($B2,5,2)&amp;"-"&amp;RIGHT($B2,2)),Data,MATCH(LEFT(VLOOKUP(MID(E$1,2,LEN(E$1)-1),Parameters,2,FALSE()),4)&amp;"*",OFFSET(Data,0,0,1),0)+MATCH(VLOOKUP(RIGHT(E$1,1),Parameters,2,FALSE()),OFFSET(Data,1,0,1),0)-2,FALSE())),ISTEXT(VLOOKUP(DATEVALUE(LEFT($B2,4)&amp;"-"&amp;MID($B2,5,2)&amp;"-"&amp;RIGHT($B2,2)),Data,MATCH(LEFT(VLOOKUP(MID(E$1,2,LEN(E$1)-1),Parameters,2,FALSE()),4)&amp;"*",OFFSET(Data,0,0,1),0)+MATCH(VLOOKUP(RIGHT(E$1,1),Parameters,2,FALSE())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-2),Parameters,2,FALSE()),4)&amp;"*",OFFSET(Catalogus,0,0,1),0)+MATCH(VLOOKUP(RIGHT(E$1,1),Parameters,2,FALSE()),OFFSET(Catalogus,1,0,1),0)-2,FALSE())))</f>
        <v>0</v>
      </c>
      <c r="F2" s="35">
        <f t="shared" ref="F2:F65" ca="1" si="3">IF(OR(ISBLANK(VLOOKUP(DATEVALUE(LEFT($B2,4)&amp;"-"&amp;MID($B2,5,2)&amp;"-"&amp;RIGHT($B2,2)),Data,MATCH(LEFT(VLOOKUP(LEFT(F$1,1),Parameters,2,FALSE()),4)&amp;"*",OFFSET(Data,0,0,1),0)+MATCH(VLOOKUP(RIGHT(F$1,1),Parameters,2,FALSE()),OFFSET(Data,1,0,1),0)-2,FALSE())),ISTEXT(VLOOKUP(DATEVALUE(LEFT($B2,4)&amp;"-"&amp;MID($B2,5,2)&amp;"-"&amp;RIGHT($B2,2)),Data,MATCH(LEFT(VLOOKUP(LEFT(F$1,1),Parameters,2,FALSE()),4)&amp;"*",OFFSET(Data,0,0,1),0)+MATCH(VLOOKUP(RIGHT(F$1,1),Parameters,2,FALSE()),OFFSET(Data,1,0,1),0)-2,FALSE()))),"—",VLOOKUP(DATEVALUE(LEFT($B2,4)&amp;"-"&amp;MID($B2,5,2)&amp;"-"&amp;RIGHT($B2,2)),Data,MATCH(LEFT(VLOOKUP(LEFT(F$1,1),Parameters,2,FALSE()),4)&amp;"*",OFFSET(Data,0,0,1),0)+MATCH(VLOOKUP(RIGHT(F$1,1),Parameters,2,FALSE()),OFFSET(Data,1,0,1),0)-2,FALSE())/10)</f>
        <v>756.5</v>
      </c>
      <c r="G2" s="32">
        <f t="shared" ref="G2:G65" ca="1" si="4">IF(OR(ISBLANK(VLOOKUP(DATEVALUE(LEFT($B2,4)&amp;"-"&amp;MID($B2,5,2)&amp;"-"&amp;RIGHT($B2,2)),Data,MATCH(LEFT(VLOOKUP(MID(G$1,2,LEN(G$1)-1),Parameters,2,FALSE()),4)&amp;"*",OFFSET(Data,0,0,1),0)+MATCH(VLOOKUP(RIGHT(G$1,1),Parameters,2,FALSE()),OFFSET(Data,1,0,1),0)-2,FALSE())),ISTEXT(VLOOKUP(DATEVALUE(LEFT($B2,4)&amp;"-"&amp;MID($B2,5,2)&amp;"-"&amp;RIGHT($B2,2)),Data,MATCH(LEFT(VLOOKUP(MID(G$1,2,LEN(G$1)-1),Parameters,2,FALSE()),4)&amp;"*",OFFSET(Data,0,0,1),0)+MATCH(VLOOKUP(RIGHT(G$1,1),Parameters,2,FALSE())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-2),Parameters,2,FALSE()),4)&amp;"*",OFFSET(Catalogus,0,0,1),0)+MATCH(VLOOKUP(RIGHT(G$1,1),Parameters,2,FALSE()),OFFSET(Catalogus,1,0,1),0)-2,FALSE())))</f>
        <v>0</v>
      </c>
      <c r="H2" s="35">
        <f t="shared" ref="H2:H65" ca="1" si="5">IF(OR(ISBLANK(VLOOKUP(DATEVALUE(LEFT($B2,4)&amp;"-"&amp;MID($B2,5,2)&amp;"-"&amp;RIGHT($B2,2)),Data,MATCH(LEFT(VLOOKUP(LEFT(H$1,1),Parameters,2,FALSE()),4)&amp;"*",OFFSET(Data,0,0,1),0)+MATCH(VLOOKUP(RIGHT(H$1,1),Parameters,2,FALSE()),OFFSET(Data,1,0,1),0)-2,FALSE())),ISTEXT(VLOOKUP(DATEVALUE(LEFT($B2,4)&amp;"-"&amp;MID($B2,5,2)&amp;"-"&amp;RIGHT($B2,2)),Data,MATCH(LEFT(VLOOKUP(LEFT(H$1,1),Parameters,2,FALSE()),4)&amp;"*",OFFSET(Data,0,0,1),0)+MATCH(VLOOKUP(RIGHT(H$1,1),Parameters,2,FALSE()),OFFSET(Data,1,0,1),0)-2,FALSE()))),"—",VLOOKUP(DATEVALUE(LEFT($B2,4)&amp;"-"&amp;MID($B2,5,2)&amp;"-"&amp;RIGHT($B2,2)),Data,MATCH(LEFT(VLOOKUP(LEFT(H$1,1),Parameters,2,FALSE()),4)&amp;"*",OFFSET(Data,0,0,1),0)+MATCH(VLOOKUP(RIGHT(H$1,1),Parameters,2,FALSE()),OFFSET(Data,1,0,1),0)-2,FALSE())/10)</f>
        <v>29</v>
      </c>
      <c r="I2" s="32">
        <f t="shared" ref="I2:I65" ca="1" si="6">IF(OR(ISBLANK(VLOOKUP(DATEVALUE(LEFT($B2,4)&amp;"-"&amp;MID($B2,5,2)&amp;"-"&amp;RIGHT($B2,2)),Data,MATCH(LEFT(VLOOKUP(MID(I$1,2,LEN(I$1)-1),Parameters,2,FALSE()),4)&amp;"*",OFFSET(Data,0,0,1),0)+MATCH(VLOOKUP(RIGHT(I$1,1),Parameters,2,FALSE()),OFFSET(Data,1,0,1),0)-2,FALSE())),ISTEXT(VLOOKUP(DATEVALUE(LEFT($B2,4)&amp;"-"&amp;MID($B2,5,2)&amp;"-"&amp;RIGHT($B2,2)),Data,MATCH(LEFT(VLOOKUP(MID(I$1,2,LEN(I$1)-1),Parameters,2,FALSE()),4)&amp;"*",OFFSET(Data,0,0,1),0)+MATCH(VLOOKUP(RIGHT(I$1,1),Parameters,2,FALSE()),OFFSET(Data,1,0,1),0)-2,FALSE()))),Lacking,IF(ISNA(MATCH(DATEVALUE(LEFT($B2,4)&amp;"-"&amp;MID($B2,5,2)&amp;"-"&amp;RIGHT($B2,2)),OFFSET(Catalogus,0,0,,1),0)),Ok,VLOOKUP(DATEVALUE(LEFT($B2,4)&amp;"-"&amp;MID($B2,5,2)&amp;"-"&amp;RIGHT($B2,2)),Catalogus,MATCH(LEFT(VLOOKUP(MID(I$1,2,LEN(I$1)-2),Parameters,2,FALSE()),4)&amp;"*",OFFSET(Catalogus,0,0,1),0)+MATCH(VLOOKUP(RIGHT(I$1,1),Parameters,2,FALSE()),OFFSET(Catalogus,1,0,1),0)-2,FALSE())))</f>
        <v>0</v>
      </c>
      <c r="J2" s="35">
        <f t="shared" ref="J2:J65" ca="1" si="7">IF(OR(ISBLANK(VLOOKUP(DATEVALUE(LEFT($B2,4)&amp;"-"&amp;MID($B2,5,2)&amp;"-"&amp;RIGHT($B2,2)),Data,MATCH(LEFT(VLOOKUP(LEFT(J$1,1),Parameters,2,FALSE()),4)&amp;"*",OFFSET(Data,0,0,1),0)+MATCH(VLOOKUP(RIGHT(J$1,1),Parameters,2,FALSE()),OFFSET(Data,1,0,1),0)-2,FALSE())),ISTEXT(VLOOKUP(DATEVALUE(LEFT($B2,4)&amp;"-"&amp;MID($B2,5,2)&amp;"-"&amp;RIGHT($B2,2)),Data,MATCH(LEFT(VLOOKUP(LEFT(J$1,1),Parameters,2,FALSE()),4)&amp;"*",OFFSET(Data,0,0,1),0)+MATCH(VLOOKUP(RIGHT(J$1,1),Parameters,2,FALSE()),OFFSET(Data,1,0,1),0)-2,FALSE()))),"—",VLOOKUP(DATEVALUE(LEFT($B2,4)&amp;"-"&amp;MID($B2,5,2)&amp;"-"&amp;RIGHT($B2,2)),Data,MATCH(LEFT(VLOOKUP(LEFT(J$1,1),Parameters,2,FALSE()),4)&amp;"*",OFFSET(Data,0,0,1),0)+MATCH(VLOOKUP(RIGHT(J$1,1),Parameters,2,FALSE()),OFFSET(Data,1,0,1),0)-2,FALSE())/10)</f>
        <v>28.5</v>
      </c>
      <c r="K2" s="32">
        <f t="shared" ref="K2:K65" ca="1" si="8">IF(OR(ISBLANK(VLOOKUP(DATEVALUE(LEFT($B2,4)&amp;"-"&amp;MID($B2,5,2)&amp;"-"&amp;RIGHT($B2,2)),Data,MATCH(LEFT(VLOOKUP(MID(K$1,2,LEN(K$1)-1),Parameters,2,FALSE()),4)&amp;"*",OFFSET(Data,0,0,1),0)+MATCH(VLOOKUP(RIGHT(K$1,1),Parameters,2,FALSE()),OFFSET(Data,1,0,1),0)-2,FALSE())),ISTEXT(VLOOKUP(DATEVALUE(LEFT($B2,4)&amp;"-"&amp;MID($B2,5,2)&amp;"-"&amp;RIGHT($B2,2)),Data,MATCH(LEFT(VLOOKUP(MID(K$1,2,LEN(K$1)-1),Parameters,2,FALSE()),4)&amp;"*",OFFSET(Data,0,0,1),0)+MATCH(VLOOKUP(RIGHT(K$1,1),Parameters,2,FALSE()),OFFSET(Data,1,0,1),0)-2,FALSE()))),Lacking,IF(ISNA(MATCH(DATEVALUE(LEFT($B2,4)&amp;"-"&amp;MID($B2,5,2)&amp;"-"&amp;RIGHT($B2,2)),OFFSET(Catalogus,0,0,,1),0)),Ok,VLOOKUP(DATEVALUE(LEFT($B2,4)&amp;"-"&amp;MID($B2,5,2)&amp;"-"&amp;RIGHT($B2,2)),Catalogus,MATCH(LEFT(VLOOKUP(MID(K$1,2,LEN(K$1)-2),Parameters,2,FALSE()),4)&amp;"*",OFFSET(Catalogus,0,0,1),0)+MATCH(VLOOKUP(RIGHT(K$1,1),Parameters,2,FALSE()),OFFSET(Catalogus,1,0,1),0)-2,FALSE())))</f>
        <v>0</v>
      </c>
    </row>
    <row r="3" spans="1:11" x14ac:dyDescent="0.25">
      <c r="A3" s="11">
        <f t="shared" si="0"/>
        <v>44</v>
      </c>
      <c r="B3" t="str">
        <f ca="1">TEXT(DATE(YEAR(Invoer!$A$5),1,1)+ROWS(B$2:B3)-1,"jjjjmmdd")</f>
        <v>19200102</v>
      </c>
      <c r="C3" s="27" t="s">
        <v>36</v>
      </c>
      <c r="D3" s="35">
        <f t="shared" ca="1" si="1"/>
        <v>757.5</v>
      </c>
      <c r="E3" s="32">
        <f t="shared" ca="1" si="2"/>
        <v>0</v>
      </c>
      <c r="F3" s="35">
        <f t="shared" ca="1" si="3"/>
        <v>757</v>
      </c>
      <c r="G3" s="32">
        <f t="shared" ca="1" si="4"/>
        <v>0</v>
      </c>
      <c r="H3" s="35">
        <f t="shared" ca="1" si="5"/>
        <v>29</v>
      </c>
      <c r="I3" s="32">
        <f t="shared" ca="1" si="6"/>
        <v>0</v>
      </c>
      <c r="J3" s="35">
        <f t="shared" ca="1" si="7"/>
        <v>29</v>
      </c>
      <c r="K3" s="32">
        <f t="shared" ca="1" si="8"/>
        <v>0</v>
      </c>
    </row>
    <row r="4" spans="1:11" x14ac:dyDescent="0.25">
      <c r="A4" s="11">
        <f t="shared" si="0"/>
        <v>44</v>
      </c>
      <c r="B4" t="str">
        <f ca="1">TEXT(DATE(YEAR(Invoer!$A$5),1,1)+ROWS(B$2:B4)-1,"jjjjmmdd")</f>
        <v>19200103</v>
      </c>
      <c r="C4" s="27" t="s">
        <v>36</v>
      </c>
      <c r="D4" s="35">
        <f t="shared" ca="1" si="1"/>
        <v>756</v>
      </c>
      <c r="E4" s="32">
        <f t="shared" ca="1" si="2"/>
        <v>0</v>
      </c>
      <c r="F4" s="35">
        <f t="shared" ca="1" si="3"/>
        <v>755.5</v>
      </c>
      <c r="G4" s="32">
        <f t="shared" ca="1" si="4"/>
        <v>0</v>
      </c>
      <c r="H4" s="35">
        <f t="shared" ca="1" si="5"/>
        <v>29.5</v>
      </c>
      <c r="I4" s="32">
        <f t="shared" ca="1" si="6"/>
        <v>0</v>
      </c>
      <c r="J4" s="35">
        <f t="shared" ca="1" si="7"/>
        <v>29</v>
      </c>
      <c r="K4" s="32">
        <f t="shared" ca="1" si="8"/>
        <v>0</v>
      </c>
    </row>
    <row r="5" spans="1:11" x14ac:dyDescent="0.25">
      <c r="A5" s="11">
        <f t="shared" si="0"/>
        <v>44</v>
      </c>
      <c r="B5" t="str">
        <f ca="1">TEXT(DATE(YEAR(Invoer!$A$5),1,1)+ROWS(B$2:B5)-1,"jjjjmmdd")</f>
        <v>19200104</v>
      </c>
      <c r="C5" s="27" t="s">
        <v>36</v>
      </c>
      <c r="D5" s="35">
        <f t="shared" ca="1" si="1"/>
        <v>757</v>
      </c>
      <c r="E5" s="32">
        <f t="shared" ca="1" si="2"/>
        <v>0</v>
      </c>
      <c r="F5" s="35">
        <f t="shared" ca="1" si="3"/>
        <v>756.5</v>
      </c>
      <c r="G5" s="32">
        <f t="shared" ca="1" si="4"/>
        <v>0</v>
      </c>
      <c r="H5" s="35">
        <f t="shared" ca="1" si="5"/>
        <v>28.5</v>
      </c>
      <c r="I5" s="32">
        <f t="shared" ca="1" si="6"/>
        <v>0</v>
      </c>
      <c r="J5" s="35">
        <f t="shared" ca="1" si="7"/>
        <v>28</v>
      </c>
      <c r="K5" s="32">
        <f t="shared" ca="1" si="8"/>
        <v>0</v>
      </c>
    </row>
    <row r="6" spans="1:11" x14ac:dyDescent="0.25">
      <c r="A6" s="11">
        <f t="shared" si="0"/>
        <v>44</v>
      </c>
      <c r="B6" t="str">
        <f ca="1">TEXT(DATE(YEAR(Invoer!$A$5),1,1)+ROWS(B$2:B6)-1,"jjjjmmdd")</f>
        <v>19200105</v>
      </c>
      <c r="C6" s="27" t="s">
        <v>36</v>
      </c>
      <c r="D6" s="35">
        <f t="shared" ca="1" si="1"/>
        <v>756.5</v>
      </c>
      <c r="E6" s="32">
        <f t="shared" ca="1" si="2"/>
        <v>0</v>
      </c>
      <c r="F6" s="35">
        <f t="shared" ca="1" si="3"/>
        <v>755.5</v>
      </c>
      <c r="G6" s="32">
        <f t="shared" ca="1" si="4"/>
        <v>0</v>
      </c>
      <c r="H6" s="35">
        <f t="shared" ca="1" si="5"/>
        <v>29</v>
      </c>
      <c r="I6" s="32">
        <f t="shared" ca="1" si="6"/>
        <v>0</v>
      </c>
      <c r="J6" s="35">
        <f t="shared" ca="1" si="7"/>
        <v>28.5</v>
      </c>
      <c r="K6" s="32">
        <f t="shared" ca="1" si="8"/>
        <v>0</v>
      </c>
    </row>
    <row r="7" spans="1:11" x14ac:dyDescent="0.25">
      <c r="A7" s="11">
        <f t="shared" si="0"/>
        <v>44</v>
      </c>
      <c r="B7" t="str">
        <f ca="1">TEXT(DATE(YEAR(Invoer!$A$5),1,1)+ROWS(B$2:B7)-1,"jjjjmmdd")</f>
        <v>19200106</v>
      </c>
      <c r="C7" s="27" t="s">
        <v>36</v>
      </c>
      <c r="D7" s="35">
        <f t="shared" ca="1" si="1"/>
        <v>757.5</v>
      </c>
      <c r="E7" s="32">
        <f t="shared" ca="1" si="2"/>
        <v>0</v>
      </c>
      <c r="F7" s="35">
        <f t="shared" ca="1" si="3"/>
        <v>757</v>
      </c>
      <c r="G7" s="32">
        <f t="shared" ca="1" si="4"/>
        <v>0</v>
      </c>
      <c r="H7" s="35">
        <f t="shared" ca="1" si="5"/>
        <v>28</v>
      </c>
      <c r="I7" s="32">
        <f t="shared" ca="1" si="6"/>
        <v>0</v>
      </c>
      <c r="J7" s="35">
        <f t="shared" ca="1" si="7"/>
        <v>27.5</v>
      </c>
      <c r="K7" s="32">
        <f t="shared" ca="1" si="8"/>
        <v>0</v>
      </c>
    </row>
    <row r="8" spans="1:11" x14ac:dyDescent="0.25">
      <c r="A8" s="11">
        <f t="shared" si="0"/>
        <v>44</v>
      </c>
      <c r="B8" t="str">
        <f ca="1">TEXT(DATE(YEAR(Invoer!$A$5),1,1)+ROWS(B$2:B8)-1,"jjjjmmdd")</f>
        <v>19200107</v>
      </c>
      <c r="C8" s="27" t="s">
        <v>36</v>
      </c>
      <c r="D8" s="35">
        <f t="shared" ca="1" si="1"/>
        <v>757.5</v>
      </c>
      <c r="E8" s="32">
        <f t="shared" ca="1" si="2"/>
        <v>0</v>
      </c>
      <c r="F8" s="35">
        <f t="shared" ca="1" si="3"/>
        <v>756.5</v>
      </c>
      <c r="G8" s="32">
        <f t="shared" ca="1" si="4"/>
        <v>0</v>
      </c>
      <c r="H8" s="35">
        <f t="shared" ca="1" si="5"/>
        <v>28.5</v>
      </c>
      <c r="I8" s="32">
        <f t="shared" ca="1" si="6"/>
        <v>0</v>
      </c>
      <c r="J8" s="35">
        <f t="shared" ca="1" si="7"/>
        <v>28</v>
      </c>
      <c r="K8" s="32">
        <f t="shared" ca="1" si="8"/>
        <v>0</v>
      </c>
    </row>
    <row r="9" spans="1:11" x14ac:dyDescent="0.25">
      <c r="A9" s="11">
        <f t="shared" si="0"/>
        <v>44</v>
      </c>
      <c r="B9" t="str">
        <f ca="1">TEXT(DATE(YEAR(Invoer!$A$5),1,1)+ROWS(B$2:B9)-1,"jjjjmmdd")</f>
        <v>19200108</v>
      </c>
      <c r="C9" s="27" t="s">
        <v>36</v>
      </c>
      <c r="D9" s="35">
        <f t="shared" ca="1" si="1"/>
        <v>757.5</v>
      </c>
      <c r="E9" s="32">
        <f t="shared" ca="1" si="2"/>
        <v>0</v>
      </c>
      <c r="F9" s="35">
        <f t="shared" ca="1" si="3"/>
        <v>757</v>
      </c>
      <c r="G9" s="32">
        <f t="shared" ca="1" si="4"/>
        <v>0</v>
      </c>
      <c r="H9" s="35">
        <f t="shared" ca="1" si="5"/>
        <v>28.5</v>
      </c>
      <c r="I9" s="32">
        <f t="shared" ca="1" si="6"/>
        <v>0</v>
      </c>
      <c r="J9" s="35">
        <f t="shared" ca="1" si="7"/>
        <v>28</v>
      </c>
      <c r="K9" s="32">
        <f t="shared" ca="1" si="8"/>
        <v>0</v>
      </c>
    </row>
    <row r="10" spans="1:11" x14ac:dyDescent="0.25">
      <c r="A10" s="11">
        <f t="shared" si="0"/>
        <v>44</v>
      </c>
      <c r="B10" t="str">
        <f ca="1">TEXT(DATE(YEAR(Invoer!$A$5),1,1)+ROWS(B$2:B10)-1,"jjjjmmdd")</f>
        <v>19200109</v>
      </c>
      <c r="C10" s="27" t="s">
        <v>36</v>
      </c>
      <c r="D10" s="35">
        <f t="shared" ca="1" si="1"/>
        <v>758</v>
      </c>
      <c r="E10" s="32">
        <f t="shared" ca="1" si="2"/>
        <v>0</v>
      </c>
      <c r="F10" s="35">
        <f t="shared" ca="1" si="3"/>
        <v>757.5</v>
      </c>
      <c r="G10" s="32">
        <f t="shared" ca="1" si="4"/>
        <v>0</v>
      </c>
      <c r="H10" s="35">
        <f t="shared" ca="1" si="5"/>
        <v>29</v>
      </c>
      <c r="I10" s="32">
        <f t="shared" ca="1" si="6"/>
        <v>0</v>
      </c>
      <c r="J10" s="35">
        <f t="shared" ca="1" si="7"/>
        <v>28.5</v>
      </c>
      <c r="K10" s="32">
        <f t="shared" ca="1" si="8"/>
        <v>0</v>
      </c>
    </row>
    <row r="11" spans="1:11" x14ac:dyDescent="0.25">
      <c r="A11" s="11">
        <f t="shared" si="0"/>
        <v>44</v>
      </c>
      <c r="B11" t="str">
        <f ca="1">TEXT(DATE(YEAR(Invoer!$A$5),1,1)+ROWS(B$2:B11)-1,"jjjjmmdd")</f>
        <v>19200110</v>
      </c>
      <c r="C11" s="27" t="s">
        <v>36</v>
      </c>
      <c r="D11" s="35">
        <f t="shared" ca="1" si="1"/>
        <v>758</v>
      </c>
      <c r="E11" s="32">
        <f t="shared" ca="1" si="2"/>
        <v>0</v>
      </c>
      <c r="F11" s="35">
        <f t="shared" ca="1" si="3"/>
        <v>756.5</v>
      </c>
      <c r="G11" s="32">
        <f t="shared" ca="1" si="4"/>
        <v>0</v>
      </c>
      <c r="H11" s="35">
        <f t="shared" ca="1" si="5"/>
        <v>27</v>
      </c>
      <c r="I11" s="32">
        <f t="shared" ca="1" si="6"/>
        <v>0</v>
      </c>
      <c r="J11" s="35">
        <f t="shared" ca="1" si="7"/>
        <v>26</v>
      </c>
      <c r="K11" s="32">
        <f t="shared" ca="1" si="8"/>
        <v>0</v>
      </c>
    </row>
    <row r="12" spans="1:11" x14ac:dyDescent="0.25">
      <c r="A12" s="11">
        <f t="shared" si="0"/>
        <v>44</v>
      </c>
      <c r="B12" t="str">
        <f ca="1">TEXT(DATE(YEAR(Invoer!$A$5),1,1)+ROWS(B$2:B12)-1,"jjjjmmdd")</f>
        <v>19200111</v>
      </c>
      <c r="C12" s="27" t="s">
        <v>36</v>
      </c>
      <c r="D12" s="35">
        <f t="shared" ca="1" si="1"/>
        <v>758</v>
      </c>
      <c r="E12" s="32">
        <f t="shared" ca="1" si="2"/>
        <v>0</v>
      </c>
      <c r="F12" s="35">
        <f t="shared" ca="1" si="3"/>
        <v>756.5</v>
      </c>
      <c r="G12" s="32">
        <f t="shared" ca="1" si="4"/>
        <v>0</v>
      </c>
      <c r="H12" s="35">
        <f t="shared" ca="1" si="5"/>
        <v>27</v>
      </c>
      <c r="I12" s="32">
        <f t="shared" ca="1" si="6"/>
        <v>0</v>
      </c>
      <c r="J12" s="35">
        <f t="shared" ca="1" si="7"/>
        <v>26</v>
      </c>
      <c r="K12" s="32">
        <f t="shared" ca="1" si="8"/>
        <v>0</v>
      </c>
    </row>
    <row r="13" spans="1:11" x14ac:dyDescent="0.25">
      <c r="A13" s="11">
        <f t="shared" si="0"/>
        <v>44</v>
      </c>
      <c r="B13" t="str">
        <f ca="1">TEXT(DATE(YEAR(Invoer!$A$5),1,1)+ROWS(B$2:B13)-1,"jjjjmmdd")</f>
        <v>19200112</v>
      </c>
      <c r="C13" s="27" t="s">
        <v>36</v>
      </c>
      <c r="D13" s="35">
        <f t="shared" ca="1" si="1"/>
        <v>758</v>
      </c>
      <c r="E13" s="32">
        <f t="shared" ca="1" si="2"/>
        <v>0</v>
      </c>
      <c r="F13" s="35">
        <f t="shared" ca="1" si="3"/>
        <v>756</v>
      </c>
      <c r="G13" s="32">
        <f t="shared" ca="1" si="4"/>
        <v>0</v>
      </c>
      <c r="H13" s="35">
        <f t="shared" ca="1" si="5"/>
        <v>27</v>
      </c>
      <c r="I13" s="32">
        <f t="shared" ca="1" si="6"/>
        <v>0</v>
      </c>
      <c r="J13" s="35">
        <f t="shared" ca="1" si="7"/>
        <v>26.5</v>
      </c>
      <c r="K13" s="32">
        <f t="shared" ca="1" si="8"/>
        <v>0</v>
      </c>
    </row>
    <row r="14" spans="1:11" x14ac:dyDescent="0.25">
      <c r="A14" s="11">
        <f t="shared" si="0"/>
        <v>44</v>
      </c>
      <c r="B14" t="str">
        <f ca="1">TEXT(DATE(YEAR(Invoer!$A$5),1,1)+ROWS(B$2:B14)-1,"jjjjmmdd")</f>
        <v>19200113</v>
      </c>
      <c r="C14" s="27" t="s">
        <v>36</v>
      </c>
      <c r="D14" s="35">
        <f t="shared" ca="1" si="1"/>
        <v>757.5</v>
      </c>
      <c r="E14" s="32">
        <f t="shared" ca="1" si="2"/>
        <v>0</v>
      </c>
      <c r="F14" s="35">
        <f t="shared" ca="1" si="3"/>
        <v>756.5</v>
      </c>
      <c r="G14" s="32">
        <f t="shared" ca="1" si="4"/>
        <v>0</v>
      </c>
      <c r="H14" s="35">
        <f t="shared" ca="1" si="5"/>
        <v>28</v>
      </c>
      <c r="I14" s="32">
        <f t="shared" ca="1" si="6"/>
        <v>0</v>
      </c>
      <c r="J14" s="35">
        <f t="shared" ca="1" si="7"/>
        <v>26.5</v>
      </c>
      <c r="K14" s="32">
        <f t="shared" ca="1" si="8"/>
        <v>0</v>
      </c>
    </row>
    <row r="15" spans="1:11" x14ac:dyDescent="0.25">
      <c r="A15" s="11">
        <f t="shared" si="0"/>
        <v>44</v>
      </c>
      <c r="B15" t="str">
        <f ca="1">TEXT(DATE(YEAR(Invoer!$A$5),1,1)+ROWS(B$2:B15)-1,"jjjjmmdd")</f>
        <v>19200114</v>
      </c>
      <c r="C15" s="27" t="s">
        <v>36</v>
      </c>
      <c r="D15" s="35">
        <f t="shared" ca="1" si="1"/>
        <v>758</v>
      </c>
      <c r="E15" s="32">
        <f t="shared" ca="1" si="2"/>
        <v>0</v>
      </c>
      <c r="F15" s="35">
        <f t="shared" ca="1" si="3"/>
        <v>756</v>
      </c>
      <c r="G15" s="32">
        <f t="shared" ca="1" si="4"/>
        <v>0</v>
      </c>
      <c r="H15" s="35">
        <f t="shared" ca="1" si="5"/>
        <v>28</v>
      </c>
      <c r="I15" s="32">
        <f t="shared" ca="1" si="6"/>
        <v>0</v>
      </c>
      <c r="J15" s="35">
        <f t="shared" ca="1" si="7"/>
        <v>28</v>
      </c>
      <c r="K15" s="32">
        <f t="shared" ca="1" si="8"/>
        <v>0</v>
      </c>
    </row>
    <row r="16" spans="1:11" x14ac:dyDescent="0.25">
      <c r="A16" s="11">
        <f t="shared" si="0"/>
        <v>44</v>
      </c>
      <c r="B16" t="str">
        <f ca="1">TEXT(DATE(YEAR(Invoer!$A$5),1,1)+ROWS(B$2:B16)-1,"jjjjmmdd")</f>
        <v>19200115</v>
      </c>
      <c r="C16" s="27" t="s">
        <v>36</v>
      </c>
      <c r="D16" s="35">
        <f t="shared" ca="1" si="1"/>
        <v>757.5</v>
      </c>
      <c r="E16" s="32">
        <f t="shared" ca="1" si="2"/>
        <v>0</v>
      </c>
      <c r="F16" s="35">
        <f t="shared" ca="1" si="3"/>
        <v>756.5</v>
      </c>
      <c r="G16" s="32">
        <f t="shared" ca="1" si="4"/>
        <v>0</v>
      </c>
      <c r="H16" s="35">
        <f t="shared" ca="1" si="5"/>
        <v>26.5</v>
      </c>
      <c r="I16" s="32">
        <f t="shared" ca="1" si="6"/>
        <v>0</v>
      </c>
      <c r="J16" s="35">
        <f t="shared" ca="1" si="7"/>
        <v>26</v>
      </c>
      <c r="K16" s="32">
        <f t="shared" ca="1" si="8"/>
        <v>0</v>
      </c>
    </row>
    <row r="17" spans="1:11" x14ac:dyDescent="0.25">
      <c r="A17" s="11">
        <f t="shared" si="0"/>
        <v>44</v>
      </c>
      <c r="B17" t="str">
        <f ca="1">TEXT(DATE(YEAR(Invoer!$A$5),1,1)+ROWS(B$2:B17)-1,"jjjjmmdd")</f>
        <v>19200116</v>
      </c>
      <c r="C17" s="27" t="s">
        <v>36</v>
      </c>
      <c r="D17" s="35">
        <f t="shared" ca="1" si="1"/>
        <v>757.5</v>
      </c>
      <c r="E17" s="32">
        <f t="shared" ca="1" si="2"/>
        <v>0</v>
      </c>
      <c r="F17" s="35">
        <f t="shared" ca="1" si="3"/>
        <v>755.5</v>
      </c>
      <c r="G17" s="32">
        <f t="shared" ca="1" si="4"/>
        <v>0</v>
      </c>
      <c r="H17" s="35">
        <f t="shared" ca="1" si="5"/>
        <v>28</v>
      </c>
      <c r="I17" s="32">
        <f t="shared" ca="1" si="6"/>
        <v>0</v>
      </c>
      <c r="J17" s="35">
        <f t="shared" ca="1" si="7"/>
        <v>27</v>
      </c>
      <c r="K17" s="32">
        <f t="shared" ca="1" si="8"/>
        <v>0</v>
      </c>
    </row>
    <row r="18" spans="1:11" x14ac:dyDescent="0.25">
      <c r="A18" s="11">
        <f t="shared" si="0"/>
        <v>44</v>
      </c>
      <c r="B18" t="str">
        <f ca="1">TEXT(DATE(YEAR(Invoer!$A$5),1,1)+ROWS(B$2:B18)-1,"jjjjmmdd")</f>
        <v>19200117</v>
      </c>
      <c r="C18" s="27" t="s">
        <v>36</v>
      </c>
      <c r="D18" s="35">
        <f t="shared" ca="1" si="1"/>
        <v>757.5</v>
      </c>
      <c r="E18" s="32">
        <f t="shared" ca="1" si="2"/>
        <v>0</v>
      </c>
      <c r="F18" s="35">
        <f t="shared" ca="1" si="3"/>
        <v>756.5</v>
      </c>
      <c r="G18" s="32">
        <f t="shared" ca="1" si="4"/>
        <v>0</v>
      </c>
      <c r="H18" s="35">
        <f t="shared" ca="1" si="5"/>
        <v>29</v>
      </c>
      <c r="I18" s="32">
        <f t="shared" ca="1" si="6"/>
        <v>0</v>
      </c>
      <c r="J18" s="35">
        <f t="shared" ca="1" si="7"/>
        <v>27.5</v>
      </c>
      <c r="K18" s="32">
        <f t="shared" ca="1" si="8"/>
        <v>0</v>
      </c>
    </row>
    <row r="19" spans="1:11" x14ac:dyDescent="0.25">
      <c r="A19" s="11">
        <f t="shared" si="0"/>
        <v>44</v>
      </c>
      <c r="B19" t="str">
        <f ca="1">TEXT(DATE(YEAR(Invoer!$A$5),1,1)+ROWS(B$2:B19)-1,"jjjjmmdd")</f>
        <v>19200118</v>
      </c>
      <c r="C19" s="27" t="s">
        <v>36</v>
      </c>
      <c r="D19" s="35">
        <f t="shared" ca="1" si="1"/>
        <v>758</v>
      </c>
      <c r="E19" s="32">
        <f t="shared" ca="1" si="2"/>
        <v>0</v>
      </c>
      <c r="F19" s="35">
        <f t="shared" ca="1" si="3"/>
        <v>757.5</v>
      </c>
      <c r="G19" s="32">
        <f t="shared" ca="1" si="4"/>
        <v>0</v>
      </c>
      <c r="H19" s="35">
        <f t="shared" ca="1" si="5"/>
        <v>28.5</v>
      </c>
      <c r="I19" s="32">
        <f t="shared" ca="1" si="6"/>
        <v>0</v>
      </c>
      <c r="J19" s="35">
        <f t="shared" ca="1" si="7"/>
        <v>28</v>
      </c>
      <c r="K19" s="32">
        <f t="shared" ca="1" si="8"/>
        <v>0</v>
      </c>
    </row>
    <row r="20" spans="1:11" x14ac:dyDescent="0.25">
      <c r="A20" s="11">
        <f t="shared" si="0"/>
        <v>44</v>
      </c>
      <c r="B20" t="str">
        <f ca="1">TEXT(DATE(YEAR(Invoer!$A$5),1,1)+ROWS(B$2:B20)-1,"jjjjmmdd")</f>
        <v>19200119</v>
      </c>
      <c r="C20" s="27" t="s">
        <v>36</v>
      </c>
      <c r="D20" s="35">
        <f t="shared" ca="1" si="1"/>
        <v>757.5</v>
      </c>
      <c r="E20" s="32">
        <f t="shared" ca="1" si="2"/>
        <v>0</v>
      </c>
      <c r="F20" s="35">
        <f t="shared" ca="1" si="3"/>
        <v>756.5</v>
      </c>
      <c r="G20" s="32">
        <f t="shared" ca="1" si="4"/>
        <v>0</v>
      </c>
      <c r="H20" s="35">
        <f t="shared" ca="1" si="5"/>
        <v>27.5</v>
      </c>
      <c r="I20" s="32">
        <f t="shared" ca="1" si="6"/>
        <v>0</v>
      </c>
      <c r="J20" s="35">
        <f t="shared" ca="1" si="7"/>
        <v>27</v>
      </c>
      <c r="K20" s="32">
        <f t="shared" ca="1" si="8"/>
        <v>0</v>
      </c>
    </row>
    <row r="21" spans="1:11" x14ac:dyDescent="0.25">
      <c r="A21" s="11">
        <f t="shared" si="0"/>
        <v>44</v>
      </c>
      <c r="B21" t="str">
        <f ca="1">TEXT(DATE(YEAR(Invoer!$A$5),1,1)+ROWS(B$2:B21)-1,"jjjjmmdd")</f>
        <v>19200120</v>
      </c>
      <c r="C21" s="27" t="s">
        <v>36</v>
      </c>
      <c r="D21" s="35">
        <f t="shared" ca="1" si="1"/>
        <v>758</v>
      </c>
      <c r="E21" s="32">
        <f t="shared" ca="1" si="2"/>
        <v>0</v>
      </c>
      <c r="F21" s="35">
        <f t="shared" ca="1" si="3"/>
        <v>755.5</v>
      </c>
      <c r="G21" s="32">
        <f t="shared" ca="1" si="4"/>
        <v>0</v>
      </c>
      <c r="H21" s="35">
        <f t="shared" ca="1" si="5"/>
        <v>27.5</v>
      </c>
      <c r="I21" s="32">
        <f t="shared" ca="1" si="6"/>
        <v>0</v>
      </c>
      <c r="J21" s="35">
        <f t="shared" ca="1" si="7"/>
        <v>26.5</v>
      </c>
      <c r="K21" s="32">
        <f t="shared" ca="1" si="8"/>
        <v>0</v>
      </c>
    </row>
    <row r="22" spans="1:11" x14ac:dyDescent="0.25">
      <c r="A22" s="11">
        <f t="shared" si="0"/>
        <v>44</v>
      </c>
      <c r="B22" t="str">
        <f ca="1">TEXT(DATE(YEAR(Invoer!$A$5),1,1)+ROWS(B$2:B22)-1,"jjjjmmdd")</f>
        <v>19200121</v>
      </c>
      <c r="C22" s="27" t="s">
        <v>36</v>
      </c>
      <c r="D22" s="35">
        <f t="shared" ca="1" si="1"/>
        <v>758</v>
      </c>
      <c r="E22" s="32">
        <f t="shared" ca="1" si="2"/>
        <v>0</v>
      </c>
      <c r="F22" s="35">
        <f t="shared" ca="1" si="3"/>
        <v>756.5</v>
      </c>
      <c r="G22" s="32">
        <f t="shared" ca="1" si="4"/>
        <v>0</v>
      </c>
      <c r="H22" s="35">
        <f t="shared" ca="1" si="5"/>
        <v>26</v>
      </c>
      <c r="I22" s="32">
        <f t="shared" ca="1" si="6"/>
        <v>0</v>
      </c>
      <c r="J22" s="35">
        <f t="shared" ca="1" si="7"/>
        <v>25.5</v>
      </c>
      <c r="K22" s="32">
        <f t="shared" ca="1" si="8"/>
        <v>0</v>
      </c>
    </row>
    <row r="23" spans="1:11" x14ac:dyDescent="0.25">
      <c r="A23" s="11">
        <f t="shared" si="0"/>
        <v>44</v>
      </c>
      <c r="B23" t="str">
        <f ca="1">TEXT(DATE(YEAR(Invoer!$A$5),1,1)+ROWS(B$2:B23)-1,"jjjjmmdd")</f>
        <v>19200122</v>
      </c>
      <c r="C23" s="27" t="s">
        <v>36</v>
      </c>
      <c r="D23" s="35">
        <f t="shared" ca="1" si="1"/>
        <v>757.5</v>
      </c>
      <c r="E23" s="32">
        <f t="shared" ca="1" si="2"/>
        <v>0</v>
      </c>
      <c r="F23" s="35">
        <f t="shared" ca="1" si="3"/>
        <v>757</v>
      </c>
      <c r="G23" s="32">
        <f t="shared" ca="1" si="4"/>
        <v>0</v>
      </c>
      <c r="H23" s="35">
        <f t="shared" ca="1" si="5"/>
        <v>26.5</v>
      </c>
      <c r="I23" s="32">
        <f t="shared" ca="1" si="6"/>
        <v>0</v>
      </c>
      <c r="J23" s="35">
        <f t="shared" ca="1" si="7"/>
        <v>26</v>
      </c>
      <c r="K23" s="32">
        <f t="shared" ca="1" si="8"/>
        <v>0</v>
      </c>
    </row>
    <row r="24" spans="1:11" x14ac:dyDescent="0.25">
      <c r="A24" s="11">
        <f t="shared" si="0"/>
        <v>44</v>
      </c>
      <c r="B24" t="str">
        <f ca="1">TEXT(DATE(YEAR(Invoer!$A$5),1,1)+ROWS(B$2:B24)-1,"jjjjmmdd")</f>
        <v>19200123</v>
      </c>
      <c r="C24" s="27" t="s">
        <v>36</v>
      </c>
      <c r="D24" s="35">
        <f t="shared" ca="1" si="1"/>
        <v>757.5</v>
      </c>
      <c r="E24" s="32">
        <f t="shared" ca="1" si="2"/>
        <v>0</v>
      </c>
      <c r="F24" s="35">
        <f t="shared" ca="1" si="3"/>
        <v>757</v>
      </c>
      <c r="G24" s="32">
        <f t="shared" ca="1" si="4"/>
        <v>0</v>
      </c>
      <c r="H24" s="35">
        <f t="shared" ca="1" si="5"/>
        <v>27</v>
      </c>
      <c r="I24" s="32">
        <f t="shared" ca="1" si="6"/>
        <v>0</v>
      </c>
      <c r="J24" s="35">
        <f t="shared" ca="1" si="7"/>
        <v>26.5</v>
      </c>
      <c r="K24" s="32">
        <f t="shared" ca="1" si="8"/>
        <v>0</v>
      </c>
    </row>
    <row r="25" spans="1:11" x14ac:dyDescent="0.25">
      <c r="A25" s="11">
        <f t="shared" si="0"/>
        <v>44</v>
      </c>
      <c r="B25" t="str">
        <f ca="1">TEXT(DATE(YEAR(Invoer!$A$5),1,1)+ROWS(B$2:B25)-1,"jjjjmmdd")</f>
        <v>19200124</v>
      </c>
      <c r="C25" s="27" t="s">
        <v>36</v>
      </c>
      <c r="D25" s="35">
        <f t="shared" ca="1" si="1"/>
        <v>757.5</v>
      </c>
      <c r="E25" s="32">
        <f t="shared" ca="1" si="2"/>
        <v>0</v>
      </c>
      <c r="F25" s="35">
        <f t="shared" ca="1" si="3"/>
        <v>756</v>
      </c>
      <c r="G25" s="32">
        <f t="shared" ca="1" si="4"/>
        <v>0</v>
      </c>
      <c r="H25" s="35">
        <f t="shared" ca="1" si="5"/>
        <v>27.5</v>
      </c>
      <c r="I25" s="32">
        <f t="shared" ca="1" si="6"/>
        <v>0</v>
      </c>
      <c r="J25" s="35">
        <f t="shared" ca="1" si="7"/>
        <v>26.5</v>
      </c>
      <c r="K25" s="32">
        <f t="shared" ca="1" si="8"/>
        <v>0</v>
      </c>
    </row>
    <row r="26" spans="1:11" x14ac:dyDescent="0.25">
      <c r="A26" s="11">
        <f t="shared" si="0"/>
        <v>44</v>
      </c>
      <c r="B26" t="str">
        <f ca="1">TEXT(DATE(YEAR(Invoer!$A$5),1,1)+ROWS(B$2:B26)-1,"jjjjmmdd")</f>
        <v>19200125</v>
      </c>
      <c r="C26" s="27" t="s">
        <v>36</v>
      </c>
      <c r="D26" s="35">
        <f t="shared" ca="1" si="1"/>
        <v>757</v>
      </c>
      <c r="E26" s="32">
        <f t="shared" ca="1" si="2"/>
        <v>0</v>
      </c>
      <c r="F26" s="35">
        <f t="shared" ca="1" si="3"/>
        <v>756.5</v>
      </c>
      <c r="G26" s="32">
        <f t="shared" ca="1" si="4"/>
        <v>0</v>
      </c>
      <c r="H26" s="35">
        <f t="shared" ca="1" si="5"/>
        <v>28.5</v>
      </c>
      <c r="I26" s="32">
        <f t="shared" ca="1" si="6"/>
        <v>0</v>
      </c>
      <c r="J26" s="35">
        <f t="shared" ca="1" si="7"/>
        <v>27</v>
      </c>
      <c r="K26" s="32">
        <f t="shared" ca="1" si="8"/>
        <v>0</v>
      </c>
    </row>
    <row r="27" spans="1:11" x14ac:dyDescent="0.25">
      <c r="A27" s="11">
        <f t="shared" si="0"/>
        <v>44</v>
      </c>
      <c r="B27" t="str">
        <f ca="1">TEXT(DATE(YEAR(Invoer!$A$5),1,1)+ROWS(B$2:B27)-1,"jjjjmmdd")</f>
        <v>19200126</v>
      </c>
      <c r="C27" s="27" t="s">
        <v>36</v>
      </c>
      <c r="D27" s="35">
        <f t="shared" ca="1" si="1"/>
        <v>757.5</v>
      </c>
      <c r="E27" s="32">
        <f t="shared" ca="1" si="2"/>
        <v>0</v>
      </c>
      <c r="F27" s="35">
        <f t="shared" ca="1" si="3"/>
        <v>757</v>
      </c>
      <c r="G27" s="32">
        <f t="shared" ca="1" si="4"/>
        <v>0</v>
      </c>
      <c r="H27" s="35">
        <f t="shared" ca="1" si="5"/>
        <v>28</v>
      </c>
      <c r="I27" s="32">
        <f t="shared" ca="1" si="6"/>
        <v>0</v>
      </c>
      <c r="J27" s="35">
        <f t="shared" ca="1" si="7"/>
        <v>27</v>
      </c>
      <c r="K27" s="32">
        <f t="shared" ca="1" si="8"/>
        <v>0</v>
      </c>
    </row>
    <row r="28" spans="1:11" x14ac:dyDescent="0.25">
      <c r="A28" s="11">
        <f t="shared" si="0"/>
        <v>44</v>
      </c>
      <c r="B28" t="str">
        <f ca="1">TEXT(DATE(YEAR(Invoer!$A$5),1,1)+ROWS(B$2:B28)-1,"jjjjmmdd")</f>
        <v>19200127</v>
      </c>
      <c r="C28" s="27" t="s">
        <v>36</v>
      </c>
      <c r="D28" s="35">
        <f t="shared" ca="1" si="1"/>
        <v>758</v>
      </c>
      <c r="E28" s="32">
        <f t="shared" ca="1" si="2"/>
        <v>0</v>
      </c>
      <c r="F28" s="35">
        <f t="shared" ca="1" si="3"/>
        <v>756.5</v>
      </c>
      <c r="G28" s="32">
        <f t="shared" ca="1" si="4"/>
        <v>0</v>
      </c>
      <c r="H28" s="35">
        <f t="shared" ca="1" si="5"/>
        <v>28</v>
      </c>
      <c r="I28" s="32">
        <f t="shared" ca="1" si="6"/>
        <v>0</v>
      </c>
      <c r="J28" s="35">
        <f t="shared" ca="1" si="7"/>
        <v>27.5</v>
      </c>
      <c r="K28" s="32">
        <f t="shared" ca="1" si="8"/>
        <v>0</v>
      </c>
    </row>
    <row r="29" spans="1:11" x14ac:dyDescent="0.25">
      <c r="A29" s="11">
        <f t="shared" si="0"/>
        <v>44</v>
      </c>
      <c r="B29" t="str">
        <f ca="1">TEXT(DATE(YEAR(Invoer!$A$5),1,1)+ROWS(B$2:B29)-1,"jjjjmmdd")</f>
        <v>19200128</v>
      </c>
      <c r="C29" s="27" t="s">
        <v>36</v>
      </c>
      <c r="D29" s="35">
        <f t="shared" ca="1" si="1"/>
        <v>758</v>
      </c>
      <c r="E29" s="32">
        <f t="shared" ca="1" si="2"/>
        <v>0</v>
      </c>
      <c r="F29" s="35">
        <f t="shared" ca="1" si="3"/>
        <v>756</v>
      </c>
      <c r="G29" s="32">
        <f t="shared" ca="1" si="4"/>
        <v>0</v>
      </c>
      <c r="H29" s="35">
        <f t="shared" ca="1" si="5"/>
        <v>27.5</v>
      </c>
      <c r="I29" s="32">
        <f t="shared" ca="1" si="6"/>
        <v>0</v>
      </c>
      <c r="J29" s="35">
        <f t="shared" ca="1" si="7"/>
        <v>27</v>
      </c>
      <c r="K29" s="32">
        <f t="shared" ca="1" si="8"/>
        <v>0</v>
      </c>
    </row>
    <row r="30" spans="1:11" x14ac:dyDescent="0.25">
      <c r="A30" s="11">
        <f t="shared" si="0"/>
        <v>44</v>
      </c>
      <c r="B30" t="str">
        <f ca="1">TEXT(DATE(YEAR(Invoer!$A$5),1,1)+ROWS(B$2:B30)-1,"jjjjmmdd")</f>
        <v>19200129</v>
      </c>
      <c r="C30" s="27" t="s">
        <v>36</v>
      </c>
      <c r="D30" s="35">
        <f t="shared" ca="1" si="1"/>
        <v>757.5</v>
      </c>
      <c r="E30" s="32">
        <f t="shared" ca="1" si="2"/>
        <v>0</v>
      </c>
      <c r="F30" s="35">
        <f t="shared" ca="1" si="3"/>
        <v>757</v>
      </c>
      <c r="G30" s="32">
        <f t="shared" ca="1" si="4"/>
        <v>0</v>
      </c>
      <c r="H30" s="35">
        <f t="shared" ca="1" si="5"/>
        <v>27</v>
      </c>
      <c r="I30" s="32">
        <f t="shared" ca="1" si="6"/>
        <v>0</v>
      </c>
      <c r="J30" s="35">
        <f t="shared" ca="1" si="7"/>
        <v>26.5</v>
      </c>
      <c r="K30" s="32">
        <f t="shared" ca="1" si="8"/>
        <v>0</v>
      </c>
    </row>
    <row r="31" spans="1:11" x14ac:dyDescent="0.25">
      <c r="A31" s="11">
        <f t="shared" si="0"/>
        <v>44</v>
      </c>
      <c r="B31" t="str">
        <f ca="1">TEXT(DATE(YEAR(Invoer!$A$5),1,1)+ROWS(B$2:B31)-1,"jjjjmmdd")</f>
        <v>19200130</v>
      </c>
      <c r="C31" s="27" t="s">
        <v>36</v>
      </c>
      <c r="D31" s="35">
        <f t="shared" ca="1" si="1"/>
        <v>757.5</v>
      </c>
      <c r="E31" s="32">
        <f t="shared" ca="1" si="2"/>
        <v>0</v>
      </c>
      <c r="F31" s="35">
        <f t="shared" ca="1" si="3"/>
        <v>755.5</v>
      </c>
      <c r="G31" s="32">
        <f t="shared" ca="1" si="4"/>
        <v>0</v>
      </c>
      <c r="H31" s="35">
        <f t="shared" ca="1" si="5"/>
        <v>27</v>
      </c>
      <c r="I31" s="32">
        <f t="shared" ca="1" si="6"/>
        <v>0</v>
      </c>
      <c r="J31" s="35">
        <f t="shared" ca="1" si="7"/>
        <v>26.5</v>
      </c>
      <c r="K31" s="32">
        <f t="shared" ca="1" si="8"/>
        <v>0</v>
      </c>
    </row>
    <row r="32" spans="1:11" x14ac:dyDescent="0.25">
      <c r="A32" s="11">
        <f t="shared" si="0"/>
        <v>44</v>
      </c>
      <c r="B32" t="str">
        <f ca="1">TEXT(DATE(YEAR(Invoer!$A$5),1,1)+ROWS(B$2:B32)-1,"jjjjmmdd")</f>
        <v>19200131</v>
      </c>
      <c r="C32" s="27" t="s">
        <v>36</v>
      </c>
      <c r="D32" s="35">
        <f t="shared" ca="1" si="1"/>
        <v>757</v>
      </c>
      <c r="E32" s="32">
        <f t="shared" ca="1" si="2"/>
        <v>0</v>
      </c>
      <c r="F32" s="35">
        <f t="shared" ca="1" si="3"/>
        <v>756</v>
      </c>
      <c r="G32" s="32">
        <f t="shared" ca="1" si="4"/>
        <v>0</v>
      </c>
      <c r="H32" s="35">
        <f t="shared" ca="1" si="5"/>
        <v>27.5</v>
      </c>
      <c r="I32" s="32">
        <f t="shared" ca="1" si="6"/>
        <v>0</v>
      </c>
      <c r="J32" s="35">
        <f t="shared" ca="1" si="7"/>
        <v>27</v>
      </c>
      <c r="K32" s="32">
        <f t="shared" ca="1" si="8"/>
        <v>0</v>
      </c>
    </row>
    <row r="33" spans="1:11" x14ac:dyDescent="0.25">
      <c r="A33" s="11">
        <f t="shared" si="0"/>
        <v>44</v>
      </c>
      <c r="B33" t="str">
        <f ca="1">TEXT(DATE(YEAR(Invoer!$A$5),1,1)+ROWS(B$2:B33)-1,"jjjjmmdd")</f>
        <v>19200201</v>
      </c>
      <c r="C33" s="27" t="s">
        <v>36</v>
      </c>
      <c r="D33" s="35">
        <f t="shared" ca="1" si="1"/>
        <v>758</v>
      </c>
      <c r="E33" s="32">
        <f t="shared" ca="1" si="2"/>
        <v>0</v>
      </c>
      <c r="F33" s="35">
        <f t="shared" ca="1" si="3"/>
        <v>756</v>
      </c>
      <c r="G33" s="32">
        <f t="shared" ca="1" si="4"/>
        <v>0</v>
      </c>
      <c r="H33" s="35">
        <f t="shared" ca="1" si="5"/>
        <v>29</v>
      </c>
      <c r="I33" s="32">
        <f t="shared" ca="1" si="6"/>
        <v>0</v>
      </c>
      <c r="J33" s="35">
        <f t="shared" ca="1" si="7"/>
        <v>28</v>
      </c>
      <c r="K33" s="32">
        <f t="shared" ca="1" si="8"/>
        <v>0</v>
      </c>
    </row>
    <row r="34" spans="1:11" x14ac:dyDescent="0.25">
      <c r="A34" s="11">
        <f t="shared" si="0"/>
        <v>44</v>
      </c>
      <c r="B34" t="str">
        <f ca="1">TEXT(DATE(YEAR(Invoer!$A$5),1,1)+ROWS(B$2:B34)-1,"jjjjmmdd")</f>
        <v>19200202</v>
      </c>
      <c r="C34" s="27" t="s">
        <v>36</v>
      </c>
      <c r="D34" s="35">
        <f t="shared" ca="1" si="1"/>
        <v>758.5</v>
      </c>
      <c r="E34" s="32">
        <f t="shared" ca="1" si="2"/>
        <v>0</v>
      </c>
      <c r="F34" s="35">
        <f t="shared" ca="1" si="3"/>
        <v>757</v>
      </c>
      <c r="G34" s="32">
        <f t="shared" ca="1" si="4"/>
        <v>0</v>
      </c>
      <c r="H34" s="35">
        <f t="shared" ca="1" si="5"/>
        <v>29</v>
      </c>
      <c r="I34" s="32">
        <f t="shared" ca="1" si="6"/>
        <v>0</v>
      </c>
      <c r="J34" s="35">
        <f t="shared" ca="1" si="7"/>
        <v>28.5</v>
      </c>
      <c r="K34" s="32">
        <f t="shared" ca="1" si="8"/>
        <v>0</v>
      </c>
    </row>
    <row r="35" spans="1:11" x14ac:dyDescent="0.25">
      <c r="A35" s="11">
        <f t="shared" si="0"/>
        <v>44</v>
      </c>
      <c r="B35" t="str">
        <f ca="1">TEXT(DATE(YEAR(Invoer!$A$5),1,1)+ROWS(B$2:B35)-1,"jjjjmmdd")</f>
        <v>19200203</v>
      </c>
      <c r="C35" s="27" t="s">
        <v>36</v>
      </c>
      <c r="D35" s="35">
        <f t="shared" ca="1" si="1"/>
        <v>757</v>
      </c>
      <c r="E35" s="32">
        <f t="shared" ca="1" si="2"/>
        <v>0</v>
      </c>
      <c r="F35" s="35">
        <f t="shared" ca="1" si="3"/>
        <v>755</v>
      </c>
      <c r="G35" s="32">
        <f t="shared" ca="1" si="4"/>
        <v>0</v>
      </c>
      <c r="H35" s="35">
        <f t="shared" ca="1" si="5"/>
        <v>28</v>
      </c>
      <c r="I35" s="32">
        <f t="shared" ca="1" si="6"/>
        <v>0</v>
      </c>
      <c r="J35" s="35">
        <f t="shared" ca="1" si="7"/>
        <v>27</v>
      </c>
      <c r="K35" s="32">
        <f t="shared" ca="1" si="8"/>
        <v>0</v>
      </c>
    </row>
    <row r="36" spans="1:11" x14ac:dyDescent="0.25">
      <c r="A36" s="11">
        <f t="shared" si="0"/>
        <v>44</v>
      </c>
      <c r="B36" t="str">
        <f ca="1">TEXT(DATE(YEAR(Invoer!$A$5),1,1)+ROWS(B$2:B36)-1,"jjjjmmdd")</f>
        <v>19200204</v>
      </c>
      <c r="C36" s="27" t="s">
        <v>36</v>
      </c>
      <c r="D36" s="35">
        <f t="shared" ca="1" si="1"/>
        <v>756.5</v>
      </c>
      <c r="E36" s="32">
        <f t="shared" ca="1" si="2"/>
        <v>0</v>
      </c>
      <c r="F36" s="35">
        <f t="shared" ca="1" si="3"/>
        <v>755.5</v>
      </c>
      <c r="G36" s="32">
        <f t="shared" ca="1" si="4"/>
        <v>0</v>
      </c>
      <c r="H36" s="35">
        <f t="shared" ca="1" si="5"/>
        <v>28.5</v>
      </c>
      <c r="I36" s="32">
        <f t="shared" ca="1" si="6"/>
        <v>0</v>
      </c>
      <c r="J36" s="35">
        <f t="shared" ca="1" si="7"/>
        <v>27.5</v>
      </c>
      <c r="K36" s="32">
        <f t="shared" ca="1" si="8"/>
        <v>0</v>
      </c>
    </row>
    <row r="37" spans="1:11" x14ac:dyDescent="0.25">
      <c r="A37" s="11">
        <f t="shared" si="0"/>
        <v>44</v>
      </c>
      <c r="B37" t="str">
        <f ca="1">TEXT(DATE(YEAR(Invoer!$A$5),1,1)+ROWS(B$2:B37)-1,"jjjjmmdd")</f>
        <v>19200205</v>
      </c>
      <c r="C37" s="27" t="s">
        <v>36</v>
      </c>
      <c r="D37" s="35">
        <f t="shared" ca="1" si="1"/>
        <v>756</v>
      </c>
      <c r="E37" s="32">
        <f t="shared" ca="1" si="2"/>
        <v>0</v>
      </c>
      <c r="F37" s="35">
        <f t="shared" ca="1" si="3"/>
        <v>754.5</v>
      </c>
      <c r="G37" s="32">
        <f t="shared" ca="1" si="4"/>
        <v>0</v>
      </c>
      <c r="H37" s="35">
        <f t="shared" ca="1" si="5"/>
        <v>28.5</v>
      </c>
      <c r="I37" s="32">
        <f t="shared" ca="1" si="6"/>
        <v>0</v>
      </c>
      <c r="J37" s="35">
        <f t="shared" ca="1" si="7"/>
        <v>27</v>
      </c>
      <c r="K37" s="32">
        <f t="shared" ca="1" si="8"/>
        <v>0</v>
      </c>
    </row>
    <row r="38" spans="1:11" x14ac:dyDescent="0.25">
      <c r="A38" s="11">
        <f t="shared" si="0"/>
        <v>44</v>
      </c>
      <c r="B38" t="str">
        <f ca="1">TEXT(DATE(YEAR(Invoer!$A$5),1,1)+ROWS(B$2:B38)-1,"jjjjmmdd")</f>
        <v>19200206</v>
      </c>
      <c r="C38" s="27" t="s">
        <v>36</v>
      </c>
      <c r="D38" s="35">
        <f t="shared" ca="1" si="1"/>
        <v>756</v>
      </c>
      <c r="E38" s="32">
        <f t="shared" ca="1" si="2"/>
        <v>0</v>
      </c>
      <c r="F38" s="35">
        <f t="shared" ca="1" si="3"/>
        <v>754.5</v>
      </c>
      <c r="G38" s="32">
        <f t="shared" ca="1" si="4"/>
        <v>0</v>
      </c>
      <c r="H38" s="35">
        <f t="shared" ca="1" si="5"/>
        <v>29</v>
      </c>
      <c r="I38" s="32">
        <f t="shared" ca="1" si="6"/>
        <v>0</v>
      </c>
      <c r="J38" s="35">
        <f t="shared" ca="1" si="7"/>
        <v>26.5</v>
      </c>
      <c r="K38" s="32">
        <f t="shared" ca="1" si="8"/>
        <v>0</v>
      </c>
    </row>
    <row r="39" spans="1:11" x14ac:dyDescent="0.25">
      <c r="A39" s="11">
        <f t="shared" si="0"/>
        <v>44</v>
      </c>
      <c r="B39" t="str">
        <f ca="1">TEXT(DATE(YEAR(Invoer!$A$5),1,1)+ROWS(B$2:B39)-1,"jjjjmmdd")</f>
        <v>19200207</v>
      </c>
      <c r="C39" s="27" t="s">
        <v>36</v>
      </c>
      <c r="D39" s="35">
        <f t="shared" ca="1" si="1"/>
        <v>756.5</v>
      </c>
      <c r="E39" s="32">
        <f t="shared" ca="1" si="2"/>
        <v>0</v>
      </c>
      <c r="F39" s="35">
        <f t="shared" ca="1" si="3"/>
        <v>755.5</v>
      </c>
      <c r="G39" s="32">
        <f t="shared" ca="1" si="4"/>
        <v>0</v>
      </c>
      <c r="H39" s="35">
        <f t="shared" ca="1" si="5"/>
        <v>28</v>
      </c>
      <c r="I39" s="32">
        <f t="shared" ca="1" si="6"/>
        <v>0</v>
      </c>
      <c r="J39" s="35">
        <f t="shared" ca="1" si="7"/>
        <v>27</v>
      </c>
      <c r="K39" s="32">
        <f t="shared" ca="1" si="8"/>
        <v>0</v>
      </c>
    </row>
    <row r="40" spans="1:11" x14ac:dyDescent="0.25">
      <c r="A40" s="11">
        <f t="shared" si="0"/>
        <v>44</v>
      </c>
      <c r="B40" t="str">
        <f ca="1">TEXT(DATE(YEAR(Invoer!$A$5),1,1)+ROWS(B$2:B40)-1,"jjjjmmdd")</f>
        <v>19200208</v>
      </c>
      <c r="C40" s="27" t="s">
        <v>36</v>
      </c>
      <c r="D40" s="35">
        <f t="shared" ca="1" si="1"/>
        <v>757</v>
      </c>
      <c r="E40" s="32">
        <f t="shared" ca="1" si="2"/>
        <v>0</v>
      </c>
      <c r="F40" s="35">
        <f t="shared" ca="1" si="3"/>
        <v>756.5</v>
      </c>
      <c r="G40" s="32">
        <f t="shared" ca="1" si="4"/>
        <v>0</v>
      </c>
      <c r="H40" s="35">
        <f t="shared" ca="1" si="5"/>
        <v>29</v>
      </c>
      <c r="I40" s="32">
        <f t="shared" ca="1" si="6"/>
        <v>0</v>
      </c>
      <c r="J40" s="35">
        <f t="shared" ca="1" si="7"/>
        <v>26</v>
      </c>
      <c r="K40" s="32">
        <f t="shared" ca="1" si="8"/>
        <v>0</v>
      </c>
    </row>
    <row r="41" spans="1:11" x14ac:dyDescent="0.25">
      <c r="A41" s="11">
        <f t="shared" si="0"/>
        <v>44</v>
      </c>
      <c r="B41" t="str">
        <f ca="1">TEXT(DATE(YEAR(Invoer!$A$5),1,1)+ROWS(B$2:B41)-1,"jjjjmmdd")</f>
        <v>19200209</v>
      </c>
      <c r="C41" s="27" t="s">
        <v>36</v>
      </c>
      <c r="D41" s="35">
        <f t="shared" ca="1" si="1"/>
        <v>759</v>
      </c>
      <c r="E41" s="32">
        <f t="shared" ca="1" si="2"/>
        <v>0</v>
      </c>
      <c r="F41" s="35">
        <f t="shared" ca="1" si="3"/>
        <v>758</v>
      </c>
      <c r="G41" s="32">
        <f t="shared" ca="1" si="4"/>
        <v>0</v>
      </c>
      <c r="H41" s="35">
        <f t="shared" ca="1" si="5"/>
        <v>28</v>
      </c>
      <c r="I41" s="32">
        <f t="shared" ca="1" si="6"/>
        <v>0</v>
      </c>
      <c r="J41" s="35">
        <f t="shared" ca="1" si="7"/>
        <v>27.5</v>
      </c>
      <c r="K41" s="32">
        <f t="shared" ca="1" si="8"/>
        <v>0</v>
      </c>
    </row>
    <row r="42" spans="1:11" x14ac:dyDescent="0.25">
      <c r="A42" s="11">
        <f t="shared" si="0"/>
        <v>44</v>
      </c>
      <c r="B42" t="str">
        <f ca="1">TEXT(DATE(YEAR(Invoer!$A$5),1,1)+ROWS(B$2:B42)-1,"jjjjmmdd")</f>
        <v>19200210</v>
      </c>
      <c r="C42" s="27" t="s">
        <v>36</v>
      </c>
      <c r="D42" s="35">
        <f t="shared" ca="1" si="1"/>
        <v>759</v>
      </c>
      <c r="E42" s="32">
        <f t="shared" ca="1" si="2"/>
        <v>0</v>
      </c>
      <c r="F42" s="35">
        <f t="shared" ca="1" si="3"/>
        <v>757.5</v>
      </c>
      <c r="G42" s="32">
        <f t="shared" ca="1" si="4"/>
        <v>0</v>
      </c>
      <c r="H42" s="35">
        <f t="shared" ca="1" si="5"/>
        <v>27.5</v>
      </c>
      <c r="I42" s="32">
        <f t="shared" ca="1" si="6"/>
        <v>0</v>
      </c>
      <c r="J42" s="35">
        <f t="shared" ca="1" si="7"/>
        <v>27</v>
      </c>
      <c r="K42" s="32">
        <f t="shared" ca="1" si="8"/>
        <v>0</v>
      </c>
    </row>
    <row r="43" spans="1:11" x14ac:dyDescent="0.25">
      <c r="A43" s="11">
        <f t="shared" si="0"/>
        <v>44</v>
      </c>
      <c r="B43" t="str">
        <f ca="1">TEXT(DATE(YEAR(Invoer!$A$5),1,1)+ROWS(B$2:B43)-1,"jjjjmmdd")</f>
        <v>19200211</v>
      </c>
      <c r="C43" s="27" t="s">
        <v>36</v>
      </c>
      <c r="D43" s="35">
        <f t="shared" ca="1" si="1"/>
        <v>758</v>
      </c>
      <c r="E43" s="32">
        <f t="shared" ca="1" si="2"/>
        <v>0</v>
      </c>
      <c r="F43" s="35">
        <f t="shared" ca="1" si="3"/>
        <v>755</v>
      </c>
      <c r="G43" s="32">
        <f t="shared" ca="1" si="4"/>
        <v>0</v>
      </c>
      <c r="H43" s="35">
        <f t="shared" ca="1" si="5"/>
        <v>28</v>
      </c>
      <c r="I43" s="32">
        <f t="shared" ca="1" si="6"/>
        <v>0</v>
      </c>
      <c r="J43" s="35">
        <f t="shared" ca="1" si="7"/>
        <v>27.5</v>
      </c>
      <c r="K43" s="32">
        <f t="shared" ca="1" si="8"/>
        <v>0</v>
      </c>
    </row>
    <row r="44" spans="1:11" x14ac:dyDescent="0.25">
      <c r="A44" s="11">
        <f t="shared" si="0"/>
        <v>44</v>
      </c>
      <c r="B44" t="str">
        <f ca="1">TEXT(DATE(YEAR(Invoer!$A$5),1,1)+ROWS(B$2:B44)-1,"jjjjmmdd")</f>
        <v>19200212</v>
      </c>
      <c r="C44" s="27" t="s">
        <v>36</v>
      </c>
      <c r="D44" s="35">
        <f t="shared" ca="1" si="1"/>
        <v>757.5</v>
      </c>
      <c r="E44" s="32">
        <f t="shared" ca="1" si="2"/>
        <v>0</v>
      </c>
      <c r="F44" s="35">
        <f t="shared" ca="1" si="3"/>
        <v>756</v>
      </c>
      <c r="G44" s="32">
        <f t="shared" ca="1" si="4"/>
        <v>0</v>
      </c>
      <c r="H44" s="35">
        <f t="shared" ca="1" si="5"/>
        <v>28</v>
      </c>
      <c r="I44" s="32">
        <f t="shared" ca="1" si="6"/>
        <v>0</v>
      </c>
      <c r="J44" s="35">
        <f t="shared" ca="1" si="7"/>
        <v>27.5</v>
      </c>
      <c r="K44" s="32">
        <f t="shared" ca="1" si="8"/>
        <v>0</v>
      </c>
    </row>
    <row r="45" spans="1:11" x14ac:dyDescent="0.25">
      <c r="A45" s="11">
        <f t="shared" si="0"/>
        <v>44</v>
      </c>
      <c r="B45" t="str">
        <f ca="1">TEXT(DATE(YEAR(Invoer!$A$5),1,1)+ROWS(B$2:B45)-1,"jjjjmmdd")</f>
        <v>19200213</v>
      </c>
      <c r="C45" s="27" t="s">
        <v>36</v>
      </c>
      <c r="D45" s="35">
        <f t="shared" ca="1" si="1"/>
        <v>758</v>
      </c>
      <c r="E45" s="32">
        <f t="shared" ca="1" si="2"/>
        <v>0</v>
      </c>
      <c r="F45" s="35">
        <f t="shared" ca="1" si="3"/>
        <v>756.5</v>
      </c>
      <c r="G45" s="32">
        <f t="shared" ca="1" si="4"/>
        <v>0</v>
      </c>
      <c r="H45" s="35">
        <f t="shared" ca="1" si="5"/>
        <v>28.5</v>
      </c>
      <c r="I45" s="32">
        <f t="shared" ca="1" si="6"/>
        <v>0</v>
      </c>
      <c r="J45" s="35">
        <f t="shared" ca="1" si="7"/>
        <v>27.5</v>
      </c>
      <c r="K45" s="32">
        <f t="shared" ca="1" si="8"/>
        <v>0</v>
      </c>
    </row>
    <row r="46" spans="1:11" x14ac:dyDescent="0.25">
      <c r="A46" s="11">
        <f t="shared" si="0"/>
        <v>44</v>
      </c>
      <c r="B46" t="str">
        <f ca="1">TEXT(DATE(YEAR(Invoer!$A$5),1,1)+ROWS(B$2:B46)-1,"jjjjmmdd")</f>
        <v>19200214</v>
      </c>
      <c r="C46" s="27" t="s">
        <v>36</v>
      </c>
      <c r="D46" s="35">
        <f t="shared" ca="1" si="1"/>
        <v>759</v>
      </c>
      <c r="E46" s="32">
        <f t="shared" ca="1" si="2"/>
        <v>0</v>
      </c>
      <c r="F46" s="35">
        <f t="shared" ca="1" si="3"/>
        <v>756.5</v>
      </c>
      <c r="G46" s="32">
        <f t="shared" ca="1" si="4"/>
        <v>0</v>
      </c>
      <c r="H46" s="35">
        <f t="shared" ca="1" si="5"/>
        <v>28.5</v>
      </c>
      <c r="I46" s="32">
        <f t="shared" ca="1" si="6"/>
        <v>0</v>
      </c>
      <c r="J46" s="35">
        <f t="shared" ca="1" si="7"/>
        <v>27</v>
      </c>
      <c r="K46" s="32">
        <f t="shared" ca="1" si="8"/>
        <v>0</v>
      </c>
    </row>
    <row r="47" spans="1:11" x14ac:dyDescent="0.25">
      <c r="A47" s="11">
        <f t="shared" si="0"/>
        <v>44</v>
      </c>
      <c r="B47" t="str">
        <f ca="1">TEXT(DATE(YEAR(Invoer!$A$5),1,1)+ROWS(B$2:B47)-1,"jjjjmmdd")</f>
        <v>19200215</v>
      </c>
      <c r="C47" s="27" t="s">
        <v>36</v>
      </c>
      <c r="D47" s="35">
        <f t="shared" ca="1" si="1"/>
        <v>759</v>
      </c>
      <c r="E47" s="32">
        <f t="shared" ca="1" si="2"/>
        <v>0</v>
      </c>
      <c r="F47" s="35">
        <f t="shared" ca="1" si="3"/>
        <v>756.5</v>
      </c>
      <c r="G47" s="32">
        <f t="shared" ca="1" si="4"/>
        <v>0</v>
      </c>
      <c r="H47" s="35">
        <f t="shared" ca="1" si="5"/>
        <v>28.5</v>
      </c>
      <c r="I47" s="32">
        <f t="shared" ca="1" si="6"/>
        <v>0</v>
      </c>
      <c r="J47" s="35">
        <f t="shared" ca="1" si="7"/>
        <v>27</v>
      </c>
      <c r="K47" s="32">
        <f t="shared" ca="1" si="8"/>
        <v>0</v>
      </c>
    </row>
    <row r="48" spans="1:11" x14ac:dyDescent="0.25">
      <c r="A48" s="11">
        <f t="shared" si="0"/>
        <v>44</v>
      </c>
      <c r="B48" t="str">
        <f ca="1">TEXT(DATE(YEAR(Invoer!$A$5),1,1)+ROWS(B$2:B48)-1,"jjjjmmdd")</f>
        <v>19200216</v>
      </c>
      <c r="C48" s="27" t="s">
        <v>36</v>
      </c>
      <c r="D48" s="35">
        <f t="shared" ca="1" si="1"/>
        <v>758</v>
      </c>
      <c r="E48" s="32">
        <f t="shared" ca="1" si="2"/>
        <v>0</v>
      </c>
      <c r="F48" s="35">
        <f t="shared" ca="1" si="3"/>
        <v>755.5</v>
      </c>
      <c r="G48" s="32">
        <f t="shared" ca="1" si="4"/>
        <v>0</v>
      </c>
      <c r="H48" s="35">
        <f t="shared" ca="1" si="5"/>
        <v>28.5</v>
      </c>
      <c r="I48" s="32">
        <f t="shared" ca="1" si="6"/>
        <v>0</v>
      </c>
      <c r="J48" s="35">
        <f t="shared" ca="1" si="7"/>
        <v>27</v>
      </c>
      <c r="K48" s="32">
        <f t="shared" ca="1" si="8"/>
        <v>0</v>
      </c>
    </row>
    <row r="49" spans="1:11" x14ac:dyDescent="0.25">
      <c r="A49" s="11">
        <f t="shared" si="0"/>
        <v>44</v>
      </c>
      <c r="B49" t="str">
        <f ca="1">TEXT(DATE(YEAR(Invoer!$A$5),1,1)+ROWS(B$2:B49)-1,"jjjjmmdd")</f>
        <v>19200217</v>
      </c>
      <c r="C49" s="27" t="s">
        <v>36</v>
      </c>
      <c r="D49" s="35">
        <f t="shared" ca="1" si="1"/>
        <v>757</v>
      </c>
      <c r="E49" s="32">
        <f t="shared" ca="1" si="2"/>
        <v>0</v>
      </c>
      <c r="F49" s="35">
        <f t="shared" ca="1" si="3"/>
        <v>754.5</v>
      </c>
      <c r="G49" s="32">
        <f t="shared" ca="1" si="4"/>
        <v>0</v>
      </c>
      <c r="H49" s="35">
        <f t="shared" ca="1" si="5"/>
        <v>28</v>
      </c>
      <c r="I49" s="32">
        <f t="shared" ca="1" si="6"/>
        <v>0</v>
      </c>
      <c r="J49" s="35">
        <f t="shared" ca="1" si="7"/>
        <v>27</v>
      </c>
      <c r="K49" s="32">
        <f t="shared" ca="1" si="8"/>
        <v>0</v>
      </c>
    </row>
    <row r="50" spans="1:11" x14ac:dyDescent="0.25">
      <c r="A50" s="11">
        <f t="shared" si="0"/>
        <v>44</v>
      </c>
      <c r="B50" t="str">
        <f ca="1">TEXT(DATE(YEAR(Invoer!$A$5),1,1)+ROWS(B$2:B50)-1,"jjjjmmdd")</f>
        <v>19200218</v>
      </c>
      <c r="C50" s="27" t="s">
        <v>36</v>
      </c>
      <c r="D50" s="35">
        <f t="shared" ca="1" si="1"/>
        <v>756.5</v>
      </c>
      <c r="E50" s="32">
        <f t="shared" ca="1" si="2"/>
        <v>0</v>
      </c>
      <c r="F50" s="35">
        <f t="shared" ca="1" si="3"/>
        <v>754.5</v>
      </c>
      <c r="G50" s="32">
        <f t="shared" ca="1" si="4"/>
        <v>0</v>
      </c>
      <c r="H50" s="35">
        <f t="shared" ca="1" si="5"/>
        <v>28.5</v>
      </c>
      <c r="I50" s="32">
        <f t="shared" ca="1" si="6"/>
        <v>0</v>
      </c>
      <c r="J50" s="35">
        <f t="shared" ca="1" si="7"/>
        <v>27.5</v>
      </c>
      <c r="K50" s="32">
        <f t="shared" ca="1" si="8"/>
        <v>0</v>
      </c>
    </row>
    <row r="51" spans="1:11" x14ac:dyDescent="0.25">
      <c r="A51" s="11">
        <f t="shared" si="0"/>
        <v>44</v>
      </c>
      <c r="B51" t="str">
        <f ca="1">TEXT(DATE(YEAR(Invoer!$A$5),1,1)+ROWS(B$2:B51)-1,"jjjjmmdd")</f>
        <v>19200219</v>
      </c>
      <c r="C51" s="27" t="s">
        <v>36</v>
      </c>
      <c r="D51" s="35">
        <f t="shared" ca="1" si="1"/>
        <v>756.5</v>
      </c>
      <c r="E51" s="32">
        <f t="shared" ca="1" si="2"/>
        <v>0</v>
      </c>
      <c r="F51" s="35">
        <f t="shared" ca="1" si="3"/>
        <v>754.5</v>
      </c>
      <c r="G51" s="32">
        <f t="shared" ca="1" si="4"/>
        <v>0</v>
      </c>
      <c r="H51" s="35">
        <f t="shared" ca="1" si="5"/>
        <v>28</v>
      </c>
      <c r="I51" s="32">
        <f t="shared" ca="1" si="6"/>
        <v>0</v>
      </c>
      <c r="J51" s="35">
        <f t="shared" ca="1" si="7"/>
        <v>27.5</v>
      </c>
      <c r="K51" s="32">
        <f t="shared" ca="1" si="8"/>
        <v>0</v>
      </c>
    </row>
    <row r="52" spans="1:11" x14ac:dyDescent="0.25">
      <c r="A52" s="11">
        <f t="shared" si="0"/>
        <v>44</v>
      </c>
      <c r="B52" t="str">
        <f ca="1">TEXT(DATE(YEAR(Invoer!$A$5),1,1)+ROWS(B$2:B52)-1,"jjjjmmdd")</f>
        <v>19200220</v>
      </c>
      <c r="C52" s="27" t="s">
        <v>36</v>
      </c>
      <c r="D52" s="35">
        <f t="shared" ca="1" si="1"/>
        <v>757.5</v>
      </c>
      <c r="E52" s="32">
        <f t="shared" ca="1" si="2"/>
        <v>0</v>
      </c>
      <c r="F52" s="35">
        <f t="shared" ca="1" si="3"/>
        <v>756.5</v>
      </c>
      <c r="G52" s="32">
        <f t="shared" ca="1" si="4"/>
        <v>0</v>
      </c>
      <c r="H52" s="35">
        <f t="shared" ca="1" si="5"/>
        <v>28.5</v>
      </c>
      <c r="I52" s="32">
        <f t="shared" ca="1" si="6"/>
        <v>0</v>
      </c>
      <c r="J52" s="35">
        <f t="shared" ca="1" si="7"/>
        <v>27.5</v>
      </c>
      <c r="K52" s="32">
        <f t="shared" ca="1" si="8"/>
        <v>0</v>
      </c>
    </row>
    <row r="53" spans="1:11" x14ac:dyDescent="0.25">
      <c r="A53" s="11">
        <f t="shared" si="0"/>
        <v>44</v>
      </c>
      <c r="B53" t="str">
        <f ca="1">TEXT(DATE(YEAR(Invoer!$A$5),1,1)+ROWS(B$2:B53)-1,"jjjjmmdd")</f>
        <v>19200221</v>
      </c>
      <c r="C53" s="27" t="s">
        <v>36</v>
      </c>
      <c r="D53" s="35">
        <f t="shared" ca="1" si="1"/>
        <v>757.5</v>
      </c>
      <c r="E53" s="32">
        <f t="shared" ca="1" si="2"/>
        <v>0</v>
      </c>
      <c r="F53" s="35">
        <f t="shared" ca="1" si="3"/>
        <v>755.5</v>
      </c>
      <c r="G53" s="32">
        <f t="shared" ca="1" si="4"/>
        <v>0</v>
      </c>
      <c r="H53" s="35">
        <f t="shared" ca="1" si="5"/>
        <v>28</v>
      </c>
      <c r="I53" s="32">
        <f t="shared" ca="1" si="6"/>
        <v>0</v>
      </c>
      <c r="J53" s="35">
        <f t="shared" ca="1" si="7"/>
        <v>27</v>
      </c>
      <c r="K53" s="32">
        <f t="shared" ca="1" si="8"/>
        <v>0</v>
      </c>
    </row>
    <row r="54" spans="1:11" x14ac:dyDescent="0.25">
      <c r="A54" s="11">
        <f t="shared" si="0"/>
        <v>44</v>
      </c>
      <c r="B54" t="str">
        <f ca="1">TEXT(DATE(YEAR(Invoer!$A$5),1,1)+ROWS(B$2:B54)-1,"jjjjmmdd")</f>
        <v>19200222</v>
      </c>
      <c r="C54" s="27" t="s">
        <v>36</v>
      </c>
      <c r="D54" s="35">
        <f t="shared" ca="1" si="1"/>
        <v>757.5</v>
      </c>
      <c r="E54" s="32">
        <f t="shared" ca="1" si="2"/>
        <v>0</v>
      </c>
      <c r="F54" s="35">
        <f t="shared" ca="1" si="3"/>
        <v>755.5</v>
      </c>
      <c r="G54" s="32">
        <f t="shared" ca="1" si="4"/>
        <v>0</v>
      </c>
      <c r="H54" s="35">
        <f t="shared" ca="1" si="5"/>
        <v>28</v>
      </c>
      <c r="I54" s="32">
        <f t="shared" ca="1" si="6"/>
        <v>0</v>
      </c>
      <c r="J54" s="35">
        <f t="shared" ca="1" si="7"/>
        <v>27</v>
      </c>
      <c r="K54" s="32">
        <f t="shared" ca="1" si="8"/>
        <v>0</v>
      </c>
    </row>
    <row r="55" spans="1:11" x14ac:dyDescent="0.25">
      <c r="A55" s="11">
        <f t="shared" si="0"/>
        <v>44</v>
      </c>
      <c r="B55" t="str">
        <f ca="1">TEXT(DATE(YEAR(Invoer!$A$5),1,1)+ROWS(B$2:B55)-1,"jjjjmmdd")</f>
        <v>19200223</v>
      </c>
      <c r="C55" s="27" t="s">
        <v>36</v>
      </c>
      <c r="D55" s="35">
        <f t="shared" ca="1" si="1"/>
        <v>757</v>
      </c>
      <c r="E55" s="32">
        <f t="shared" ca="1" si="2"/>
        <v>0</v>
      </c>
      <c r="F55" s="35">
        <f t="shared" ca="1" si="3"/>
        <v>753</v>
      </c>
      <c r="G55" s="32">
        <f t="shared" ca="1" si="4"/>
        <v>0</v>
      </c>
      <c r="H55" s="35">
        <f t="shared" ca="1" si="5"/>
        <v>27.5</v>
      </c>
      <c r="I55" s="32">
        <f t="shared" ca="1" si="6"/>
        <v>0</v>
      </c>
      <c r="J55" s="35">
        <f t="shared" ca="1" si="7"/>
        <v>27</v>
      </c>
      <c r="K55" s="32">
        <f t="shared" ca="1" si="8"/>
        <v>0</v>
      </c>
    </row>
    <row r="56" spans="1:11" x14ac:dyDescent="0.25">
      <c r="A56" s="11">
        <f t="shared" si="0"/>
        <v>44</v>
      </c>
      <c r="B56" t="str">
        <f ca="1">TEXT(DATE(YEAR(Invoer!$A$5),1,1)+ROWS(B$2:B56)-1,"jjjjmmdd")</f>
        <v>19200224</v>
      </c>
      <c r="C56" s="27" t="s">
        <v>36</v>
      </c>
      <c r="D56" s="35">
        <f t="shared" ca="1" si="1"/>
        <v>759</v>
      </c>
      <c r="E56" s="32">
        <f t="shared" ca="1" si="2"/>
        <v>0</v>
      </c>
      <c r="F56" s="35">
        <f t="shared" ca="1" si="3"/>
        <v>758</v>
      </c>
      <c r="G56" s="32">
        <f t="shared" ca="1" si="4"/>
        <v>0</v>
      </c>
      <c r="H56" s="35">
        <f t="shared" ca="1" si="5"/>
        <v>28</v>
      </c>
      <c r="I56" s="32">
        <f t="shared" ca="1" si="6"/>
        <v>0</v>
      </c>
      <c r="J56" s="35">
        <f t="shared" ca="1" si="7"/>
        <v>27.5</v>
      </c>
      <c r="K56" s="32">
        <f t="shared" ca="1" si="8"/>
        <v>0</v>
      </c>
    </row>
    <row r="57" spans="1:11" x14ac:dyDescent="0.25">
      <c r="A57" s="11">
        <f t="shared" si="0"/>
        <v>44</v>
      </c>
      <c r="B57" t="str">
        <f ca="1">TEXT(DATE(YEAR(Invoer!$A$5),1,1)+ROWS(B$2:B57)-1,"jjjjmmdd")</f>
        <v>19200225</v>
      </c>
      <c r="C57" s="27" t="s">
        <v>36</v>
      </c>
      <c r="D57" s="35">
        <f t="shared" ca="1" si="1"/>
        <v>757.5</v>
      </c>
      <c r="E57" s="32">
        <f t="shared" ca="1" si="2"/>
        <v>0</v>
      </c>
      <c r="F57" s="35">
        <f t="shared" ca="1" si="3"/>
        <v>755</v>
      </c>
      <c r="G57" s="32">
        <f t="shared" ca="1" si="4"/>
        <v>0</v>
      </c>
      <c r="H57" s="35">
        <f t="shared" ca="1" si="5"/>
        <v>29</v>
      </c>
      <c r="I57" s="32">
        <f t="shared" ca="1" si="6"/>
        <v>0</v>
      </c>
      <c r="J57" s="35">
        <f t="shared" ca="1" si="7"/>
        <v>27.5</v>
      </c>
      <c r="K57" s="32">
        <f t="shared" ca="1" si="8"/>
        <v>0</v>
      </c>
    </row>
    <row r="58" spans="1:11" x14ac:dyDescent="0.25">
      <c r="A58" s="11">
        <f t="shared" si="0"/>
        <v>44</v>
      </c>
      <c r="B58" t="str">
        <f ca="1">TEXT(DATE(YEAR(Invoer!$A$5),1,1)+ROWS(B$2:B58)-1,"jjjjmmdd")</f>
        <v>19200226</v>
      </c>
      <c r="C58" s="27" t="s">
        <v>36</v>
      </c>
      <c r="D58" s="35">
        <f t="shared" ca="1" si="1"/>
        <v>758</v>
      </c>
      <c r="E58" s="32">
        <f t="shared" ca="1" si="2"/>
        <v>0</v>
      </c>
      <c r="F58" s="35">
        <f t="shared" ca="1" si="3"/>
        <v>756</v>
      </c>
      <c r="G58" s="32">
        <f t="shared" ca="1" si="4"/>
        <v>0</v>
      </c>
      <c r="H58" s="35">
        <f t="shared" ca="1" si="5"/>
        <v>28</v>
      </c>
      <c r="I58" s="32">
        <f t="shared" ca="1" si="6"/>
        <v>0</v>
      </c>
      <c r="J58" s="35">
        <f t="shared" ca="1" si="7"/>
        <v>27.5</v>
      </c>
      <c r="K58" s="32">
        <f t="shared" ca="1" si="8"/>
        <v>0</v>
      </c>
    </row>
    <row r="59" spans="1:11" x14ac:dyDescent="0.25">
      <c r="A59" s="11">
        <f t="shared" si="0"/>
        <v>44</v>
      </c>
      <c r="B59" t="str">
        <f ca="1">TEXT(DATE(YEAR(Invoer!$A$5),1,1)+ROWS(B$2:B59)-1,"jjjjmmdd")</f>
        <v>19200227</v>
      </c>
      <c r="C59" s="27" t="s">
        <v>36</v>
      </c>
      <c r="D59" s="35">
        <f t="shared" ca="1" si="1"/>
        <v>759.5</v>
      </c>
      <c r="E59" s="32">
        <f t="shared" ca="1" si="2"/>
        <v>0</v>
      </c>
      <c r="F59" s="35">
        <f t="shared" ca="1" si="3"/>
        <v>759</v>
      </c>
      <c r="G59" s="32">
        <f t="shared" ca="1" si="4"/>
        <v>0</v>
      </c>
      <c r="H59" s="35">
        <f t="shared" ca="1" si="5"/>
        <v>29.5</v>
      </c>
      <c r="I59" s="32">
        <f t="shared" ca="1" si="6"/>
        <v>0</v>
      </c>
      <c r="J59" s="35">
        <f t="shared" ca="1" si="7"/>
        <v>29</v>
      </c>
      <c r="K59" s="32">
        <f t="shared" ca="1" si="8"/>
        <v>0</v>
      </c>
    </row>
    <row r="60" spans="1:11" x14ac:dyDescent="0.25">
      <c r="A60" s="11">
        <f t="shared" si="0"/>
        <v>44</v>
      </c>
      <c r="B60" t="str">
        <f ca="1">TEXT(DATE(YEAR(Invoer!$A$5),1,1)+ROWS(B$2:B60)-1,"jjjjmmdd")</f>
        <v>19200228</v>
      </c>
      <c r="C60" s="27" t="s">
        <v>36</v>
      </c>
      <c r="D60" s="35">
        <f t="shared" ca="1" si="1"/>
        <v>759.5</v>
      </c>
      <c r="E60" s="32">
        <f t="shared" ca="1" si="2"/>
        <v>0</v>
      </c>
      <c r="F60" s="35">
        <f t="shared" ca="1" si="3"/>
        <v>759</v>
      </c>
      <c r="G60" s="32">
        <f t="shared" ca="1" si="4"/>
        <v>0</v>
      </c>
      <c r="H60" s="35">
        <f t="shared" ca="1" si="5"/>
        <v>29</v>
      </c>
      <c r="I60" s="32">
        <f t="shared" ca="1" si="6"/>
        <v>0</v>
      </c>
      <c r="J60" s="35">
        <f t="shared" ca="1" si="7"/>
        <v>28.5</v>
      </c>
      <c r="K60" s="32">
        <f t="shared" ca="1" si="8"/>
        <v>0</v>
      </c>
    </row>
    <row r="61" spans="1:11" x14ac:dyDescent="0.25">
      <c r="A61" s="11">
        <f t="shared" si="0"/>
        <v>44</v>
      </c>
      <c r="B61" t="str">
        <f ca="1">TEXT(DATE(YEAR(Invoer!$A$5),1,1)+ROWS(B$2:B61)-1,"jjjjmmdd")</f>
        <v>19200229</v>
      </c>
      <c r="C61" s="27" t="s">
        <v>36</v>
      </c>
      <c r="D61" s="35">
        <f t="shared" ca="1" si="1"/>
        <v>759</v>
      </c>
      <c r="E61" s="32">
        <f t="shared" ca="1" si="2"/>
        <v>0</v>
      </c>
      <c r="F61" s="35">
        <f t="shared" ca="1" si="3"/>
        <v>758</v>
      </c>
      <c r="G61" s="32">
        <f t="shared" ca="1" si="4"/>
        <v>0</v>
      </c>
      <c r="H61" s="35">
        <f t="shared" ca="1" si="5"/>
        <v>28.5</v>
      </c>
      <c r="I61" s="32">
        <f t="shared" ca="1" si="6"/>
        <v>0</v>
      </c>
      <c r="J61" s="35">
        <f t="shared" ca="1" si="7"/>
        <v>28</v>
      </c>
      <c r="K61" s="32">
        <f t="shared" ca="1" si="8"/>
        <v>0</v>
      </c>
    </row>
    <row r="62" spans="1:11" x14ac:dyDescent="0.25">
      <c r="A62" s="11">
        <f t="shared" si="0"/>
        <v>44</v>
      </c>
      <c r="B62" t="str">
        <f ca="1">TEXT(DATE(YEAR(Invoer!$A$5),1,1)+ROWS(B$2:B62)-1,"jjjjmmdd")</f>
        <v>19200301</v>
      </c>
      <c r="C62" s="27" t="s">
        <v>36</v>
      </c>
      <c r="D62" s="35">
        <f t="shared" ca="1" si="1"/>
        <v>755.5</v>
      </c>
      <c r="E62" s="32">
        <f t="shared" ca="1" si="2"/>
        <v>0</v>
      </c>
      <c r="F62" s="35">
        <f t="shared" ca="1" si="3"/>
        <v>753.5</v>
      </c>
      <c r="G62" s="32">
        <f t="shared" ca="1" si="4"/>
        <v>0</v>
      </c>
      <c r="H62" s="35">
        <f t="shared" ca="1" si="5"/>
        <v>29.5</v>
      </c>
      <c r="I62" s="32">
        <f t="shared" ca="1" si="6"/>
        <v>0</v>
      </c>
      <c r="J62" s="35">
        <f t="shared" ca="1" si="7"/>
        <v>28</v>
      </c>
      <c r="K62" s="32">
        <f t="shared" ca="1" si="8"/>
        <v>0</v>
      </c>
    </row>
    <row r="63" spans="1:11" x14ac:dyDescent="0.25">
      <c r="A63" s="11">
        <f t="shared" si="0"/>
        <v>44</v>
      </c>
      <c r="B63" t="str">
        <f ca="1">TEXT(DATE(YEAR(Invoer!$A$5),1,1)+ROWS(B$2:B63)-1,"jjjjmmdd")</f>
        <v>19200302</v>
      </c>
      <c r="C63" s="27" t="s">
        <v>36</v>
      </c>
      <c r="D63" s="35">
        <f t="shared" ca="1" si="1"/>
        <v>757.5</v>
      </c>
      <c r="E63" s="32">
        <f t="shared" ca="1" si="2"/>
        <v>0</v>
      </c>
      <c r="F63" s="35">
        <f t="shared" ca="1" si="3"/>
        <v>755.5</v>
      </c>
      <c r="G63" s="32">
        <f t="shared" ca="1" si="4"/>
        <v>0</v>
      </c>
      <c r="H63" s="35">
        <f t="shared" ca="1" si="5"/>
        <v>29</v>
      </c>
      <c r="I63" s="32">
        <f t="shared" ca="1" si="6"/>
        <v>0</v>
      </c>
      <c r="J63" s="35">
        <f t="shared" ca="1" si="7"/>
        <v>28</v>
      </c>
      <c r="K63" s="32">
        <f t="shared" ca="1" si="8"/>
        <v>0</v>
      </c>
    </row>
    <row r="64" spans="1:11" x14ac:dyDescent="0.25">
      <c r="A64" s="11">
        <f t="shared" si="0"/>
        <v>44</v>
      </c>
      <c r="B64" t="str">
        <f ca="1">TEXT(DATE(YEAR(Invoer!$A$5),1,1)+ROWS(B$2:B64)-1,"jjjjmmdd")</f>
        <v>19200303</v>
      </c>
      <c r="C64" s="27" t="s">
        <v>36</v>
      </c>
      <c r="D64" s="35">
        <f t="shared" ca="1" si="1"/>
        <v>759.5</v>
      </c>
      <c r="E64" s="32">
        <f t="shared" ca="1" si="2"/>
        <v>0</v>
      </c>
      <c r="F64" s="35">
        <f t="shared" ca="1" si="3"/>
        <v>757.5</v>
      </c>
      <c r="G64" s="32">
        <f t="shared" ca="1" si="4"/>
        <v>0</v>
      </c>
      <c r="H64" s="35">
        <f t="shared" ca="1" si="5"/>
        <v>28.5</v>
      </c>
      <c r="I64" s="32">
        <f t="shared" ca="1" si="6"/>
        <v>0</v>
      </c>
      <c r="J64" s="35">
        <f t="shared" ca="1" si="7"/>
        <v>28</v>
      </c>
      <c r="K64" s="32">
        <f t="shared" ca="1" si="8"/>
        <v>0</v>
      </c>
    </row>
    <row r="65" spans="1:11" x14ac:dyDescent="0.25">
      <c r="A65" s="11">
        <f t="shared" si="0"/>
        <v>44</v>
      </c>
      <c r="B65" t="str">
        <f ca="1">TEXT(DATE(YEAR(Invoer!$A$5),1,1)+ROWS(B$2:B65)-1,"jjjjmmdd")</f>
        <v>19200304</v>
      </c>
      <c r="C65" s="27" t="s">
        <v>36</v>
      </c>
      <c r="D65" s="35">
        <f t="shared" ca="1" si="1"/>
        <v>757</v>
      </c>
      <c r="E65" s="32">
        <f t="shared" ca="1" si="2"/>
        <v>0</v>
      </c>
      <c r="F65" s="35">
        <f t="shared" ca="1" si="3"/>
        <v>754.5</v>
      </c>
      <c r="G65" s="32">
        <f t="shared" ca="1" si="4"/>
        <v>0</v>
      </c>
      <c r="H65" s="35">
        <f t="shared" ca="1" si="5"/>
        <v>29</v>
      </c>
      <c r="I65" s="32">
        <f t="shared" ca="1" si="6"/>
        <v>0</v>
      </c>
      <c r="J65" s="35">
        <f t="shared" ca="1" si="7"/>
        <v>28</v>
      </c>
      <c r="K65" s="32">
        <f t="shared" ca="1" si="8"/>
        <v>0</v>
      </c>
    </row>
    <row r="66" spans="1:11" x14ac:dyDescent="0.25">
      <c r="A66" s="11">
        <f t="shared" ref="A66:A129" si="9">INDEX(Stations,2,1)</f>
        <v>44</v>
      </c>
      <c r="B66" t="str">
        <f ca="1">TEXT(DATE(YEAR(Invoer!$A$5),1,1)+ROWS(B$2:B66)-1,"jjjjmmdd")</f>
        <v>19200305</v>
      </c>
      <c r="C66" s="27" t="s">
        <v>36</v>
      </c>
      <c r="D66" s="35">
        <f t="shared" ref="D66:D129" ca="1" si="10">IF(OR(ISBLANK(VLOOKUP(DATEVALUE(LEFT($B66,4)&amp;"-"&amp;MID($B66,5,2)&amp;"-"&amp;RIGHT($B66,2)),Data,MATCH(LEFT(VLOOKUP(LEFT(D$1,1),Parameters,2,FALSE()),4)&amp;"*",OFFSET(Data,0,0,1),0)+MATCH(VLOOKUP(RIGHT(D$1,1),Parameters,2,FALSE()),OFFSET(Data,1,0,1),0)-2,FALSE())),ISTEXT(VLOOKUP(DATEVALUE(LEFT($B66,4)&amp;"-"&amp;MID($B66,5,2)&amp;"-"&amp;RIGHT($B66,2)),Data,MATCH(LEFT(VLOOKUP(LEFT(D$1,1),Parameters,2,FALSE()),4)&amp;"*",OFFSET(Data,0,0,1),0)+MATCH(VLOOKUP(RIGHT(D$1,1),Parameters,2,FALSE()),OFFSET(Data,1,0,1),0)-2,FALSE()))),"—",VLOOKUP(DATEVALUE(LEFT($B66,4)&amp;"-"&amp;MID($B66,5,2)&amp;"-"&amp;RIGHT($B66,2)),Data,MATCH(LEFT(VLOOKUP(LEFT(D$1,1),Parameters,2,FALSE()),4)&amp;"*",OFFSET(Data,0,0,1),0)+MATCH(VLOOKUP(RIGHT(D$1,1),Parameters,2,FALSE()),OFFSET(Data,1,0,1),0)-2,FALSE())/10)</f>
        <v>757.5</v>
      </c>
      <c r="E66" s="32">
        <f t="shared" ref="E66:E129" ca="1" si="11">IF(OR(ISBLANK(VLOOKUP(DATEVALUE(LEFT($B66,4)&amp;"-"&amp;MID($B66,5,2)&amp;"-"&amp;RIGHT($B66,2)),Data,MATCH(LEFT(VLOOKUP(MID(E$1,2,LEN(E$1)-1),Parameters,2,FALSE()),4)&amp;"*",OFFSET(Data,0,0,1),0)+MATCH(VLOOKUP(RIGHT(E$1,1),Parameters,2,FALSE()),OFFSET(Data,1,0,1),0)-2,FALSE())),ISTEXT(VLOOKUP(DATEVALUE(LEFT($B66,4)&amp;"-"&amp;MID($B66,5,2)&amp;"-"&amp;RIGHT($B66,2)),Data,MATCH(LEFT(VLOOKUP(MID(E$1,2,LEN(E$1)-1),Parameters,2,FALSE()),4)&amp;"*",OFFSET(Data,0,0,1),0)+MATCH(VLOOKUP(RIGHT(E$1,1),Parameters,2,FALSE())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-2),Parameters,2,FALSE()),4)&amp;"*",OFFSET(Catalogus,0,0,1),0)+MATCH(VLOOKUP(RIGHT(E$1,1),Parameters,2,FALSE()),OFFSET(Catalogus,1,0,1),0)-2,FALSE())))</f>
        <v>0</v>
      </c>
      <c r="F66" s="35">
        <f t="shared" ref="F66:F129" ca="1" si="12">IF(OR(ISBLANK(VLOOKUP(DATEVALUE(LEFT($B66,4)&amp;"-"&amp;MID($B66,5,2)&amp;"-"&amp;RIGHT($B66,2)),Data,MATCH(LEFT(VLOOKUP(LEFT(F$1,1),Parameters,2,FALSE()),4)&amp;"*",OFFSET(Data,0,0,1),0)+MATCH(VLOOKUP(RIGHT(F$1,1),Parameters,2,FALSE()),OFFSET(Data,1,0,1),0)-2,FALSE())),ISTEXT(VLOOKUP(DATEVALUE(LEFT($B66,4)&amp;"-"&amp;MID($B66,5,2)&amp;"-"&amp;RIGHT($B66,2)),Data,MATCH(LEFT(VLOOKUP(LEFT(F$1,1),Parameters,2,FALSE()),4)&amp;"*",OFFSET(Data,0,0,1),0)+MATCH(VLOOKUP(RIGHT(F$1,1),Parameters,2,FALSE()),OFFSET(Data,1,0,1),0)-2,FALSE()))),"—",VLOOKUP(DATEVALUE(LEFT($B66,4)&amp;"-"&amp;MID($B66,5,2)&amp;"-"&amp;RIGHT($B66,2)),Data,MATCH(LEFT(VLOOKUP(LEFT(F$1,1),Parameters,2,FALSE()),4)&amp;"*",OFFSET(Data,0,0,1),0)+MATCH(VLOOKUP(RIGHT(F$1,1),Parameters,2,FALSE()),OFFSET(Data,1,0,1),0)-2,FALSE())/10)</f>
        <v>756</v>
      </c>
      <c r="G66" s="32">
        <f t="shared" ref="G66:G129" ca="1" si="13">IF(OR(ISBLANK(VLOOKUP(DATEVALUE(LEFT($B66,4)&amp;"-"&amp;MID($B66,5,2)&amp;"-"&amp;RIGHT($B66,2)),Data,MATCH(LEFT(VLOOKUP(MID(G$1,2,LEN(G$1)-1),Parameters,2,FALSE()),4)&amp;"*",OFFSET(Data,0,0,1),0)+MATCH(VLOOKUP(RIGHT(G$1,1),Parameters,2,FALSE()),OFFSET(Data,1,0,1),0)-2,FALSE())),ISTEXT(VLOOKUP(DATEVALUE(LEFT($B66,4)&amp;"-"&amp;MID($B66,5,2)&amp;"-"&amp;RIGHT($B66,2)),Data,MATCH(LEFT(VLOOKUP(MID(G$1,2,LEN(G$1)-1),Parameters,2,FALSE()),4)&amp;"*",OFFSET(Data,0,0,1),0)+MATCH(VLOOKUP(RIGHT(G$1,1),Parameters,2,FALSE())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-2),Parameters,2,FALSE()),4)&amp;"*",OFFSET(Catalogus,0,0,1),0)+MATCH(VLOOKUP(RIGHT(G$1,1),Parameters,2,FALSE()),OFFSET(Catalogus,1,0,1),0)-2,FALSE())))</f>
        <v>0</v>
      </c>
      <c r="H66" s="35">
        <f t="shared" ref="H66:H129" ca="1" si="14">IF(OR(ISBLANK(VLOOKUP(DATEVALUE(LEFT($B66,4)&amp;"-"&amp;MID($B66,5,2)&amp;"-"&amp;RIGHT($B66,2)),Data,MATCH(LEFT(VLOOKUP(LEFT(H$1,1),Parameters,2,FALSE()),4)&amp;"*",OFFSET(Data,0,0,1),0)+MATCH(VLOOKUP(RIGHT(H$1,1),Parameters,2,FALSE()),OFFSET(Data,1,0,1),0)-2,FALSE())),ISTEXT(VLOOKUP(DATEVALUE(LEFT($B66,4)&amp;"-"&amp;MID($B66,5,2)&amp;"-"&amp;RIGHT($B66,2)),Data,MATCH(LEFT(VLOOKUP(LEFT(H$1,1),Parameters,2,FALSE()),4)&amp;"*",OFFSET(Data,0,0,1),0)+MATCH(VLOOKUP(RIGHT(H$1,1),Parameters,2,FALSE()),OFFSET(Data,1,0,1),0)-2,FALSE()))),"—",VLOOKUP(DATEVALUE(LEFT($B66,4)&amp;"-"&amp;MID($B66,5,2)&amp;"-"&amp;RIGHT($B66,2)),Data,MATCH(LEFT(VLOOKUP(LEFT(H$1,1),Parameters,2,FALSE()),4)&amp;"*",OFFSET(Data,0,0,1),0)+MATCH(VLOOKUP(RIGHT(H$1,1),Parameters,2,FALSE()),OFFSET(Data,1,0,1),0)-2,FALSE())/10)</f>
        <v>29</v>
      </c>
      <c r="I66" s="32">
        <f t="shared" ref="I66:I129" ca="1" si="15">IF(OR(ISBLANK(VLOOKUP(DATEVALUE(LEFT($B66,4)&amp;"-"&amp;MID($B66,5,2)&amp;"-"&amp;RIGHT($B66,2)),Data,MATCH(LEFT(VLOOKUP(MID(I$1,2,LEN(I$1)-1),Parameters,2,FALSE()),4)&amp;"*",OFFSET(Data,0,0,1),0)+MATCH(VLOOKUP(RIGHT(I$1,1),Parameters,2,FALSE()),OFFSET(Data,1,0,1),0)-2,FALSE())),ISTEXT(VLOOKUP(DATEVALUE(LEFT($B66,4)&amp;"-"&amp;MID($B66,5,2)&amp;"-"&amp;RIGHT($B66,2)),Data,MATCH(LEFT(VLOOKUP(MID(I$1,2,LEN(I$1)-1),Parameters,2,FALSE()),4)&amp;"*",OFFSET(Data,0,0,1),0)+MATCH(VLOOKUP(RIGHT(I$1,1),Parameters,2,FALSE())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I$1,2,LEN(I$1)-2),Parameters,2,FALSE()),4)&amp;"*",OFFSET(Catalogus,0,0,1),0)+MATCH(VLOOKUP(RIGHT(I$1,1),Parameters,2,FALSE()),OFFSET(Catalogus,1,0,1),0)-2,FALSE())))</f>
        <v>0</v>
      </c>
      <c r="J66" s="35">
        <f t="shared" ref="J66:J129" ca="1" si="16">IF(OR(ISBLANK(VLOOKUP(DATEVALUE(LEFT($B66,4)&amp;"-"&amp;MID($B66,5,2)&amp;"-"&amp;RIGHT($B66,2)),Data,MATCH(LEFT(VLOOKUP(LEFT(J$1,1),Parameters,2,FALSE()),4)&amp;"*",OFFSET(Data,0,0,1),0)+MATCH(VLOOKUP(RIGHT(J$1,1),Parameters,2,FALSE()),OFFSET(Data,1,0,1),0)-2,FALSE())),ISTEXT(VLOOKUP(DATEVALUE(LEFT($B66,4)&amp;"-"&amp;MID($B66,5,2)&amp;"-"&amp;RIGHT($B66,2)),Data,MATCH(LEFT(VLOOKUP(LEFT(J$1,1),Parameters,2,FALSE()),4)&amp;"*",OFFSET(Data,0,0,1),0)+MATCH(VLOOKUP(RIGHT(J$1,1),Parameters,2,FALSE()),OFFSET(Data,1,0,1),0)-2,FALSE()))),"—",VLOOKUP(DATEVALUE(LEFT($B66,4)&amp;"-"&amp;MID($B66,5,2)&amp;"-"&amp;RIGHT($B66,2)),Data,MATCH(LEFT(VLOOKUP(LEFT(J$1,1),Parameters,2,FALSE()),4)&amp;"*",OFFSET(Data,0,0,1),0)+MATCH(VLOOKUP(RIGHT(J$1,1),Parameters,2,FALSE()),OFFSET(Data,1,0,1),0)-2,FALSE())/10)</f>
        <v>28</v>
      </c>
      <c r="K66" s="32">
        <f t="shared" ref="K66:K129" ca="1" si="17">IF(OR(ISBLANK(VLOOKUP(DATEVALUE(LEFT($B66,4)&amp;"-"&amp;MID($B66,5,2)&amp;"-"&amp;RIGHT($B66,2)),Data,MATCH(LEFT(VLOOKUP(MID(K$1,2,LEN(K$1)-1),Parameters,2,FALSE()),4)&amp;"*",OFFSET(Data,0,0,1),0)+MATCH(VLOOKUP(RIGHT(K$1,1),Parameters,2,FALSE()),OFFSET(Data,1,0,1),0)-2,FALSE())),ISTEXT(VLOOKUP(DATEVALUE(LEFT($B66,4)&amp;"-"&amp;MID($B66,5,2)&amp;"-"&amp;RIGHT($B66,2)),Data,MATCH(LEFT(VLOOKUP(MID(K$1,2,LEN(K$1)-1),Parameters,2,FALSE()),4)&amp;"*",OFFSET(Data,0,0,1),0)+MATCH(VLOOKUP(RIGHT(K$1,1),Parameters,2,FALSE())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K$1,2,LEN(K$1)-2),Parameters,2,FALSE()),4)&amp;"*",OFFSET(Catalogus,0,0,1),0)+MATCH(VLOOKUP(RIGHT(K$1,1),Parameters,2,FALSE()),OFFSET(Catalogus,1,0,1),0)-2,FALSE())))</f>
        <v>0</v>
      </c>
    </row>
    <row r="67" spans="1:11" x14ac:dyDescent="0.25">
      <c r="A67" s="11">
        <f t="shared" si="9"/>
        <v>44</v>
      </c>
      <c r="B67" t="str">
        <f ca="1">TEXT(DATE(YEAR(Invoer!$A$5),1,1)+ROWS(B$2:B67)-1,"jjjjmmdd")</f>
        <v>19200306</v>
      </c>
      <c r="C67" s="27" t="s">
        <v>36</v>
      </c>
      <c r="D67" s="35">
        <f t="shared" ca="1" si="10"/>
        <v>759</v>
      </c>
      <c r="E67" s="32">
        <f t="shared" ca="1" si="11"/>
        <v>0</v>
      </c>
      <c r="F67" s="35">
        <f t="shared" ca="1" si="12"/>
        <v>756.5</v>
      </c>
      <c r="G67" s="32">
        <f t="shared" ca="1" si="13"/>
        <v>0</v>
      </c>
      <c r="H67" s="35">
        <f t="shared" ca="1" si="14"/>
        <v>29</v>
      </c>
      <c r="I67" s="32">
        <f t="shared" ca="1" si="15"/>
        <v>0</v>
      </c>
      <c r="J67" s="35">
        <f t="shared" ca="1" si="16"/>
        <v>28</v>
      </c>
      <c r="K67" s="32">
        <f t="shared" ca="1" si="17"/>
        <v>0</v>
      </c>
    </row>
    <row r="68" spans="1:11" x14ac:dyDescent="0.25">
      <c r="A68" s="11">
        <f t="shared" si="9"/>
        <v>44</v>
      </c>
      <c r="B68" t="str">
        <f ca="1">TEXT(DATE(YEAR(Invoer!$A$5),1,1)+ROWS(B$2:B68)-1,"jjjjmmdd")</f>
        <v>19200307</v>
      </c>
      <c r="C68" s="27" t="s">
        <v>36</v>
      </c>
      <c r="D68" s="35">
        <f t="shared" ca="1" si="10"/>
        <v>758.5</v>
      </c>
      <c r="E68" s="32">
        <f t="shared" ca="1" si="11"/>
        <v>0</v>
      </c>
      <c r="F68" s="35">
        <f t="shared" ca="1" si="12"/>
        <v>757</v>
      </c>
      <c r="G68" s="32">
        <f t="shared" ca="1" si="13"/>
        <v>0</v>
      </c>
      <c r="H68" s="35">
        <f t="shared" ca="1" si="14"/>
        <v>28.5</v>
      </c>
      <c r="I68" s="32">
        <f t="shared" ca="1" si="15"/>
        <v>0</v>
      </c>
      <c r="J68" s="35">
        <f t="shared" ca="1" si="16"/>
        <v>28</v>
      </c>
      <c r="K68" s="32">
        <f t="shared" ca="1" si="17"/>
        <v>0</v>
      </c>
    </row>
    <row r="69" spans="1:11" x14ac:dyDescent="0.25">
      <c r="A69" s="11">
        <f t="shared" si="9"/>
        <v>44</v>
      </c>
      <c r="B69" t="str">
        <f ca="1">TEXT(DATE(YEAR(Invoer!$A$5),1,1)+ROWS(B$2:B69)-1,"jjjjmmdd")</f>
        <v>19200308</v>
      </c>
      <c r="C69" s="27" t="s">
        <v>36</v>
      </c>
      <c r="D69" s="35">
        <f t="shared" ca="1" si="10"/>
        <v>760.5</v>
      </c>
      <c r="E69" s="32">
        <f t="shared" ca="1" si="11"/>
        <v>0</v>
      </c>
      <c r="F69" s="35">
        <f t="shared" ca="1" si="12"/>
        <v>759</v>
      </c>
      <c r="G69" s="32">
        <f t="shared" ca="1" si="13"/>
        <v>0</v>
      </c>
      <c r="H69" s="35">
        <f t="shared" ca="1" si="14"/>
        <v>28</v>
      </c>
      <c r="I69" s="32">
        <f t="shared" ca="1" si="15"/>
        <v>0</v>
      </c>
      <c r="J69" s="35">
        <f t="shared" ca="1" si="16"/>
        <v>27.5</v>
      </c>
      <c r="K69" s="32">
        <f t="shared" ca="1" si="17"/>
        <v>0</v>
      </c>
    </row>
    <row r="70" spans="1:11" x14ac:dyDescent="0.25">
      <c r="A70" s="11">
        <f t="shared" si="9"/>
        <v>44</v>
      </c>
      <c r="B70" t="str">
        <f ca="1">TEXT(DATE(YEAR(Invoer!$A$5),1,1)+ROWS(B$2:B70)-1,"jjjjmmdd")</f>
        <v>19200309</v>
      </c>
      <c r="C70" s="27" t="s">
        <v>36</v>
      </c>
      <c r="D70" s="35">
        <f t="shared" ca="1" si="10"/>
        <v>759.5</v>
      </c>
      <c r="E70" s="32">
        <f t="shared" ca="1" si="11"/>
        <v>0</v>
      </c>
      <c r="F70" s="35">
        <f t="shared" ca="1" si="12"/>
        <v>758</v>
      </c>
      <c r="G70" s="32">
        <f t="shared" ca="1" si="13"/>
        <v>0</v>
      </c>
      <c r="H70" s="35">
        <f t="shared" ca="1" si="14"/>
        <v>28.5</v>
      </c>
      <c r="I70" s="32">
        <f t="shared" ca="1" si="15"/>
        <v>0</v>
      </c>
      <c r="J70" s="35">
        <f t="shared" ca="1" si="16"/>
        <v>27</v>
      </c>
      <c r="K70" s="32">
        <f t="shared" ca="1" si="17"/>
        <v>0</v>
      </c>
    </row>
    <row r="71" spans="1:11" x14ac:dyDescent="0.25">
      <c r="A71" s="11">
        <f t="shared" si="9"/>
        <v>44</v>
      </c>
      <c r="B71" t="str">
        <f ca="1">TEXT(DATE(YEAR(Invoer!$A$5),1,1)+ROWS(B$2:B71)-1,"jjjjmmdd")</f>
        <v>19200310</v>
      </c>
      <c r="C71" s="27" t="s">
        <v>36</v>
      </c>
      <c r="D71" s="35">
        <f t="shared" ca="1" si="10"/>
        <v>759.5</v>
      </c>
      <c r="E71" s="32">
        <f t="shared" ca="1" si="11"/>
        <v>0</v>
      </c>
      <c r="F71" s="35">
        <f t="shared" ca="1" si="12"/>
        <v>757</v>
      </c>
      <c r="G71" s="32">
        <f t="shared" ca="1" si="13"/>
        <v>0</v>
      </c>
      <c r="H71" s="35">
        <f t="shared" ca="1" si="14"/>
        <v>28</v>
      </c>
      <c r="I71" s="32">
        <f t="shared" ca="1" si="15"/>
        <v>0</v>
      </c>
      <c r="J71" s="35">
        <f t="shared" ca="1" si="16"/>
        <v>27.5</v>
      </c>
      <c r="K71" s="32">
        <f t="shared" ca="1" si="17"/>
        <v>0</v>
      </c>
    </row>
    <row r="72" spans="1:11" x14ac:dyDescent="0.25">
      <c r="A72" s="11">
        <f t="shared" si="9"/>
        <v>44</v>
      </c>
      <c r="B72" t="str">
        <f ca="1">TEXT(DATE(YEAR(Invoer!$A$5),1,1)+ROWS(B$2:B72)-1,"jjjjmmdd")</f>
        <v>19200311</v>
      </c>
      <c r="C72" s="27" t="s">
        <v>36</v>
      </c>
      <c r="D72" s="35">
        <f t="shared" ca="1" si="10"/>
        <v>758.5</v>
      </c>
      <c r="E72" s="32">
        <f t="shared" ca="1" si="11"/>
        <v>0</v>
      </c>
      <c r="F72" s="35">
        <f t="shared" ca="1" si="12"/>
        <v>757</v>
      </c>
      <c r="G72" s="32">
        <f t="shared" ca="1" si="13"/>
        <v>0</v>
      </c>
      <c r="H72" s="35">
        <f t="shared" ca="1" si="14"/>
        <v>28</v>
      </c>
      <c r="I72" s="32">
        <f t="shared" ca="1" si="15"/>
        <v>0</v>
      </c>
      <c r="J72" s="35">
        <f t="shared" ca="1" si="16"/>
        <v>27</v>
      </c>
      <c r="K72" s="32">
        <f t="shared" ca="1" si="17"/>
        <v>0</v>
      </c>
    </row>
    <row r="73" spans="1:11" x14ac:dyDescent="0.25">
      <c r="A73" s="11">
        <f t="shared" si="9"/>
        <v>44</v>
      </c>
      <c r="B73" t="str">
        <f ca="1">TEXT(DATE(YEAR(Invoer!$A$5),1,1)+ROWS(B$2:B73)-1,"jjjjmmdd")</f>
        <v>19200312</v>
      </c>
      <c r="C73" s="27" t="s">
        <v>36</v>
      </c>
      <c r="D73" s="35">
        <f t="shared" ca="1" si="10"/>
        <v>758.5</v>
      </c>
      <c r="E73" s="32">
        <f t="shared" ca="1" si="11"/>
        <v>0</v>
      </c>
      <c r="F73" s="35">
        <f t="shared" ca="1" si="12"/>
        <v>756.5</v>
      </c>
      <c r="G73" s="32">
        <f t="shared" ca="1" si="13"/>
        <v>0</v>
      </c>
      <c r="H73" s="35">
        <f t="shared" ca="1" si="14"/>
        <v>28.5</v>
      </c>
      <c r="I73" s="32">
        <f t="shared" ca="1" si="15"/>
        <v>0</v>
      </c>
      <c r="J73" s="35">
        <f t="shared" ca="1" si="16"/>
        <v>27.5</v>
      </c>
      <c r="K73" s="32">
        <f t="shared" ca="1" si="17"/>
        <v>0</v>
      </c>
    </row>
    <row r="74" spans="1:11" x14ac:dyDescent="0.25">
      <c r="A74" s="11">
        <f t="shared" si="9"/>
        <v>44</v>
      </c>
      <c r="B74" t="str">
        <f ca="1">TEXT(DATE(YEAR(Invoer!$A$5),1,1)+ROWS(B$2:B74)-1,"jjjjmmdd")</f>
        <v>19200313</v>
      </c>
      <c r="C74" s="27" t="s">
        <v>36</v>
      </c>
      <c r="D74" s="35">
        <f t="shared" ca="1" si="10"/>
        <v>758.5</v>
      </c>
      <c r="E74" s="32">
        <f t="shared" ca="1" si="11"/>
        <v>0</v>
      </c>
      <c r="F74" s="35">
        <f t="shared" ca="1" si="12"/>
        <v>756</v>
      </c>
      <c r="G74" s="32">
        <f t="shared" ca="1" si="13"/>
        <v>0</v>
      </c>
      <c r="H74" s="35">
        <f t="shared" ca="1" si="14"/>
        <v>28</v>
      </c>
      <c r="I74" s="32">
        <f t="shared" ca="1" si="15"/>
        <v>0</v>
      </c>
      <c r="J74" s="35">
        <f t="shared" ca="1" si="16"/>
        <v>27.5</v>
      </c>
      <c r="K74" s="32">
        <f t="shared" ca="1" si="17"/>
        <v>0</v>
      </c>
    </row>
    <row r="75" spans="1:11" x14ac:dyDescent="0.25">
      <c r="A75" s="11">
        <f t="shared" si="9"/>
        <v>44</v>
      </c>
      <c r="B75" t="str">
        <f ca="1">TEXT(DATE(YEAR(Invoer!$A$5),1,1)+ROWS(B$2:B75)-1,"jjjjmmdd")</f>
        <v>19200314</v>
      </c>
      <c r="C75" s="27" t="s">
        <v>36</v>
      </c>
      <c r="D75" s="35">
        <f t="shared" ca="1" si="10"/>
        <v>758.5</v>
      </c>
      <c r="E75" s="32">
        <f t="shared" ca="1" si="11"/>
        <v>0</v>
      </c>
      <c r="F75" s="35">
        <f t="shared" ca="1" si="12"/>
        <v>756</v>
      </c>
      <c r="G75" s="32">
        <f t="shared" ca="1" si="13"/>
        <v>0</v>
      </c>
      <c r="H75" s="35">
        <f t="shared" ca="1" si="14"/>
        <v>28</v>
      </c>
      <c r="I75" s="32">
        <f t="shared" ca="1" si="15"/>
        <v>0</v>
      </c>
      <c r="J75" s="35">
        <f t="shared" ca="1" si="16"/>
        <v>27.5</v>
      </c>
      <c r="K75" s="32">
        <f t="shared" ca="1" si="17"/>
        <v>0</v>
      </c>
    </row>
    <row r="76" spans="1:11" x14ac:dyDescent="0.25">
      <c r="A76" s="11">
        <f t="shared" si="9"/>
        <v>44</v>
      </c>
      <c r="B76" t="str">
        <f ca="1">TEXT(DATE(YEAR(Invoer!$A$5),1,1)+ROWS(B$2:B76)-1,"jjjjmmdd")</f>
        <v>19200315</v>
      </c>
      <c r="C76" s="27" t="s">
        <v>36</v>
      </c>
      <c r="D76" s="35">
        <f t="shared" ca="1" si="10"/>
        <v>757.5</v>
      </c>
      <c r="E76" s="32">
        <f t="shared" ca="1" si="11"/>
        <v>0</v>
      </c>
      <c r="F76" s="35">
        <f t="shared" ca="1" si="12"/>
        <v>756</v>
      </c>
      <c r="G76" s="32">
        <f t="shared" ca="1" si="13"/>
        <v>0</v>
      </c>
      <c r="H76" s="35">
        <f t="shared" ca="1" si="14"/>
        <v>28</v>
      </c>
      <c r="I76" s="32">
        <f t="shared" ca="1" si="15"/>
        <v>0</v>
      </c>
      <c r="J76" s="35">
        <f t="shared" ca="1" si="16"/>
        <v>27.5</v>
      </c>
      <c r="K76" s="32">
        <f t="shared" ca="1" si="17"/>
        <v>0</v>
      </c>
    </row>
    <row r="77" spans="1:11" x14ac:dyDescent="0.25">
      <c r="A77" s="11">
        <f t="shared" si="9"/>
        <v>44</v>
      </c>
      <c r="B77" t="str">
        <f ca="1">TEXT(DATE(YEAR(Invoer!$A$5),1,1)+ROWS(B$2:B77)-1,"jjjjmmdd")</f>
        <v>19200316</v>
      </c>
      <c r="C77" s="27" t="s">
        <v>36</v>
      </c>
      <c r="D77" s="35">
        <f t="shared" ca="1" si="10"/>
        <v>758</v>
      </c>
      <c r="E77" s="32">
        <f t="shared" ca="1" si="11"/>
        <v>0</v>
      </c>
      <c r="F77" s="35">
        <f t="shared" ca="1" si="12"/>
        <v>756.5</v>
      </c>
      <c r="G77" s="32">
        <f t="shared" ca="1" si="13"/>
        <v>0</v>
      </c>
      <c r="H77" s="35">
        <f t="shared" ca="1" si="14"/>
        <v>29</v>
      </c>
      <c r="I77" s="32">
        <f t="shared" ca="1" si="15"/>
        <v>0</v>
      </c>
      <c r="J77" s="35">
        <f t="shared" ca="1" si="16"/>
        <v>27</v>
      </c>
      <c r="K77" s="32">
        <f t="shared" ca="1" si="17"/>
        <v>0</v>
      </c>
    </row>
    <row r="78" spans="1:11" x14ac:dyDescent="0.25">
      <c r="A78" s="11">
        <f t="shared" si="9"/>
        <v>44</v>
      </c>
      <c r="B78" t="str">
        <f ca="1">TEXT(DATE(YEAR(Invoer!$A$5),1,1)+ROWS(B$2:B78)-1,"jjjjmmdd")</f>
        <v>19200317</v>
      </c>
      <c r="C78" s="27" t="s">
        <v>36</v>
      </c>
      <c r="D78" s="35">
        <f t="shared" ca="1" si="10"/>
        <v>759</v>
      </c>
      <c r="E78" s="32">
        <f t="shared" ca="1" si="11"/>
        <v>0</v>
      </c>
      <c r="F78" s="35">
        <f t="shared" ca="1" si="12"/>
        <v>758</v>
      </c>
      <c r="G78" s="32">
        <f t="shared" ca="1" si="13"/>
        <v>0</v>
      </c>
      <c r="H78" s="35">
        <f t="shared" ca="1" si="14"/>
        <v>28.5</v>
      </c>
      <c r="I78" s="32">
        <f t="shared" ca="1" si="15"/>
        <v>0</v>
      </c>
      <c r="J78" s="35">
        <f t="shared" ca="1" si="16"/>
        <v>28</v>
      </c>
      <c r="K78" s="32">
        <f t="shared" ca="1" si="17"/>
        <v>0</v>
      </c>
    </row>
    <row r="79" spans="1:11" x14ac:dyDescent="0.25">
      <c r="A79" s="11">
        <f t="shared" si="9"/>
        <v>44</v>
      </c>
      <c r="B79" t="str">
        <f ca="1">TEXT(DATE(YEAR(Invoer!$A$5),1,1)+ROWS(B$2:B79)-1,"jjjjmmdd")</f>
        <v>19200318</v>
      </c>
      <c r="C79" s="27" t="s">
        <v>36</v>
      </c>
      <c r="D79" s="35">
        <f t="shared" ca="1" si="10"/>
        <v>758</v>
      </c>
      <c r="E79" s="32">
        <f t="shared" ca="1" si="11"/>
        <v>0</v>
      </c>
      <c r="F79" s="35">
        <f t="shared" ca="1" si="12"/>
        <v>756</v>
      </c>
      <c r="G79" s="32">
        <f t="shared" ca="1" si="13"/>
        <v>0</v>
      </c>
      <c r="H79" s="35">
        <f t="shared" ca="1" si="14"/>
        <v>28</v>
      </c>
      <c r="I79" s="32">
        <f t="shared" ca="1" si="15"/>
        <v>0</v>
      </c>
      <c r="J79" s="35">
        <f t="shared" ca="1" si="16"/>
        <v>27</v>
      </c>
      <c r="K79" s="32">
        <f t="shared" ca="1" si="17"/>
        <v>0</v>
      </c>
    </row>
    <row r="80" spans="1:11" x14ac:dyDescent="0.25">
      <c r="A80" s="11">
        <f t="shared" si="9"/>
        <v>44</v>
      </c>
      <c r="B80" t="str">
        <f ca="1">TEXT(DATE(YEAR(Invoer!$A$5),1,1)+ROWS(B$2:B80)-1,"jjjjmmdd")</f>
        <v>19200319</v>
      </c>
      <c r="C80" s="27" t="s">
        <v>36</v>
      </c>
      <c r="D80" s="35">
        <f t="shared" ca="1" si="10"/>
        <v>756.5</v>
      </c>
      <c r="E80" s="32">
        <f t="shared" ca="1" si="11"/>
        <v>0</v>
      </c>
      <c r="F80" s="35">
        <f t="shared" ca="1" si="12"/>
        <v>754</v>
      </c>
      <c r="G80" s="32">
        <f t="shared" ca="1" si="13"/>
        <v>0</v>
      </c>
      <c r="H80" s="35">
        <f t="shared" ca="1" si="14"/>
        <v>28</v>
      </c>
      <c r="I80" s="32">
        <f t="shared" ca="1" si="15"/>
        <v>0</v>
      </c>
      <c r="J80" s="35">
        <f t="shared" ca="1" si="16"/>
        <v>27</v>
      </c>
      <c r="K80" s="32">
        <f t="shared" ca="1" si="17"/>
        <v>0</v>
      </c>
    </row>
    <row r="81" spans="1:11" x14ac:dyDescent="0.25">
      <c r="A81" s="11">
        <f t="shared" si="9"/>
        <v>44</v>
      </c>
      <c r="B81" t="str">
        <f ca="1">TEXT(DATE(YEAR(Invoer!$A$5),1,1)+ROWS(B$2:B81)-1,"jjjjmmdd")</f>
        <v>19200320</v>
      </c>
      <c r="C81" s="27" t="s">
        <v>36</v>
      </c>
      <c r="D81" s="35">
        <f t="shared" ca="1" si="10"/>
        <v>756</v>
      </c>
      <c r="E81" s="32">
        <f t="shared" ca="1" si="11"/>
        <v>0</v>
      </c>
      <c r="F81" s="35">
        <f t="shared" ca="1" si="12"/>
        <v>754.5</v>
      </c>
      <c r="G81" s="32">
        <f t="shared" ca="1" si="13"/>
        <v>0</v>
      </c>
      <c r="H81" s="35">
        <f t="shared" ca="1" si="14"/>
        <v>29</v>
      </c>
      <c r="I81" s="32">
        <f t="shared" ca="1" si="15"/>
        <v>0</v>
      </c>
      <c r="J81" s="35">
        <f t="shared" ca="1" si="16"/>
        <v>27</v>
      </c>
      <c r="K81" s="32">
        <f t="shared" ca="1" si="17"/>
        <v>0</v>
      </c>
    </row>
    <row r="82" spans="1:11" x14ac:dyDescent="0.25">
      <c r="A82" s="11">
        <f t="shared" si="9"/>
        <v>44</v>
      </c>
      <c r="B82" t="str">
        <f ca="1">TEXT(DATE(YEAR(Invoer!$A$5),1,1)+ROWS(B$2:B82)-1,"jjjjmmdd")</f>
        <v>19200321</v>
      </c>
      <c r="C82" s="27" t="s">
        <v>36</v>
      </c>
      <c r="D82" s="35">
        <f t="shared" ca="1" si="10"/>
        <v>759</v>
      </c>
      <c r="E82" s="32">
        <f t="shared" ca="1" si="11"/>
        <v>0</v>
      </c>
      <c r="F82" s="35">
        <f t="shared" ca="1" si="12"/>
        <v>758</v>
      </c>
      <c r="G82" s="32">
        <f t="shared" ca="1" si="13"/>
        <v>0</v>
      </c>
      <c r="H82" s="35">
        <f t="shared" ca="1" si="14"/>
        <v>29</v>
      </c>
      <c r="I82" s="32">
        <f t="shared" ca="1" si="15"/>
        <v>0</v>
      </c>
      <c r="J82" s="35">
        <f t="shared" ca="1" si="16"/>
        <v>28</v>
      </c>
      <c r="K82" s="32">
        <f t="shared" ca="1" si="17"/>
        <v>0</v>
      </c>
    </row>
    <row r="83" spans="1:11" x14ac:dyDescent="0.25">
      <c r="A83" s="11">
        <f t="shared" si="9"/>
        <v>44</v>
      </c>
      <c r="B83" t="str">
        <f ca="1">TEXT(DATE(YEAR(Invoer!$A$5),1,1)+ROWS(B$2:B83)-1,"jjjjmmdd")</f>
        <v>19200322</v>
      </c>
      <c r="C83" s="27" t="s">
        <v>36</v>
      </c>
      <c r="D83" s="35">
        <f t="shared" ca="1" si="10"/>
        <v>759</v>
      </c>
      <c r="E83" s="32">
        <f t="shared" ca="1" si="11"/>
        <v>0</v>
      </c>
      <c r="F83" s="35">
        <f t="shared" ca="1" si="12"/>
        <v>758</v>
      </c>
      <c r="G83" s="32">
        <f t="shared" ca="1" si="13"/>
        <v>0</v>
      </c>
      <c r="H83" s="35">
        <f t="shared" ca="1" si="14"/>
        <v>29</v>
      </c>
      <c r="I83" s="32">
        <f t="shared" ca="1" si="15"/>
        <v>0</v>
      </c>
      <c r="J83" s="35">
        <f t="shared" ca="1" si="16"/>
        <v>28</v>
      </c>
      <c r="K83" s="32">
        <f t="shared" ca="1" si="17"/>
        <v>0</v>
      </c>
    </row>
    <row r="84" spans="1:11" x14ac:dyDescent="0.25">
      <c r="A84" s="11">
        <f t="shared" si="9"/>
        <v>44</v>
      </c>
      <c r="B84" t="str">
        <f ca="1">TEXT(DATE(YEAR(Invoer!$A$5),1,1)+ROWS(B$2:B84)-1,"jjjjmmdd")</f>
        <v>19200323</v>
      </c>
      <c r="C84" s="27" t="s">
        <v>36</v>
      </c>
      <c r="D84" s="35">
        <f t="shared" ca="1" si="10"/>
        <v>758</v>
      </c>
      <c r="E84" s="32">
        <f t="shared" ca="1" si="11"/>
        <v>0</v>
      </c>
      <c r="F84" s="35">
        <f t="shared" ca="1" si="12"/>
        <v>757</v>
      </c>
      <c r="G84" s="32">
        <f t="shared" ca="1" si="13"/>
        <v>0</v>
      </c>
      <c r="H84" s="35">
        <f t="shared" ca="1" si="14"/>
        <v>28.5</v>
      </c>
      <c r="I84" s="32">
        <f t="shared" ca="1" si="15"/>
        <v>0</v>
      </c>
      <c r="J84" s="35">
        <f t="shared" ca="1" si="16"/>
        <v>27</v>
      </c>
      <c r="K84" s="32">
        <f t="shared" ca="1" si="17"/>
        <v>0</v>
      </c>
    </row>
    <row r="85" spans="1:11" x14ac:dyDescent="0.25">
      <c r="A85" s="11">
        <f t="shared" si="9"/>
        <v>44</v>
      </c>
      <c r="B85" t="str">
        <f ca="1">TEXT(DATE(YEAR(Invoer!$A$5),1,1)+ROWS(B$2:B85)-1,"jjjjmmdd")</f>
        <v>19200324</v>
      </c>
      <c r="C85" s="27" t="s">
        <v>36</v>
      </c>
      <c r="D85" s="35">
        <f t="shared" ca="1" si="10"/>
        <v>758</v>
      </c>
      <c r="E85" s="32">
        <f t="shared" ca="1" si="11"/>
        <v>0</v>
      </c>
      <c r="F85" s="35">
        <f t="shared" ca="1" si="12"/>
        <v>755</v>
      </c>
      <c r="G85" s="32">
        <f t="shared" ca="1" si="13"/>
        <v>0</v>
      </c>
      <c r="H85" s="35">
        <f t="shared" ca="1" si="14"/>
        <v>28</v>
      </c>
      <c r="I85" s="32">
        <f t="shared" ca="1" si="15"/>
        <v>0</v>
      </c>
      <c r="J85" s="35">
        <f t="shared" ca="1" si="16"/>
        <v>27.5</v>
      </c>
      <c r="K85" s="32">
        <f t="shared" ca="1" si="17"/>
        <v>0</v>
      </c>
    </row>
    <row r="86" spans="1:11" x14ac:dyDescent="0.25">
      <c r="A86" s="11">
        <f t="shared" si="9"/>
        <v>44</v>
      </c>
      <c r="B86" t="str">
        <f ca="1">TEXT(DATE(YEAR(Invoer!$A$5),1,1)+ROWS(B$2:B86)-1,"jjjjmmdd")</f>
        <v>19200325</v>
      </c>
      <c r="C86" s="27" t="s">
        <v>36</v>
      </c>
      <c r="D86" s="35">
        <f t="shared" ca="1" si="10"/>
        <v>758</v>
      </c>
      <c r="E86" s="32">
        <f t="shared" ca="1" si="11"/>
        <v>0</v>
      </c>
      <c r="F86" s="35">
        <f t="shared" ca="1" si="12"/>
        <v>757.5</v>
      </c>
      <c r="G86" s="32">
        <f t="shared" ca="1" si="13"/>
        <v>0</v>
      </c>
      <c r="H86" s="35">
        <f t="shared" ca="1" si="14"/>
        <v>28</v>
      </c>
      <c r="I86" s="32">
        <f t="shared" ca="1" si="15"/>
        <v>0</v>
      </c>
      <c r="J86" s="35">
        <f t="shared" ca="1" si="16"/>
        <v>27</v>
      </c>
      <c r="K86" s="32">
        <f t="shared" ca="1" si="17"/>
        <v>0</v>
      </c>
    </row>
    <row r="87" spans="1:11" x14ac:dyDescent="0.25">
      <c r="A87" s="11">
        <f t="shared" si="9"/>
        <v>44</v>
      </c>
      <c r="B87" t="str">
        <f ca="1">TEXT(DATE(YEAR(Invoer!$A$5),1,1)+ROWS(B$2:B87)-1,"jjjjmmdd")</f>
        <v>19200326</v>
      </c>
      <c r="C87" s="27" t="s">
        <v>36</v>
      </c>
      <c r="D87" s="35">
        <f t="shared" ca="1" si="10"/>
        <v>759</v>
      </c>
      <c r="E87" s="32">
        <f t="shared" ca="1" si="11"/>
        <v>0</v>
      </c>
      <c r="F87" s="35">
        <f t="shared" ca="1" si="12"/>
        <v>758</v>
      </c>
      <c r="G87" s="32">
        <f t="shared" ca="1" si="13"/>
        <v>0</v>
      </c>
      <c r="H87" s="35">
        <f t="shared" ca="1" si="14"/>
        <v>28</v>
      </c>
      <c r="I87" s="32">
        <f t="shared" ca="1" si="15"/>
        <v>0</v>
      </c>
      <c r="J87" s="35">
        <f t="shared" ca="1" si="16"/>
        <v>27</v>
      </c>
      <c r="K87" s="32">
        <f t="shared" ca="1" si="17"/>
        <v>0</v>
      </c>
    </row>
    <row r="88" spans="1:11" x14ac:dyDescent="0.25">
      <c r="A88" s="11">
        <f t="shared" si="9"/>
        <v>44</v>
      </c>
      <c r="B88" t="str">
        <f ca="1">TEXT(DATE(YEAR(Invoer!$A$5),1,1)+ROWS(B$2:B88)-1,"jjjjmmdd")</f>
        <v>19200327</v>
      </c>
      <c r="C88" s="27" t="s">
        <v>36</v>
      </c>
      <c r="D88" s="35">
        <f t="shared" ca="1" si="10"/>
        <v>758.5</v>
      </c>
      <c r="E88" s="32">
        <f t="shared" ca="1" si="11"/>
        <v>0</v>
      </c>
      <c r="F88" s="35">
        <f t="shared" ca="1" si="12"/>
        <v>755.5</v>
      </c>
      <c r="G88" s="32">
        <f t="shared" ca="1" si="13"/>
        <v>0</v>
      </c>
      <c r="H88" s="35">
        <f t="shared" ca="1" si="14"/>
        <v>28.5</v>
      </c>
      <c r="I88" s="32">
        <f t="shared" ca="1" si="15"/>
        <v>0</v>
      </c>
      <c r="J88" s="35">
        <f t="shared" ca="1" si="16"/>
        <v>27</v>
      </c>
      <c r="K88" s="32">
        <f t="shared" ca="1" si="17"/>
        <v>0</v>
      </c>
    </row>
    <row r="89" spans="1:11" x14ac:dyDescent="0.25">
      <c r="A89" s="11">
        <f t="shared" si="9"/>
        <v>44</v>
      </c>
      <c r="B89" t="str">
        <f ca="1">TEXT(DATE(YEAR(Invoer!$A$5),1,1)+ROWS(B$2:B89)-1,"jjjjmmdd")</f>
        <v>19200328</v>
      </c>
      <c r="C89" s="27" t="s">
        <v>36</v>
      </c>
      <c r="D89" s="35">
        <f t="shared" ca="1" si="10"/>
        <v>758.5</v>
      </c>
      <c r="E89" s="32">
        <f t="shared" ca="1" si="11"/>
        <v>0</v>
      </c>
      <c r="F89" s="35">
        <f t="shared" ca="1" si="12"/>
        <v>755.5</v>
      </c>
      <c r="G89" s="32">
        <f t="shared" ca="1" si="13"/>
        <v>0</v>
      </c>
      <c r="H89" s="35">
        <f t="shared" ca="1" si="14"/>
        <v>28.5</v>
      </c>
      <c r="I89" s="32">
        <f t="shared" ca="1" si="15"/>
        <v>0</v>
      </c>
      <c r="J89" s="35">
        <f t="shared" ca="1" si="16"/>
        <v>27</v>
      </c>
      <c r="K89" s="32">
        <f t="shared" ca="1" si="17"/>
        <v>0</v>
      </c>
    </row>
    <row r="90" spans="1:11" x14ac:dyDescent="0.25">
      <c r="A90" s="11">
        <f t="shared" si="9"/>
        <v>44</v>
      </c>
      <c r="B90" t="str">
        <f ca="1">TEXT(DATE(YEAR(Invoer!$A$5),1,1)+ROWS(B$2:B90)-1,"jjjjmmdd")</f>
        <v>19200329</v>
      </c>
      <c r="C90" s="27" t="s">
        <v>36</v>
      </c>
      <c r="D90" s="35">
        <f t="shared" ca="1" si="10"/>
        <v>758</v>
      </c>
      <c r="E90" s="32">
        <f t="shared" ca="1" si="11"/>
        <v>0</v>
      </c>
      <c r="F90" s="35">
        <f t="shared" ca="1" si="12"/>
        <v>756</v>
      </c>
      <c r="G90" s="32">
        <f t="shared" ca="1" si="13"/>
        <v>0</v>
      </c>
      <c r="H90" s="35">
        <f t="shared" ca="1" si="14"/>
        <v>28</v>
      </c>
      <c r="I90" s="32">
        <f t="shared" ca="1" si="15"/>
        <v>0</v>
      </c>
      <c r="J90" s="35">
        <f t="shared" ca="1" si="16"/>
        <v>28</v>
      </c>
      <c r="K90" s="32">
        <f t="shared" ca="1" si="17"/>
        <v>0</v>
      </c>
    </row>
    <row r="91" spans="1:11" x14ac:dyDescent="0.25">
      <c r="A91" s="11">
        <f t="shared" si="9"/>
        <v>44</v>
      </c>
      <c r="B91" t="str">
        <f ca="1">TEXT(DATE(YEAR(Invoer!$A$5),1,1)+ROWS(B$2:B91)-1,"jjjjmmdd")</f>
        <v>19200330</v>
      </c>
      <c r="C91" s="27" t="s">
        <v>36</v>
      </c>
      <c r="D91" s="35">
        <f t="shared" ca="1" si="10"/>
        <v>759</v>
      </c>
      <c r="E91" s="32">
        <f t="shared" ca="1" si="11"/>
        <v>0</v>
      </c>
      <c r="F91" s="35">
        <f t="shared" ca="1" si="12"/>
        <v>756.5</v>
      </c>
      <c r="G91" s="32">
        <f t="shared" ca="1" si="13"/>
        <v>0</v>
      </c>
      <c r="H91" s="35">
        <f t="shared" ca="1" si="14"/>
        <v>28</v>
      </c>
      <c r="I91" s="32">
        <f t="shared" ca="1" si="15"/>
        <v>0</v>
      </c>
      <c r="J91" s="35">
        <f t="shared" ca="1" si="16"/>
        <v>27</v>
      </c>
      <c r="K91" s="32">
        <f t="shared" ca="1" si="17"/>
        <v>0</v>
      </c>
    </row>
    <row r="92" spans="1:11" x14ac:dyDescent="0.25">
      <c r="A92" s="11">
        <f t="shared" si="9"/>
        <v>44</v>
      </c>
      <c r="B92" t="str">
        <f ca="1">TEXT(DATE(YEAR(Invoer!$A$5),1,1)+ROWS(B$2:B92)-1,"jjjjmmdd")</f>
        <v>19200331</v>
      </c>
      <c r="C92" s="27" t="s">
        <v>36</v>
      </c>
      <c r="D92" s="35">
        <f t="shared" ca="1" si="10"/>
        <v>758.5</v>
      </c>
      <c r="E92" s="32">
        <f t="shared" ca="1" si="11"/>
        <v>0</v>
      </c>
      <c r="F92" s="35">
        <f t="shared" ca="1" si="12"/>
        <v>756.5</v>
      </c>
      <c r="G92" s="32">
        <f t="shared" ca="1" si="13"/>
        <v>0</v>
      </c>
      <c r="H92" s="35">
        <f t="shared" ca="1" si="14"/>
        <v>28.5</v>
      </c>
      <c r="I92" s="32">
        <f t="shared" ca="1" si="15"/>
        <v>0</v>
      </c>
      <c r="J92" s="35">
        <f t="shared" ca="1" si="16"/>
        <v>28</v>
      </c>
      <c r="K92" s="32">
        <f t="shared" ca="1" si="17"/>
        <v>0</v>
      </c>
    </row>
    <row r="93" spans="1:11" x14ac:dyDescent="0.25">
      <c r="A93" s="11">
        <f t="shared" si="9"/>
        <v>44</v>
      </c>
      <c r="B93" t="str">
        <f ca="1">TEXT(DATE(YEAR(Invoer!$A$5),1,1)+ROWS(B$2:B93)-1,"jjjjmmdd")</f>
        <v>19200401</v>
      </c>
      <c r="C93" s="27" t="s">
        <v>36</v>
      </c>
      <c r="D93" s="35">
        <f t="shared" ca="1" si="10"/>
        <v>759</v>
      </c>
      <c r="E93" s="32">
        <f t="shared" ca="1" si="11"/>
        <v>0</v>
      </c>
      <c r="F93" s="35">
        <f t="shared" ca="1" si="12"/>
        <v>757</v>
      </c>
      <c r="G93" s="32">
        <f t="shared" ca="1" si="13"/>
        <v>0</v>
      </c>
      <c r="H93" s="35">
        <f t="shared" ca="1" si="14"/>
        <v>28</v>
      </c>
      <c r="I93" s="32">
        <f t="shared" ca="1" si="15"/>
        <v>0</v>
      </c>
      <c r="J93" s="35">
        <f t="shared" ca="1" si="16"/>
        <v>28</v>
      </c>
      <c r="K93" s="32">
        <f t="shared" ca="1" si="17"/>
        <v>0</v>
      </c>
    </row>
    <row r="94" spans="1:11" x14ac:dyDescent="0.25">
      <c r="A94" s="11">
        <f t="shared" si="9"/>
        <v>44</v>
      </c>
      <c r="B94" t="str">
        <f ca="1">TEXT(DATE(YEAR(Invoer!$A$5),1,1)+ROWS(B$2:B94)-1,"jjjjmmdd")</f>
        <v>19200402</v>
      </c>
      <c r="C94" s="27" t="s">
        <v>36</v>
      </c>
      <c r="D94" s="35">
        <f t="shared" ca="1" si="10"/>
        <v>758</v>
      </c>
      <c r="E94" s="32">
        <f t="shared" ca="1" si="11"/>
        <v>0</v>
      </c>
      <c r="F94" s="35">
        <f t="shared" ca="1" si="12"/>
        <v>757</v>
      </c>
      <c r="G94" s="32">
        <f t="shared" ca="1" si="13"/>
        <v>0</v>
      </c>
      <c r="H94" s="35">
        <f t="shared" ca="1" si="14"/>
        <v>28</v>
      </c>
      <c r="I94" s="32">
        <f t="shared" ca="1" si="15"/>
        <v>0</v>
      </c>
      <c r="J94" s="35">
        <f t="shared" ca="1" si="16"/>
        <v>28</v>
      </c>
      <c r="K94" s="32">
        <f t="shared" ca="1" si="17"/>
        <v>0</v>
      </c>
    </row>
    <row r="95" spans="1:11" x14ac:dyDescent="0.25">
      <c r="A95" s="11">
        <f t="shared" si="9"/>
        <v>44</v>
      </c>
      <c r="B95" t="str">
        <f ca="1">TEXT(DATE(YEAR(Invoer!$A$5),1,1)+ROWS(B$2:B95)-1,"jjjjmmdd")</f>
        <v>19200403</v>
      </c>
      <c r="C95" s="27" t="s">
        <v>36</v>
      </c>
      <c r="D95" s="35">
        <f t="shared" ca="1" si="10"/>
        <v>758.5</v>
      </c>
      <c r="E95" s="32">
        <f t="shared" ca="1" si="11"/>
        <v>0</v>
      </c>
      <c r="F95" s="35">
        <f t="shared" ca="1" si="12"/>
        <v>756</v>
      </c>
      <c r="G95" s="32">
        <f t="shared" ca="1" si="13"/>
        <v>0</v>
      </c>
      <c r="H95" s="35">
        <f t="shared" ca="1" si="14"/>
        <v>28</v>
      </c>
      <c r="I95" s="32">
        <f t="shared" ca="1" si="15"/>
        <v>0</v>
      </c>
      <c r="J95" s="35">
        <f t="shared" ca="1" si="16"/>
        <v>27</v>
      </c>
      <c r="K95" s="32">
        <f t="shared" ca="1" si="17"/>
        <v>0</v>
      </c>
    </row>
    <row r="96" spans="1:11" x14ac:dyDescent="0.25">
      <c r="A96" s="11">
        <f t="shared" si="9"/>
        <v>44</v>
      </c>
      <c r="B96" t="str">
        <f ca="1">TEXT(DATE(YEAR(Invoer!$A$5),1,1)+ROWS(B$2:B96)-1,"jjjjmmdd")</f>
        <v>19200404</v>
      </c>
      <c r="C96" s="27" t="s">
        <v>36</v>
      </c>
      <c r="D96" s="35">
        <f t="shared" ca="1" si="10"/>
        <v>758.5</v>
      </c>
      <c r="E96" s="32">
        <f t="shared" ca="1" si="11"/>
        <v>0</v>
      </c>
      <c r="F96" s="35">
        <f t="shared" ca="1" si="12"/>
        <v>756</v>
      </c>
      <c r="G96" s="32">
        <f t="shared" ca="1" si="13"/>
        <v>0</v>
      </c>
      <c r="H96" s="35">
        <f t="shared" ca="1" si="14"/>
        <v>28</v>
      </c>
      <c r="I96" s="32">
        <f t="shared" ca="1" si="15"/>
        <v>0</v>
      </c>
      <c r="J96" s="35">
        <f t="shared" ca="1" si="16"/>
        <v>27</v>
      </c>
      <c r="K96" s="32">
        <f t="shared" ca="1" si="17"/>
        <v>0</v>
      </c>
    </row>
    <row r="97" spans="1:11" x14ac:dyDescent="0.25">
      <c r="A97" s="11">
        <f t="shared" si="9"/>
        <v>44</v>
      </c>
      <c r="B97" t="str">
        <f ca="1">TEXT(DATE(YEAR(Invoer!$A$5),1,1)+ROWS(B$2:B97)-1,"jjjjmmdd")</f>
        <v>19200405</v>
      </c>
      <c r="C97" s="27" t="s">
        <v>36</v>
      </c>
      <c r="D97" s="35">
        <f t="shared" ca="1" si="10"/>
        <v>758.5</v>
      </c>
      <c r="E97" s="32">
        <f t="shared" ca="1" si="11"/>
        <v>0</v>
      </c>
      <c r="F97" s="35">
        <f t="shared" ca="1" si="12"/>
        <v>756</v>
      </c>
      <c r="G97" s="32">
        <f t="shared" ca="1" si="13"/>
        <v>0</v>
      </c>
      <c r="H97" s="35">
        <f t="shared" ca="1" si="14"/>
        <v>28</v>
      </c>
      <c r="I97" s="32">
        <f t="shared" ca="1" si="15"/>
        <v>0</v>
      </c>
      <c r="J97" s="35">
        <f t="shared" ca="1" si="16"/>
        <v>27</v>
      </c>
      <c r="K97" s="32">
        <f t="shared" ca="1" si="17"/>
        <v>0</v>
      </c>
    </row>
    <row r="98" spans="1:11" x14ac:dyDescent="0.25">
      <c r="A98" s="11">
        <f t="shared" si="9"/>
        <v>44</v>
      </c>
      <c r="B98" t="str">
        <f ca="1">TEXT(DATE(YEAR(Invoer!$A$5),1,1)+ROWS(B$2:B98)-1,"jjjjmmdd")</f>
        <v>19200406</v>
      </c>
      <c r="C98" s="27" t="s">
        <v>36</v>
      </c>
      <c r="D98" s="35">
        <f t="shared" ca="1" si="10"/>
        <v>757.5</v>
      </c>
      <c r="E98" s="32">
        <f t="shared" ca="1" si="11"/>
        <v>0</v>
      </c>
      <c r="F98" s="35">
        <f t="shared" ca="1" si="12"/>
        <v>756.5</v>
      </c>
      <c r="G98" s="32">
        <f t="shared" ca="1" si="13"/>
        <v>0</v>
      </c>
      <c r="H98" s="35">
        <f t="shared" ca="1" si="14"/>
        <v>28.5</v>
      </c>
      <c r="I98" s="32">
        <f t="shared" ca="1" si="15"/>
        <v>0</v>
      </c>
      <c r="J98" s="35">
        <f t="shared" ca="1" si="16"/>
        <v>28</v>
      </c>
      <c r="K98" s="32">
        <f t="shared" ca="1" si="17"/>
        <v>0</v>
      </c>
    </row>
    <row r="99" spans="1:11" x14ac:dyDescent="0.25">
      <c r="A99" s="11">
        <f t="shared" si="9"/>
        <v>44</v>
      </c>
      <c r="B99" t="str">
        <f ca="1">TEXT(DATE(YEAR(Invoer!$A$5),1,1)+ROWS(B$2:B99)-1,"jjjjmmdd")</f>
        <v>19200407</v>
      </c>
      <c r="C99" s="27" t="s">
        <v>36</v>
      </c>
      <c r="D99" s="35">
        <f t="shared" ca="1" si="10"/>
        <v>757.5</v>
      </c>
      <c r="E99" s="32">
        <f t="shared" ca="1" si="11"/>
        <v>0</v>
      </c>
      <c r="F99" s="35">
        <f t="shared" ca="1" si="12"/>
        <v>755</v>
      </c>
      <c r="G99" s="32">
        <f t="shared" ca="1" si="13"/>
        <v>0</v>
      </c>
      <c r="H99" s="35">
        <f t="shared" ca="1" si="14"/>
        <v>28</v>
      </c>
      <c r="I99" s="32">
        <f t="shared" ca="1" si="15"/>
        <v>0</v>
      </c>
      <c r="J99" s="35">
        <f t="shared" ca="1" si="16"/>
        <v>27.5</v>
      </c>
      <c r="K99" s="32">
        <f t="shared" ca="1" si="17"/>
        <v>0</v>
      </c>
    </row>
    <row r="100" spans="1:11" x14ac:dyDescent="0.25">
      <c r="A100" s="11">
        <f t="shared" si="9"/>
        <v>44</v>
      </c>
      <c r="B100" t="str">
        <f ca="1">TEXT(DATE(YEAR(Invoer!$A$5),1,1)+ROWS(B$2:B100)-1,"jjjjmmdd")</f>
        <v>19200408</v>
      </c>
      <c r="C100" s="27" t="s">
        <v>36</v>
      </c>
      <c r="D100" s="35">
        <f t="shared" ca="1" si="10"/>
        <v>757</v>
      </c>
      <c r="E100" s="32">
        <f t="shared" ca="1" si="11"/>
        <v>0</v>
      </c>
      <c r="F100" s="35">
        <f t="shared" ca="1" si="12"/>
        <v>754.5</v>
      </c>
      <c r="G100" s="32">
        <f t="shared" ca="1" si="13"/>
        <v>0</v>
      </c>
      <c r="H100" s="35">
        <f t="shared" ca="1" si="14"/>
        <v>28</v>
      </c>
      <c r="I100" s="32">
        <f t="shared" ca="1" si="15"/>
        <v>0</v>
      </c>
      <c r="J100" s="35">
        <f t="shared" ca="1" si="16"/>
        <v>28</v>
      </c>
      <c r="K100" s="32">
        <f t="shared" ca="1" si="17"/>
        <v>0</v>
      </c>
    </row>
    <row r="101" spans="1:11" x14ac:dyDescent="0.25">
      <c r="A101" s="11">
        <f t="shared" si="9"/>
        <v>44</v>
      </c>
      <c r="B101" t="str">
        <f ca="1">TEXT(DATE(YEAR(Invoer!$A$5),1,1)+ROWS(B$2:B101)-1,"jjjjmmdd")</f>
        <v>19200409</v>
      </c>
      <c r="C101" s="27" t="s">
        <v>36</v>
      </c>
      <c r="D101" s="35">
        <f t="shared" ca="1" si="10"/>
        <v>756.5</v>
      </c>
      <c r="E101" s="32">
        <f t="shared" ca="1" si="11"/>
        <v>0</v>
      </c>
      <c r="F101" s="35">
        <f t="shared" ca="1" si="12"/>
        <v>754.5</v>
      </c>
      <c r="G101" s="32">
        <f t="shared" ca="1" si="13"/>
        <v>0</v>
      </c>
      <c r="H101" s="35">
        <f t="shared" ca="1" si="14"/>
        <v>28</v>
      </c>
      <c r="I101" s="32">
        <f t="shared" ca="1" si="15"/>
        <v>0</v>
      </c>
      <c r="J101" s="35">
        <f t="shared" ca="1" si="16"/>
        <v>27</v>
      </c>
      <c r="K101" s="32">
        <f t="shared" ca="1" si="17"/>
        <v>0</v>
      </c>
    </row>
    <row r="102" spans="1:11" x14ac:dyDescent="0.25">
      <c r="A102" s="11">
        <f t="shared" si="9"/>
        <v>44</v>
      </c>
      <c r="B102" t="str">
        <f ca="1">TEXT(DATE(YEAR(Invoer!$A$5),1,1)+ROWS(B$2:B102)-1,"jjjjmmdd")</f>
        <v>19200410</v>
      </c>
      <c r="C102" s="27" t="s">
        <v>36</v>
      </c>
      <c r="D102" s="35">
        <f t="shared" ca="1" si="10"/>
        <v>756.5</v>
      </c>
      <c r="E102" s="32">
        <f t="shared" ca="1" si="11"/>
        <v>0</v>
      </c>
      <c r="F102" s="35">
        <f t="shared" ca="1" si="12"/>
        <v>754.5</v>
      </c>
      <c r="G102" s="32">
        <f t="shared" ca="1" si="13"/>
        <v>0</v>
      </c>
      <c r="H102" s="35">
        <f t="shared" ca="1" si="14"/>
        <v>29</v>
      </c>
      <c r="I102" s="32">
        <f t="shared" ca="1" si="15"/>
        <v>0</v>
      </c>
      <c r="J102" s="35">
        <f t="shared" ca="1" si="16"/>
        <v>27</v>
      </c>
      <c r="K102" s="32">
        <f t="shared" ca="1" si="17"/>
        <v>0</v>
      </c>
    </row>
    <row r="103" spans="1:11" x14ac:dyDescent="0.25">
      <c r="A103" s="11">
        <f t="shared" si="9"/>
        <v>44</v>
      </c>
      <c r="B103" t="str">
        <f ca="1">TEXT(DATE(YEAR(Invoer!$A$5),1,1)+ROWS(B$2:B103)-1,"jjjjmmdd")</f>
        <v>19200411</v>
      </c>
      <c r="C103" s="27" t="s">
        <v>36</v>
      </c>
      <c r="D103" s="35">
        <f t="shared" ca="1" si="10"/>
        <v>754.5</v>
      </c>
      <c r="E103" s="32">
        <f t="shared" ca="1" si="11"/>
        <v>0</v>
      </c>
      <c r="F103" s="35">
        <f t="shared" ca="1" si="12"/>
        <v>754.5</v>
      </c>
      <c r="G103" s="32">
        <f t="shared" ca="1" si="13"/>
        <v>0</v>
      </c>
      <c r="H103" s="35">
        <f t="shared" ca="1" si="14"/>
        <v>29</v>
      </c>
      <c r="I103" s="32">
        <f t="shared" ca="1" si="15"/>
        <v>0</v>
      </c>
      <c r="J103" s="35">
        <f t="shared" ca="1" si="16"/>
        <v>27</v>
      </c>
      <c r="K103" s="32">
        <f t="shared" ca="1" si="17"/>
        <v>0</v>
      </c>
    </row>
    <row r="104" spans="1:11" x14ac:dyDescent="0.25">
      <c r="A104" s="11">
        <f t="shared" si="9"/>
        <v>44</v>
      </c>
      <c r="B104" t="str">
        <f ca="1">TEXT(DATE(YEAR(Invoer!$A$5),1,1)+ROWS(B$2:B104)-1,"jjjjmmdd")</f>
        <v>19200412</v>
      </c>
      <c r="C104" s="27" t="s">
        <v>36</v>
      </c>
      <c r="D104" s="35">
        <f t="shared" ca="1" si="10"/>
        <v>756.5</v>
      </c>
      <c r="E104" s="32">
        <f t="shared" ca="1" si="11"/>
        <v>0</v>
      </c>
      <c r="F104" s="35">
        <f t="shared" ca="1" si="12"/>
        <v>754</v>
      </c>
      <c r="G104" s="32">
        <f t="shared" ca="1" si="13"/>
        <v>0</v>
      </c>
      <c r="H104" s="35">
        <f t="shared" ca="1" si="14"/>
        <v>29</v>
      </c>
      <c r="I104" s="32">
        <f t="shared" ca="1" si="15"/>
        <v>0</v>
      </c>
      <c r="J104" s="35">
        <f t="shared" ca="1" si="16"/>
        <v>27</v>
      </c>
      <c r="K104" s="32">
        <f t="shared" ca="1" si="17"/>
        <v>0</v>
      </c>
    </row>
    <row r="105" spans="1:11" x14ac:dyDescent="0.25">
      <c r="A105" s="11">
        <f t="shared" si="9"/>
        <v>44</v>
      </c>
      <c r="B105" t="str">
        <f ca="1">TEXT(DATE(YEAR(Invoer!$A$5),1,1)+ROWS(B$2:B105)-1,"jjjjmmdd")</f>
        <v>19200413</v>
      </c>
      <c r="C105" s="27" t="s">
        <v>36</v>
      </c>
      <c r="D105" s="35">
        <f t="shared" ca="1" si="10"/>
        <v>756.5</v>
      </c>
      <c r="E105" s="32">
        <f t="shared" ca="1" si="11"/>
        <v>0</v>
      </c>
      <c r="F105" s="35">
        <f t="shared" ca="1" si="12"/>
        <v>754.5</v>
      </c>
      <c r="G105" s="32">
        <f t="shared" ca="1" si="13"/>
        <v>0</v>
      </c>
      <c r="H105" s="35">
        <f t="shared" ca="1" si="14"/>
        <v>29</v>
      </c>
      <c r="I105" s="32">
        <f t="shared" ca="1" si="15"/>
        <v>0</v>
      </c>
      <c r="J105" s="35">
        <f t="shared" ca="1" si="16"/>
        <v>28</v>
      </c>
      <c r="K105" s="32">
        <f t="shared" ca="1" si="17"/>
        <v>0</v>
      </c>
    </row>
    <row r="106" spans="1:11" x14ac:dyDescent="0.25">
      <c r="A106" s="11">
        <f t="shared" si="9"/>
        <v>44</v>
      </c>
      <c r="B106" t="str">
        <f ca="1">TEXT(DATE(YEAR(Invoer!$A$5),1,1)+ROWS(B$2:B106)-1,"jjjjmmdd")</f>
        <v>19200414</v>
      </c>
      <c r="C106" s="27" t="s">
        <v>36</v>
      </c>
      <c r="D106" s="35">
        <f t="shared" ca="1" si="10"/>
        <v>756.5</v>
      </c>
      <c r="E106" s="32">
        <f t="shared" ca="1" si="11"/>
        <v>0</v>
      </c>
      <c r="F106" s="35">
        <f t="shared" ca="1" si="12"/>
        <v>755</v>
      </c>
      <c r="G106" s="32">
        <f t="shared" ca="1" si="13"/>
        <v>0</v>
      </c>
      <c r="H106" s="35">
        <f t="shared" ca="1" si="14"/>
        <v>28.5</v>
      </c>
      <c r="I106" s="32">
        <f t="shared" ca="1" si="15"/>
        <v>0</v>
      </c>
      <c r="J106" s="35">
        <f t="shared" ca="1" si="16"/>
        <v>27</v>
      </c>
      <c r="K106" s="32">
        <f t="shared" ca="1" si="17"/>
        <v>0</v>
      </c>
    </row>
    <row r="107" spans="1:11" x14ac:dyDescent="0.25">
      <c r="A107" s="11">
        <f t="shared" si="9"/>
        <v>44</v>
      </c>
      <c r="B107" t="str">
        <f ca="1">TEXT(DATE(YEAR(Invoer!$A$5),1,1)+ROWS(B$2:B107)-1,"jjjjmmdd")</f>
        <v>19200415</v>
      </c>
      <c r="C107" s="27" t="s">
        <v>36</v>
      </c>
      <c r="D107" s="35">
        <f t="shared" ca="1" si="10"/>
        <v>757</v>
      </c>
      <c r="E107" s="32">
        <f t="shared" ca="1" si="11"/>
        <v>0</v>
      </c>
      <c r="F107" s="35">
        <f t="shared" ca="1" si="12"/>
        <v>755</v>
      </c>
      <c r="G107" s="32">
        <f t="shared" ca="1" si="13"/>
        <v>0</v>
      </c>
      <c r="H107" s="35">
        <f t="shared" ca="1" si="14"/>
        <v>28.5</v>
      </c>
      <c r="I107" s="32">
        <f t="shared" ca="1" si="15"/>
        <v>0</v>
      </c>
      <c r="J107" s="35">
        <f t="shared" ca="1" si="16"/>
        <v>27</v>
      </c>
      <c r="K107" s="32">
        <f t="shared" ca="1" si="17"/>
        <v>0</v>
      </c>
    </row>
    <row r="108" spans="1:11" x14ac:dyDescent="0.25">
      <c r="A108" s="11">
        <f t="shared" si="9"/>
        <v>44</v>
      </c>
      <c r="B108" t="str">
        <f ca="1">TEXT(DATE(YEAR(Invoer!$A$5),1,1)+ROWS(B$2:B108)-1,"jjjjmmdd")</f>
        <v>19200416</v>
      </c>
      <c r="C108" s="27" t="s">
        <v>36</v>
      </c>
      <c r="D108" s="35">
        <f t="shared" ca="1" si="10"/>
        <v>757.5</v>
      </c>
      <c r="E108" s="32">
        <f t="shared" ca="1" si="11"/>
        <v>0</v>
      </c>
      <c r="F108" s="35">
        <f t="shared" ca="1" si="12"/>
        <v>755</v>
      </c>
      <c r="G108" s="32">
        <f t="shared" ca="1" si="13"/>
        <v>0</v>
      </c>
      <c r="H108" s="35">
        <f t="shared" ca="1" si="14"/>
        <v>28</v>
      </c>
      <c r="I108" s="32">
        <f t="shared" ca="1" si="15"/>
        <v>0</v>
      </c>
      <c r="J108" s="35">
        <f t="shared" ca="1" si="16"/>
        <v>27</v>
      </c>
      <c r="K108" s="32">
        <f t="shared" ca="1" si="17"/>
        <v>0</v>
      </c>
    </row>
    <row r="109" spans="1:11" x14ac:dyDescent="0.25">
      <c r="A109" s="11">
        <f t="shared" si="9"/>
        <v>44</v>
      </c>
      <c r="B109" t="str">
        <f ca="1">TEXT(DATE(YEAR(Invoer!$A$5),1,1)+ROWS(B$2:B109)-1,"jjjjmmdd")</f>
        <v>19200417</v>
      </c>
      <c r="C109" s="27" t="s">
        <v>36</v>
      </c>
      <c r="D109" s="35">
        <f t="shared" ca="1" si="10"/>
        <v>757</v>
      </c>
      <c r="E109" s="32">
        <f t="shared" ca="1" si="11"/>
        <v>0</v>
      </c>
      <c r="F109" s="35">
        <f t="shared" ca="1" si="12"/>
        <v>754.5</v>
      </c>
      <c r="G109" s="32">
        <f t="shared" ca="1" si="13"/>
        <v>0</v>
      </c>
      <c r="H109" s="35">
        <f t="shared" ca="1" si="14"/>
        <v>28</v>
      </c>
      <c r="I109" s="32">
        <f t="shared" ca="1" si="15"/>
        <v>0</v>
      </c>
      <c r="J109" s="35">
        <f t="shared" ca="1" si="16"/>
        <v>27</v>
      </c>
      <c r="K109" s="32">
        <f t="shared" ca="1" si="17"/>
        <v>0</v>
      </c>
    </row>
    <row r="110" spans="1:11" x14ac:dyDescent="0.25">
      <c r="A110" s="11">
        <f t="shared" si="9"/>
        <v>44</v>
      </c>
      <c r="B110" t="str">
        <f ca="1">TEXT(DATE(YEAR(Invoer!$A$5),1,1)+ROWS(B$2:B110)-1,"jjjjmmdd")</f>
        <v>19200418</v>
      </c>
      <c r="C110" s="27" t="s">
        <v>36</v>
      </c>
      <c r="D110" s="35">
        <f t="shared" ca="1" si="10"/>
        <v>757</v>
      </c>
      <c r="E110" s="32">
        <f t="shared" ca="1" si="11"/>
        <v>0</v>
      </c>
      <c r="F110" s="35">
        <f t="shared" ca="1" si="12"/>
        <v>754.5</v>
      </c>
      <c r="G110" s="32">
        <f t="shared" ca="1" si="13"/>
        <v>0</v>
      </c>
      <c r="H110" s="35">
        <f t="shared" ca="1" si="14"/>
        <v>28</v>
      </c>
      <c r="I110" s="32">
        <f t="shared" ca="1" si="15"/>
        <v>0</v>
      </c>
      <c r="J110" s="35">
        <f t="shared" ca="1" si="16"/>
        <v>27</v>
      </c>
      <c r="K110" s="32">
        <f t="shared" ca="1" si="17"/>
        <v>0</v>
      </c>
    </row>
    <row r="111" spans="1:11" x14ac:dyDescent="0.25">
      <c r="A111" s="11">
        <f t="shared" si="9"/>
        <v>44</v>
      </c>
      <c r="B111" t="str">
        <f ca="1">TEXT(DATE(YEAR(Invoer!$A$5),1,1)+ROWS(B$2:B111)-1,"jjjjmmdd")</f>
        <v>19200419</v>
      </c>
      <c r="C111" s="27" t="s">
        <v>36</v>
      </c>
      <c r="D111" s="35">
        <f t="shared" ca="1" si="10"/>
        <v>756.5</v>
      </c>
      <c r="E111" s="32">
        <f t="shared" ca="1" si="11"/>
        <v>0</v>
      </c>
      <c r="F111" s="35">
        <f t="shared" ca="1" si="12"/>
        <v>755</v>
      </c>
      <c r="G111" s="32">
        <f t="shared" ca="1" si="13"/>
        <v>0</v>
      </c>
      <c r="H111" s="35">
        <f t="shared" ca="1" si="14"/>
        <v>28</v>
      </c>
      <c r="I111" s="32">
        <f t="shared" ca="1" si="15"/>
        <v>0</v>
      </c>
      <c r="J111" s="35">
        <f t="shared" ca="1" si="16"/>
        <v>27</v>
      </c>
      <c r="K111" s="32">
        <f t="shared" ca="1" si="17"/>
        <v>0</v>
      </c>
    </row>
    <row r="112" spans="1:11" x14ac:dyDescent="0.25">
      <c r="A112" s="11">
        <f t="shared" si="9"/>
        <v>44</v>
      </c>
      <c r="B112" t="str">
        <f ca="1">TEXT(DATE(YEAR(Invoer!$A$5),1,1)+ROWS(B$2:B112)-1,"jjjjmmdd")</f>
        <v>19200420</v>
      </c>
      <c r="C112" s="27" t="s">
        <v>36</v>
      </c>
      <c r="D112" s="35">
        <f t="shared" ca="1" si="10"/>
        <v>757.5</v>
      </c>
      <c r="E112" s="32">
        <f t="shared" ca="1" si="11"/>
        <v>0</v>
      </c>
      <c r="F112" s="35">
        <f t="shared" ca="1" si="12"/>
        <v>756</v>
      </c>
      <c r="G112" s="32">
        <f t="shared" ca="1" si="13"/>
        <v>0</v>
      </c>
      <c r="H112" s="35">
        <f t="shared" ca="1" si="14"/>
        <v>29</v>
      </c>
      <c r="I112" s="32">
        <f t="shared" ca="1" si="15"/>
        <v>0</v>
      </c>
      <c r="J112" s="35">
        <f t="shared" ca="1" si="16"/>
        <v>28</v>
      </c>
      <c r="K112" s="32">
        <f t="shared" ca="1" si="17"/>
        <v>0</v>
      </c>
    </row>
    <row r="113" spans="1:11" x14ac:dyDescent="0.25">
      <c r="A113" s="11">
        <f t="shared" si="9"/>
        <v>44</v>
      </c>
      <c r="B113" t="str">
        <f ca="1">TEXT(DATE(YEAR(Invoer!$A$5),1,1)+ROWS(B$2:B113)-1,"jjjjmmdd")</f>
        <v>19200421</v>
      </c>
      <c r="C113" s="27" t="s">
        <v>36</v>
      </c>
      <c r="D113" s="35">
        <f t="shared" ca="1" si="10"/>
        <v>759.5</v>
      </c>
      <c r="E113" s="32">
        <f t="shared" ca="1" si="11"/>
        <v>0</v>
      </c>
      <c r="F113" s="35">
        <f t="shared" ca="1" si="12"/>
        <v>757</v>
      </c>
      <c r="G113" s="32">
        <f t="shared" ca="1" si="13"/>
        <v>0</v>
      </c>
      <c r="H113" s="35">
        <f t="shared" ca="1" si="14"/>
        <v>29</v>
      </c>
      <c r="I113" s="32">
        <f t="shared" ca="1" si="15"/>
        <v>0</v>
      </c>
      <c r="J113" s="35">
        <f t="shared" ca="1" si="16"/>
        <v>28</v>
      </c>
      <c r="K113" s="32">
        <f t="shared" ca="1" si="17"/>
        <v>0</v>
      </c>
    </row>
    <row r="114" spans="1:11" x14ac:dyDescent="0.25">
      <c r="A114" s="11">
        <f t="shared" si="9"/>
        <v>44</v>
      </c>
      <c r="B114" t="str">
        <f ca="1">TEXT(DATE(YEAR(Invoer!$A$5),1,1)+ROWS(B$2:B114)-1,"jjjjmmdd")</f>
        <v>19200422</v>
      </c>
      <c r="C114" s="27" t="s">
        <v>36</v>
      </c>
      <c r="D114" s="35">
        <f t="shared" ca="1" si="10"/>
        <v>759</v>
      </c>
      <c r="E114" s="32">
        <f t="shared" ca="1" si="11"/>
        <v>0</v>
      </c>
      <c r="F114" s="35">
        <f t="shared" ca="1" si="12"/>
        <v>758.5</v>
      </c>
      <c r="G114" s="32">
        <f t="shared" ca="1" si="13"/>
        <v>0</v>
      </c>
      <c r="H114" s="35">
        <f t="shared" ca="1" si="14"/>
        <v>29</v>
      </c>
      <c r="I114" s="32">
        <f t="shared" ca="1" si="15"/>
        <v>0</v>
      </c>
      <c r="J114" s="35">
        <f t="shared" ca="1" si="16"/>
        <v>28</v>
      </c>
      <c r="K114" s="32">
        <f t="shared" ca="1" si="17"/>
        <v>0</v>
      </c>
    </row>
    <row r="115" spans="1:11" x14ac:dyDescent="0.25">
      <c r="A115" s="11">
        <f t="shared" si="9"/>
        <v>44</v>
      </c>
      <c r="B115" t="str">
        <f ca="1">TEXT(DATE(YEAR(Invoer!$A$5),1,1)+ROWS(B$2:B115)-1,"jjjjmmdd")</f>
        <v>19200423</v>
      </c>
      <c r="C115" s="27" t="s">
        <v>36</v>
      </c>
      <c r="D115" s="35">
        <f t="shared" ca="1" si="10"/>
        <v>758.5</v>
      </c>
      <c r="E115" s="32">
        <f t="shared" ca="1" si="11"/>
        <v>0</v>
      </c>
      <c r="F115" s="35">
        <f t="shared" ca="1" si="12"/>
        <v>756.5</v>
      </c>
      <c r="G115" s="32">
        <f t="shared" ca="1" si="13"/>
        <v>0</v>
      </c>
      <c r="H115" s="35">
        <f t="shared" ca="1" si="14"/>
        <v>29</v>
      </c>
      <c r="I115" s="32">
        <f t="shared" ca="1" si="15"/>
        <v>0</v>
      </c>
      <c r="J115" s="35">
        <f t="shared" ca="1" si="16"/>
        <v>28</v>
      </c>
      <c r="K115" s="32">
        <f t="shared" ca="1" si="17"/>
        <v>0</v>
      </c>
    </row>
    <row r="116" spans="1:11" x14ac:dyDescent="0.25">
      <c r="A116" s="11">
        <f t="shared" si="9"/>
        <v>44</v>
      </c>
      <c r="B116" t="str">
        <f ca="1">TEXT(DATE(YEAR(Invoer!$A$5),1,1)+ROWS(B$2:B116)-1,"jjjjmmdd")</f>
        <v>19200424</v>
      </c>
      <c r="C116" s="27" t="s">
        <v>36</v>
      </c>
      <c r="D116" s="35">
        <f t="shared" ca="1" si="10"/>
        <v>759.5</v>
      </c>
      <c r="E116" s="32">
        <f t="shared" ca="1" si="11"/>
        <v>0</v>
      </c>
      <c r="F116" s="35">
        <f t="shared" ca="1" si="12"/>
        <v>756.5</v>
      </c>
      <c r="G116" s="32">
        <f t="shared" ca="1" si="13"/>
        <v>0</v>
      </c>
      <c r="H116" s="35">
        <f t="shared" ca="1" si="14"/>
        <v>29</v>
      </c>
      <c r="I116" s="32">
        <f t="shared" ca="1" si="15"/>
        <v>0</v>
      </c>
      <c r="J116" s="35">
        <f t="shared" ca="1" si="16"/>
        <v>28</v>
      </c>
      <c r="K116" s="32">
        <f t="shared" ca="1" si="17"/>
        <v>0</v>
      </c>
    </row>
    <row r="117" spans="1:11" x14ac:dyDescent="0.25">
      <c r="A117" s="11">
        <f t="shared" si="9"/>
        <v>44</v>
      </c>
      <c r="B117" t="str">
        <f ca="1">TEXT(DATE(YEAR(Invoer!$A$5),1,1)+ROWS(B$2:B117)-1,"jjjjmmdd")</f>
        <v>19200425</v>
      </c>
      <c r="C117" s="27" t="s">
        <v>36</v>
      </c>
      <c r="D117" s="35">
        <f t="shared" ca="1" si="10"/>
        <v>759.5</v>
      </c>
      <c r="E117" s="32">
        <f t="shared" ca="1" si="11"/>
        <v>0</v>
      </c>
      <c r="F117" s="35">
        <f t="shared" ca="1" si="12"/>
        <v>756.5</v>
      </c>
      <c r="G117" s="32">
        <f t="shared" ca="1" si="13"/>
        <v>0</v>
      </c>
      <c r="H117" s="35">
        <f t="shared" ca="1" si="14"/>
        <v>29</v>
      </c>
      <c r="I117" s="32">
        <f t="shared" ca="1" si="15"/>
        <v>0</v>
      </c>
      <c r="J117" s="35">
        <f t="shared" ca="1" si="16"/>
        <v>28</v>
      </c>
      <c r="K117" s="32">
        <f t="shared" ca="1" si="17"/>
        <v>0</v>
      </c>
    </row>
    <row r="118" spans="1:11" x14ac:dyDescent="0.25">
      <c r="A118" s="11">
        <f t="shared" si="9"/>
        <v>44</v>
      </c>
      <c r="B118" t="str">
        <f ca="1">TEXT(DATE(YEAR(Invoer!$A$5),1,1)+ROWS(B$2:B118)-1,"jjjjmmdd")</f>
        <v>19200426</v>
      </c>
      <c r="C118" s="27" t="s">
        <v>36</v>
      </c>
      <c r="D118" s="35">
        <f t="shared" ca="1" si="10"/>
        <v>758.5</v>
      </c>
      <c r="E118" s="32">
        <f t="shared" ca="1" si="11"/>
        <v>0</v>
      </c>
      <c r="F118" s="35">
        <f t="shared" ca="1" si="12"/>
        <v>758.5</v>
      </c>
      <c r="G118" s="32">
        <f t="shared" ca="1" si="13"/>
        <v>0</v>
      </c>
      <c r="H118" s="35">
        <f t="shared" ca="1" si="14"/>
        <v>28</v>
      </c>
      <c r="I118" s="32">
        <f t="shared" ca="1" si="15"/>
        <v>0</v>
      </c>
      <c r="J118" s="35">
        <f t="shared" ca="1" si="16"/>
        <v>27</v>
      </c>
      <c r="K118" s="32">
        <f t="shared" ca="1" si="17"/>
        <v>0</v>
      </c>
    </row>
    <row r="119" spans="1:11" x14ac:dyDescent="0.25">
      <c r="A119" s="11">
        <f t="shared" si="9"/>
        <v>44</v>
      </c>
      <c r="B119" t="str">
        <f ca="1">TEXT(DATE(YEAR(Invoer!$A$5),1,1)+ROWS(B$2:B119)-1,"jjjjmmdd")</f>
        <v>19200427</v>
      </c>
      <c r="C119" s="27" t="s">
        <v>36</v>
      </c>
      <c r="D119" s="35">
        <f t="shared" ca="1" si="10"/>
        <v>758.5</v>
      </c>
      <c r="E119" s="32">
        <f t="shared" ca="1" si="11"/>
        <v>0</v>
      </c>
      <c r="F119" s="35">
        <f t="shared" ca="1" si="12"/>
        <v>755.5</v>
      </c>
      <c r="G119" s="32">
        <f t="shared" ca="1" si="13"/>
        <v>0</v>
      </c>
      <c r="H119" s="35">
        <f t="shared" ca="1" si="14"/>
        <v>28.5</v>
      </c>
      <c r="I119" s="32">
        <f t="shared" ca="1" si="15"/>
        <v>0</v>
      </c>
      <c r="J119" s="35">
        <f t="shared" ca="1" si="16"/>
        <v>28</v>
      </c>
      <c r="K119" s="32">
        <f t="shared" ca="1" si="17"/>
        <v>0</v>
      </c>
    </row>
    <row r="120" spans="1:11" x14ac:dyDescent="0.25">
      <c r="A120" s="11">
        <f t="shared" si="9"/>
        <v>44</v>
      </c>
      <c r="B120" t="str">
        <f ca="1">TEXT(DATE(YEAR(Invoer!$A$5),1,1)+ROWS(B$2:B120)-1,"jjjjmmdd")</f>
        <v>19200428</v>
      </c>
      <c r="C120" s="27" t="s">
        <v>36</v>
      </c>
      <c r="D120" s="35">
        <f t="shared" ca="1" si="10"/>
        <v>758</v>
      </c>
      <c r="E120" s="32">
        <f t="shared" ca="1" si="11"/>
        <v>0</v>
      </c>
      <c r="F120" s="35">
        <f t="shared" ca="1" si="12"/>
        <v>755.5</v>
      </c>
      <c r="G120" s="32">
        <f t="shared" ca="1" si="13"/>
        <v>0</v>
      </c>
      <c r="H120" s="35">
        <f t="shared" ca="1" si="14"/>
        <v>29</v>
      </c>
      <c r="I120" s="32">
        <f t="shared" ca="1" si="15"/>
        <v>0</v>
      </c>
      <c r="J120" s="35">
        <f t="shared" ca="1" si="16"/>
        <v>28</v>
      </c>
      <c r="K120" s="32">
        <f t="shared" ca="1" si="17"/>
        <v>0</v>
      </c>
    </row>
    <row r="121" spans="1:11" x14ac:dyDescent="0.25">
      <c r="A121" s="11">
        <f t="shared" si="9"/>
        <v>44</v>
      </c>
      <c r="B121" t="str">
        <f ca="1">TEXT(DATE(YEAR(Invoer!$A$5),1,1)+ROWS(B$2:B121)-1,"jjjjmmdd")</f>
        <v>19200429</v>
      </c>
      <c r="C121" s="27" t="s">
        <v>36</v>
      </c>
      <c r="D121" s="35">
        <f t="shared" ca="1" si="10"/>
        <v>757</v>
      </c>
      <c r="E121" s="32">
        <f t="shared" ca="1" si="11"/>
        <v>0</v>
      </c>
      <c r="F121" s="35">
        <f t="shared" ca="1" si="12"/>
        <v>755</v>
      </c>
      <c r="G121" s="32">
        <f t="shared" ca="1" si="13"/>
        <v>0</v>
      </c>
      <c r="H121" s="35">
        <f t="shared" ca="1" si="14"/>
        <v>29</v>
      </c>
      <c r="I121" s="32">
        <f t="shared" ca="1" si="15"/>
        <v>0</v>
      </c>
      <c r="J121" s="35">
        <f t="shared" ca="1" si="16"/>
        <v>28</v>
      </c>
      <c r="K121" s="32">
        <f t="shared" ca="1" si="17"/>
        <v>0</v>
      </c>
    </row>
    <row r="122" spans="1:11" x14ac:dyDescent="0.25">
      <c r="A122" s="11">
        <f t="shared" si="9"/>
        <v>44</v>
      </c>
      <c r="B122" t="str">
        <f ca="1">TEXT(DATE(YEAR(Invoer!$A$5),1,1)+ROWS(B$2:B122)-1,"jjjjmmdd")</f>
        <v>19200430</v>
      </c>
      <c r="C122" s="27" t="s">
        <v>36</v>
      </c>
      <c r="D122" s="35">
        <f t="shared" ca="1" si="10"/>
        <v>759.5</v>
      </c>
      <c r="E122" s="32">
        <f t="shared" ca="1" si="11"/>
        <v>0</v>
      </c>
      <c r="F122" s="35">
        <f t="shared" ca="1" si="12"/>
        <v>757.5</v>
      </c>
      <c r="G122" s="32">
        <f t="shared" ca="1" si="13"/>
        <v>0</v>
      </c>
      <c r="H122" s="35">
        <f t="shared" ca="1" si="14"/>
        <v>29</v>
      </c>
      <c r="I122" s="32">
        <f t="shared" ca="1" si="15"/>
        <v>0</v>
      </c>
      <c r="J122" s="35">
        <f t="shared" ca="1" si="16"/>
        <v>28</v>
      </c>
      <c r="K122" s="32">
        <f t="shared" ca="1" si="17"/>
        <v>0</v>
      </c>
    </row>
    <row r="123" spans="1:11" x14ac:dyDescent="0.25">
      <c r="A123" s="11">
        <f t="shared" si="9"/>
        <v>44</v>
      </c>
      <c r="B123" t="str">
        <f ca="1">TEXT(DATE(YEAR(Invoer!$A$5),1,1)+ROWS(B$2:B123)-1,"jjjjmmdd")</f>
        <v>19200501</v>
      </c>
      <c r="C123" s="27" t="s">
        <v>36</v>
      </c>
      <c r="D123" s="35">
        <f t="shared" ca="1" si="10"/>
        <v>757.5</v>
      </c>
      <c r="E123" s="32">
        <f t="shared" ca="1" si="11"/>
        <v>0</v>
      </c>
      <c r="F123" s="35">
        <f t="shared" ca="1" si="12"/>
        <v>755.5</v>
      </c>
      <c r="G123" s="32">
        <f t="shared" ca="1" si="13"/>
        <v>0</v>
      </c>
      <c r="H123" s="35">
        <f t="shared" ca="1" si="14"/>
        <v>29</v>
      </c>
      <c r="I123" s="32">
        <f t="shared" ca="1" si="15"/>
        <v>0</v>
      </c>
      <c r="J123" s="35">
        <f t="shared" ca="1" si="16"/>
        <v>28</v>
      </c>
      <c r="K123" s="32">
        <f t="shared" ca="1" si="17"/>
        <v>0</v>
      </c>
    </row>
    <row r="124" spans="1:11" x14ac:dyDescent="0.25">
      <c r="A124" s="11">
        <f t="shared" si="9"/>
        <v>44</v>
      </c>
      <c r="B124" t="str">
        <f ca="1">TEXT(DATE(YEAR(Invoer!$A$5),1,1)+ROWS(B$2:B124)-1,"jjjjmmdd")</f>
        <v>19200502</v>
      </c>
      <c r="C124" s="27" t="s">
        <v>36</v>
      </c>
      <c r="D124" s="35">
        <f t="shared" ca="1" si="10"/>
        <v>758</v>
      </c>
      <c r="E124" s="32">
        <f t="shared" ca="1" si="11"/>
        <v>0</v>
      </c>
      <c r="F124" s="35">
        <f t="shared" ca="1" si="12"/>
        <v>756</v>
      </c>
      <c r="G124" s="32">
        <f t="shared" ca="1" si="13"/>
        <v>0</v>
      </c>
      <c r="H124" s="35">
        <f t="shared" ca="1" si="14"/>
        <v>29.5</v>
      </c>
      <c r="I124" s="32">
        <f t="shared" ca="1" si="15"/>
        <v>0</v>
      </c>
      <c r="J124" s="35">
        <f t="shared" ca="1" si="16"/>
        <v>29</v>
      </c>
      <c r="K124" s="32">
        <f t="shared" ca="1" si="17"/>
        <v>0</v>
      </c>
    </row>
    <row r="125" spans="1:11" x14ac:dyDescent="0.25">
      <c r="A125" s="11">
        <f t="shared" si="9"/>
        <v>44</v>
      </c>
      <c r="B125" t="str">
        <f ca="1">TEXT(DATE(YEAR(Invoer!$A$5),1,1)+ROWS(B$2:B125)-1,"jjjjmmdd")</f>
        <v>19200503</v>
      </c>
      <c r="C125" s="27" t="s">
        <v>36</v>
      </c>
      <c r="D125" s="35">
        <f t="shared" ca="1" si="10"/>
        <v>755.5</v>
      </c>
      <c r="E125" s="32">
        <f t="shared" ca="1" si="11"/>
        <v>0</v>
      </c>
      <c r="F125" s="35">
        <f t="shared" ca="1" si="12"/>
        <v>754.5</v>
      </c>
      <c r="G125" s="32">
        <f t="shared" ca="1" si="13"/>
        <v>0</v>
      </c>
      <c r="H125" s="35">
        <f t="shared" ca="1" si="14"/>
        <v>29</v>
      </c>
      <c r="I125" s="32">
        <f t="shared" ca="1" si="15"/>
        <v>0</v>
      </c>
      <c r="J125" s="35">
        <f t="shared" ca="1" si="16"/>
        <v>28</v>
      </c>
      <c r="K125" s="32">
        <f t="shared" ca="1" si="17"/>
        <v>0</v>
      </c>
    </row>
    <row r="126" spans="1:11" x14ac:dyDescent="0.25">
      <c r="A126" s="11">
        <f t="shared" si="9"/>
        <v>44</v>
      </c>
      <c r="B126" t="str">
        <f ca="1">TEXT(DATE(YEAR(Invoer!$A$5),1,1)+ROWS(B$2:B126)-1,"jjjjmmdd")</f>
        <v>19200504</v>
      </c>
      <c r="C126" s="27" t="s">
        <v>36</v>
      </c>
      <c r="D126" s="35">
        <f t="shared" ca="1" si="10"/>
        <v>757</v>
      </c>
      <c r="E126" s="32">
        <f t="shared" ca="1" si="11"/>
        <v>0</v>
      </c>
      <c r="F126" s="35">
        <f t="shared" ca="1" si="12"/>
        <v>755.5</v>
      </c>
      <c r="G126" s="32">
        <f t="shared" ca="1" si="13"/>
        <v>0</v>
      </c>
      <c r="H126" s="35">
        <f t="shared" ca="1" si="14"/>
        <v>29</v>
      </c>
      <c r="I126" s="32">
        <f t="shared" ca="1" si="15"/>
        <v>0</v>
      </c>
      <c r="J126" s="35">
        <f t="shared" ca="1" si="16"/>
        <v>28</v>
      </c>
      <c r="K126" s="32">
        <f t="shared" ca="1" si="17"/>
        <v>0</v>
      </c>
    </row>
    <row r="127" spans="1:11" x14ac:dyDescent="0.25">
      <c r="A127" s="11">
        <f t="shared" si="9"/>
        <v>44</v>
      </c>
      <c r="B127" t="str">
        <f ca="1">TEXT(DATE(YEAR(Invoer!$A$5),1,1)+ROWS(B$2:B127)-1,"jjjjmmdd")</f>
        <v>19200505</v>
      </c>
      <c r="C127" s="27" t="s">
        <v>36</v>
      </c>
      <c r="D127" s="35">
        <f t="shared" ca="1" si="10"/>
        <v>757.5</v>
      </c>
      <c r="E127" s="32">
        <f t="shared" ca="1" si="11"/>
        <v>0</v>
      </c>
      <c r="F127" s="35">
        <f t="shared" ca="1" si="12"/>
        <v>756.5</v>
      </c>
      <c r="G127" s="32">
        <f t="shared" ca="1" si="13"/>
        <v>0</v>
      </c>
      <c r="H127" s="35">
        <f t="shared" ca="1" si="14"/>
        <v>29</v>
      </c>
      <c r="I127" s="32">
        <f t="shared" ca="1" si="15"/>
        <v>0</v>
      </c>
      <c r="J127" s="35">
        <f t="shared" ca="1" si="16"/>
        <v>28</v>
      </c>
      <c r="K127" s="32">
        <f t="shared" ca="1" si="17"/>
        <v>0</v>
      </c>
    </row>
    <row r="128" spans="1:11" x14ac:dyDescent="0.25">
      <c r="A128" s="11">
        <f t="shared" si="9"/>
        <v>44</v>
      </c>
      <c r="B128" t="str">
        <f ca="1">TEXT(DATE(YEAR(Invoer!$A$5),1,1)+ROWS(B$2:B128)-1,"jjjjmmdd")</f>
        <v>19200506</v>
      </c>
      <c r="C128" s="27" t="s">
        <v>36</v>
      </c>
      <c r="D128" s="35">
        <f t="shared" ca="1" si="10"/>
        <v>757.5</v>
      </c>
      <c r="E128" s="32">
        <f t="shared" ca="1" si="11"/>
        <v>0</v>
      </c>
      <c r="F128" s="35">
        <f t="shared" ca="1" si="12"/>
        <v>755</v>
      </c>
      <c r="G128" s="32">
        <f t="shared" ca="1" si="13"/>
        <v>0</v>
      </c>
      <c r="H128" s="35">
        <f t="shared" ca="1" si="14"/>
        <v>29</v>
      </c>
      <c r="I128" s="32">
        <f t="shared" ca="1" si="15"/>
        <v>0</v>
      </c>
      <c r="J128" s="35">
        <f t="shared" ca="1" si="16"/>
        <v>28</v>
      </c>
      <c r="K128" s="32">
        <f t="shared" ca="1" si="17"/>
        <v>0</v>
      </c>
    </row>
    <row r="129" spans="1:11" x14ac:dyDescent="0.25">
      <c r="A129" s="11">
        <f t="shared" si="9"/>
        <v>44</v>
      </c>
      <c r="B129" t="str">
        <f ca="1">TEXT(DATE(YEAR(Invoer!$A$5),1,1)+ROWS(B$2:B129)-1,"jjjjmmdd")</f>
        <v>19200507</v>
      </c>
      <c r="C129" s="27" t="s">
        <v>36</v>
      </c>
      <c r="D129" s="35">
        <f t="shared" ca="1" si="10"/>
        <v>757.5</v>
      </c>
      <c r="E129" s="32">
        <f t="shared" ca="1" si="11"/>
        <v>0</v>
      </c>
      <c r="F129" s="35">
        <f t="shared" ca="1" si="12"/>
        <v>755.5</v>
      </c>
      <c r="G129" s="32">
        <f t="shared" ca="1" si="13"/>
        <v>0</v>
      </c>
      <c r="H129" s="35">
        <f t="shared" ca="1" si="14"/>
        <v>29</v>
      </c>
      <c r="I129" s="32">
        <f t="shared" ca="1" si="15"/>
        <v>0</v>
      </c>
      <c r="J129" s="35">
        <f t="shared" ca="1" si="16"/>
        <v>28</v>
      </c>
      <c r="K129" s="32">
        <f t="shared" ca="1" si="17"/>
        <v>0</v>
      </c>
    </row>
    <row r="130" spans="1:11" x14ac:dyDescent="0.25">
      <c r="A130" s="11">
        <f t="shared" ref="A130:A193" si="18">INDEX(Stations,2,1)</f>
        <v>44</v>
      </c>
      <c r="B130" t="str">
        <f ca="1">TEXT(DATE(YEAR(Invoer!$A$5),1,1)+ROWS(B$2:B130)-1,"jjjjmmdd")</f>
        <v>19200508</v>
      </c>
      <c r="C130" s="27" t="s">
        <v>36</v>
      </c>
      <c r="D130" s="35">
        <f t="shared" ref="D130:D193" ca="1" si="19">IF(OR(ISBLANK(VLOOKUP(DATEVALUE(LEFT($B130,4)&amp;"-"&amp;MID($B130,5,2)&amp;"-"&amp;RIGHT($B130,2)),Data,MATCH(LEFT(VLOOKUP(LEFT(D$1,1),Parameters,2,FALSE()),4)&amp;"*",OFFSET(Data,0,0,1),0)+MATCH(VLOOKUP(RIGHT(D$1,1),Parameters,2,FALSE()),OFFSET(Data,1,0,1),0)-2,FALSE())),ISTEXT(VLOOKUP(DATEVALUE(LEFT($B130,4)&amp;"-"&amp;MID($B130,5,2)&amp;"-"&amp;RIGHT($B130,2)),Data,MATCH(LEFT(VLOOKUP(LEFT(D$1,1),Parameters,2,FALSE()),4)&amp;"*",OFFSET(Data,0,0,1),0)+MATCH(VLOOKUP(RIGHT(D$1,1),Parameters,2,FALSE()),OFFSET(Data,1,0,1),0)-2,FALSE()))),"—",VLOOKUP(DATEVALUE(LEFT($B130,4)&amp;"-"&amp;MID($B130,5,2)&amp;"-"&amp;RIGHT($B130,2)),Data,MATCH(LEFT(VLOOKUP(LEFT(D$1,1),Parameters,2,FALSE()),4)&amp;"*",OFFSET(Data,0,0,1),0)+MATCH(VLOOKUP(RIGHT(D$1,1),Parameters,2,FALSE()),OFFSET(Data,1,0,1),0)-2,FALSE())/10)</f>
        <v>758</v>
      </c>
      <c r="E130" s="32">
        <f t="shared" ref="E130:E193" ca="1" si="20">IF(OR(ISBLANK(VLOOKUP(DATEVALUE(LEFT($B130,4)&amp;"-"&amp;MID($B130,5,2)&amp;"-"&amp;RIGHT($B130,2)),Data,MATCH(LEFT(VLOOKUP(MID(E$1,2,LEN(E$1)-1),Parameters,2,FALSE()),4)&amp;"*",OFFSET(Data,0,0,1),0)+MATCH(VLOOKUP(RIGHT(E$1,1),Parameters,2,FALSE()),OFFSET(Data,1,0,1),0)-2,FALSE())),ISTEXT(VLOOKUP(DATEVALUE(LEFT($B130,4)&amp;"-"&amp;MID($B130,5,2)&amp;"-"&amp;RIGHT($B130,2)),Data,MATCH(LEFT(VLOOKUP(MID(E$1,2,LEN(E$1)-1),Parameters,2,FALSE()),4)&amp;"*",OFFSET(Data,0,0,1),0)+MATCH(VLOOKUP(RIGHT(E$1,1),Parameters,2,FALSE())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-2),Parameters,2,FALSE()),4)&amp;"*",OFFSET(Catalogus,0,0,1),0)+MATCH(VLOOKUP(RIGHT(E$1,1),Parameters,2,FALSE()),OFFSET(Catalogus,1,0,1),0)-2,FALSE())))</f>
        <v>0</v>
      </c>
      <c r="F130" s="35">
        <f t="shared" ref="F130:F193" ca="1" si="21">IF(OR(ISBLANK(VLOOKUP(DATEVALUE(LEFT($B130,4)&amp;"-"&amp;MID($B130,5,2)&amp;"-"&amp;RIGHT($B130,2)),Data,MATCH(LEFT(VLOOKUP(LEFT(F$1,1),Parameters,2,FALSE()),4)&amp;"*",OFFSET(Data,0,0,1),0)+MATCH(VLOOKUP(RIGHT(F$1,1),Parameters,2,FALSE()),OFFSET(Data,1,0,1),0)-2,FALSE())),ISTEXT(VLOOKUP(DATEVALUE(LEFT($B130,4)&amp;"-"&amp;MID($B130,5,2)&amp;"-"&amp;RIGHT($B130,2)),Data,MATCH(LEFT(VLOOKUP(LEFT(F$1,1),Parameters,2,FALSE()),4)&amp;"*",OFFSET(Data,0,0,1),0)+MATCH(VLOOKUP(RIGHT(F$1,1),Parameters,2,FALSE()),OFFSET(Data,1,0,1),0)-2,FALSE()))),"—",VLOOKUP(DATEVALUE(LEFT($B130,4)&amp;"-"&amp;MID($B130,5,2)&amp;"-"&amp;RIGHT($B130,2)),Data,MATCH(LEFT(VLOOKUP(LEFT(F$1,1),Parameters,2,FALSE()),4)&amp;"*",OFFSET(Data,0,0,1),0)+MATCH(VLOOKUP(RIGHT(F$1,1),Parameters,2,FALSE()),OFFSET(Data,1,0,1),0)-2,FALSE())/10)</f>
        <v>755</v>
      </c>
      <c r="G130" s="32">
        <f t="shared" ref="G130:G193" ca="1" si="22">IF(OR(ISBLANK(VLOOKUP(DATEVALUE(LEFT($B130,4)&amp;"-"&amp;MID($B130,5,2)&amp;"-"&amp;RIGHT($B130,2)),Data,MATCH(LEFT(VLOOKUP(MID(G$1,2,LEN(G$1)-1),Parameters,2,FALSE()),4)&amp;"*",OFFSET(Data,0,0,1),0)+MATCH(VLOOKUP(RIGHT(G$1,1),Parameters,2,FALSE()),OFFSET(Data,1,0,1),0)-2,FALSE())),ISTEXT(VLOOKUP(DATEVALUE(LEFT($B130,4)&amp;"-"&amp;MID($B130,5,2)&amp;"-"&amp;RIGHT($B130,2)),Data,MATCH(LEFT(VLOOKUP(MID(G$1,2,LEN(G$1)-1),Parameters,2,FALSE()),4)&amp;"*",OFFSET(Data,0,0,1),0)+MATCH(VLOOKUP(RIGHT(G$1,1),Parameters,2,FALSE())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-2),Parameters,2,FALSE()),4)&amp;"*",OFFSET(Catalogus,0,0,1),0)+MATCH(VLOOKUP(RIGHT(G$1,1),Parameters,2,FALSE()),OFFSET(Catalogus,1,0,1),0)-2,FALSE())))</f>
        <v>0</v>
      </c>
      <c r="H130" s="35">
        <f t="shared" ref="H130:H193" ca="1" si="23">IF(OR(ISBLANK(VLOOKUP(DATEVALUE(LEFT($B130,4)&amp;"-"&amp;MID($B130,5,2)&amp;"-"&amp;RIGHT($B130,2)),Data,MATCH(LEFT(VLOOKUP(LEFT(H$1,1),Parameters,2,FALSE()),4)&amp;"*",OFFSET(Data,0,0,1),0)+MATCH(VLOOKUP(RIGHT(H$1,1),Parameters,2,FALSE()),OFFSET(Data,1,0,1),0)-2,FALSE())),ISTEXT(VLOOKUP(DATEVALUE(LEFT($B130,4)&amp;"-"&amp;MID($B130,5,2)&amp;"-"&amp;RIGHT($B130,2)),Data,MATCH(LEFT(VLOOKUP(LEFT(H$1,1),Parameters,2,FALSE()),4)&amp;"*",OFFSET(Data,0,0,1),0)+MATCH(VLOOKUP(RIGHT(H$1,1),Parameters,2,FALSE()),OFFSET(Data,1,0,1),0)-2,FALSE()))),"—",VLOOKUP(DATEVALUE(LEFT($B130,4)&amp;"-"&amp;MID($B130,5,2)&amp;"-"&amp;RIGHT($B130,2)),Data,MATCH(LEFT(VLOOKUP(LEFT(H$1,1),Parameters,2,FALSE()),4)&amp;"*",OFFSET(Data,0,0,1),0)+MATCH(VLOOKUP(RIGHT(H$1,1),Parameters,2,FALSE()),OFFSET(Data,1,0,1),0)-2,FALSE())/10)</f>
        <v>29</v>
      </c>
      <c r="I130" s="32">
        <f t="shared" ref="I130:I193" ca="1" si="24">IF(OR(ISBLANK(VLOOKUP(DATEVALUE(LEFT($B130,4)&amp;"-"&amp;MID($B130,5,2)&amp;"-"&amp;RIGHT($B130,2)),Data,MATCH(LEFT(VLOOKUP(MID(I$1,2,LEN(I$1)-1),Parameters,2,FALSE()),4)&amp;"*",OFFSET(Data,0,0,1),0)+MATCH(VLOOKUP(RIGHT(I$1,1),Parameters,2,FALSE()),OFFSET(Data,1,0,1),0)-2,FALSE())),ISTEXT(VLOOKUP(DATEVALUE(LEFT($B130,4)&amp;"-"&amp;MID($B130,5,2)&amp;"-"&amp;RIGHT($B130,2)),Data,MATCH(LEFT(VLOOKUP(MID(I$1,2,LEN(I$1)-1),Parameters,2,FALSE()),4)&amp;"*",OFFSET(Data,0,0,1),0)+MATCH(VLOOKUP(RIGHT(I$1,1),Parameters,2,FALSE())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-2),Parameters,2,FALSE()),4)&amp;"*",OFFSET(Catalogus,0,0,1),0)+MATCH(VLOOKUP(RIGHT(I$1,1),Parameters,2,FALSE()),OFFSET(Catalogus,1,0,1),0)-2,FALSE())))</f>
        <v>0</v>
      </c>
      <c r="J130" s="35">
        <f t="shared" ref="J130:J193" ca="1" si="25">IF(OR(ISBLANK(VLOOKUP(DATEVALUE(LEFT($B130,4)&amp;"-"&amp;MID($B130,5,2)&amp;"-"&amp;RIGHT($B130,2)),Data,MATCH(LEFT(VLOOKUP(LEFT(J$1,1),Parameters,2,FALSE()),4)&amp;"*",OFFSET(Data,0,0,1),0)+MATCH(VLOOKUP(RIGHT(J$1,1),Parameters,2,FALSE()),OFFSET(Data,1,0,1),0)-2,FALSE())),ISTEXT(VLOOKUP(DATEVALUE(LEFT($B130,4)&amp;"-"&amp;MID($B130,5,2)&amp;"-"&amp;RIGHT($B130,2)),Data,MATCH(LEFT(VLOOKUP(LEFT(J$1,1),Parameters,2,FALSE()),4)&amp;"*",OFFSET(Data,0,0,1),0)+MATCH(VLOOKUP(RIGHT(J$1,1),Parameters,2,FALSE()),OFFSET(Data,1,0,1),0)-2,FALSE()))),"—",VLOOKUP(DATEVALUE(LEFT($B130,4)&amp;"-"&amp;MID($B130,5,2)&amp;"-"&amp;RIGHT($B130,2)),Data,MATCH(LEFT(VLOOKUP(LEFT(J$1,1),Parameters,2,FALSE()),4)&amp;"*",OFFSET(Data,0,0,1),0)+MATCH(VLOOKUP(RIGHT(J$1,1),Parameters,2,FALSE()),OFFSET(Data,1,0,1),0)-2,FALSE())/10)</f>
        <v>28</v>
      </c>
      <c r="K130" s="32">
        <f t="shared" ref="K130:K193" ca="1" si="26">IF(OR(ISBLANK(VLOOKUP(DATEVALUE(LEFT($B130,4)&amp;"-"&amp;MID($B130,5,2)&amp;"-"&amp;RIGHT($B130,2)),Data,MATCH(LEFT(VLOOKUP(MID(K$1,2,LEN(K$1)-1),Parameters,2,FALSE()),4)&amp;"*",OFFSET(Data,0,0,1),0)+MATCH(VLOOKUP(RIGHT(K$1,1),Parameters,2,FALSE()),OFFSET(Data,1,0,1),0)-2,FALSE())),ISTEXT(VLOOKUP(DATEVALUE(LEFT($B130,4)&amp;"-"&amp;MID($B130,5,2)&amp;"-"&amp;RIGHT($B130,2)),Data,MATCH(LEFT(VLOOKUP(MID(K$1,2,LEN(K$1)-1),Parameters,2,FALSE()),4)&amp;"*",OFFSET(Data,0,0,1),0)+MATCH(VLOOKUP(RIGHT(K$1,1),Parameters,2,FALSE())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-2),Parameters,2,FALSE()),4)&amp;"*",OFFSET(Catalogus,0,0,1),0)+MATCH(VLOOKUP(RIGHT(K$1,1),Parameters,2,FALSE()),OFFSET(Catalogus,1,0,1),0)-2,FALSE())))</f>
        <v>0</v>
      </c>
    </row>
    <row r="131" spans="1:11" x14ac:dyDescent="0.25">
      <c r="A131" s="11">
        <f t="shared" si="18"/>
        <v>44</v>
      </c>
      <c r="B131" t="str">
        <f ca="1">TEXT(DATE(YEAR(Invoer!$A$5),1,1)+ROWS(B$2:B131)-1,"jjjjmmdd")</f>
        <v>19200509</v>
      </c>
      <c r="C131" s="27" t="s">
        <v>36</v>
      </c>
      <c r="D131" s="35">
        <f t="shared" ca="1" si="19"/>
        <v>758</v>
      </c>
      <c r="E131" s="32">
        <f t="shared" ca="1" si="20"/>
        <v>0</v>
      </c>
      <c r="F131" s="35">
        <f t="shared" ca="1" si="21"/>
        <v>755</v>
      </c>
      <c r="G131" s="32">
        <f t="shared" ca="1" si="22"/>
        <v>0</v>
      </c>
      <c r="H131" s="35">
        <f t="shared" ca="1" si="23"/>
        <v>29</v>
      </c>
      <c r="I131" s="32">
        <f t="shared" ca="1" si="24"/>
        <v>0</v>
      </c>
      <c r="J131" s="35">
        <f t="shared" ca="1" si="25"/>
        <v>28</v>
      </c>
      <c r="K131" s="32">
        <f t="shared" ca="1" si="26"/>
        <v>0</v>
      </c>
    </row>
    <row r="132" spans="1:11" x14ac:dyDescent="0.25">
      <c r="A132" s="11">
        <f t="shared" si="18"/>
        <v>44</v>
      </c>
      <c r="B132" t="str">
        <f ca="1">TEXT(DATE(YEAR(Invoer!$A$5),1,1)+ROWS(B$2:B132)-1,"jjjjmmdd")</f>
        <v>19200510</v>
      </c>
      <c r="C132" s="27" t="s">
        <v>36</v>
      </c>
      <c r="D132" s="35">
        <f t="shared" ca="1" si="19"/>
        <v>757.5</v>
      </c>
      <c r="E132" s="32">
        <f t="shared" ca="1" si="20"/>
        <v>0</v>
      </c>
      <c r="F132" s="35">
        <f t="shared" ca="1" si="21"/>
        <v>756</v>
      </c>
      <c r="G132" s="32">
        <f t="shared" ca="1" si="22"/>
        <v>0</v>
      </c>
      <c r="H132" s="35">
        <f t="shared" ca="1" si="23"/>
        <v>29</v>
      </c>
      <c r="I132" s="32">
        <f t="shared" ca="1" si="24"/>
        <v>0</v>
      </c>
      <c r="J132" s="35">
        <f t="shared" ca="1" si="25"/>
        <v>28</v>
      </c>
      <c r="K132" s="32">
        <f t="shared" ca="1" si="26"/>
        <v>0</v>
      </c>
    </row>
    <row r="133" spans="1:11" x14ac:dyDescent="0.25">
      <c r="A133" s="11">
        <f t="shared" si="18"/>
        <v>44</v>
      </c>
      <c r="B133" t="str">
        <f ca="1">TEXT(DATE(YEAR(Invoer!$A$5),1,1)+ROWS(B$2:B133)-1,"jjjjmmdd")</f>
        <v>19200511</v>
      </c>
      <c r="C133" s="27" t="s">
        <v>36</v>
      </c>
      <c r="D133" s="35">
        <f t="shared" ca="1" si="19"/>
        <v>757</v>
      </c>
      <c r="E133" s="32">
        <f t="shared" ca="1" si="20"/>
        <v>0</v>
      </c>
      <c r="F133" s="35">
        <f t="shared" ca="1" si="21"/>
        <v>755</v>
      </c>
      <c r="G133" s="32">
        <f t="shared" ca="1" si="22"/>
        <v>0</v>
      </c>
      <c r="H133" s="35">
        <f t="shared" ca="1" si="23"/>
        <v>29</v>
      </c>
      <c r="I133" s="32">
        <f t="shared" ca="1" si="24"/>
        <v>0</v>
      </c>
      <c r="J133" s="35">
        <f t="shared" ca="1" si="25"/>
        <v>28</v>
      </c>
      <c r="K133" s="32">
        <f t="shared" ca="1" si="26"/>
        <v>0</v>
      </c>
    </row>
    <row r="134" spans="1:11" x14ac:dyDescent="0.25">
      <c r="A134" s="11">
        <f t="shared" si="18"/>
        <v>44</v>
      </c>
      <c r="B134" t="str">
        <f ca="1">TEXT(DATE(YEAR(Invoer!$A$5),1,1)+ROWS(B$2:B134)-1,"jjjjmmdd")</f>
        <v>19200512</v>
      </c>
      <c r="C134" s="27" t="s">
        <v>36</v>
      </c>
      <c r="D134" s="35">
        <f t="shared" ca="1" si="19"/>
        <v>757.5</v>
      </c>
      <c r="E134" s="32">
        <f t="shared" ca="1" si="20"/>
        <v>0</v>
      </c>
      <c r="F134" s="35">
        <f t="shared" ca="1" si="21"/>
        <v>755</v>
      </c>
      <c r="G134" s="32">
        <f t="shared" ca="1" si="22"/>
        <v>0</v>
      </c>
      <c r="H134" s="35">
        <f t="shared" ca="1" si="23"/>
        <v>29</v>
      </c>
      <c r="I134" s="32">
        <f t="shared" ca="1" si="24"/>
        <v>0</v>
      </c>
      <c r="J134" s="35">
        <f t="shared" ca="1" si="25"/>
        <v>27</v>
      </c>
      <c r="K134" s="32">
        <f t="shared" ca="1" si="26"/>
        <v>0</v>
      </c>
    </row>
    <row r="135" spans="1:11" x14ac:dyDescent="0.25">
      <c r="A135" s="11">
        <f t="shared" si="18"/>
        <v>44</v>
      </c>
      <c r="B135" t="str">
        <f ca="1">TEXT(DATE(YEAR(Invoer!$A$5),1,1)+ROWS(B$2:B135)-1,"jjjjmmdd")</f>
        <v>19200513</v>
      </c>
      <c r="C135" s="27" t="s">
        <v>36</v>
      </c>
      <c r="D135" s="35">
        <f t="shared" ca="1" si="19"/>
        <v>757.5</v>
      </c>
      <c r="E135" s="32">
        <f t="shared" ca="1" si="20"/>
        <v>0</v>
      </c>
      <c r="F135" s="35">
        <f t="shared" ca="1" si="21"/>
        <v>755</v>
      </c>
      <c r="G135" s="32">
        <f t="shared" ca="1" si="22"/>
        <v>0</v>
      </c>
      <c r="H135" s="35">
        <f t="shared" ca="1" si="23"/>
        <v>29</v>
      </c>
      <c r="I135" s="32">
        <f t="shared" ca="1" si="24"/>
        <v>0</v>
      </c>
      <c r="J135" s="35">
        <f t="shared" ca="1" si="25"/>
        <v>27</v>
      </c>
      <c r="K135" s="32">
        <f t="shared" ca="1" si="26"/>
        <v>0</v>
      </c>
    </row>
    <row r="136" spans="1:11" x14ac:dyDescent="0.25">
      <c r="A136" s="11">
        <f t="shared" si="18"/>
        <v>44</v>
      </c>
      <c r="B136" t="str">
        <f ca="1">TEXT(DATE(YEAR(Invoer!$A$5),1,1)+ROWS(B$2:B136)-1,"jjjjmmdd")</f>
        <v>19200514</v>
      </c>
      <c r="C136" s="27" t="s">
        <v>36</v>
      </c>
      <c r="D136" s="35">
        <f t="shared" ca="1" si="19"/>
        <v>756</v>
      </c>
      <c r="E136" s="32">
        <f t="shared" ca="1" si="20"/>
        <v>0</v>
      </c>
      <c r="F136" s="35">
        <f t="shared" ca="1" si="21"/>
        <v>754.5</v>
      </c>
      <c r="G136" s="32">
        <f t="shared" ca="1" si="22"/>
        <v>0</v>
      </c>
      <c r="H136" s="35">
        <f t="shared" ca="1" si="23"/>
        <v>28</v>
      </c>
      <c r="I136" s="32">
        <f t="shared" ca="1" si="24"/>
        <v>0</v>
      </c>
      <c r="J136" s="35">
        <f t="shared" ca="1" si="25"/>
        <v>26</v>
      </c>
      <c r="K136" s="32">
        <f t="shared" ca="1" si="26"/>
        <v>0</v>
      </c>
    </row>
    <row r="137" spans="1:11" x14ac:dyDescent="0.25">
      <c r="A137" s="11">
        <f t="shared" si="18"/>
        <v>44</v>
      </c>
      <c r="B137" t="str">
        <f ca="1">TEXT(DATE(YEAR(Invoer!$A$5),1,1)+ROWS(B$2:B137)-1,"jjjjmmdd")</f>
        <v>19200515</v>
      </c>
      <c r="C137" s="27" t="s">
        <v>36</v>
      </c>
      <c r="D137" s="35">
        <f t="shared" ca="1" si="19"/>
        <v>756.5</v>
      </c>
      <c r="E137" s="32">
        <f t="shared" ca="1" si="20"/>
        <v>0</v>
      </c>
      <c r="F137" s="35">
        <f t="shared" ca="1" si="21"/>
        <v>755</v>
      </c>
      <c r="G137" s="32">
        <f t="shared" ca="1" si="22"/>
        <v>0</v>
      </c>
      <c r="H137" s="35">
        <f t="shared" ca="1" si="23"/>
        <v>28</v>
      </c>
      <c r="I137" s="32">
        <f t="shared" ca="1" si="24"/>
        <v>0</v>
      </c>
      <c r="J137" s="35">
        <f t="shared" ca="1" si="25"/>
        <v>26</v>
      </c>
      <c r="K137" s="32">
        <f t="shared" ca="1" si="26"/>
        <v>0</v>
      </c>
    </row>
    <row r="138" spans="1:11" x14ac:dyDescent="0.25">
      <c r="A138" s="11">
        <f t="shared" si="18"/>
        <v>44</v>
      </c>
      <c r="B138" t="str">
        <f ca="1">TEXT(DATE(YEAR(Invoer!$A$5),1,1)+ROWS(B$2:B138)-1,"jjjjmmdd")</f>
        <v>19200516</v>
      </c>
      <c r="C138" s="27" t="s">
        <v>36</v>
      </c>
      <c r="D138" s="35">
        <f t="shared" ca="1" si="19"/>
        <v>756.5</v>
      </c>
      <c r="E138" s="32">
        <f t="shared" ca="1" si="20"/>
        <v>0</v>
      </c>
      <c r="F138" s="35">
        <f t="shared" ca="1" si="21"/>
        <v>755</v>
      </c>
      <c r="G138" s="32">
        <f t="shared" ca="1" si="22"/>
        <v>0</v>
      </c>
      <c r="H138" s="35">
        <f t="shared" ca="1" si="23"/>
        <v>28</v>
      </c>
      <c r="I138" s="32">
        <f t="shared" ca="1" si="24"/>
        <v>0</v>
      </c>
      <c r="J138" s="35">
        <f t="shared" ca="1" si="25"/>
        <v>26</v>
      </c>
      <c r="K138" s="32">
        <f t="shared" ca="1" si="26"/>
        <v>0</v>
      </c>
    </row>
    <row r="139" spans="1:11" x14ac:dyDescent="0.25">
      <c r="A139" s="11">
        <f t="shared" si="18"/>
        <v>44</v>
      </c>
      <c r="B139" t="str">
        <f ca="1">TEXT(DATE(YEAR(Invoer!$A$5),1,1)+ROWS(B$2:B139)-1,"jjjjmmdd")</f>
        <v>19200517</v>
      </c>
      <c r="C139" s="27" t="s">
        <v>36</v>
      </c>
      <c r="D139" s="35">
        <f t="shared" ca="1" si="19"/>
        <v>756.5</v>
      </c>
      <c r="E139" s="32">
        <f t="shared" ca="1" si="20"/>
        <v>0</v>
      </c>
      <c r="F139" s="35">
        <f t="shared" ca="1" si="21"/>
        <v>754</v>
      </c>
      <c r="G139" s="32">
        <f t="shared" ca="1" si="22"/>
        <v>0</v>
      </c>
      <c r="H139" s="35">
        <f t="shared" ca="1" si="23"/>
        <v>28.5</v>
      </c>
      <c r="I139" s="32">
        <f t="shared" ca="1" si="24"/>
        <v>0</v>
      </c>
      <c r="J139" s="35">
        <f t="shared" ca="1" si="25"/>
        <v>28</v>
      </c>
      <c r="K139" s="32">
        <f t="shared" ca="1" si="26"/>
        <v>0</v>
      </c>
    </row>
    <row r="140" spans="1:11" x14ac:dyDescent="0.25">
      <c r="A140" s="11">
        <f t="shared" si="18"/>
        <v>44</v>
      </c>
      <c r="B140" t="str">
        <f ca="1">TEXT(DATE(YEAR(Invoer!$A$5),1,1)+ROWS(B$2:B140)-1,"jjjjmmdd")</f>
        <v>19200518</v>
      </c>
      <c r="C140" s="27" t="s">
        <v>36</v>
      </c>
      <c r="D140" s="35">
        <f t="shared" ca="1" si="19"/>
        <v>756</v>
      </c>
      <c r="E140" s="32">
        <f t="shared" ca="1" si="20"/>
        <v>0</v>
      </c>
      <c r="F140" s="35">
        <f t="shared" ca="1" si="21"/>
        <v>755</v>
      </c>
      <c r="G140" s="32">
        <f t="shared" ca="1" si="22"/>
        <v>0</v>
      </c>
      <c r="H140" s="35">
        <f t="shared" ca="1" si="23"/>
        <v>29</v>
      </c>
      <c r="I140" s="32">
        <f t="shared" ca="1" si="24"/>
        <v>0</v>
      </c>
      <c r="J140" s="35">
        <f t="shared" ca="1" si="25"/>
        <v>28</v>
      </c>
      <c r="K140" s="32">
        <f t="shared" ca="1" si="26"/>
        <v>0</v>
      </c>
    </row>
    <row r="141" spans="1:11" x14ac:dyDescent="0.25">
      <c r="A141" s="11">
        <f t="shared" si="18"/>
        <v>44</v>
      </c>
      <c r="B141" t="str">
        <f ca="1">TEXT(DATE(YEAR(Invoer!$A$5),1,1)+ROWS(B$2:B141)-1,"jjjjmmdd")</f>
        <v>19200519</v>
      </c>
      <c r="C141" s="27" t="s">
        <v>36</v>
      </c>
      <c r="D141" s="35">
        <f t="shared" ca="1" si="19"/>
        <v>756.5</v>
      </c>
      <c r="E141" s="32">
        <f t="shared" ca="1" si="20"/>
        <v>0</v>
      </c>
      <c r="F141" s="35">
        <f t="shared" ca="1" si="21"/>
        <v>755</v>
      </c>
      <c r="G141" s="32">
        <f t="shared" ca="1" si="22"/>
        <v>0</v>
      </c>
      <c r="H141" s="35">
        <f t="shared" ca="1" si="23"/>
        <v>29.5</v>
      </c>
      <c r="I141" s="32">
        <f t="shared" ca="1" si="24"/>
        <v>0</v>
      </c>
      <c r="J141" s="35">
        <f t="shared" ca="1" si="25"/>
        <v>29</v>
      </c>
      <c r="K141" s="32">
        <f t="shared" ca="1" si="26"/>
        <v>0</v>
      </c>
    </row>
    <row r="142" spans="1:11" x14ac:dyDescent="0.25">
      <c r="A142" s="11">
        <f t="shared" si="18"/>
        <v>44</v>
      </c>
      <c r="B142" t="str">
        <f ca="1">TEXT(DATE(YEAR(Invoer!$A$5),1,1)+ROWS(B$2:B142)-1,"jjjjmmdd")</f>
        <v>19200520</v>
      </c>
      <c r="C142" s="27" t="s">
        <v>36</v>
      </c>
      <c r="D142" s="35">
        <f t="shared" ca="1" si="19"/>
        <v>756</v>
      </c>
      <c r="E142" s="32">
        <f t="shared" ca="1" si="20"/>
        <v>0</v>
      </c>
      <c r="F142" s="35">
        <f t="shared" ca="1" si="21"/>
        <v>755</v>
      </c>
      <c r="G142" s="32">
        <f t="shared" ca="1" si="22"/>
        <v>0</v>
      </c>
      <c r="H142" s="35">
        <f t="shared" ca="1" si="23"/>
        <v>29.5</v>
      </c>
      <c r="I142" s="32">
        <f t="shared" ca="1" si="24"/>
        <v>0</v>
      </c>
      <c r="J142" s="35">
        <f t="shared" ca="1" si="25"/>
        <v>28</v>
      </c>
      <c r="K142" s="32">
        <f t="shared" ca="1" si="26"/>
        <v>0</v>
      </c>
    </row>
    <row r="143" spans="1:11" x14ac:dyDescent="0.25">
      <c r="A143" s="11">
        <f t="shared" si="18"/>
        <v>44</v>
      </c>
      <c r="B143" t="str">
        <f ca="1">TEXT(DATE(YEAR(Invoer!$A$5),1,1)+ROWS(B$2:B143)-1,"jjjjmmdd")</f>
        <v>19200521</v>
      </c>
      <c r="C143" s="27" t="s">
        <v>36</v>
      </c>
      <c r="D143" s="35">
        <f t="shared" ca="1" si="19"/>
        <v>756.5</v>
      </c>
      <c r="E143" s="32">
        <f t="shared" ca="1" si="20"/>
        <v>0</v>
      </c>
      <c r="F143" s="35">
        <f t="shared" ca="1" si="21"/>
        <v>756.5</v>
      </c>
      <c r="G143" s="32">
        <f t="shared" ca="1" si="22"/>
        <v>0</v>
      </c>
      <c r="H143" s="35">
        <f t="shared" ca="1" si="23"/>
        <v>29.5</v>
      </c>
      <c r="I143" s="32">
        <f t="shared" ca="1" si="24"/>
        <v>0</v>
      </c>
      <c r="J143" s="35">
        <f t="shared" ca="1" si="25"/>
        <v>28</v>
      </c>
      <c r="K143" s="32">
        <f t="shared" ca="1" si="26"/>
        <v>0</v>
      </c>
    </row>
    <row r="144" spans="1:11" x14ac:dyDescent="0.25">
      <c r="A144" s="11">
        <f t="shared" si="18"/>
        <v>44</v>
      </c>
      <c r="B144" t="str">
        <f ca="1">TEXT(DATE(YEAR(Invoer!$A$5),1,1)+ROWS(B$2:B144)-1,"jjjjmmdd")</f>
        <v>19200522</v>
      </c>
      <c r="C144" s="27" t="s">
        <v>36</v>
      </c>
      <c r="D144" s="35">
        <f t="shared" ca="1" si="19"/>
        <v>756</v>
      </c>
      <c r="E144" s="32">
        <f t="shared" ca="1" si="20"/>
        <v>0</v>
      </c>
      <c r="F144" s="35">
        <f t="shared" ca="1" si="21"/>
        <v>754</v>
      </c>
      <c r="G144" s="32">
        <f t="shared" ca="1" si="22"/>
        <v>0</v>
      </c>
      <c r="H144" s="35">
        <f t="shared" ca="1" si="23"/>
        <v>29</v>
      </c>
      <c r="I144" s="32">
        <f t="shared" ca="1" si="24"/>
        <v>0</v>
      </c>
      <c r="J144" s="35">
        <f t="shared" ca="1" si="25"/>
        <v>28</v>
      </c>
      <c r="K144" s="32">
        <f t="shared" ca="1" si="26"/>
        <v>0</v>
      </c>
    </row>
    <row r="145" spans="1:11" x14ac:dyDescent="0.25">
      <c r="A145" s="11">
        <f t="shared" si="18"/>
        <v>44</v>
      </c>
      <c r="B145" t="str">
        <f ca="1">TEXT(DATE(YEAR(Invoer!$A$5),1,1)+ROWS(B$2:B145)-1,"jjjjmmdd")</f>
        <v>19200523</v>
      </c>
      <c r="C145" s="27" t="s">
        <v>36</v>
      </c>
      <c r="D145" s="35">
        <f t="shared" ca="1" si="19"/>
        <v>756</v>
      </c>
      <c r="E145" s="32">
        <f t="shared" ca="1" si="20"/>
        <v>0</v>
      </c>
      <c r="F145" s="35">
        <f t="shared" ca="1" si="21"/>
        <v>754</v>
      </c>
      <c r="G145" s="32">
        <f t="shared" ca="1" si="22"/>
        <v>0</v>
      </c>
      <c r="H145" s="35">
        <f t="shared" ca="1" si="23"/>
        <v>29</v>
      </c>
      <c r="I145" s="32">
        <f t="shared" ca="1" si="24"/>
        <v>0</v>
      </c>
      <c r="J145" s="35">
        <f t="shared" ca="1" si="25"/>
        <v>28</v>
      </c>
      <c r="K145" s="32">
        <f t="shared" ca="1" si="26"/>
        <v>0</v>
      </c>
    </row>
    <row r="146" spans="1:11" x14ac:dyDescent="0.25">
      <c r="A146" s="11">
        <f t="shared" si="18"/>
        <v>44</v>
      </c>
      <c r="B146" t="str">
        <f ca="1">TEXT(DATE(YEAR(Invoer!$A$5),1,1)+ROWS(B$2:B146)-1,"jjjjmmdd")</f>
        <v>19200524</v>
      </c>
      <c r="C146" s="27" t="s">
        <v>36</v>
      </c>
      <c r="D146" s="35">
        <f t="shared" ca="1" si="19"/>
        <v>756</v>
      </c>
      <c r="E146" s="32">
        <f t="shared" ca="1" si="20"/>
        <v>0</v>
      </c>
      <c r="F146" s="35">
        <f t="shared" ca="1" si="21"/>
        <v>754</v>
      </c>
      <c r="G146" s="32">
        <f t="shared" ca="1" si="22"/>
        <v>0</v>
      </c>
      <c r="H146" s="35">
        <f t="shared" ca="1" si="23"/>
        <v>29</v>
      </c>
      <c r="I146" s="32">
        <f t="shared" ca="1" si="24"/>
        <v>0</v>
      </c>
      <c r="J146" s="35">
        <f t="shared" ca="1" si="25"/>
        <v>28</v>
      </c>
      <c r="K146" s="32">
        <f t="shared" ca="1" si="26"/>
        <v>0</v>
      </c>
    </row>
    <row r="147" spans="1:11" x14ac:dyDescent="0.25">
      <c r="A147" s="11">
        <f t="shared" si="18"/>
        <v>44</v>
      </c>
      <c r="B147" t="str">
        <f ca="1">TEXT(DATE(YEAR(Invoer!$A$5),1,1)+ROWS(B$2:B147)-1,"jjjjmmdd")</f>
        <v>19200525</v>
      </c>
      <c r="C147" s="27" t="s">
        <v>36</v>
      </c>
      <c r="D147" s="35">
        <f t="shared" ca="1" si="19"/>
        <v>756.5</v>
      </c>
      <c r="E147" s="32">
        <f t="shared" ca="1" si="20"/>
        <v>0</v>
      </c>
      <c r="F147" s="35">
        <f t="shared" ca="1" si="21"/>
        <v>754</v>
      </c>
      <c r="G147" s="32">
        <f t="shared" ca="1" si="22"/>
        <v>0</v>
      </c>
      <c r="H147" s="35">
        <f t="shared" ca="1" si="23"/>
        <v>29.5</v>
      </c>
      <c r="I147" s="32">
        <f t="shared" ca="1" si="24"/>
        <v>0</v>
      </c>
      <c r="J147" s="35">
        <f t="shared" ca="1" si="25"/>
        <v>28</v>
      </c>
      <c r="K147" s="32">
        <f t="shared" ca="1" si="26"/>
        <v>0</v>
      </c>
    </row>
    <row r="148" spans="1:11" x14ac:dyDescent="0.25">
      <c r="A148" s="11">
        <f t="shared" si="18"/>
        <v>44</v>
      </c>
      <c r="B148" t="str">
        <f ca="1">TEXT(DATE(YEAR(Invoer!$A$5),1,1)+ROWS(B$2:B148)-1,"jjjjmmdd")</f>
        <v>19200526</v>
      </c>
      <c r="C148" s="27" t="s">
        <v>36</v>
      </c>
      <c r="D148" s="35">
        <f t="shared" ca="1" si="19"/>
        <v>756</v>
      </c>
      <c r="E148" s="32">
        <f t="shared" ca="1" si="20"/>
        <v>0</v>
      </c>
      <c r="F148" s="35">
        <f t="shared" ca="1" si="21"/>
        <v>753.5</v>
      </c>
      <c r="G148" s="32">
        <f t="shared" ca="1" si="22"/>
        <v>0</v>
      </c>
      <c r="H148" s="35">
        <f t="shared" ca="1" si="23"/>
        <v>30.5</v>
      </c>
      <c r="I148" s="32">
        <f t="shared" ca="1" si="24"/>
        <v>0</v>
      </c>
      <c r="J148" s="35">
        <f t="shared" ca="1" si="25"/>
        <v>29</v>
      </c>
      <c r="K148" s="32">
        <f t="shared" ca="1" si="26"/>
        <v>0</v>
      </c>
    </row>
    <row r="149" spans="1:11" x14ac:dyDescent="0.25">
      <c r="A149" s="11">
        <f t="shared" si="18"/>
        <v>44</v>
      </c>
      <c r="B149" t="str">
        <f ca="1">TEXT(DATE(YEAR(Invoer!$A$5),1,1)+ROWS(B$2:B149)-1,"jjjjmmdd")</f>
        <v>19200527</v>
      </c>
      <c r="C149" s="27" t="s">
        <v>36</v>
      </c>
      <c r="D149" s="35">
        <f t="shared" ca="1" si="19"/>
        <v>755</v>
      </c>
      <c r="E149" s="32">
        <f t="shared" ca="1" si="20"/>
        <v>0</v>
      </c>
      <c r="F149" s="35">
        <f t="shared" ca="1" si="21"/>
        <v>753</v>
      </c>
      <c r="G149" s="32">
        <f t="shared" ca="1" si="22"/>
        <v>0</v>
      </c>
      <c r="H149" s="35">
        <f t="shared" ca="1" si="23"/>
        <v>31</v>
      </c>
      <c r="I149" s="32">
        <f t="shared" ca="1" si="24"/>
        <v>0</v>
      </c>
      <c r="J149" s="35">
        <f t="shared" ca="1" si="25"/>
        <v>29</v>
      </c>
      <c r="K149" s="32">
        <f t="shared" ca="1" si="26"/>
        <v>0</v>
      </c>
    </row>
    <row r="150" spans="1:11" x14ac:dyDescent="0.25">
      <c r="A150" s="11">
        <f t="shared" si="18"/>
        <v>44</v>
      </c>
      <c r="B150" t="str">
        <f ca="1">TEXT(DATE(YEAR(Invoer!$A$5),1,1)+ROWS(B$2:B150)-1,"jjjjmmdd")</f>
        <v>19200528</v>
      </c>
      <c r="C150" s="27" t="s">
        <v>36</v>
      </c>
      <c r="D150" s="35">
        <f t="shared" ca="1" si="19"/>
        <v>755.5</v>
      </c>
      <c r="E150" s="32">
        <f t="shared" ca="1" si="20"/>
        <v>0</v>
      </c>
      <c r="F150" s="35">
        <f t="shared" ca="1" si="21"/>
        <v>752</v>
      </c>
      <c r="G150" s="32">
        <f t="shared" ca="1" si="22"/>
        <v>0</v>
      </c>
      <c r="H150" s="35">
        <f t="shared" ca="1" si="23"/>
        <v>30</v>
      </c>
      <c r="I150" s="32">
        <f t="shared" ca="1" si="24"/>
        <v>0</v>
      </c>
      <c r="J150" s="35">
        <f t="shared" ca="1" si="25"/>
        <v>28</v>
      </c>
      <c r="K150" s="32">
        <f t="shared" ca="1" si="26"/>
        <v>0</v>
      </c>
    </row>
    <row r="151" spans="1:11" x14ac:dyDescent="0.25">
      <c r="A151" s="11">
        <f t="shared" si="18"/>
        <v>44</v>
      </c>
      <c r="B151" t="str">
        <f ca="1">TEXT(DATE(YEAR(Invoer!$A$5),1,1)+ROWS(B$2:B151)-1,"jjjjmmdd")</f>
        <v>19200529</v>
      </c>
      <c r="C151" s="27" t="s">
        <v>36</v>
      </c>
      <c r="D151" s="35">
        <f t="shared" ca="1" si="19"/>
        <v>755</v>
      </c>
      <c r="E151" s="32">
        <f t="shared" ca="1" si="20"/>
        <v>0</v>
      </c>
      <c r="F151" s="35">
        <f t="shared" ca="1" si="21"/>
        <v>753</v>
      </c>
      <c r="G151" s="32">
        <f t="shared" ca="1" si="22"/>
        <v>0</v>
      </c>
      <c r="H151" s="35">
        <f t="shared" ca="1" si="23"/>
        <v>31</v>
      </c>
      <c r="I151" s="32">
        <f t="shared" ca="1" si="24"/>
        <v>0</v>
      </c>
      <c r="J151" s="35">
        <f t="shared" ca="1" si="25"/>
        <v>30</v>
      </c>
      <c r="K151" s="32">
        <f t="shared" ca="1" si="26"/>
        <v>0</v>
      </c>
    </row>
    <row r="152" spans="1:11" x14ac:dyDescent="0.25">
      <c r="A152" s="11">
        <f t="shared" si="18"/>
        <v>44</v>
      </c>
      <c r="B152" t="str">
        <f ca="1">TEXT(DATE(YEAR(Invoer!$A$5),1,1)+ROWS(B$2:B152)-1,"jjjjmmdd")</f>
        <v>19200530</v>
      </c>
      <c r="C152" s="27" t="s">
        <v>36</v>
      </c>
      <c r="D152" s="35">
        <f t="shared" ca="1" si="19"/>
        <v>755</v>
      </c>
      <c r="E152" s="32">
        <f t="shared" ca="1" si="20"/>
        <v>0</v>
      </c>
      <c r="F152" s="35">
        <f t="shared" ca="1" si="21"/>
        <v>753</v>
      </c>
      <c r="G152" s="32">
        <f t="shared" ca="1" si="22"/>
        <v>0</v>
      </c>
      <c r="H152" s="35">
        <f t="shared" ca="1" si="23"/>
        <v>31</v>
      </c>
      <c r="I152" s="32">
        <f t="shared" ca="1" si="24"/>
        <v>0</v>
      </c>
      <c r="J152" s="35">
        <f t="shared" ca="1" si="25"/>
        <v>30</v>
      </c>
      <c r="K152" s="32">
        <f t="shared" ca="1" si="26"/>
        <v>0</v>
      </c>
    </row>
    <row r="153" spans="1:11" x14ac:dyDescent="0.25">
      <c r="A153" s="11">
        <f t="shared" si="18"/>
        <v>44</v>
      </c>
      <c r="B153" t="str">
        <f ca="1">TEXT(DATE(YEAR(Invoer!$A$5),1,1)+ROWS(B$2:B153)-1,"jjjjmmdd")</f>
        <v>19200531</v>
      </c>
      <c r="C153" s="27" t="s">
        <v>36</v>
      </c>
      <c r="D153" s="35">
        <f t="shared" ca="1" si="19"/>
        <v>756</v>
      </c>
      <c r="E153" s="32">
        <f t="shared" ca="1" si="20"/>
        <v>0</v>
      </c>
      <c r="F153" s="35">
        <f t="shared" ca="1" si="21"/>
        <v>754.5</v>
      </c>
      <c r="G153" s="32">
        <f t="shared" ca="1" si="22"/>
        <v>0</v>
      </c>
      <c r="H153" s="35">
        <f t="shared" ca="1" si="23"/>
        <v>30</v>
      </c>
      <c r="I153" s="32">
        <f t="shared" ca="1" si="24"/>
        <v>0</v>
      </c>
      <c r="J153" s="35">
        <f t="shared" ca="1" si="25"/>
        <v>29</v>
      </c>
      <c r="K153" s="32">
        <f t="shared" ca="1" si="26"/>
        <v>0</v>
      </c>
    </row>
    <row r="154" spans="1:11" x14ac:dyDescent="0.25">
      <c r="A154" s="11">
        <f t="shared" si="18"/>
        <v>44</v>
      </c>
      <c r="B154" t="str">
        <f ca="1">TEXT(DATE(YEAR(Invoer!$A$5),1,1)+ROWS(B$2:B154)-1,"jjjjmmdd")</f>
        <v>19200601</v>
      </c>
      <c r="C154" s="27" t="s">
        <v>36</v>
      </c>
      <c r="D154" s="35">
        <f t="shared" ca="1" si="19"/>
        <v>756</v>
      </c>
      <c r="E154" s="32">
        <f t="shared" ca="1" si="20"/>
        <v>0</v>
      </c>
      <c r="F154" s="35">
        <f t="shared" ca="1" si="21"/>
        <v>754.5</v>
      </c>
      <c r="G154" s="32">
        <f t="shared" ca="1" si="22"/>
        <v>0</v>
      </c>
      <c r="H154" s="35">
        <f t="shared" ca="1" si="23"/>
        <v>29</v>
      </c>
      <c r="I154" s="32">
        <f t="shared" ca="1" si="24"/>
        <v>0</v>
      </c>
      <c r="J154" s="35">
        <f t="shared" ca="1" si="25"/>
        <v>28</v>
      </c>
      <c r="K154" s="32">
        <f t="shared" ca="1" si="26"/>
        <v>0</v>
      </c>
    </row>
    <row r="155" spans="1:11" x14ac:dyDescent="0.25">
      <c r="A155" s="11">
        <f t="shared" si="18"/>
        <v>44</v>
      </c>
      <c r="B155" t="str">
        <f ca="1">TEXT(DATE(YEAR(Invoer!$A$5),1,1)+ROWS(B$2:B155)-1,"jjjjmmdd")</f>
        <v>19200602</v>
      </c>
      <c r="C155" s="27" t="s">
        <v>36</v>
      </c>
      <c r="D155" s="35">
        <f t="shared" ca="1" si="19"/>
        <v>757</v>
      </c>
      <c r="E155" s="32">
        <f t="shared" ca="1" si="20"/>
        <v>0</v>
      </c>
      <c r="F155" s="35">
        <f t="shared" ca="1" si="21"/>
        <v>754.5</v>
      </c>
      <c r="G155" s="32">
        <f t="shared" ca="1" si="22"/>
        <v>0</v>
      </c>
      <c r="H155" s="35">
        <f t="shared" ca="1" si="23"/>
        <v>29</v>
      </c>
      <c r="I155" s="32">
        <f t="shared" ca="1" si="24"/>
        <v>0</v>
      </c>
      <c r="J155" s="35">
        <f t="shared" ca="1" si="25"/>
        <v>28</v>
      </c>
      <c r="K155" s="32">
        <f t="shared" ca="1" si="26"/>
        <v>0</v>
      </c>
    </row>
    <row r="156" spans="1:11" x14ac:dyDescent="0.25">
      <c r="A156" s="11">
        <f t="shared" si="18"/>
        <v>44</v>
      </c>
      <c r="B156" t="str">
        <f ca="1">TEXT(DATE(YEAR(Invoer!$A$5),1,1)+ROWS(B$2:B156)-1,"jjjjmmdd")</f>
        <v>19200603</v>
      </c>
      <c r="C156" s="27" t="s">
        <v>36</v>
      </c>
      <c r="D156" s="35">
        <f t="shared" ca="1" si="19"/>
        <v>756.5</v>
      </c>
      <c r="E156" s="32">
        <f t="shared" ca="1" si="20"/>
        <v>0</v>
      </c>
      <c r="F156" s="35">
        <f t="shared" ca="1" si="21"/>
        <v>755</v>
      </c>
      <c r="G156" s="32">
        <f t="shared" ca="1" si="22"/>
        <v>0</v>
      </c>
      <c r="H156" s="35">
        <f t="shared" ca="1" si="23"/>
        <v>29</v>
      </c>
      <c r="I156" s="32">
        <f t="shared" ca="1" si="24"/>
        <v>0</v>
      </c>
      <c r="J156" s="35">
        <f t="shared" ca="1" si="25"/>
        <v>28.5</v>
      </c>
      <c r="K156" s="32">
        <f t="shared" ca="1" si="26"/>
        <v>0</v>
      </c>
    </row>
    <row r="157" spans="1:11" x14ac:dyDescent="0.25">
      <c r="A157" s="11">
        <f t="shared" si="18"/>
        <v>44</v>
      </c>
      <c r="B157" t="str">
        <f ca="1">TEXT(DATE(YEAR(Invoer!$A$5),1,1)+ROWS(B$2:B157)-1,"jjjjmmdd")</f>
        <v>19200604</v>
      </c>
      <c r="C157" s="27" t="s">
        <v>36</v>
      </c>
      <c r="D157" s="35">
        <f t="shared" ca="1" si="19"/>
        <v>757</v>
      </c>
      <c r="E157" s="32">
        <f t="shared" ca="1" si="20"/>
        <v>0</v>
      </c>
      <c r="F157" s="35">
        <f t="shared" ca="1" si="21"/>
        <v>755</v>
      </c>
      <c r="G157" s="32">
        <f t="shared" ca="1" si="22"/>
        <v>0</v>
      </c>
      <c r="H157" s="35">
        <f t="shared" ca="1" si="23"/>
        <v>29</v>
      </c>
      <c r="I157" s="32">
        <f t="shared" ca="1" si="24"/>
        <v>0</v>
      </c>
      <c r="J157" s="35">
        <f t="shared" ca="1" si="25"/>
        <v>28</v>
      </c>
      <c r="K157" s="32">
        <f t="shared" ca="1" si="26"/>
        <v>0</v>
      </c>
    </row>
    <row r="158" spans="1:11" x14ac:dyDescent="0.25">
      <c r="A158" s="11">
        <f t="shared" si="18"/>
        <v>44</v>
      </c>
      <c r="B158" t="str">
        <f ca="1">TEXT(DATE(YEAR(Invoer!$A$5),1,1)+ROWS(B$2:B158)-1,"jjjjmmdd")</f>
        <v>19200605</v>
      </c>
      <c r="C158" s="27" t="s">
        <v>36</v>
      </c>
      <c r="D158" s="35">
        <f t="shared" ca="1" si="19"/>
        <v>759.5</v>
      </c>
      <c r="E158" s="32">
        <f t="shared" ca="1" si="20"/>
        <v>0</v>
      </c>
      <c r="F158" s="35">
        <f t="shared" ca="1" si="21"/>
        <v>756.5</v>
      </c>
      <c r="G158" s="32">
        <f t="shared" ca="1" si="22"/>
        <v>0</v>
      </c>
      <c r="H158" s="35">
        <f t="shared" ca="1" si="23"/>
        <v>29</v>
      </c>
      <c r="I158" s="32">
        <f t="shared" ca="1" si="24"/>
        <v>0</v>
      </c>
      <c r="J158" s="35">
        <f t="shared" ca="1" si="25"/>
        <v>28</v>
      </c>
      <c r="K158" s="32">
        <f t="shared" ca="1" si="26"/>
        <v>0</v>
      </c>
    </row>
    <row r="159" spans="1:11" x14ac:dyDescent="0.25">
      <c r="A159" s="11">
        <f t="shared" si="18"/>
        <v>44</v>
      </c>
      <c r="B159" t="str">
        <f ca="1">TEXT(DATE(YEAR(Invoer!$A$5),1,1)+ROWS(B$2:B159)-1,"jjjjmmdd")</f>
        <v>19200606</v>
      </c>
      <c r="C159" s="27" t="s">
        <v>36</v>
      </c>
      <c r="D159" s="35">
        <f t="shared" ca="1" si="19"/>
        <v>759.5</v>
      </c>
      <c r="E159" s="32">
        <f t="shared" ca="1" si="20"/>
        <v>0</v>
      </c>
      <c r="F159" s="35">
        <f t="shared" ca="1" si="21"/>
        <v>756.5</v>
      </c>
      <c r="G159" s="32">
        <f t="shared" ca="1" si="22"/>
        <v>0</v>
      </c>
      <c r="H159" s="35">
        <f t="shared" ca="1" si="23"/>
        <v>29</v>
      </c>
      <c r="I159" s="32">
        <f t="shared" ca="1" si="24"/>
        <v>0</v>
      </c>
      <c r="J159" s="35">
        <f t="shared" ca="1" si="25"/>
        <v>28</v>
      </c>
      <c r="K159" s="32">
        <f t="shared" ca="1" si="26"/>
        <v>0</v>
      </c>
    </row>
    <row r="160" spans="1:11" x14ac:dyDescent="0.25">
      <c r="A160" s="11">
        <f t="shared" si="18"/>
        <v>44</v>
      </c>
      <c r="B160" t="str">
        <f ca="1">TEXT(DATE(YEAR(Invoer!$A$5),1,1)+ROWS(B$2:B160)-1,"jjjjmmdd")</f>
        <v>19200607</v>
      </c>
      <c r="C160" s="27" t="s">
        <v>36</v>
      </c>
      <c r="D160" s="35">
        <f t="shared" ca="1" si="19"/>
        <v>759.5</v>
      </c>
      <c r="E160" s="32">
        <f t="shared" ca="1" si="20"/>
        <v>0</v>
      </c>
      <c r="F160" s="35">
        <f t="shared" ca="1" si="21"/>
        <v>756.5</v>
      </c>
      <c r="G160" s="32">
        <f t="shared" ca="1" si="22"/>
        <v>0</v>
      </c>
      <c r="H160" s="35">
        <f t="shared" ca="1" si="23"/>
        <v>29.5</v>
      </c>
      <c r="I160" s="32">
        <f t="shared" ca="1" si="24"/>
        <v>0</v>
      </c>
      <c r="J160" s="35">
        <f t="shared" ca="1" si="25"/>
        <v>29</v>
      </c>
      <c r="K160" s="32">
        <f t="shared" ca="1" si="26"/>
        <v>0</v>
      </c>
    </row>
    <row r="161" spans="1:11" x14ac:dyDescent="0.25">
      <c r="A161" s="11">
        <f t="shared" si="18"/>
        <v>44</v>
      </c>
      <c r="B161" t="str">
        <f ca="1">TEXT(DATE(YEAR(Invoer!$A$5),1,1)+ROWS(B$2:B161)-1,"jjjjmmdd")</f>
        <v>19200608</v>
      </c>
      <c r="C161" s="27" t="s">
        <v>36</v>
      </c>
      <c r="D161" s="35">
        <f t="shared" ca="1" si="19"/>
        <v>756.5</v>
      </c>
      <c r="E161" s="32">
        <f t="shared" ca="1" si="20"/>
        <v>0</v>
      </c>
      <c r="F161" s="35">
        <f t="shared" ca="1" si="21"/>
        <v>754.5</v>
      </c>
      <c r="G161" s="32">
        <f t="shared" ca="1" si="22"/>
        <v>0</v>
      </c>
      <c r="H161" s="35">
        <f t="shared" ca="1" si="23"/>
        <v>30</v>
      </c>
      <c r="I161" s="32">
        <f t="shared" ca="1" si="24"/>
        <v>0</v>
      </c>
      <c r="J161" s="35">
        <f t="shared" ca="1" si="25"/>
        <v>29</v>
      </c>
      <c r="K161" s="32">
        <f t="shared" ca="1" si="26"/>
        <v>0</v>
      </c>
    </row>
    <row r="162" spans="1:11" x14ac:dyDescent="0.25">
      <c r="A162" s="11">
        <f t="shared" si="18"/>
        <v>44</v>
      </c>
      <c r="B162" t="str">
        <f ca="1">TEXT(DATE(YEAR(Invoer!$A$5),1,1)+ROWS(B$2:B162)-1,"jjjjmmdd")</f>
        <v>19200609</v>
      </c>
      <c r="C162" s="27" t="s">
        <v>36</v>
      </c>
      <c r="D162" s="35">
        <f t="shared" ca="1" si="19"/>
        <v>755</v>
      </c>
      <c r="E162" s="32">
        <f t="shared" ca="1" si="20"/>
        <v>0</v>
      </c>
      <c r="F162" s="35">
        <f t="shared" ca="1" si="21"/>
        <v>754.5</v>
      </c>
      <c r="G162" s="32">
        <f t="shared" ca="1" si="22"/>
        <v>0</v>
      </c>
      <c r="H162" s="35">
        <f t="shared" ca="1" si="23"/>
        <v>30</v>
      </c>
      <c r="I162" s="32">
        <f t="shared" ca="1" si="24"/>
        <v>0</v>
      </c>
      <c r="J162" s="35">
        <f t="shared" ca="1" si="25"/>
        <v>28</v>
      </c>
      <c r="K162" s="32">
        <f t="shared" ca="1" si="26"/>
        <v>0</v>
      </c>
    </row>
    <row r="163" spans="1:11" x14ac:dyDescent="0.25">
      <c r="A163" s="11">
        <f t="shared" si="18"/>
        <v>44</v>
      </c>
      <c r="B163" t="str">
        <f ca="1">TEXT(DATE(YEAR(Invoer!$A$5),1,1)+ROWS(B$2:B163)-1,"jjjjmmdd")</f>
        <v>19200610</v>
      </c>
      <c r="C163" s="27" t="s">
        <v>36</v>
      </c>
      <c r="D163" s="35">
        <f t="shared" ca="1" si="19"/>
        <v>755</v>
      </c>
      <c r="E163" s="32">
        <f t="shared" ca="1" si="20"/>
        <v>0</v>
      </c>
      <c r="F163" s="35">
        <f t="shared" ca="1" si="21"/>
        <v>753.5</v>
      </c>
      <c r="G163" s="32">
        <f t="shared" ca="1" si="22"/>
        <v>0</v>
      </c>
      <c r="H163" s="35">
        <f t="shared" ca="1" si="23"/>
        <v>30</v>
      </c>
      <c r="I163" s="32">
        <f t="shared" ca="1" si="24"/>
        <v>0</v>
      </c>
      <c r="J163" s="35">
        <f t="shared" ca="1" si="25"/>
        <v>29</v>
      </c>
      <c r="K163" s="32">
        <f t="shared" ca="1" si="26"/>
        <v>0</v>
      </c>
    </row>
    <row r="164" spans="1:11" x14ac:dyDescent="0.25">
      <c r="A164" s="11">
        <f t="shared" si="18"/>
        <v>44</v>
      </c>
      <c r="B164" t="str">
        <f ca="1">TEXT(DATE(YEAR(Invoer!$A$5),1,1)+ROWS(B$2:B164)-1,"jjjjmmdd")</f>
        <v>19200611</v>
      </c>
      <c r="C164" s="27" t="s">
        <v>36</v>
      </c>
      <c r="D164" s="35">
        <f t="shared" ca="1" si="19"/>
        <v>755</v>
      </c>
      <c r="E164" s="32">
        <f t="shared" ca="1" si="20"/>
        <v>0</v>
      </c>
      <c r="F164" s="35">
        <f t="shared" ca="1" si="21"/>
        <v>754.5</v>
      </c>
      <c r="G164" s="32">
        <f t="shared" ca="1" si="22"/>
        <v>0</v>
      </c>
      <c r="H164" s="35">
        <f t="shared" ca="1" si="23"/>
        <v>30</v>
      </c>
      <c r="I164" s="32">
        <f t="shared" ca="1" si="24"/>
        <v>0</v>
      </c>
      <c r="J164" s="35">
        <f t="shared" ca="1" si="25"/>
        <v>30</v>
      </c>
      <c r="K164" s="32">
        <f t="shared" ca="1" si="26"/>
        <v>0</v>
      </c>
    </row>
    <row r="165" spans="1:11" x14ac:dyDescent="0.25">
      <c r="A165" s="11">
        <f t="shared" si="18"/>
        <v>44</v>
      </c>
      <c r="B165" t="str">
        <f ca="1">TEXT(DATE(YEAR(Invoer!$A$5),1,1)+ROWS(B$2:B165)-1,"jjjjmmdd")</f>
        <v>19200612</v>
      </c>
      <c r="C165" s="27" t="s">
        <v>36</v>
      </c>
      <c r="D165" s="35">
        <f t="shared" ca="1" si="19"/>
        <v>756.5</v>
      </c>
      <c r="E165" s="32">
        <f t="shared" ca="1" si="20"/>
        <v>0</v>
      </c>
      <c r="F165" s="35">
        <f t="shared" ca="1" si="21"/>
        <v>755</v>
      </c>
      <c r="G165" s="32">
        <f t="shared" ca="1" si="22"/>
        <v>0</v>
      </c>
      <c r="H165" s="35">
        <f t="shared" ca="1" si="23"/>
        <v>30</v>
      </c>
      <c r="I165" s="32">
        <f t="shared" ca="1" si="24"/>
        <v>0</v>
      </c>
      <c r="J165" s="35">
        <f t="shared" ca="1" si="25"/>
        <v>29</v>
      </c>
      <c r="K165" s="32">
        <f t="shared" ca="1" si="26"/>
        <v>0</v>
      </c>
    </row>
    <row r="166" spans="1:11" x14ac:dyDescent="0.25">
      <c r="A166" s="11">
        <f t="shared" si="18"/>
        <v>44</v>
      </c>
      <c r="B166" t="str">
        <f ca="1">TEXT(DATE(YEAR(Invoer!$A$5),1,1)+ROWS(B$2:B166)-1,"jjjjmmdd")</f>
        <v>19200613</v>
      </c>
      <c r="C166" s="27" t="s">
        <v>36</v>
      </c>
      <c r="D166" s="35">
        <f t="shared" ca="1" si="19"/>
        <v>756.5</v>
      </c>
      <c r="E166" s="32">
        <f t="shared" ca="1" si="20"/>
        <v>0</v>
      </c>
      <c r="F166" s="35">
        <f t="shared" ca="1" si="21"/>
        <v>755</v>
      </c>
      <c r="G166" s="32">
        <f t="shared" ca="1" si="22"/>
        <v>0</v>
      </c>
      <c r="H166" s="35">
        <f t="shared" ca="1" si="23"/>
        <v>30</v>
      </c>
      <c r="I166" s="32">
        <f t="shared" ca="1" si="24"/>
        <v>0</v>
      </c>
      <c r="J166" s="35">
        <f t="shared" ca="1" si="25"/>
        <v>29</v>
      </c>
      <c r="K166" s="32">
        <f t="shared" ca="1" si="26"/>
        <v>0</v>
      </c>
    </row>
    <row r="167" spans="1:11" x14ac:dyDescent="0.25">
      <c r="A167" s="11">
        <f t="shared" si="18"/>
        <v>44</v>
      </c>
      <c r="B167" t="str">
        <f ca="1">TEXT(DATE(YEAR(Invoer!$A$5),1,1)+ROWS(B$2:B167)-1,"jjjjmmdd")</f>
        <v>19200614</v>
      </c>
      <c r="C167" s="27" t="s">
        <v>36</v>
      </c>
      <c r="D167" s="35">
        <f t="shared" ca="1" si="19"/>
        <v>757</v>
      </c>
      <c r="E167" s="32">
        <f t="shared" ca="1" si="20"/>
        <v>0</v>
      </c>
      <c r="F167" s="35">
        <f t="shared" ca="1" si="21"/>
        <v>755</v>
      </c>
      <c r="G167" s="32">
        <f t="shared" ca="1" si="22"/>
        <v>0</v>
      </c>
      <c r="H167" s="35">
        <f t="shared" ca="1" si="23"/>
        <v>29</v>
      </c>
      <c r="I167" s="32">
        <f t="shared" ca="1" si="24"/>
        <v>0</v>
      </c>
      <c r="J167" s="35">
        <f t="shared" ca="1" si="25"/>
        <v>28</v>
      </c>
      <c r="K167" s="32">
        <f t="shared" ca="1" si="26"/>
        <v>0</v>
      </c>
    </row>
    <row r="168" spans="1:11" x14ac:dyDescent="0.25">
      <c r="A168" s="11">
        <f t="shared" si="18"/>
        <v>44</v>
      </c>
      <c r="B168" t="str">
        <f ca="1">TEXT(DATE(YEAR(Invoer!$A$5),1,1)+ROWS(B$2:B168)-1,"jjjjmmdd")</f>
        <v>19200615</v>
      </c>
      <c r="C168" s="27" t="s">
        <v>36</v>
      </c>
      <c r="D168" s="35">
        <f t="shared" ca="1" si="19"/>
        <v>756</v>
      </c>
      <c r="E168" s="32">
        <f t="shared" ca="1" si="20"/>
        <v>0</v>
      </c>
      <c r="F168" s="35">
        <f t="shared" ca="1" si="21"/>
        <v>755</v>
      </c>
      <c r="G168" s="32">
        <f t="shared" ca="1" si="22"/>
        <v>0</v>
      </c>
      <c r="H168" s="35">
        <f t="shared" ca="1" si="23"/>
        <v>29</v>
      </c>
      <c r="I168" s="32">
        <f t="shared" ca="1" si="24"/>
        <v>0</v>
      </c>
      <c r="J168" s="35">
        <f t="shared" ca="1" si="25"/>
        <v>28.5</v>
      </c>
      <c r="K168" s="32">
        <f t="shared" ca="1" si="26"/>
        <v>0</v>
      </c>
    </row>
    <row r="169" spans="1:11" x14ac:dyDescent="0.25">
      <c r="A169" s="11">
        <f t="shared" si="18"/>
        <v>44</v>
      </c>
      <c r="B169" t="str">
        <f ca="1">TEXT(DATE(YEAR(Invoer!$A$5),1,1)+ROWS(B$2:B169)-1,"jjjjmmdd")</f>
        <v>19200616</v>
      </c>
      <c r="C169" s="27" t="s">
        <v>36</v>
      </c>
      <c r="D169" s="35">
        <f t="shared" ca="1" si="19"/>
        <v>756</v>
      </c>
      <c r="E169" s="32">
        <f t="shared" ca="1" si="20"/>
        <v>0</v>
      </c>
      <c r="F169" s="35">
        <f t="shared" ca="1" si="21"/>
        <v>754</v>
      </c>
      <c r="G169" s="32">
        <f t="shared" ca="1" si="22"/>
        <v>0</v>
      </c>
      <c r="H169" s="35">
        <f t="shared" ca="1" si="23"/>
        <v>29.5</v>
      </c>
      <c r="I169" s="32">
        <f t="shared" ca="1" si="24"/>
        <v>0</v>
      </c>
      <c r="J169" s="35">
        <f t="shared" ca="1" si="25"/>
        <v>29</v>
      </c>
      <c r="K169" s="32">
        <f t="shared" ca="1" si="26"/>
        <v>0</v>
      </c>
    </row>
    <row r="170" spans="1:11" x14ac:dyDescent="0.25">
      <c r="A170" s="11">
        <f t="shared" si="18"/>
        <v>44</v>
      </c>
      <c r="B170" t="str">
        <f ca="1">TEXT(DATE(YEAR(Invoer!$A$5),1,1)+ROWS(B$2:B170)-1,"jjjjmmdd")</f>
        <v>19200617</v>
      </c>
      <c r="C170" s="27" t="s">
        <v>36</v>
      </c>
      <c r="D170" s="35">
        <f t="shared" ca="1" si="19"/>
        <v>756.5</v>
      </c>
      <c r="E170" s="32">
        <f t="shared" ca="1" si="20"/>
        <v>0</v>
      </c>
      <c r="F170" s="35">
        <f t="shared" ca="1" si="21"/>
        <v>755</v>
      </c>
      <c r="G170" s="32">
        <f t="shared" ca="1" si="22"/>
        <v>0</v>
      </c>
      <c r="H170" s="35">
        <f t="shared" ca="1" si="23"/>
        <v>30</v>
      </c>
      <c r="I170" s="32">
        <f t="shared" ca="1" si="24"/>
        <v>0</v>
      </c>
      <c r="J170" s="35">
        <f t="shared" ca="1" si="25"/>
        <v>29.5</v>
      </c>
      <c r="K170" s="32">
        <f t="shared" ca="1" si="26"/>
        <v>0</v>
      </c>
    </row>
    <row r="171" spans="1:11" x14ac:dyDescent="0.25">
      <c r="A171" s="11">
        <f t="shared" si="18"/>
        <v>44</v>
      </c>
      <c r="B171" t="str">
        <f ca="1">TEXT(DATE(YEAR(Invoer!$A$5),1,1)+ROWS(B$2:B171)-1,"jjjjmmdd")</f>
        <v>19200618</v>
      </c>
      <c r="C171" s="27" t="s">
        <v>36</v>
      </c>
      <c r="D171" s="35">
        <f t="shared" ca="1" si="19"/>
        <v>757.5</v>
      </c>
      <c r="E171" s="32">
        <f t="shared" ca="1" si="20"/>
        <v>0</v>
      </c>
      <c r="F171" s="35">
        <f t="shared" ca="1" si="21"/>
        <v>755</v>
      </c>
      <c r="G171" s="32">
        <f t="shared" ca="1" si="22"/>
        <v>0</v>
      </c>
      <c r="H171" s="35">
        <f t="shared" ca="1" si="23"/>
        <v>30</v>
      </c>
      <c r="I171" s="32">
        <f t="shared" ca="1" si="24"/>
        <v>0</v>
      </c>
      <c r="J171" s="35">
        <f t="shared" ca="1" si="25"/>
        <v>29</v>
      </c>
      <c r="K171" s="32">
        <f t="shared" ca="1" si="26"/>
        <v>0</v>
      </c>
    </row>
    <row r="172" spans="1:11" x14ac:dyDescent="0.25">
      <c r="A172" s="11">
        <f t="shared" si="18"/>
        <v>44</v>
      </c>
      <c r="B172" t="str">
        <f ca="1">TEXT(DATE(YEAR(Invoer!$A$5),1,1)+ROWS(B$2:B172)-1,"jjjjmmdd")</f>
        <v>19200619</v>
      </c>
      <c r="C172" s="27" t="s">
        <v>36</v>
      </c>
      <c r="D172" s="35">
        <f t="shared" ca="1" si="19"/>
        <v>757.5</v>
      </c>
      <c r="E172" s="32">
        <f t="shared" ca="1" si="20"/>
        <v>0</v>
      </c>
      <c r="F172" s="35">
        <f t="shared" ca="1" si="21"/>
        <v>755</v>
      </c>
      <c r="G172" s="32">
        <f t="shared" ca="1" si="22"/>
        <v>0</v>
      </c>
      <c r="H172" s="35">
        <f t="shared" ca="1" si="23"/>
        <v>29.5</v>
      </c>
      <c r="I172" s="32">
        <f t="shared" ca="1" si="24"/>
        <v>0</v>
      </c>
      <c r="J172" s="35">
        <f t="shared" ca="1" si="25"/>
        <v>28</v>
      </c>
      <c r="K172" s="32">
        <f t="shared" ca="1" si="26"/>
        <v>0</v>
      </c>
    </row>
    <row r="173" spans="1:11" x14ac:dyDescent="0.25">
      <c r="A173" s="11">
        <f t="shared" si="18"/>
        <v>44</v>
      </c>
      <c r="B173" t="str">
        <f ca="1">TEXT(DATE(YEAR(Invoer!$A$5),1,1)+ROWS(B$2:B173)-1,"jjjjmmdd")</f>
        <v>19200620</v>
      </c>
      <c r="C173" s="27" t="s">
        <v>36</v>
      </c>
      <c r="D173" s="35">
        <f t="shared" ca="1" si="19"/>
        <v>757.5</v>
      </c>
      <c r="E173" s="32">
        <f t="shared" ca="1" si="20"/>
        <v>0</v>
      </c>
      <c r="F173" s="35">
        <f t="shared" ca="1" si="21"/>
        <v>755</v>
      </c>
      <c r="G173" s="32">
        <f t="shared" ca="1" si="22"/>
        <v>0</v>
      </c>
      <c r="H173" s="35">
        <f t="shared" ca="1" si="23"/>
        <v>29.5</v>
      </c>
      <c r="I173" s="32">
        <f t="shared" ca="1" si="24"/>
        <v>0</v>
      </c>
      <c r="J173" s="35">
        <f t="shared" ca="1" si="25"/>
        <v>28</v>
      </c>
      <c r="K173" s="32">
        <f t="shared" ca="1" si="26"/>
        <v>0</v>
      </c>
    </row>
    <row r="174" spans="1:11" x14ac:dyDescent="0.25">
      <c r="A174" s="11">
        <f t="shared" si="18"/>
        <v>44</v>
      </c>
      <c r="B174" t="str">
        <f ca="1">TEXT(DATE(YEAR(Invoer!$A$5),1,1)+ROWS(B$2:B174)-1,"jjjjmmdd")</f>
        <v>19200621</v>
      </c>
      <c r="C174" s="27" t="s">
        <v>36</v>
      </c>
      <c r="D174" s="35">
        <f t="shared" ca="1" si="19"/>
        <v>757.5</v>
      </c>
      <c r="E174" s="32">
        <f t="shared" ca="1" si="20"/>
        <v>0</v>
      </c>
      <c r="F174" s="35">
        <f t="shared" ca="1" si="21"/>
        <v>756</v>
      </c>
      <c r="G174" s="32">
        <f t="shared" ca="1" si="22"/>
        <v>0</v>
      </c>
      <c r="H174" s="35">
        <f t="shared" ca="1" si="23"/>
        <v>28</v>
      </c>
      <c r="I174" s="32">
        <f t="shared" ca="1" si="24"/>
        <v>0</v>
      </c>
      <c r="J174" s="35">
        <f t="shared" ca="1" si="25"/>
        <v>27</v>
      </c>
      <c r="K174" s="32">
        <f t="shared" ca="1" si="26"/>
        <v>0</v>
      </c>
    </row>
    <row r="175" spans="1:11" x14ac:dyDescent="0.25">
      <c r="A175" s="11">
        <f t="shared" si="18"/>
        <v>44</v>
      </c>
      <c r="B175" t="str">
        <f ca="1">TEXT(DATE(YEAR(Invoer!$A$5),1,1)+ROWS(B$2:B175)-1,"jjjjmmdd")</f>
        <v>19200622</v>
      </c>
      <c r="C175" s="27" t="s">
        <v>36</v>
      </c>
      <c r="D175" s="35">
        <f t="shared" ca="1" si="19"/>
        <v>756.5</v>
      </c>
      <c r="E175" s="32">
        <f t="shared" ca="1" si="20"/>
        <v>0</v>
      </c>
      <c r="F175" s="35">
        <f t="shared" ca="1" si="21"/>
        <v>755</v>
      </c>
      <c r="G175" s="32">
        <f t="shared" ca="1" si="22"/>
        <v>0</v>
      </c>
      <c r="H175" s="35">
        <f t="shared" ca="1" si="23"/>
        <v>28</v>
      </c>
      <c r="I175" s="32">
        <f t="shared" ca="1" si="24"/>
        <v>0</v>
      </c>
      <c r="J175" s="35">
        <f t="shared" ca="1" si="25"/>
        <v>25</v>
      </c>
      <c r="K175" s="32">
        <f t="shared" ca="1" si="26"/>
        <v>0</v>
      </c>
    </row>
    <row r="176" spans="1:11" x14ac:dyDescent="0.25">
      <c r="A176" s="11">
        <f t="shared" si="18"/>
        <v>44</v>
      </c>
      <c r="B176" t="str">
        <f ca="1">TEXT(DATE(YEAR(Invoer!$A$5),1,1)+ROWS(B$2:B176)-1,"jjjjmmdd")</f>
        <v>19200623</v>
      </c>
      <c r="C176" s="27" t="s">
        <v>36</v>
      </c>
      <c r="D176" s="35">
        <f t="shared" ca="1" si="19"/>
        <v>759.5</v>
      </c>
      <c r="E176" s="32">
        <f t="shared" ca="1" si="20"/>
        <v>0</v>
      </c>
      <c r="F176" s="35">
        <f t="shared" ca="1" si="21"/>
        <v>756.5</v>
      </c>
      <c r="G176" s="32">
        <f t="shared" ca="1" si="22"/>
        <v>0</v>
      </c>
      <c r="H176" s="35">
        <f t="shared" ca="1" si="23"/>
        <v>29</v>
      </c>
      <c r="I176" s="32">
        <f t="shared" ca="1" si="24"/>
        <v>0</v>
      </c>
      <c r="J176" s="35">
        <f t="shared" ca="1" si="25"/>
        <v>27</v>
      </c>
      <c r="K176" s="32">
        <f t="shared" ca="1" si="26"/>
        <v>0</v>
      </c>
    </row>
    <row r="177" spans="1:11" x14ac:dyDescent="0.25">
      <c r="A177" s="11">
        <f t="shared" si="18"/>
        <v>44</v>
      </c>
      <c r="B177" t="str">
        <f ca="1">TEXT(DATE(YEAR(Invoer!$A$5),1,1)+ROWS(B$2:B177)-1,"jjjjmmdd")</f>
        <v>19200624</v>
      </c>
      <c r="C177" s="27" t="s">
        <v>36</v>
      </c>
      <c r="D177" s="35">
        <f t="shared" ca="1" si="19"/>
        <v>757</v>
      </c>
      <c r="E177" s="32">
        <f t="shared" ca="1" si="20"/>
        <v>0</v>
      </c>
      <c r="F177" s="35">
        <f t="shared" ca="1" si="21"/>
        <v>756</v>
      </c>
      <c r="G177" s="32">
        <f t="shared" ca="1" si="22"/>
        <v>0</v>
      </c>
      <c r="H177" s="35">
        <f t="shared" ca="1" si="23"/>
        <v>30</v>
      </c>
      <c r="I177" s="32">
        <f t="shared" ca="1" si="24"/>
        <v>0</v>
      </c>
      <c r="J177" s="35">
        <f t="shared" ca="1" si="25"/>
        <v>28</v>
      </c>
      <c r="K177" s="32">
        <f t="shared" ca="1" si="26"/>
        <v>0</v>
      </c>
    </row>
    <row r="178" spans="1:11" x14ac:dyDescent="0.25">
      <c r="A178" s="11">
        <f t="shared" si="18"/>
        <v>44</v>
      </c>
      <c r="B178" t="str">
        <f ca="1">TEXT(DATE(YEAR(Invoer!$A$5),1,1)+ROWS(B$2:B178)-1,"jjjjmmdd")</f>
        <v>19200625</v>
      </c>
      <c r="C178" s="27" t="s">
        <v>36</v>
      </c>
      <c r="D178" s="35">
        <f t="shared" ca="1" si="19"/>
        <v>757</v>
      </c>
      <c r="E178" s="32">
        <f t="shared" ca="1" si="20"/>
        <v>0</v>
      </c>
      <c r="F178" s="35">
        <f t="shared" ca="1" si="21"/>
        <v>755</v>
      </c>
      <c r="G178" s="32">
        <f t="shared" ca="1" si="22"/>
        <v>0</v>
      </c>
      <c r="H178" s="35">
        <f t="shared" ca="1" si="23"/>
        <v>29</v>
      </c>
      <c r="I178" s="32">
        <f t="shared" ca="1" si="24"/>
        <v>0</v>
      </c>
      <c r="J178" s="35">
        <f t="shared" ca="1" si="25"/>
        <v>29</v>
      </c>
      <c r="K178" s="32">
        <f t="shared" ca="1" si="26"/>
        <v>0</v>
      </c>
    </row>
    <row r="179" spans="1:11" x14ac:dyDescent="0.25">
      <c r="A179" s="11">
        <f t="shared" si="18"/>
        <v>44</v>
      </c>
      <c r="B179" t="str">
        <f ca="1">TEXT(DATE(YEAR(Invoer!$A$5),1,1)+ROWS(B$2:B179)-1,"jjjjmmdd")</f>
        <v>19200626</v>
      </c>
      <c r="C179" s="27" t="s">
        <v>36</v>
      </c>
      <c r="D179" s="35">
        <f t="shared" ca="1" si="19"/>
        <v>756</v>
      </c>
      <c r="E179" s="32">
        <f t="shared" ca="1" si="20"/>
        <v>0</v>
      </c>
      <c r="F179" s="35">
        <f t="shared" ca="1" si="21"/>
        <v>756</v>
      </c>
      <c r="G179" s="32">
        <f t="shared" ca="1" si="22"/>
        <v>0</v>
      </c>
      <c r="H179" s="35">
        <f t="shared" ca="1" si="23"/>
        <v>30</v>
      </c>
      <c r="I179" s="32">
        <f t="shared" ca="1" si="24"/>
        <v>0</v>
      </c>
      <c r="J179" s="35">
        <f t="shared" ca="1" si="25"/>
        <v>29</v>
      </c>
      <c r="K179" s="32">
        <f t="shared" ca="1" si="26"/>
        <v>0</v>
      </c>
    </row>
    <row r="180" spans="1:11" x14ac:dyDescent="0.25">
      <c r="A180" s="11">
        <f t="shared" si="18"/>
        <v>44</v>
      </c>
      <c r="B180" t="str">
        <f ca="1">TEXT(DATE(YEAR(Invoer!$A$5),1,1)+ROWS(B$2:B180)-1,"jjjjmmdd")</f>
        <v>19200627</v>
      </c>
      <c r="C180" s="27" t="s">
        <v>36</v>
      </c>
      <c r="D180" s="35">
        <f t="shared" ca="1" si="19"/>
        <v>756</v>
      </c>
      <c r="E180" s="32">
        <f t="shared" ca="1" si="20"/>
        <v>0</v>
      </c>
      <c r="F180" s="35">
        <f t="shared" ca="1" si="21"/>
        <v>756</v>
      </c>
      <c r="G180" s="32">
        <f t="shared" ca="1" si="22"/>
        <v>0</v>
      </c>
      <c r="H180" s="35">
        <f t="shared" ca="1" si="23"/>
        <v>30</v>
      </c>
      <c r="I180" s="32">
        <f t="shared" ca="1" si="24"/>
        <v>0</v>
      </c>
      <c r="J180" s="35">
        <f t="shared" ca="1" si="25"/>
        <v>29</v>
      </c>
      <c r="K180" s="32">
        <f t="shared" ca="1" si="26"/>
        <v>0</v>
      </c>
    </row>
    <row r="181" spans="1:11" x14ac:dyDescent="0.25">
      <c r="A181" s="11">
        <f t="shared" si="18"/>
        <v>44</v>
      </c>
      <c r="B181" t="str">
        <f ca="1">TEXT(DATE(YEAR(Invoer!$A$5),1,1)+ROWS(B$2:B181)-1,"jjjjmmdd")</f>
        <v>19200628</v>
      </c>
      <c r="C181" s="27" t="s">
        <v>36</v>
      </c>
      <c r="D181" s="35">
        <f t="shared" ca="1" si="19"/>
        <v>755</v>
      </c>
      <c r="E181" s="32">
        <f t="shared" ca="1" si="20"/>
        <v>0</v>
      </c>
      <c r="F181" s="35">
        <f t="shared" ca="1" si="21"/>
        <v>755</v>
      </c>
      <c r="G181" s="32">
        <f t="shared" ca="1" si="22"/>
        <v>0</v>
      </c>
      <c r="H181" s="35">
        <f t="shared" ca="1" si="23"/>
        <v>29</v>
      </c>
      <c r="I181" s="32">
        <f t="shared" ca="1" si="24"/>
        <v>0</v>
      </c>
      <c r="J181" s="35">
        <f t="shared" ca="1" si="25"/>
        <v>28</v>
      </c>
      <c r="K181" s="32">
        <f t="shared" ca="1" si="26"/>
        <v>0</v>
      </c>
    </row>
    <row r="182" spans="1:11" x14ac:dyDescent="0.25">
      <c r="A182" s="11">
        <f t="shared" si="18"/>
        <v>44</v>
      </c>
      <c r="B182" t="str">
        <f ca="1">TEXT(DATE(YEAR(Invoer!$A$5),1,1)+ROWS(B$2:B182)-1,"jjjjmmdd")</f>
        <v>19200629</v>
      </c>
      <c r="C182" s="27" t="s">
        <v>36</v>
      </c>
      <c r="D182" s="35">
        <f t="shared" ca="1" si="19"/>
        <v>755.5</v>
      </c>
      <c r="E182" s="32">
        <f t="shared" ca="1" si="20"/>
        <v>0</v>
      </c>
      <c r="F182" s="35">
        <f t="shared" ca="1" si="21"/>
        <v>755.5</v>
      </c>
      <c r="G182" s="32">
        <f t="shared" ca="1" si="22"/>
        <v>0</v>
      </c>
      <c r="H182" s="35">
        <f t="shared" ca="1" si="23"/>
        <v>29</v>
      </c>
      <c r="I182" s="32">
        <f t="shared" ca="1" si="24"/>
        <v>0</v>
      </c>
      <c r="J182" s="35">
        <f t="shared" ca="1" si="25"/>
        <v>28</v>
      </c>
      <c r="K182" s="32">
        <f t="shared" ca="1" si="26"/>
        <v>0</v>
      </c>
    </row>
    <row r="183" spans="1:11" x14ac:dyDescent="0.25">
      <c r="A183" s="11">
        <f t="shared" si="18"/>
        <v>44</v>
      </c>
      <c r="B183" t="str">
        <f ca="1">TEXT(DATE(YEAR(Invoer!$A$5),1,1)+ROWS(B$2:B183)-1,"jjjjmmdd")</f>
        <v>19200630</v>
      </c>
      <c r="C183" s="27" t="s">
        <v>36</v>
      </c>
      <c r="D183" s="35">
        <f t="shared" ca="1" si="19"/>
        <v>756</v>
      </c>
      <c r="E183" s="32">
        <f t="shared" ca="1" si="20"/>
        <v>0</v>
      </c>
      <c r="F183" s="35">
        <f t="shared" ca="1" si="21"/>
        <v>756</v>
      </c>
      <c r="G183" s="32">
        <f t="shared" ca="1" si="22"/>
        <v>0</v>
      </c>
      <c r="H183" s="35">
        <f t="shared" ca="1" si="23"/>
        <v>29</v>
      </c>
      <c r="I183" s="32">
        <f t="shared" ca="1" si="24"/>
        <v>0</v>
      </c>
      <c r="J183" s="35">
        <f t="shared" ca="1" si="25"/>
        <v>28</v>
      </c>
      <c r="K183" s="32">
        <f t="shared" ca="1" si="26"/>
        <v>0</v>
      </c>
    </row>
    <row r="184" spans="1:11" x14ac:dyDescent="0.25">
      <c r="A184" s="11">
        <f t="shared" si="18"/>
        <v>44</v>
      </c>
      <c r="B184" t="str">
        <f ca="1">TEXT(DATE(YEAR(Invoer!$A$5),1,1)+ROWS(B$2:B184)-1,"jjjjmmdd")</f>
        <v>19200701</v>
      </c>
      <c r="C184" s="27" t="s">
        <v>36</v>
      </c>
      <c r="D184" s="35">
        <f t="shared" ca="1" si="19"/>
        <v>758.5</v>
      </c>
      <c r="E184" s="32">
        <f t="shared" ca="1" si="20"/>
        <v>0</v>
      </c>
      <c r="F184" s="35">
        <f t="shared" ca="1" si="21"/>
        <v>756</v>
      </c>
      <c r="G184" s="32">
        <f t="shared" ca="1" si="22"/>
        <v>0</v>
      </c>
      <c r="H184" s="35">
        <f t="shared" ca="1" si="23"/>
        <v>30</v>
      </c>
      <c r="I184" s="32">
        <f t="shared" ca="1" si="24"/>
        <v>0</v>
      </c>
      <c r="J184" s="35">
        <f t="shared" ca="1" si="25"/>
        <v>29</v>
      </c>
      <c r="K184" s="32">
        <f t="shared" ca="1" si="26"/>
        <v>0</v>
      </c>
    </row>
    <row r="185" spans="1:11" x14ac:dyDescent="0.25">
      <c r="A185" s="11">
        <f t="shared" si="18"/>
        <v>44</v>
      </c>
      <c r="B185" t="str">
        <f ca="1">TEXT(DATE(YEAR(Invoer!$A$5),1,1)+ROWS(B$2:B185)-1,"jjjjmmdd")</f>
        <v>19200702</v>
      </c>
      <c r="C185" s="27" t="s">
        <v>36</v>
      </c>
      <c r="D185" s="35">
        <f t="shared" ca="1" si="19"/>
        <v>759</v>
      </c>
      <c r="E185" s="32">
        <f t="shared" ca="1" si="20"/>
        <v>0</v>
      </c>
      <c r="F185" s="35">
        <f t="shared" ca="1" si="21"/>
        <v>757</v>
      </c>
      <c r="G185" s="32">
        <f t="shared" ca="1" si="22"/>
        <v>0</v>
      </c>
      <c r="H185" s="35">
        <f t="shared" ca="1" si="23"/>
        <v>29</v>
      </c>
      <c r="I185" s="32">
        <f t="shared" ca="1" si="24"/>
        <v>0</v>
      </c>
      <c r="J185" s="35">
        <f t="shared" ca="1" si="25"/>
        <v>28</v>
      </c>
      <c r="K185" s="32">
        <f t="shared" ca="1" si="26"/>
        <v>0</v>
      </c>
    </row>
    <row r="186" spans="1:11" x14ac:dyDescent="0.25">
      <c r="A186" s="11">
        <f t="shared" si="18"/>
        <v>44</v>
      </c>
      <c r="B186" t="str">
        <f ca="1">TEXT(DATE(YEAR(Invoer!$A$5),1,1)+ROWS(B$2:B186)-1,"jjjjmmdd")</f>
        <v>19200703</v>
      </c>
      <c r="C186" s="27" t="s">
        <v>36</v>
      </c>
      <c r="D186" s="35">
        <f t="shared" ca="1" si="19"/>
        <v>758.5</v>
      </c>
      <c r="E186" s="32">
        <f t="shared" ca="1" si="20"/>
        <v>0</v>
      </c>
      <c r="F186" s="35">
        <f t="shared" ca="1" si="21"/>
        <v>756.5</v>
      </c>
      <c r="G186" s="32">
        <f t="shared" ca="1" si="22"/>
        <v>0</v>
      </c>
      <c r="H186" s="35">
        <f t="shared" ca="1" si="23"/>
        <v>29.5</v>
      </c>
      <c r="I186" s="32">
        <f t="shared" ca="1" si="24"/>
        <v>0</v>
      </c>
      <c r="J186" s="35">
        <f t="shared" ca="1" si="25"/>
        <v>27</v>
      </c>
      <c r="K186" s="32">
        <f t="shared" ca="1" si="26"/>
        <v>0</v>
      </c>
    </row>
    <row r="187" spans="1:11" x14ac:dyDescent="0.25">
      <c r="A187" s="11">
        <f t="shared" si="18"/>
        <v>44</v>
      </c>
      <c r="B187" t="str">
        <f ca="1">TEXT(DATE(YEAR(Invoer!$A$5),1,1)+ROWS(B$2:B187)-1,"jjjjmmdd")</f>
        <v>19200704</v>
      </c>
      <c r="C187" s="27" t="s">
        <v>36</v>
      </c>
      <c r="D187" s="35">
        <f t="shared" ca="1" si="19"/>
        <v>758</v>
      </c>
      <c r="E187" s="32">
        <f t="shared" ca="1" si="20"/>
        <v>0</v>
      </c>
      <c r="F187" s="35">
        <f t="shared" ca="1" si="21"/>
        <v>758</v>
      </c>
      <c r="G187" s="32">
        <f t="shared" ca="1" si="22"/>
        <v>0</v>
      </c>
      <c r="H187" s="35">
        <f t="shared" ca="1" si="23"/>
        <v>29</v>
      </c>
      <c r="I187" s="32">
        <f t="shared" ca="1" si="24"/>
        <v>0</v>
      </c>
      <c r="J187" s="35">
        <f t="shared" ca="1" si="25"/>
        <v>28</v>
      </c>
      <c r="K187" s="32">
        <f t="shared" ca="1" si="26"/>
        <v>0</v>
      </c>
    </row>
    <row r="188" spans="1:11" x14ac:dyDescent="0.25">
      <c r="A188" s="11">
        <f t="shared" si="18"/>
        <v>44</v>
      </c>
      <c r="B188" t="str">
        <f ca="1">TEXT(DATE(YEAR(Invoer!$A$5),1,1)+ROWS(B$2:B188)-1,"jjjjmmdd")</f>
        <v>19200705</v>
      </c>
      <c r="C188" s="27" t="s">
        <v>36</v>
      </c>
      <c r="D188" s="35">
        <f t="shared" ca="1" si="19"/>
        <v>759</v>
      </c>
      <c r="E188" s="32">
        <f t="shared" ca="1" si="20"/>
        <v>0</v>
      </c>
      <c r="F188" s="35">
        <f t="shared" ca="1" si="21"/>
        <v>757</v>
      </c>
      <c r="G188" s="32">
        <f t="shared" ca="1" si="22"/>
        <v>0</v>
      </c>
      <c r="H188" s="35">
        <f t="shared" ca="1" si="23"/>
        <v>28</v>
      </c>
      <c r="I188" s="32">
        <f t="shared" ca="1" si="24"/>
        <v>0</v>
      </c>
      <c r="J188" s="35">
        <f t="shared" ca="1" si="25"/>
        <v>28</v>
      </c>
      <c r="K188" s="32">
        <f t="shared" ca="1" si="26"/>
        <v>0</v>
      </c>
    </row>
    <row r="189" spans="1:11" x14ac:dyDescent="0.25">
      <c r="A189" s="11">
        <f t="shared" si="18"/>
        <v>44</v>
      </c>
      <c r="B189" t="str">
        <f ca="1">TEXT(DATE(YEAR(Invoer!$A$5),1,1)+ROWS(B$2:B189)-1,"jjjjmmdd")</f>
        <v>19200706</v>
      </c>
      <c r="C189" s="27" t="s">
        <v>36</v>
      </c>
      <c r="D189" s="35">
        <f t="shared" ca="1" si="19"/>
        <v>758</v>
      </c>
      <c r="E189" s="32">
        <f t="shared" ca="1" si="20"/>
        <v>0</v>
      </c>
      <c r="F189" s="35">
        <f t="shared" ca="1" si="21"/>
        <v>757</v>
      </c>
      <c r="G189" s="32">
        <f t="shared" ca="1" si="22"/>
        <v>0</v>
      </c>
      <c r="H189" s="35">
        <f t="shared" ca="1" si="23"/>
        <v>29</v>
      </c>
      <c r="I189" s="32">
        <f t="shared" ca="1" si="24"/>
        <v>0</v>
      </c>
      <c r="J189" s="35">
        <f t="shared" ca="1" si="25"/>
        <v>28</v>
      </c>
      <c r="K189" s="32">
        <f t="shared" ca="1" si="26"/>
        <v>0</v>
      </c>
    </row>
    <row r="190" spans="1:11" x14ac:dyDescent="0.25">
      <c r="A190" s="11">
        <f t="shared" si="18"/>
        <v>44</v>
      </c>
      <c r="B190" t="str">
        <f ca="1">TEXT(DATE(YEAR(Invoer!$A$5),1,1)+ROWS(B$2:B190)-1,"jjjjmmdd")</f>
        <v>19200707</v>
      </c>
      <c r="C190" s="27" t="s">
        <v>36</v>
      </c>
      <c r="D190" s="35">
        <f t="shared" ca="1" si="19"/>
        <v>757</v>
      </c>
      <c r="E190" s="32">
        <f t="shared" ca="1" si="20"/>
        <v>0</v>
      </c>
      <c r="F190" s="35">
        <f t="shared" ca="1" si="21"/>
        <v>756</v>
      </c>
      <c r="G190" s="32">
        <f t="shared" ca="1" si="22"/>
        <v>0</v>
      </c>
      <c r="H190" s="35">
        <f t="shared" ca="1" si="23"/>
        <v>29</v>
      </c>
      <c r="I190" s="32">
        <f t="shared" ca="1" si="24"/>
        <v>0</v>
      </c>
      <c r="J190" s="35">
        <f t="shared" ca="1" si="25"/>
        <v>27</v>
      </c>
      <c r="K190" s="32">
        <f t="shared" ca="1" si="26"/>
        <v>0</v>
      </c>
    </row>
    <row r="191" spans="1:11" x14ac:dyDescent="0.25">
      <c r="A191" s="11">
        <f t="shared" si="18"/>
        <v>44</v>
      </c>
      <c r="B191" t="str">
        <f ca="1">TEXT(DATE(YEAR(Invoer!$A$5),1,1)+ROWS(B$2:B191)-1,"jjjjmmdd")</f>
        <v>19200708</v>
      </c>
      <c r="C191" s="27" t="s">
        <v>36</v>
      </c>
      <c r="D191" s="35">
        <f t="shared" ca="1" si="19"/>
        <v>758</v>
      </c>
      <c r="E191" s="32">
        <f t="shared" ca="1" si="20"/>
        <v>0</v>
      </c>
      <c r="F191" s="35">
        <f t="shared" ca="1" si="21"/>
        <v>756</v>
      </c>
      <c r="G191" s="32">
        <f t="shared" ca="1" si="22"/>
        <v>0</v>
      </c>
      <c r="H191" s="35">
        <f t="shared" ca="1" si="23"/>
        <v>29.5</v>
      </c>
      <c r="I191" s="32">
        <f t="shared" ca="1" si="24"/>
        <v>0</v>
      </c>
      <c r="J191" s="35">
        <f t="shared" ca="1" si="25"/>
        <v>28</v>
      </c>
      <c r="K191" s="32">
        <f t="shared" ca="1" si="26"/>
        <v>0</v>
      </c>
    </row>
    <row r="192" spans="1:11" x14ac:dyDescent="0.25">
      <c r="A192" s="11">
        <f t="shared" si="18"/>
        <v>44</v>
      </c>
      <c r="B192" t="str">
        <f ca="1">TEXT(DATE(YEAR(Invoer!$A$5),1,1)+ROWS(B$2:B192)-1,"jjjjmmdd")</f>
        <v>19200709</v>
      </c>
      <c r="C192" s="27" t="s">
        <v>36</v>
      </c>
      <c r="D192" s="35">
        <f t="shared" ca="1" si="19"/>
        <v>759</v>
      </c>
      <c r="E192" s="32">
        <f t="shared" ca="1" si="20"/>
        <v>0</v>
      </c>
      <c r="F192" s="35">
        <f t="shared" ca="1" si="21"/>
        <v>756</v>
      </c>
      <c r="G192" s="32">
        <f t="shared" ca="1" si="22"/>
        <v>0</v>
      </c>
      <c r="H192" s="35">
        <f t="shared" ca="1" si="23"/>
        <v>29</v>
      </c>
      <c r="I192" s="32">
        <f t="shared" ca="1" si="24"/>
        <v>0</v>
      </c>
      <c r="J192" s="35">
        <f t="shared" ca="1" si="25"/>
        <v>28.5</v>
      </c>
      <c r="K192" s="32">
        <f t="shared" ca="1" si="26"/>
        <v>0</v>
      </c>
    </row>
    <row r="193" spans="1:11" x14ac:dyDescent="0.25">
      <c r="A193" s="11">
        <f t="shared" si="18"/>
        <v>44</v>
      </c>
      <c r="B193" t="str">
        <f ca="1">TEXT(DATE(YEAR(Invoer!$A$5),1,1)+ROWS(B$2:B193)-1,"jjjjmmdd")</f>
        <v>19200710</v>
      </c>
      <c r="C193" s="27" t="s">
        <v>36</v>
      </c>
      <c r="D193" s="35">
        <f t="shared" ca="1" si="19"/>
        <v>757</v>
      </c>
      <c r="E193" s="32">
        <f t="shared" ca="1" si="20"/>
        <v>0</v>
      </c>
      <c r="F193" s="35">
        <f t="shared" ca="1" si="21"/>
        <v>755</v>
      </c>
      <c r="G193" s="32">
        <f t="shared" ca="1" si="22"/>
        <v>0</v>
      </c>
      <c r="H193" s="35">
        <f t="shared" ca="1" si="23"/>
        <v>30</v>
      </c>
      <c r="I193" s="32">
        <f t="shared" ca="1" si="24"/>
        <v>0</v>
      </c>
      <c r="J193" s="35">
        <f t="shared" ca="1" si="25"/>
        <v>28.5</v>
      </c>
      <c r="K193" s="32">
        <f t="shared" ca="1" si="26"/>
        <v>0</v>
      </c>
    </row>
    <row r="194" spans="1:11" x14ac:dyDescent="0.25">
      <c r="A194" s="11">
        <f t="shared" ref="A194:A257" si="27">INDEX(Stations,2,1)</f>
        <v>44</v>
      </c>
      <c r="B194" t="str">
        <f ca="1">TEXT(DATE(YEAR(Invoer!$A$5),1,1)+ROWS(B$2:B194)-1,"jjjjmmdd")</f>
        <v>19200711</v>
      </c>
      <c r="C194" s="27" t="s">
        <v>36</v>
      </c>
      <c r="D194" s="35">
        <f t="shared" ref="D194:D257" ca="1" si="28">IF(OR(ISBLANK(VLOOKUP(DATEVALUE(LEFT($B194,4)&amp;"-"&amp;MID($B194,5,2)&amp;"-"&amp;RIGHT($B194,2)),Data,MATCH(LEFT(VLOOKUP(LEFT(D$1,1),Parameters,2,FALSE()),4)&amp;"*",OFFSET(Data,0,0,1),0)+MATCH(VLOOKUP(RIGHT(D$1,1),Parameters,2,FALSE()),OFFSET(Data,1,0,1),0)-2,FALSE())),ISTEXT(VLOOKUP(DATEVALUE(LEFT($B194,4)&amp;"-"&amp;MID($B194,5,2)&amp;"-"&amp;RIGHT($B194,2)),Data,MATCH(LEFT(VLOOKUP(LEFT(D$1,1),Parameters,2,FALSE()),4)&amp;"*",OFFSET(Data,0,0,1),0)+MATCH(VLOOKUP(RIGHT(D$1,1),Parameters,2,FALSE()),OFFSET(Data,1,0,1),0)-2,FALSE()))),"—",VLOOKUP(DATEVALUE(LEFT($B194,4)&amp;"-"&amp;MID($B194,5,2)&amp;"-"&amp;RIGHT($B194,2)),Data,MATCH(LEFT(VLOOKUP(LEFT(D$1,1),Parameters,2,FALSE()),4)&amp;"*",OFFSET(Data,0,0,1),0)+MATCH(VLOOKUP(RIGHT(D$1,1),Parameters,2,FALSE()),OFFSET(Data,1,0,1),0)-2,FALSE())/10)</f>
        <v>757</v>
      </c>
      <c r="E194" s="32">
        <f t="shared" ref="E194:E257" ca="1" si="29">IF(OR(ISBLANK(VLOOKUP(DATEVALUE(LEFT($B194,4)&amp;"-"&amp;MID($B194,5,2)&amp;"-"&amp;RIGHT($B194,2)),Data,MATCH(LEFT(VLOOKUP(MID(E$1,2,LEN(E$1)-1),Parameters,2,FALSE()),4)&amp;"*",OFFSET(Data,0,0,1),0)+MATCH(VLOOKUP(RIGHT(E$1,1),Parameters,2,FALSE()),OFFSET(Data,1,0,1),0)-2,FALSE())),ISTEXT(VLOOKUP(DATEVALUE(LEFT($B194,4)&amp;"-"&amp;MID($B194,5,2)&amp;"-"&amp;RIGHT($B194,2)),Data,MATCH(LEFT(VLOOKUP(MID(E$1,2,LEN(E$1)-1),Parameters,2,FALSE()),4)&amp;"*",OFFSET(Data,0,0,1),0)+MATCH(VLOOKUP(RIGHT(E$1,1),Parameters,2,FALSE())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-2),Parameters,2,FALSE()),4)&amp;"*",OFFSET(Catalogus,0,0,1),0)+MATCH(VLOOKUP(RIGHT(E$1,1),Parameters,2,FALSE()),OFFSET(Catalogus,1,0,1),0)-2,FALSE())))</f>
        <v>0</v>
      </c>
      <c r="F194" s="35">
        <f t="shared" ref="F194:F257" ca="1" si="30">IF(OR(ISBLANK(VLOOKUP(DATEVALUE(LEFT($B194,4)&amp;"-"&amp;MID($B194,5,2)&amp;"-"&amp;RIGHT($B194,2)),Data,MATCH(LEFT(VLOOKUP(LEFT(F$1,1),Parameters,2,FALSE()),4)&amp;"*",OFFSET(Data,0,0,1),0)+MATCH(VLOOKUP(RIGHT(F$1,1),Parameters,2,FALSE()),OFFSET(Data,1,0,1),0)-2,FALSE())),ISTEXT(VLOOKUP(DATEVALUE(LEFT($B194,4)&amp;"-"&amp;MID($B194,5,2)&amp;"-"&amp;RIGHT($B194,2)),Data,MATCH(LEFT(VLOOKUP(LEFT(F$1,1),Parameters,2,FALSE()),4)&amp;"*",OFFSET(Data,0,0,1),0)+MATCH(VLOOKUP(RIGHT(F$1,1),Parameters,2,FALSE()),OFFSET(Data,1,0,1),0)-2,FALSE()))),"—",VLOOKUP(DATEVALUE(LEFT($B194,4)&amp;"-"&amp;MID($B194,5,2)&amp;"-"&amp;RIGHT($B194,2)),Data,MATCH(LEFT(VLOOKUP(LEFT(F$1,1),Parameters,2,FALSE()),4)&amp;"*",OFFSET(Data,0,0,1),0)+MATCH(VLOOKUP(RIGHT(F$1,1),Parameters,2,FALSE()),OFFSET(Data,1,0,1),0)-2,FALSE())/10)</f>
        <v>755</v>
      </c>
      <c r="G194" s="32">
        <f t="shared" ref="G194:G257" ca="1" si="31">IF(OR(ISBLANK(VLOOKUP(DATEVALUE(LEFT($B194,4)&amp;"-"&amp;MID($B194,5,2)&amp;"-"&amp;RIGHT($B194,2)),Data,MATCH(LEFT(VLOOKUP(MID(G$1,2,LEN(G$1)-1),Parameters,2,FALSE()),4)&amp;"*",OFFSET(Data,0,0,1),0)+MATCH(VLOOKUP(RIGHT(G$1,1),Parameters,2,FALSE()),OFFSET(Data,1,0,1),0)-2,FALSE())),ISTEXT(VLOOKUP(DATEVALUE(LEFT($B194,4)&amp;"-"&amp;MID($B194,5,2)&amp;"-"&amp;RIGHT($B194,2)),Data,MATCH(LEFT(VLOOKUP(MID(G$1,2,LEN(G$1)-1),Parameters,2,FALSE()),4)&amp;"*",OFFSET(Data,0,0,1),0)+MATCH(VLOOKUP(RIGHT(G$1,1),Parameters,2,FALSE())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-2),Parameters,2,FALSE()),4)&amp;"*",OFFSET(Catalogus,0,0,1),0)+MATCH(VLOOKUP(RIGHT(G$1,1),Parameters,2,FALSE()),OFFSET(Catalogus,1,0,1),0)-2,FALSE())))</f>
        <v>0</v>
      </c>
      <c r="H194" s="35">
        <f t="shared" ref="H194:H257" ca="1" si="32">IF(OR(ISBLANK(VLOOKUP(DATEVALUE(LEFT($B194,4)&amp;"-"&amp;MID($B194,5,2)&amp;"-"&amp;RIGHT($B194,2)),Data,MATCH(LEFT(VLOOKUP(LEFT(H$1,1),Parameters,2,FALSE()),4)&amp;"*",OFFSET(Data,0,0,1),0)+MATCH(VLOOKUP(RIGHT(H$1,1),Parameters,2,FALSE()),OFFSET(Data,1,0,1),0)-2,FALSE())),ISTEXT(VLOOKUP(DATEVALUE(LEFT($B194,4)&amp;"-"&amp;MID($B194,5,2)&amp;"-"&amp;RIGHT($B194,2)),Data,MATCH(LEFT(VLOOKUP(LEFT(H$1,1),Parameters,2,FALSE()),4)&amp;"*",OFFSET(Data,0,0,1),0)+MATCH(VLOOKUP(RIGHT(H$1,1),Parameters,2,FALSE()),OFFSET(Data,1,0,1),0)-2,FALSE()))),"—",VLOOKUP(DATEVALUE(LEFT($B194,4)&amp;"-"&amp;MID($B194,5,2)&amp;"-"&amp;RIGHT($B194,2)),Data,MATCH(LEFT(VLOOKUP(LEFT(H$1,1),Parameters,2,FALSE()),4)&amp;"*",OFFSET(Data,0,0,1),0)+MATCH(VLOOKUP(RIGHT(H$1,1),Parameters,2,FALSE()),OFFSET(Data,1,0,1),0)-2,FALSE())/10)</f>
        <v>30</v>
      </c>
      <c r="I194" s="32">
        <f t="shared" ref="I194:I257" ca="1" si="33">IF(OR(ISBLANK(VLOOKUP(DATEVALUE(LEFT($B194,4)&amp;"-"&amp;MID($B194,5,2)&amp;"-"&amp;RIGHT($B194,2)),Data,MATCH(LEFT(VLOOKUP(MID(I$1,2,LEN(I$1)-1),Parameters,2,FALSE()),4)&amp;"*",OFFSET(Data,0,0,1),0)+MATCH(VLOOKUP(RIGHT(I$1,1),Parameters,2,FALSE()),OFFSET(Data,1,0,1),0)-2,FALSE())),ISTEXT(VLOOKUP(DATEVALUE(LEFT($B194,4)&amp;"-"&amp;MID($B194,5,2)&amp;"-"&amp;RIGHT($B194,2)),Data,MATCH(LEFT(VLOOKUP(MID(I$1,2,LEN(I$1)-1),Parameters,2,FALSE()),4)&amp;"*",OFFSET(Data,0,0,1),0)+MATCH(VLOOKUP(RIGHT(I$1,1),Parameters,2,FALSE())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-2),Parameters,2,FALSE()),4)&amp;"*",OFFSET(Catalogus,0,0,1),0)+MATCH(VLOOKUP(RIGHT(I$1,1),Parameters,2,FALSE()),OFFSET(Catalogus,1,0,1),0)-2,FALSE())))</f>
        <v>0</v>
      </c>
      <c r="J194" s="35">
        <f t="shared" ref="J194:J257" ca="1" si="34">IF(OR(ISBLANK(VLOOKUP(DATEVALUE(LEFT($B194,4)&amp;"-"&amp;MID($B194,5,2)&amp;"-"&amp;RIGHT($B194,2)),Data,MATCH(LEFT(VLOOKUP(LEFT(J$1,1),Parameters,2,FALSE()),4)&amp;"*",OFFSET(Data,0,0,1),0)+MATCH(VLOOKUP(RIGHT(J$1,1),Parameters,2,FALSE()),OFFSET(Data,1,0,1),0)-2,FALSE())),ISTEXT(VLOOKUP(DATEVALUE(LEFT($B194,4)&amp;"-"&amp;MID($B194,5,2)&amp;"-"&amp;RIGHT($B194,2)),Data,MATCH(LEFT(VLOOKUP(LEFT(J$1,1),Parameters,2,FALSE()),4)&amp;"*",OFFSET(Data,0,0,1),0)+MATCH(VLOOKUP(RIGHT(J$1,1),Parameters,2,FALSE()),OFFSET(Data,1,0,1),0)-2,FALSE()))),"—",VLOOKUP(DATEVALUE(LEFT($B194,4)&amp;"-"&amp;MID($B194,5,2)&amp;"-"&amp;RIGHT($B194,2)),Data,MATCH(LEFT(VLOOKUP(LEFT(J$1,1),Parameters,2,FALSE()),4)&amp;"*",OFFSET(Data,0,0,1),0)+MATCH(VLOOKUP(RIGHT(J$1,1),Parameters,2,FALSE()),OFFSET(Data,1,0,1),0)-2,FALSE())/10)</f>
        <v>28.5</v>
      </c>
      <c r="K194" s="32">
        <f t="shared" ref="K194:K257" ca="1" si="35">IF(OR(ISBLANK(VLOOKUP(DATEVALUE(LEFT($B194,4)&amp;"-"&amp;MID($B194,5,2)&amp;"-"&amp;RIGHT($B194,2)),Data,MATCH(LEFT(VLOOKUP(MID(K$1,2,LEN(K$1)-1),Parameters,2,FALSE()),4)&amp;"*",OFFSET(Data,0,0,1),0)+MATCH(VLOOKUP(RIGHT(K$1,1),Parameters,2,FALSE()),OFFSET(Data,1,0,1),0)-2,FALSE())),ISTEXT(VLOOKUP(DATEVALUE(LEFT($B194,4)&amp;"-"&amp;MID($B194,5,2)&amp;"-"&amp;RIGHT($B194,2)),Data,MATCH(LEFT(VLOOKUP(MID(K$1,2,LEN(K$1)-1),Parameters,2,FALSE()),4)&amp;"*",OFFSET(Data,0,0,1),0)+MATCH(VLOOKUP(RIGHT(K$1,1),Parameters,2,FALSE())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-2),Parameters,2,FALSE()),4)&amp;"*",OFFSET(Catalogus,0,0,1),0)+MATCH(VLOOKUP(RIGHT(K$1,1),Parameters,2,FALSE()),OFFSET(Catalogus,1,0,1),0)-2,FALSE())))</f>
        <v>0</v>
      </c>
    </row>
    <row r="195" spans="1:11" x14ac:dyDescent="0.25">
      <c r="A195" s="11">
        <f t="shared" si="27"/>
        <v>44</v>
      </c>
      <c r="B195" t="str">
        <f ca="1">TEXT(DATE(YEAR(Invoer!$A$5),1,1)+ROWS(B$2:B195)-1,"jjjjmmdd")</f>
        <v>19200712</v>
      </c>
      <c r="C195" s="27" t="s">
        <v>36</v>
      </c>
      <c r="D195" s="35">
        <f t="shared" ca="1" si="28"/>
        <v>759</v>
      </c>
      <c r="E195" s="32">
        <f t="shared" ca="1" si="29"/>
        <v>0</v>
      </c>
      <c r="F195" s="35">
        <f t="shared" ca="1" si="30"/>
        <v>757.5</v>
      </c>
      <c r="G195" s="32">
        <f t="shared" ca="1" si="31"/>
        <v>0</v>
      </c>
      <c r="H195" s="35">
        <f t="shared" ca="1" si="32"/>
        <v>29</v>
      </c>
      <c r="I195" s="32">
        <f t="shared" ca="1" si="33"/>
        <v>0</v>
      </c>
      <c r="J195" s="35">
        <f t="shared" ca="1" si="34"/>
        <v>27</v>
      </c>
      <c r="K195" s="32">
        <f t="shared" ca="1" si="35"/>
        <v>0</v>
      </c>
    </row>
    <row r="196" spans="1:11" x14ac:dyDescent="0.25">
      <c r="A196" s="11">
        <f t="shared" si="27"/>
        <v>44</v>
      </c>
      <c r="B196" t="str">
        <f ca="1">TEXT(DATE(YEAR(Invoer!$A$5),1,1)+ROWS(B$2:B196)-1,"jjjjmmdd")</f>
        <v>19200713</v>
      </c>
      <c r="C196" s="27" t="s">
        <v>36</v>
      </c>
      <c r="D196" s="35">
        <f t="shared" ca="1" si="28"/>
        <v>759</v>
      </c>
      <c r="E196" s="32">
        <f t="shared" ca="1" si="29"/>
        <v>0</v>
      </c>
      <c r="F196" s="35">
        <f t="shared" ca="1" si="30"/>
        <v>757.5</v>
      </c>
      <c r="G196" s="32">
        <f t="shared" ca="1" si="31"/>
        <v>0</v>
      </c>
      <c r="H196" s="35">
        <f t="shared" ca="1" si="32"/>
        <v>29</v>
      </c>
      <c r="I196" s="32">
        <f t="shared" ca="1" si="33"/>
        <v>0</v>
      </c>
      <c r="J196" s="35">
        <f t="shared" ca="1" si="34"/>
        <v>27</v>
      </c>
      <c r="K196" s="32">
        <f t="shared" ca="1" si="35"/>
        <v>0</v>
      </c>
    </row>
    <row r="197" spans="1:11" x14ac:dyDescent="0.25">
      <c r="A197" s="11">
        <f t="shared" si="27"/>
        <v>44</v>
      </c>
      <c r="B197" t="str">
        <f ca="1">TEXT(DATE(YEAR(Invoer!$A$5),1,1)+ROWS(B$2:B197)-1,"jjjjmmdd")</f>
        <v>19200714</v>
      </c>
      <c r="C197" s="27" t="s">
        <v>36</v>
      </c>
      <c r="D197" s="35">
        <f t="shared" ca="1" si="28"/>
        <v>759</v>
      </c>
      <c r="E197" s="32">
        <f t="shared" ca="1" si="29"/>
        <v>0</v>
      </c>
      <c r="F197" s="35">
        <f t="shared" ca="1" si="30"/>
        <v>758.5</v>
      </c>
      <c r="G197" s="32">
        <f t="shared" ca="1" si="31"/>
        <v>0</v>
      </c>
      <c r="H197" s="35">
        <f t="shared" ca="1" si="32"/>
        <v>29</v>
      </c>
      <c r="I197" s="32">
        <f t="shared" ca="1" si="33"/>
        <v>0</v>
      </c>
      <c r="J197" s="35">
        <f t="shared" ca="1" si="34"/>
        <v>27</v>
      </c>
      <c r="K197" s="32">
        <f t="shared" ca="1" si="35"/>
        <v>0</v>
      </c>
    </row>
    <row r="198" spans="1:11" x14ac:dyDescent="0.25">
      <c r="A198" s="11">
        <f t="shared" si="27"/>
        <v>44</v>
      </c>
      <c r="B198" t="str">
        <f ca="1">TEXT(DATE(YEAR(Invoer!$A$5),1,1)+ROWS(B$2:B198)-1,"jjjjmmdd")</f>
        <v>19200715</v>
      </c>
      <c r="C198" s="27" t="s">
        <v>36</v>
      </c>
      <c r="D198" s="35">
        <f t="shared" ca="1" si="28"/>
        <v>757</v>
      </c>
      <c r="E198" s="32">
        <f t="shared" ca="1" si="29"/>
        <v>0</v>
      </c>
      <c r="F198" s="35">
        <f t="shared" ca="1" si="30"/>
        <v>755</v>
      </c>
      <c r="G198" s="32">
        <f t="shared" ca="1" si="31"/>
        <v>0</v>
      </c>
      <c r="H198" s="35">
        <f t="shared" ca="1" si="32"/>
        <v>29</v>
      </c>
      <c r="I198" s="32">
        <f t="shared" ca="1" si="33"/>
        <v>0</v>
      </c>
      <c r="J198" s="35">
        <f t="shared" ca="1" si="34"/>
        <v>28</v>
      </c>
      <c r="K198" s="32">
        <f t="shared" ca="1" si="35"/>
        <v>0</v>
      </c>
    </row>
    <row r="199" spans="1:11" x14ac:dyDescent="0.25">
      <c r="A199" s="11">
        <f t="shared" si="27"/>
        <v>44</v>
      </c>
      <c r="B199" t="str">
        <f ca="1">TEXT(DATE(YEAR(Invoer!$A$5),1,1)+ROWS(B$2:B199)-1,"jjjjmmdd")</f>
        <v>19200716</v>
      </c>
      <c r="C199" s="27" t="s">
        <v>36</v>
      </c>
      <c r="D199" s="35">
        <f t="shared" ca="1" si="28"/>
        <v>759</v>
      </c>
      <c r="E199" s="32">
        <f t="shared" ca="1" si="29"/>
        <v>0</v>
      </c>
      <c r="F199" s="35">
        <f t="shared" ca="1" si="30"/>
        <v>757.5</v>
      </c>
      <c r="G199" s="32">
        <f t="shared" ca="1" si="31"/>
        <v>0</v>
      </c>
      <c r="H199" s="35">
        <f t="shared" ca="1" si="32"/>
        <v>30</v>
      </c>
      <c r="I199" s="32">
        <f t="shared" ca="1" si="33"/>
        <v>0</v>
      </c>
      <c r="J199" s="35">
        <f t="shared" ca="1" si="34"/>
        <v>29</v>
      </c>
      <c r="K199" s="32">
        <f t="shared" ca="1" si="35"/>
        <v>0</v>
      </c>
    </row>
    <row r="200" spans="1:11" x14ac:dyDescent="0.25">
      <c r="A200" s="11">
        <f t="shared" si="27"/>
        <v>44</v>
      </c>
      <c r="B200" t="str">
        <f ca="1">TEXT(DATE(YEAR(Invoer!$A$5),1,1)+ROWS(B$2:B200)-1,"jjjjmmdd")</f>
        <v>19200717</v>
      </c>
      <c r="C200" s="27" t="s">
        <v>36</v>
      </c>
      <c r="D200" s="35">
        <f t="shared" ca="1" si="28"/>
        <v>759</v>
      </c>
      <c r="E200" s="32">
        <f t="shared" ca="1" si="29"/>
        <v>0</v>
      </c>
      <c r="F200" s="35">
        <f t="shared" ca="1" si="30"/>
        <v>758</v>
      </c>
      <c r="G200" s="32">
        <f t="shared" ca="1" si="31"/>
        <v>0</v>
      </c>
      <c r="H200" s="35">
        <f t="shared" ca="1" si="32"/>
        <v>29</v>
      </c>
      <c r="I200" s="32">
        <f t="shared" ca="1" si="33"/>
        <v>0</v>
      </c>
      <c r="J200" s="35">
        <f t="shared" ca="1" si="34"/>
        <v>28</v>
      </c>
      <c r="K200" s="32">
        <f t="shared" ca="1" si="35"/>
        <v>0</v>
      </c>
    </row>
    <row r="201" spans="1:11" x14ac:dyDescent="0.25">
      <c r="A201" s="11">
        <f t="shared" si="27"/>
        <v>44</v>
      </c>
      <c r="B201" t="str">
        <f ca="1">TEXT(DATE(YEAR(Invoer!$A$5),1,1)+ROWS(B$2:B201)-1,"jjjjmmdd")</f>
        <v>19200718</v>
      </c>
      <c r="C201" s="27" t="s">
        <v>36</v>
      </c>
      <c r="D201" s="35">
        <f t="shared" ca="1" si="28"/>
        <v>759</v>
      </c>
      <c r="E201" s="32">
        <f t="shared" ca="1" si="29"/>
        <v>0</v>
      </c>
      <c r="F201" s="35">
        <f t="shared" ca="1" si="30"/>
        <v>758</v>
      </c>
      <c r="G201" s="32">
        <f t="shared" ca="1" si="31"/>
        <v>0</v>
      </c>
      <c r="H201" s="35">
        <f t="shared" ca="1" si="32"/>
        <v>29</v>
      </c>
      <c r="I201" s="32">
        <f t="shared" ca="1" si="33"/>
        <v>0</v>
      </c>
      <c r="J201" s="35">
        <f t="shared" ca="1" si="34"/>
        <v>28</v>
      </c>
      <c r="K201" s="32">
        <f t="shared" ca="1" si="35"/>
        <v>0</v>
      </c>
    </row>
    <row r="202" spans="1:11" x14ac:dyDescent="0.25">
      <c r="A202" s="11">
        <f t="shared" si="27"/>
        <v>44</v>
      </c>
      <c r="B202" t="str">
        <f ca="1">TEXT(DATE(YEAR(Invoer!$A$5),1,1)+ROWS(B$2:B202)-1,"jjjjmmdd")</f>
        <v>19200719</v>
      </c>
      <c r="C202" s="27" t="s">
        <v>36</v>
      </c>
      <c r="D202" s="35">
        <f t="shared" ca="1" si="28"/>
        <v>759</v>
      </c>
      <c r="E202" s="32">
        <f t="shared" ca="1" si="29"/>
        <v>0</v>
      </c>
      <c r="F202" s="35">
        <f t="shared" ca="1" si="30"/>
        <v>757</v>
      </c>
      <c r="G202" s="32">
        <f t="shared" ca="1" si="31"/>
        <v>0</v>
      </c>
      <c r="H202" s="35">
        <f t="shared" ca="1" si="32"/>
        <v>29</v>
      </c>
      <c r="I202" s="32">
        <f t="shared" ca="1" si="33"/>
        <v>0</v>
      </c>
      <c r="J202" s="35">
        <f t="shared" ca="1" si="34"/>
        <v>28</v>
      </c>
      <c r="K202" s="32">
        <f t="shared" ca="1" si="35"/>
        <v>0</v>
      </c>
    </row>
    <row r="203" spans="1:11" x14ac:dyDescent="0.25">
      <c r="A203" s="11">
        <f t="shared" si="27"/>
        <v>44</v>
      </c>
      <c r="B203" t="str">
        <f ca="1">TEXT(DATE(YEAR(Invoer!$A$5),1,1)+ROWS(B$2:B203)-1,"jjjjmmdd")</f>
        <v>19200720</v>
      </c>
      <c r="C203" s="27" t="s">
        <v>36</v>
      </c>
      <c r="D203" s="35">
        <f t="shared" ca="1" si="28"/>
        <v>758</v>
      </c>
      <c r="E203" s="32">
        <f t="shared" ca="1" si="29"/>
        <v>0</v>
      </c>
      <c r="F203" s="35">
        <f t="shared" ca="1" si="30"/>
        <v>755</v>
      </c>
      <c r="G203" s="32">
        <f t="shared" ca="1" si="31"/>
        <v>0</v>
      </c>
      <c r="H203" s="35">
        <f t="shared" ca="1" si="32"/>
        <v>30</v>
      </c>
      <c r="I203" s="32">
        <f t="shared" ca="1" si="33"/>
        <v>0</v>
      </c>
      <c r="J203" s="35">
        <f t="shared" ca="1" si="34"/>
        <v>29</v>
      </c>
      <c r="K203" s="32">
        <f t="shared" ca="1" si="35"/>
        <v>0</v>
      </c>
    </row>
    <row r="204" spans="1:11" x14ac:dyDescent="0.25">
      <c r="A204" s="11">
        <f t="shared" si="27"/>
        <v>44</v>
      </c>
      <c r="B204" t="str">
        <f ca="1">TEXT(DATE(YEAR(Invoer!$A$5),1,1)+ROWS(B$2:B204)-1,"jjjjmmdd")</f>
        <v>19200721</v>
      </c>
      <c r="C204" s="27" t="s">
        <v>36</v>
      </c>
      <c r="D204" s="35">
        <f t="shared" ca="1" si="28"/>
        <v>758.5</v>
      </c>
      <c r="E204" s="32">
        <f t="shared" ca="1" si="29"/>
        <v>0</v>
      </c>
      <c r="F204" s="35">
        <f t="shared" ca="1" si="30"/>
        <v>758</v>
      </c>
      <c r="G204" s="32">
        <f t="shared" ca="1" si="31"/>
        <v>0</v>
      </c>
      <c r="H204" s="35">
        <f t="shared" ca="1" si="32"/>
        <v>29</v>
      </c>
      <c r="I204" s="32">
        <f t="shared" ca="1" si="33"/>
        <v>0</v>
      </c>
      <c r="J204" s="35">
        <f t="shared" ca="1" si="34"/>
        <v>28</v>
      </c>
      <c r="K204" s="32">
        <f t="shared" ca="1" si="35"/>
        <v>0</v>
      </c>
    </row>
    <row r="205" spans="1:11" x14ac:dyDescent="0.25">
      <c r="A205" s="11">
        <f t="shared" si="27"/>
        <v>44</v>
      </c>
      <c r="B205" t="str">
        <f ca="1">TEXT(DATE(YEAR(Invoer!$A$5),1,1)+ROWS(B$2:B205)-1,"jjjjmmdd")</f>
        <v>19200722</v>
      </c>
      <c r="C205" s="27" t="s">
        <v>36</v>
      </c>
      <c r="D205" s="35">
        <f t="shared" ca="1" si="28"/>
        <v>759</v>
      </c>
      <c r="E205" s="32">
        <f t="shared" ca="1" si="29"/>
        <v>0</v>
      </c>
      <c r="F205" s="35">
        <f t="shared" ca="1" si="30"/>
        <v>757.5</v>
      </c>
      <c r="G205" s="32">
        <f t="shared" ca="1" si="31"/>
        <v>0</v>
      </c>
      <c r="H205" s="35">
        <f t="shared" ca="1" si="32"/>
        <v>30</v>
      </c>
      <c r="I205" s="32">
        <f t="shared" ca="1" si="33"/>
        <v>0</v>
      </c>
      <c r="J205" s="35">
        <f t="shared" ca="1" si="34"/>
        <v>29</v>
      </c>
      <c r="K205" s="32">
        <f t="shared" ca="1" si="35"/>
        <v>0</v>
      </c>
    </row>
    <row r="206" spans="1:11" x14ac:dyDescent="0.25">
      <c r="A206" s="11">
        <f t="shared" si="27"/>
        <v>44</v>
      </c>
      <c r="B206" t="str">
        <f ca="1">TEXT(DATE(YEAR(Invoer!$A$5),1,1)+ROWS(B$2:B206)-1,"jjjjmmdd")</f>
        <v>19200723</v>
      </c>
      <c r="C206" s="27" t="s">
        <v>36</v>
      </c>
      <c r="D206" s="35">
        <f t="shared" ca="1" si="28"/>
        <v>758</v>
      </c>
      <c r="E206" s="32">
        <f t="shared" ca="1" si="29"/>
        <v>0</v>
      </c>
      <c r="F206" s="35">
        <f t="shared" ca="1" si="30"/>
        <v>757.5</v>
      </c>
      <c r="G206" s="32">
        <f t="shared" ca="1" si="31"/>
        <v>0</v>
      </c>
      <c r="H206" s="35">
        <f t="shared" ca="1" si="32"/>
        <v>30</v>
      </c>
      <c r="I206" s="32">
        <f t="shared" ca="1" si="33"/>
        <v>0</v>
      </c>
      <c r="J206" s="35">
        <f t="shared" ca="1" si="34"/>
        <v>28</v>
      </c>
      <c r="K206" s="32">
        <f t="shared" ca="1" si="35"/>
        <v>0</v>
      </c>
    </row>
    <row r="207" spans="1:11" x14ac:dyDescent="0.25">
      <c r="A207" s="11">
        <f t="shared" si="27"/>
        <v>44</v>
      </c>
      <c r="B207" t="str">
        <f ca="1">TEXT(DATE(YEAR(Invoer!$A$5),1,1)+ROWS(B$2:B207)-1,"jjjjmmdd")</f>
        <v>19200724</v>
      </c>
      <c r="C207" s="27" t="s">
        <v>36</v>
      </c>
      <c r="D207" s="35">
        <f t="shared" ca="1" si="28"/>
        <v>758</v>
      </c>
      <c r="E207" s="32">
        <f t="shared" ca="1" si="29"/>
        <v>0</v>
      </c>
      <c r="F207" s="35">
        <f t="shared" ca="1" si="30"/>
        <v>756.5</v>
      </c>
      <c r="G207" s="32">
        <f t="shared" ca="1" si="31"/>
        <v>0</v>
      </c>
      <c r="H207" s="35">
        <f t="shared" ca="1" si="32"/>
        <v>29</v>
      </c>
      <c r="I207" s="32">
        <f t="shared" ca="1" si="33"/>
        <v>0</v>
      </c>
      <c r="J207" s="35">
        <f t="shared" ca="1" si="34"/>
        <v>28</v>
      </c>
      <c r="K207" s="32">
        <f t="shared" ca="1" si="35"/>
        <v>0</v>
      </c>
    </row>
    <row r="208" spans="1:11" x14ac:dyDescent="0.25">
      <c r="A208" s="11">
        <f t="shared" si="27"/>
        <v>44</v>
      </c>
      <c r="B208" t="str">
        <f ca="1">TEXT(DATE(YEAR(Invoer!$A$5),1,1)+ROWS(B$2:B208)-1,"jjjjmmdd")</f>
        <v>19200725</v>
      </c>
      <c r="C208" s="27" t="s">
        <v>36</v>
      </c>
      <c r="D208" s="35">
        <f t="shared" ca="1" si="28"/>
        <v>758</v>
      </c>
      <c r="E208" s="32">
        <f t="shared" ca="1" si="29"/>
        <v>0</v>
      </c>
      <c r="F208" s="35">
        <f t="shared" ca="1" si="30"/>
        <v>756.5</v>
      </c>
      <c r="G208" s="32">
        <f t="shared" ca="1" si="31"/>
        <v>0</v>
      </c>
      <c r="H208" s="35">
        <f t="shared" ca="1" si="32"/>
        <v>30</v>
      </c>
      <c r="I208" s="32">
        <f t="shared" ca="1" si="33"/>
        <v>0</v>
      </c>
      <c r="J208" s="35">
        <f t="shared" ca="1" si="34"/>
        <v>28</v>
      </c>
      <c r="K208" s="32">
        <f t="shared" ca="1" si="35"/>
        <v>0</v>
      </c>
    </row>
    <row r="209" spans="1:11" x14ac:dyDescent="0.25">
      <c r="A209" s="11">
        <f t="shared" si="27"/>
        <v>44</v>
      </c>
      <c r="B209" t="str">
        <f ca="1">TEXT(DATE(YEAR(Invoer!$A$5),1,1)+ROWS(B$2:B209)-1,"jjjjmmdd")</f>
        <v>19200726</v>
      </c>
      <c r="C209" s="27" t="s">
        <v>36</v>
      </c>
      <c r="D209" s="35">
        <f t="shared" ca="1" si="28"/>
        <v>757.5</v>
      </c>
      <c r="E209" s="32">
        <f t="shared" ca="1" si="29"/>
        <v>0</v>
      </c>
      <c r="F209" s="35">
        <f t="shared" ca="1" si="30"/>
        <v>756</v>
      </c>
      <c r="G209" s="32">
        <f t="shared" ca="1" si="31"/>
        <v>0</v>
      </c>
      <c r="H209" s="35">
        <f t="shared" ca="1" si="32"/>
        <v>30</v>
      </c>
      <c r="I209" s="32">
        <f t="shared" ca="1" si="33"/>
        <v>0</v>
      </c>
      <c r="J209" s="35">
        <f t="shared" ca="1" si="34"/>
        <v>28</v>
      </c>
      <c r="K209" s="32">
        <f t="shared" ca="1" si="35"/>
        <v>0</v>
      </c>
    </row>
    <row r="210" spans="1:11" x14ac:dyDescent="0.25">
      <c r="A210" s="11">
        <f t="shared" si="27"/>
        <v>44</v>
      </c>
      <c r="B210" t="str">
        <f ca="1">TEXT(DATE(YEAR(Invoer!$A$5),1,1)+ROWS(B$2:B210)-1,"jjjjmmdd")</f>
        <v>19200727</v>
      </c>
      <c r="C210" s="27" t="s">
        <v>36</v>
      </c>
      <c r="D210" s="35">
        <f t="shared" ca="1" si="28"/>
        <v>758</v>
      </c>
      <c r="E210" s="32">
        <f t="shared" ca="1" si="29"/>
        <v>0</v>
      </c>
      <c r="F210" s="35">
        <f t="shared" ca="1" si="30"/>
        <v>756</v>
      </c>
      <c r="G210" s="32">
        <f t="shared" ca="1" si="31"/>
        <v>0</v>
      </c>
      <c r="H210" s="35">
        <f t="shared" ca="1" si="32"/>
        <v>30</v>
      </c>
      <c r="I210" s="32">
        <f t="shared" ca="1" si="33"/>
        <v>0</v>
      </c>
      <c r="J210" s="35">
        <f t="shared" ca="1" si="34"/>
        <v>29</v>
      </c>
      <c r="K210" s="32">
        <f t="shared" ca="1" si="35"/>
        <v>0</v>
      </c>
    </row>
    <row r="211" spans="1:11" x14ac:dyDescent="0.25">
      <c r="A211" s="11">
        <f t="shared" si="27"/>
        <v>44</v>
      </c>
      <c r="B211" t="str">
        <f ca="1">TEXT(DATE(YEAR(Invoer!$A$5),1,1)+ROWS(B$2:B211)-1,"jjjjmmdd")</f>
        <v>19200728</v>
      </c>
      <c r="C211" s="27" t="s">
        <v>36</v>
      </c>
      <c r="D211" s="35">
        <f t="shared" ca="1" si="28"/>
        <v>758</v>
      </c>
      <c r="E211" s="32">
        <f t="shared" ca="1" si="29"/>
        <v>0</v>
      </c>
      <c r="F211" s="35">
        <f t="shared" ca="1" si="30"/>
        <v>756</v>
      </c>
      <c r="G211" s="32">
        <f t="shared" ca="1" si="31"/>
        <v>0</v>
      </c>
      <c r="H211" s="35">
        <f t="shared" ca="1" si="32"/>
        <v>30</v>
      </c>
      <c r="I211" s="32">
        <f t="shared" ca="1" si="33"/>
        <v>0</v>
      </c>
      <c r="J211" s="35">
        <f t="shared" ca="1" si="34"/>
        <v>29</v>
      </c>
      <c r="K211" s="32">
        <f t="shared" ca="1" si="35"/>
        <v>0</v>
      </c>
    </row>
    <row r="212" spans="1:11" x14ac:dyDescent="0.25">
      <c r="A212" s="11">
        <f t="shared" si="27"/>
        <v>44</v>
      </c>
      <c r="B212" t="str">
        <f ca="1">TEXT(DATE(YEAR(Invoer!$A$5),1,1)+ROWS(B$2:B212)-1,"jjjjmmdd")</f>
        <v>19200729</v>
      </c>
      <c r="C212" s="27" t="s">
        <v>36</v>
      </c>
      <c r="D212" s="35">
        <f t="shared" ca="1" si="28"/>
        <v>758.5</v>
      </c>
      <c r="E212" s="32">
        <f t="shared" ca="1" si="29"/>
        <v>0</v>
      </c>
      <c r="F212" s="35">
        <f t="shared" ca="1" si="30"/>
        <v>756.5</v>
      </c>
      <c r="G212" s="32">
        <f t="shared" ca="1" si="31"/>
        <v>0</v>
      </c>
      <c r="H212" s="35">
        <f t="shared" ca="1" si="32"/>
        <v>29</v>
      </c>
      <c r="I212" s="32">
        <f t="shared" ca="1" si="33"/>
        <v>0</v>
      </c>
      <c r="J212" s="35">
        <f t="shared" ca="1" si="34"/>
        <v>29</v>
      </c>
      <c r="K212" s="32">
        <f t="shared" ca="1" si="35"/>
        <v>0</v>
      </c>
    </row>
    <row r="213" spans="1:11" x14ac:dyDescent="0.25">
      <c r="A213" s="11">
        <f t="shared" si="27"/>
        <v>44</v>
      </c>
      <c r="B213" t="str">
        <f ca="1">TEXT(DATE(YEAR(Invoer!$A$5),1,1)+ROWS(B$2:B213)-1,"jjjjmmdd")</f>
        <v>19200730</v>
      </c>
      <c r="C213" s="27" t="s">
        <v>36</v>
      </c>
      <c r="D213" s="35">
        <f t="shared" ca="1" si="28"/>
        <v>756.5</v>
      </c>
      <c r="E213" s="32">
        <f t="shared" ca="1" si="29"/>
        <v>0</v>
      </c>
      <c r="F213" s="35">
        <f t="shared" ca="1" si="30"/>
        <v>755</v>
      </c>
      <c r="G213" s="32">
        <f t="shared" ca="1" si="31"/>
        <v>0</v>
      </c>
      <c r="H213" s="35">
        <f t="shared" ca="1" si="32"/>
        <v>30</v>
      </c>
      <c r="I213" s="32">
        <f t="shared" ca="1" si="33"/>
        <v>0</v>
      </c>
      <c r="J213" s="35">
        <f t="shared" ca="1" si="34"/>
        <v>29</v>
      </c>
      <c r="K213" s="32">
        <f t="shared" ca="1" si="35"/>
        <v>0</v>
      </c>
    </row>
    <row r="214" spans="1:11" x14ac:dyDescent="0.25">
      <c r="A214" s="11">
        <f t="shared" si="27"/>
        <v>44</v>
      </c>
      <c r="B214" t="str">
        <f ca="1">TEXT(DATE(YEAR(Invoer!$A$5),1,1)+ROWS(B$2:B214)-1,"jjjjmmdd")</f>
        <v>19200731</v>
      </c>
      <c r="C214" s="27" t="s">
        <v>36</v>
      </c>
      <c r="D214" s="35">
        <f t="shared" ca="1" si="28"/>
        <v>758</v>
      </c>
      <c r="E214" s="32">
        <f t="shared" ca="1" si="29"/>
        <v>0</v>
      </c>
      <c r="F214" s="35">
        <f t="shared" ca="1" si="30"/>
        <v>756.5</v>
      </c>
      <c r="G214" s="32">
        <f t="shared" ca="1" si="31"/>
        <v>0</v>
      </c>
      <c r="H214" s="35">
        <f t="shared" ca="1" si="32"/>
        <v>30</v>
      </c>
      <c r="I214" s="32">
        <f t="shared" ca="1" si="33"/>
        <v>0</v>
      </c>
      <c r="J214" s="35">
        <f t="shared" ca="1" si="34"/>
        <v>28</v>
      </c>
      <c r="K214" s="32">
        <f t="shared" ca="1" si="35"/>
        <v>0</v>
      </c>
    </row>
    <row r="215" spans="1:11" x14ac:dyDescent="0.25">
      <c r="A215" s="11">
        <f t="shared" si="27"/>
        <v>44</v>
      </c>
      <c r="B215" t="str">
        <f ca="1">TEXT(DATE(YEAR(Invoer!$A$5),1,1)+ROWS(B$2:B215)-1,"jjjjmmdd")</f>
        <v>19200801</v>
      </c>
      <c r="C215" s="27" t="s">
        <v>36</v>
      </c>
      <c r="D215" s="35">
        <f t="shared" ca="1" si="28"/>
        <v>757</v>
      </c>
      <c r="E215" s="32">
        <f t="shared" ca="1" si="29"/>
        <v>0</v>
      </c>
      <c r="F215" s="35">
        <f t="shared" ca="1" si="30"/>
        <v>755</v>
      </c>
      <c r="G215" s="32">
        <f t="shared" ca="1" si="31"/>
        <v>0</v>
      </c>
      <c r="H215" s="35">
        <f t="shared" ca="1" si="32"/>
        <v>30</v>
      </c>
      <c r="I215" s="32">
        <f t="shared" ca="1" si="33"/>
        <v>0</v>
      </c>
      <c r="J215" s="35">
        <f t="shared" ca="1" si="34"/>
        <v>29</v>
      </c>
      <c r="K215" s="32">
        <f t="shared" ca="1" si="35"/>
        <v>0</v>
      </c>
    </row>
    <row r="216" spans="1:11" x14ac:dyDescent="0.25">
      <c r="A216" s="11">
        <f t="shared" si="27"/>
        <v>44</v>
      </c>
      <c r="B216" t="str">
        <f ca="1">TEXT(DATE(YEAR(Invoer!$A$5),1,1)+ROWS(B$2:B216)-1,"jjjjmmdd")</f>
        <v>19200802</v>
      </c>
      <c r="C216" s="27" t="s">
        <v>36</v>
      </c>
      <c r="D216" s="35">
        <f t="shared" ca="1" si="28"/>
        <v>758</v>
      </c>
      <c r="E216" s="32">
        <f t="shared" ca="1" si="29"/>
        <v>0</v>
      </c>
      <c r="F216" s="35">
        <f t="shared" ca="1" si="30"/>
        <v>756</v>
      </c>
      <c r="G216" s="32">
        <f t="shared" ca="1" si="31"/>
        <v>0</v>
      </c>
      <c r="H216" s="35">
        <f t="shared" ca="1" si="32"/>
        <v>28</v>
      </c>
      <c r="I216" s="32">
        <f t="shared" ca="1" si="33"/>
        <v>0</v>
      </c>
      <c r="J216" s="35">
        <f t="shared" ca="1" si="34"/>
        <v>27</v>
      </c>
      <c r="K216" s="32">
        <f t="shared" ca="1" si="35"/>
        <v>0</v>
      </c>
    </row>
    <row r="217" spans="1:11" x14ac:dyDescent="0.25">
      <c r="A217" s="11">
        <f t="shared" si="27"/>
        <v>44</v>
      </c>
      <c r="B217" t="str">
        <f ca="1">TEXT(DATE(YEAR(Invoer!$A$5),1,1)+ROWS(B$2:B217)-1,"jjjjmmdd")</f>
        <v>19200803</v>
      </c>
      <c r="C217" s="27" t="s">
        <v>36</v>
      </c>
      <c r="D217" s="35">
        <f t="shared" ca="1" si="28"/>
        <v>756</v>
      </c>
      <c r="E217" s="32">
        <f t="shared" ca="1" si="29"/>
        <v>0</v>
      </c>
      <c r="F217" s="35">
        <f t="shared" ca="1" si="30"/>
        <v>756</v>
      </c>
      <c r="G217" s="32">
        <f t="shared" ca="1" si="31"/>
        <v>0</v>
      </c>
      <c r="H217" s="35">
        <f t="shared" ca="1" si="32"/>
        <v>30</v>
      </c>
      <c r="I217" s="32">
        <f t="shared" ca="1" si="33"/>
        <v>0</v>
      </c>
      <c r="J217" s="35">
        <f t="shared" ca="1" si="34"/>
        <v>28</v>
      </c>
      <c r="K217" s="32">
        <f t="shared" ca="1" si="35"/>
        <v>0</v>
      </c>
    </row>
    <row r="218" spans="1:11" x14ac:dyDescent="0.25">
      <c r="A218" s="11">
        <f t="shared" si="27"/>
        <v>44</v>
      </c>
      <c r="B218" t="str">
        <f ca="1">TEXT(DATE(YEAR(Invoer!$A$5),1,1)+ROWS(B$2:B218)-1,"jjjjmmdd")</f>
        <v>19200804</v>
      </c>
      <c r="C218" s="27" t="s">
        <v>36</v>
      </c>
      <c r="D218" s="35">
        <f t="shared" ca="1" si="28"/>
        <v>757.5</v>
      </c>
      <c r="E218" s="32">
        <f t="shared" ca="1" si="29"/>
        <v>0</v>
      </c>
      <c r="F218" s="35">
        <f t="shared" ca="1" si="30"/>
        <v>756</v>
      </c>
      <c r="G218" s="32">
        <f t="shared" ca="1" si="31"/>
        <v>0</v>
      </c>
      <c r="H218" s="35">
        <f t="shared" ca="1" si="32"/>
        <v>30</v>
      </c>
      <c r="I218" s="32">
        <f t="shared" ca="1" si="33"/>
        <v>0</v>
      </c>
      <c r="J218" s="35">
        <f t="shared" ca="1" si="34"/>
        <v>29.5</v>
      </c>
      <c r="K218" s="32">
        <f t="shared" ca="1" si="35"/>
        <v>0</v>
      </c>
    </row>
    <row r="219" spans="1:11" x14ac:dyDescent="0.25">
      <c r="A219" s="11">
        <f t="shared" si="27"/>
        <v>44</v>
      </c>
      <c r="B219" t="str">
        <f ca="1">TEXT(DATE(YEAR(Invoer!$A$5),1,1)+ROWS(B$2:B219)-1,"jjjjmmdd")</f>
        <v>19200805</v>
      </c>
      <c r="C219" s="27" t="s">
        <v>36</v>
      </c>
      <c r="D219" s="35">
        <f t="shared" ca="1" si="28"/>
        <v>757</v>
      </c>
      <c r="E219" s="32">
        <f t="shared" ca="1" si="29"/>
        <v>0</v>
      </c>
      <c r="F219" s="35">
        <f t="shared" ca="1" si="30"/>
        <v>756</v>
      </c>
      <c r="G219" s="32">
        <f t="shared" ca="1" si="31"/>
        <v>0</v>
      </c>
      <c r="H219" s="35">
        <f t="shared" ca="1" si="32"/>
        <v>30</v>
      </c>
      <c r="I219" s="32">
        <f t="shared" ca="1" si="33"/>
        <v>0</v>
      </c>
      <c r="J219" s="35">
        <f t="shared" ca="1" si="34"/>
        <v>29</v>
      </c>
      <c r="K219" s="32">
        <f t="shared" ca="1" si="35"/>
        <v>0</v>
      </c>
    </row>
    <row r="220" spans="1:11" x14ac:dyDescent="0.25">
      <c r="A220" s="11">
        <f t="shared" si="27"/>
        <v>44</v>
      </c>
      <c r="B220" t="str">
        <f ca="1">TEXT(DATE(YEAR(Invoer!$A$5),1,1)+ROWS(B$2:B220)-1,"jjjjmmdd")</f>
        <v>19200806</v>
      </c>
      <c r="C220" s="27" t="s">
        <v>36</v>
      </c>
      <c r="D220" s="35">
        <f t="shared" ca="1" si="28"/>
        <v>757</v>
      </c>
      <c r="E220" s="32">
        <f t="shared" ca="1" si="29"/>
        <v>0</v>
      </c>
      <c r="F220" s="35">
        <f t="shared" ca="1" si="30"/>
        <v>755.5</v>
      </c>
      <c r="G220" s="32">
        <f t="shared" ca="1" si="31"/>
        <v>0</v>
      </c>
      <c r="H220" s="35">
        <f t="shared" ca="1" si="32"/>
        <v>30</v>
      </c>
      <c r="I220" s="32">
        <f t="shared" ca="1" si="33"/>
        <v>0</v>
      </c>
      <c r="J220" s="35">
        <f t="shared" ca="1" si="34"/>
        <v>29</v>
      </c>
      <c r="K220" s="32">
        <f t="shared" ca="1" si="35"/>
        <v>0</v>
      </c>
    </row>
    <row r="221" spans="1:11" x14ac:dyDescent="0.25">
      <c r="A221" s="11">
        <f t="shared" si="27"/>
        <v>44</v>
      </c>
      <c r="B221" t="str">
        <f ca="1">TEXT(DATE(YEAR(Invoer!$A$5),1,1)+ROWS(B$2:B221)-1,"jjjjmmdd")</f>
        <v>19200807</v>
      </c>
      <c r="C221" s="27" t="s">
        <v>36</v>
      </c>
      <c r="D221" s="35">
        <f t="shared" ca="1" si="28"/>
        <v>757</v>
      </c>
      <c r="E221" s="32">
        <f t="shared" ca="1" si="29"/>
        <v>0</v>
      </c>
      <c r="F221" s="35">
        <f t="shared" ca="1" si="30"/>
        <v>756</v>
      </c>
      <c r="G221" s="32">
        <f t="shared" ca="1" si="31"/>
        <v>0</v>
      </c>
      <c r="H221" s="35">
        <f t="shared" ca="1" si="32"/>
        <v>30</v>
      </c>
      <c r="I221" s="32">
        <f t="shared" ca="1" si="33"/>
        <v>0</v>
      </c>
      <c r="J221" s="35">
        <f t="shared" ca="1" si="34"/>
        <v>29</v>
      </c>
      <c r="K221" s="32">
        <f t="shared" ca="1" si="35"/>
        <v>0</v>
      </c>
    </row>
    <row r="222" spans="1:11" x14ac:dyDescent="0.25">
      <c r="A222" s="11">
        <f t="shared" si="27"/>
        <v>44</v>
      </c>
      <c r="B222" t="str">
        <f ca="1">TEXT(DATE(YEAR(Invoer!$A$5),1,1)+ROWS(B$2:B222)-1,"jjjjmmdd")</f>
        <v>19200808</v>
      </c>
      <c r="C222" s="27" t="s">
        <v>36</v>
      </c>
      <c r="D222" s="35">
        <f t="shared" ca="1" si="28"/>
        <v>758</v>
      </c>
      <c r="E222" s="32">
        <f t="shared" ca="1" si="29"/>
        <v>0</v>
      </c>
      <c r="F222" s="35">
        <f t="shared" ca="1" si="30"/>
        <v>757</v>
      </c>
      <c r="G222" s="32">
        <f t="shared" ca="1" si="31"/>
        <v>0</v>
      </c>
      <c r="H222" s="35">
        <f t="shared" ca="1" si="32"/>
        <v>29</v>
      </c>
      <c r="I222" s="32">
        <f t="shared" ca="1" si="33"/>
        <v>0</v>
      </c>
      <c r="J222" s="35">
        <f t="shared" ca="1" si="34"/>
        <v>28</v>
      </c>
      <c r="K222" s="32">
        <f t="shared" ca="1" si="35"/>
        <v>0</v>
      </c>
    </row>
    <row r="223" spans="1:11" x14ac:dyDescent="0.25">
      <c r="A223" s="11">
        <f t="shared" si="27"/>
        <v>44</v>
      </c>
      <c r="B223" t="str">
        <f ca="1">TEXT(DATE(YEAR(Invoer!$A$5),1,1)+ROWS(B$2:B223)-1,"jjjjmmdd")</f>
        <v>19200809</v>
      </c>
      <c r="C223" s="27" t="s">
        <v>36</v>
      </c>
      <c r="D223" s="35">
        <f t="shared" ca="1" si="28"/>
        <v>756</v>
      </c>
      <c r="E223" s="32">
        <f t="shared" ca="1" si="29"/>
        <v>0</v>
      </c>
      <c r="F223" s="35">
        <f t="shared" ca="1" si="30"/>
        <v>755</v>
      </c>
      <c r="G223" s="32">
        <f t="shared" ca="1" si="31"/>
        <v>0</v>
      </c>
      <c r="H223" s="35">
        <f t="shared" ca="1" si="32"/>
        <v>30</v>
      </c>
      <c r="I223" s="32">
        <f t="shared" ca="1" si="33"/>
        <v>0</v>
      </c>
      <c r="J223" s="35">
        <f t="shared" ca="1" si="34"/>
        <v>28</v>
      </c>
      <c r="K223" s="32">
        <f t="shared" ca="1" si="35"/>
        <v>0</v>
      </c>
    </row>
    <row r="224" spans="1:11" x14ac:dyDescent="0.25">
      <c r="A224" s="11">
        <f t="shared" si="27"/>
        <v>44</v>
      </c>
      <c r="B224" t="str">
        <f ca="1">TEXT(DATE(YEAR(Invoer!$A$5),1,1)+ROWS(B$2:B224)-1,"jjjjmmdd")</f>
        <v>19200810</v>
      </c>
      <c r="C224" s="27" t="s">
        <v>36</v>
      </c>
      <c r="D224" s="35">
        <f t="shared" ca="1" si="28"/>
        <v>756</v>
      </c>
      <c r="E224" s="32">
        <f t="shared" ca="1" si="29"/>
        <v>0</v>
      </c>
      <c r="F224" s="35">
        <f t="shared" ca="1" si="30"/>
        <v>755</v>
      </c>
      <c r="G224" s="32">
        <f t="shared" ca="1" si="31"/>
        <v>0</v>
      </c>
      <c r="H224" s="35">
        <f t="shared" ca="1" si="32"/>
        <v>29</v>
      </c>
      <c r="I224" s="32">
        <f t="shared" ca="1" si="33"/>
        <v>0</v>
      </c>
      <c r="J224" s="35">
        <f t="shared" ca="1" si="34"/>
        <v>27</v>
      </c>
      <c r="K224" s="32">
        <f t="shared" ca="1" si="35"/>
        <v>0</v>
      </c>
    </row>
    <row r="225" spans="1:11" x14ac:dyDescent="0.25">
      <c r="A225" s="11">
        <f t="shared" si="27"/>
        <v>44</v>
      </c>
      <c r="B225" t="str">
        <f ca="1">TEXT(DATE(YEAR(Invoer!$A$5),1,1)+ROWS(B$2:B225)-1,"jjjjmmdd")</f>
        <v>19200811</v>
      </c>
      <c r="C225" s="27" t="s">
        <v>36</v>
      </c>
      <c r="D225" s="35">
        <f t="shared" ca="1" si="28"/>
        <v>757</v>
      </c>
      <c r="E225" s="32">
        <f t="shared" ca="1" si="29"/>
        <v>0</v>
      </c>
      <c r="F225" s="35">
        <f t="shared" ca="1" si="30"/>
        <v>755</v>
      </c>
      <c r="G225" s="32">
        <f t="shared" ca="1" si="31"/>
        <v>0</v>
      </c>
      <c r="H225" s="35">
        <f t="shared" ca="1" si="32"/>
        <v>29</v>
      </c>
      <c r="I225" s="32">
        <f t="shared" ca="1" si="33"/>
        <v>0</v>
      </c>
      <c r="J225" s="35">
        <f t="shared" ca="1" si="34"/>
        <v>27</v>
      </c>
      <c r="K225" s="32">
        <f t="shared" ca="1" si="35"/>
        <v>0</v>
      </c>
    </row>
    <row r="226" spans="1:11" x14ac:dyDescent="0.25">
      <c r="A226" s="11">
        <f t="shared" si="27"/>
        <v>44</v>
      </c>
      <c r="B226" t="str">
        <f ca="1">TEXT(DATE(YEAR(Invoer!$A$5),1,1)+ROWS(B$2:B226)-1,"jjjjmmdd")</f>
        <v>19200812</v>
      </c>
      <c r="C226" s="27" t="s">
        <v>36</v>
      </c>
      <c r="D226" s="35">
        <f t="shared" ca="1" si="28"/>
        <v>756</v>
      </c>
      <c r="E226" s="32">
        <f t="shared" ca="1" si="29"/>
        <v>0</v>
      </c>
      <c r="F226" s="35">
        <f t="shared" ca="1" si="30"/>
        <v>755</v>
      </c>
      <c r="G226" s="32">
        <f t="shared" ca="1" si="31"/>
        <v>0</v>
      </c>
      <c r="H226" s="35">
        <f t="shared" ca="1" si="32"/>
        <v>29</v>
      </c>
      <c r="I226" s="32">
        <f t="shared" ca="1" si="33"/>
        <v>0</v>
      </c>
      <c r="J226" s="35">
        <f t="shared" ca="1" si="34"/>
        <v>28</v>
      </c>
      <c r="K226" s="32">
        <f t="shared" ca="1" si="35"/>
        <v>0</v>
      </c>
    </row>
    <row r="227" spans="1:11" x14ac:dyDescent="0.25">
      <c r="A227" s="11">
        <f t="shared" si="27"/>
        <v>44</v>
      </c>
      <c r="B227" t="str">
        <f ca="1">TEXT(DATE(YEAR(Invoer!$A$5),1,1)+ROWS(B$2:B227)-1,"jjjjmmdd")</f>
        <v>19200813</v>
      </c>
      <c r="C227" s="27" t="s">
        <v>36</v>
      </c>
      <c r="D227" s="35">
        <f t="shared" ca="1" si="28"/>
        <v>756</v>
      </c>
      <c r="E227" s="32">
        <f t="shared" ca="1" si="29"/>
        <v>0</v>
      </c>
      <c r="F227" s="35">
        <f t="shared" ca="1" si="30"/>
        <v>754.5</v>
      </c>
      <c r="G227" s="32">
        <f t="shared" ca="1" si="31"/>
        <v>0</v>
      </c>
      <c r="H227" s="35">
        <f t="shared" ca="1" si="32"/>
        <v>30</v>
      </c>
      <c r="I227" s="32">
        <f t="shared" ca="1" si="33"/>
        <v>0</v>
      </c>
      <c r="J227" s="35">
        <f t="shared" ca="1" si="34"/>
        <v>27</v>
      </c>
      <c r="K227" s="32">
        <f t="shared" ca="1" si="35"/>
        <v>0</v>
      </c>
    </row>
    <row r="228" spans="1:11" x14ac:dyDescent="0.25">
      <c r="A228" s="11">
        <f t="shared" si="27"/>
        <v>44</v>
      </c>
      <c r="B228" t="str">
        <f ca="1">TEXT(DATE(YEAR(Invoer!$A$5),1,1)+ROWS(B$2:B228)-1,"jjjjmmdd")</f>
        <v>19200814</v>
      </c>
      <c r="C228" s="27" t="s">
        <v>36</v>
      </c>
      <c r="D228" s="35">
        <f t="shared" ca="1" si="28"/>
        <v>757</v>
      </c>
      <c r="E228" s="32">
        <f t="shared" ca="1" si="29"/>
        <v>0</v>
      </c>
      <c r="F228" s="35">
        <f t="shared" ca="1" si="30"/>
        <v>755</v>
      </c>
      <c r="G228" s="32">
        <f t="shared" ca="1" si="31"/>
        <v>0</v>
      </c>
      <c r="H228" s="35">
        <f t="shared" ca="1" si="32"/>
        <v>30</v>
      </c>
      <c r="I228" s="32">
        <f t="shared" ca="1" si="33"/>
        <v>0</v>
      </c>
      <c r="J228" s="35">
        <f t="shared" ca="1" si="34"/>
        <v>29</v>
      </c>
      <c r="K228" s="32">
        <f t="shared" ca="1" si="35"/>
        <v>0</v>
      </c>
    </row>
    <row r="229" spans="1:11" x14ac:dyDescent="0.25">
      <c r="A229" s="11">
        <f t="shared" si="27"/>
        <v>44</v>
      </c>
      <c r="B229" t="str">
        <f ca="1">TEXT(DATE(YEAR(Invoer!$A$5),1,1)+ROWS(B$2:B229)-1,"jjjjmmdd")</f>
        <v>19200815</v>
      </c>
      <c r="C229" s="27" t="s">
        <v>36</v>
      </c>
      <c r="D229" s="35">
        <f t="shared" ca="1" si="28"/>
        <v>757</v>
      </c>
      <c r="E229" s="32">
        <f t="shared" ca="1" si="29"/>
        <v>0</v>
      </c>
      <c r="F229" s="35">
        <f t="shared" ca="1" si="30"/>
        <v>755</v>
      </c>
      <c r="G229" s="32">
        <f t="shared" ca="1" si="31"/>
        <v>0</v>
      </c>
      <c r="H229" s="35">
        <f t="shared" ca="1" si="32"/>
        <v>30</v>
      </c>
      <c r="I229" s="32">
        <f t="shared" ca="1" si="33"/>
        <v>0</v>
      </c>
      <c r="J229" s="35">
        <f t="shared" ca="1" si="34"/>
        <v>29</v>
      </c>
      <c r="K229" s="32">
        <f t="shared" ca="1" si="35"/>
        <v>0</v>
      </c>
    </row>
    <row r="230" spans="1:11" x14ac:dyDescent="0.25">
      <c r="A230" s="11">
        <f t="shared" si="27"/>
        <v>44</v>
      </c>
      <c r="B230" t="str">
        <f ca="1">TEXT(DATE(YEAR(Invoer!$A$5),1,1)+ROWS(B$2:B230)-1,"jjjjmmdd")</f>
        <v>19200816</v>
      </c>
      <c r="C230" s="27" t="s">
        <v>36</v>
      </c>
      <c r="D230" s="35">
        <f t="shared" ca="1" si="28"/>
        <v>756.5</v>
      </c>
      <c r="E230" s="32">
        <f t="shared" ca="1" si="29"/>
        <v>0</v>
      </c>
      <c r="F230" s="35">
        <f t="shared" ca="1" si="30"/>
        <v>755</v>
      </c>
      <c r="G230" s="32">
        <f t="shared" ca="1" si="31"/>
        <v>0</v>
      </c>
      <c r="H230" s="35">
        <f t="shared" ca="1" si="32"/>
        <v>29</v>
      </c>
      <c r="I230" s="32">
        <f t="shared" ca="1" si="33"/>
        <v>0</v>
      </c>
      <c r="J230" s="35">
        <f t="shared" ca="1" si="34"/>
        <v>28</v>
      </c>
      <c r="K230" s="32">
        <f t="shared" ca="1" si="35"/>
        <v>0</v>
      </c>
    </row>
    <row r="231" spans="1:11" x14ac:dyDescent="0.25">
      <c r="A231" s="11">
        <f t="shared" si="27"/>
        <v>44</v>
      </c>
      <c r="B231" t="str">
        <f ca="1">TEXT(DATE(YEAR(Invoer!$A$5),1,1)+ROWS(B$2:B231)-1,"jjjjmmdd")</f>
        <v>19200817</v>
      </c>
      <c r="C231" s="27" t="s">
        <v>36</v>
      </c>
      <c r="D231" s="35">
        <f t="shared" ca="1" si="28"/>
        <v>756</v>
      </c>
      <c r="E231" s="32">
        <f t="shared" ca="1" si="29"/>
        <v>0</v>
      </c>
      <c r="F231" s="35">
        <f t="shared" ca="1" si="30"/>
        <v>755</v>
      </c>
      <c r="G231" s="32">
        <f t="shared" ca="1" si="31"/>
        <v>0</v>
      </c>
      <c r="H231" s="35">
        <f t="shared" ca="1" si="32"/>
        <v>30</v>
      </c>
      <c r="I231" s="32">
        <f t="shared" ca="1" si="33"/>
        <v>0</v>
      </c>
      <c r="J231" s="35">
        <f t="shared" ca="1" si="34"/>
        <v>29</v>
      </c>
      <c r="K231" s="32">
        <f t="shared" ca="1" si="35"/>
        <v>0</v>
      </c>
    </row>
    <row r="232" spans="1:11" x14ac:dyDescent="0.25">
      <c r="A232" s="11">
        <f t="shared" si="27"/>
        <v>44</v>
      </c>
      <c r="B232" t="str">
        <f ca="1">TEXT(DATE(YEAR(Invoer!$A$5),1,1)+ROWS(B$2:B232)-1,"jjjjmmdd")</f>
        <v>19200818</v>
      </c>
      <c r="C232" s="27" t="s">
        <v>36</v>
      </c>
      <c r="D232" s="35">
        <f t="shared" ca="1" si="28"/>
        <v>757.5</v>
      </c>
      <c r="E232" s="32">
        <f t="shared" ca="1" si="29"/>
        <v>0</v>
      </c>
      <c r="F232" s="35">
        <f t="shared" ca="1" si="30"/>
        <v>756.5</v>
      </c>
      <c r="G232" s="32">
        <f t="shared" ca="1" si="31"/>
        <v>0</v>
      </c>
      <c r="H232" s="35">
        <f t="shared" ca="1" si="32"/>
        <v>29</v>
      </c>
      <c r="I232" s="32">
        <f t="shared" ca="1" si="33"/>
        <v>0</v>
      </c>
      <c r="J232" s="35">
        <f t="shared" ca="1" si="34"/>
        <v>29</v>
      </c>
      <c r="K232" s="32">
        <f t="shared" ca="1" si="35"/>
        <v>0</v>
      </c>
    </row>
    <row r="233" spans="1:11" x14ac:dyDescent="0.25">
      <c r="A233" s="11">
        <f t="shared" si="27"/>
        <v>44</v>
      </c>
      <c r="B233" t="str">
        <f ca="1">TEXT(DATE(YEAR(Invoer!$A$5),1,1)+ROWS(B$2:B233)-1,"jjjjmmdd")</f>
        <v>19200819</v>
      </c>
      <c r="C233" s="27" t="s">
        <v>36</v>
      </c>
      <c r="D233" s="35">
        <f t="shared" ca="1" si="28"/>
        <v>758</v>
      </c>
      <c r="E233" s="32">
        <f t="shared" ca="1" si="29"/>
        <v>0</v>
      </c>
      <c r="F233" s="35">
        <f t="shared" ca="1" si="30"/>
        <v>756.5</v>
      </c>
      <c r="G233" s="32">
        <f t="shared" ca="1" si="31"/>
        <v>0</v>
      </c>
      <c r="H233" s="35">
        <f t="shared" ca="1" si="32"/>
        <v>30</v>
      </c>
      <c r="I233" s="32">
        <f t="shared" ca="1" si="33"/>
        <v>0</v>
      </c>
      <c r="J233" s="35">
        <f t="shared" ca="1" si="34"/>
        <v>28</v>
      </c>
      <c r="K233" s="32">
        <f t="shared" ca="1" si="35"/>
        <v>0</v>
      </c>
    </row>
    <row r="234" spans="1:11" x14ac:dyDescent="0.25">
      <c r="A234" s="11">
        <f t="shared" si="27"/>
        <v>44</v>
      </c>
      <c r="B234" t="str">
        <f ca="1">TEXT(DATE(YEAR(Invoer!$A$5),1,1)+ROWS(B$2:B234)-1,"jjjjmmdd")</f>
        <v>19200820</v>
      </c>
      <c r="C234" s="27" t="s">
        <v>36</v>
      </c>
      <c r="D234" s="35">
        <f t="shared" ca="1" si="28"/>
        <v>757.5</v>
      </c>
      <c r="E234" s="32">
        <f t="shared" ca="1" si="29"/>
        <v>0</v>
      </c>
      <c r="F234" s="35">
        <f t="shared" ca="1" si="30"/>
        <v>755.5</v>
      </c>
      <c r="G234" s="32">
        <f t="shared" ca="1" si="31"/>
        <v>0</v>
      </c>
      <c r="H234" s="35">
        <f t="shared" ca="1" si="32"/>
        <v>30</v>
      </c>
      <c r="I234" s="32">
        <f t="shared" ca="1" si="33"/>
        <v>0</v>
      </c>
      <c r="J234" s="35">
        <f t="shared" ca="1" si="34"/>
        <v>30</v>
      </c>
      <c r="K234" s="32">
        <f t="shared" ca="1" si="35"/>
        <v>0</v>
      </c>
    </row>
    <row r="235" spans="1:11" x14ac:dyDescent="0.25">
      <c r="A235" s="11">
        <f t="shared" si="27"/>
        <v>44</v>
      </c>
      <c r="B235" t="str">
        <f ca="1">TEXT(DATE(YEAR(Invoer!$A$5),1,1)+ROWS(B$2:B235)-1,"jjjjmmdd")</f>
        <v>19200821</v>
      </c>
      <c r="C235" s="27" t="s">
        <v>36</v>
      </c>
      <c r="D235" s="35">
        <f t="shared" ca="1" si="28"/>
        <v>757.5</v>
      </c>
      <c r="E235" s="32">
        <f t="shared" ca="1" si="29"/>
        <v>0</v>
      </c>
      <c r="F235" s="35">
        <f t="shared" ca="1" si="30"/>
        <v>755</v>
      </c>
      <c r="G235" s="32">
        <f t="shared" ca="1" si="31"/>
        <v>0</v>
      </c>
      <c r="H235" s="35">
        <f t="shared" ca="1" si="32"/>
        <v>30</v>
      </c>
      <c r="I235" s="32">
        <f t="shared" ca="1" si="33"/>
        <v>0</v>
      </c>
      <c r="J235" s="35">
        <f t="shared" ca="1" si="34"/>
        <v>29</v>
      </c>
      <c r="K235" s="32">
        <f t="shared" ca="1" si="35"/>
        <v>0</v>
      </c>
    </row>
    <row r="236" spans="1:11" x14ac:dyDescent="0.25">
      <c r="A236" s="11">
        <f t="shared" si="27"/>
        <v>44</v>
      </c>
      <c r="B236" t="str">
        <f ca="1">TEXT(DATE(YEAR(Invoer!$A$5),1,1)+ROWS(B$2:B236)-1,"jjjjmmdd")</f>
        <v>19200822</v>
      </c>
      <c r="C236" s="27" t="s">
        <v>36</v>
      </c>
      <c r="D236" s="35">
        <f t="shared" ca="1" si="28"/>
        <v>757</v>
      </c>
      <c r="E236" s="32">
        <f t="shared" ca="1" si="29"/>
        <v>0</v>
      </c>
      <c r="F236" s="35">
        <f t="shared" ca="1" si="30"/>
        <v>756</v>
      </c>
      <c r="G236" s="32">
        <f t="shared" ca="1" si="31"/>
        <v>0</v>
      </c>
      <c r="H236" s="35">
        <f t="shared" ca="1" si="32"/>
        <v>30</v>
      </c>
      <c r="I236" s="32">
        <f t="shared" ca="1" si="33"/>
        <v>0</v>
      </c>
      <c r="J236" s="35">
        <f t="shared" ca="1" si="34"/>
        <v>29</v>
      </c>
      <c r="K236" s="32">
        <f t="shared" ca="1" si="35"/>
        <v>0</v>
      </c>
    </row>
    <row r="237" spans="1:11" x14ac:dyDescent="0.25">
      <c r="A237" s="11">
        <f t="shared" si="27"/>
        <v>44</v>
      </c>
      <c r="B237" t="str">
        <f ca="1">TEXT(DATE(YEAR(Invoer!$A$5),1,1)+ROWS(B$2:B237)-1,"jjjjmmdd")</f>
        <v>19200823</v>
      </c>
      <c r="C237" s="27" t="s">
        <v>36</v>
      </c>
      <c r="D237" s="35">
        <f t="shared" ca="1" si="28"/>
        <v>757</v>
      </c>
      <c r="E237" s="32">
        <f t="shared" ca="1" si="29"/>
        <v>0</v>
      </c>
      <c r="F237" s="35">
        <f t="shared" ca="1" si="30"/>
        <v>756</v>
      </c>
      <c r="G237" s="32">
        <f t="shared" ca="1" si="31"/>
        <v>0</v>
      </c>
      <c r="H237" s="35">
        <f t="shared" ca="1" si="32"/>
        <v>30.5</v>
      </c>
      <c r="I237" s="32">
        <f t="shared" ca="1" si="33"/>
        <v>0</v>
      </c>
      <c r="J237" s="35">
        <f t="shared" ca="1" si="34"/>
        <v>30</v>
      </c>
      <c r="K237" s="32">
        <f t="shared" ca="1" si="35"/>
        <v>0</v>
      </c>
    </row>
    <row r="238" spans="1:11" x14ac:dyDescent="0.25">
      <c r="A238" s="11">
        <f t="shared" si="27"/>
        <v>44</v>
      </c>
      <c r="B238" t="str">
        <f ca="1">TEXT(DATE(YEAR(Invoer!$A$5),1,1)+ROWS(B$2:B238)-1,"jjjjmmdd")</f>
        <v>19200824</v>
      </c>
      <c r="C238" s="27" t="s">
        <v>36</v>
      </c>
      <c r="D238" s="35">
        <f t="shared" ca="1" si="28"/>
        <v>756.5</v>
      </c>
      <c r="E238" s="32">
        <f t="shared" ca="1" si="29"/>
        <v>0</v>
      </c>
      <c r="F238" s="35">
        <f t="shared" ca="1" si="30"/>
        <v>756</v>
      </c>
      <c r="G238" s="32">
        <f t="shared" ca="1" si="31"/>
        <v>0</v>
      </c>
      <c r="H238" s="35">
        <f t="shared" ca="1" si="32"/>
        <v>29</v>
      </c>
      <c r="I238" s="32">
        <f t="shared" ca="1" si="33"/>
        <v>0</v>
      </c>
      <c r="J238" s="35">
        <f t="shared" ca="1" si="34"/>
        <v>29</v>
      </c>
      <c r="K238" s="32">
        <f t="shared" ca="1" si="35"/>
        <v>0</v>
      </c>
    </row>
    <row r="239" spans="1:11" x14ac:dyDescent="0.25">
      <c r="A239" s="11">
        <f t="shared" si="27"/>
        <v>44</v>
      </c>
      <c r="B239" t="str">
        <f ca="1">TEXT(DATE(YEAR(Invoer!$A$5),1,1)+ROWS(B$2:B239)-1,"jjjjmmdd")</f>
        <v>19200825</v>
      </c>
      <c r="C239" s="27" t="s">
        <v>36</v>
      </c>
      <c r="D239" s="35">
        <f t="shared" ca="1" si="28"/>
        <v>757</v>
      </c>
      <c r="E239" s="32">
        <f t="shared" ca="1" si="29"/>
        <v>0</v>
      </c>
      <c r="F239" s="35">
        <f t="shared" ca="1" si="30"/>
        <v>756</v>
      </c>
      <c r="G239" s="32">
        <f t="shared" ca="1" si="31"/>
        <v>0</v>
      </c>
      <c r="H239" s="35">
        <f t="shared" ca="1" si="32"/>
        <v>30</v>
      </c>
      <c r="I239" s="32">
        <f t="shared" ca="1" si="33"/>
        <v>0</v>
      </c>
      <c r="J239" s="35">
        <f t="shared" ca="1" si="34"/>
        <v>29</v>
      </c>
      <c r="K239" s="32">
        <f t="shared" ca="1" si="35"/>
        <v>0</v>
      </c>
    </row>
    <row r="240" spans="1:11" x14ac:dyDescent="0.25">
      <c r="A240" s="11">
        <f t="shared" si="27"/>
        <v>44</v>
      </c>
      <c r="B240" t="str">
        <f ca="1">TEXT(DATE(YEAR(Invoer!$A$5),1,1)+ROWS(B$2:B240)-1,"jjjjmmdd")</f>
        <v>19200826</v>
      </c>
      <c r="C240" s="27" t="s">
        <v>36</v>
      </c>
      <c r="D240" s="35">
        <f t="shared" ca="1" si="28"/>
        <v>757</v>
      </c>
      <c r="E240" s="32">
        <f t="shared" ca="1" si="29"/>
        <v>0</v>
      </c>
      <c r="F240" s="35">
        <f t="shared" ca="1" si="30"/>
        <v>756</v>
      </c>
      <c r="G240" s="32">
        <f t="shared" ca="1" si="31"/>
        <v>0</v>
      </c>
      <c r="H240" s="35">
        <f t="shared" ca="1" si="32"/>
        <v>30</v>
      </c>
      <c r="I240" s="32">
        <f t="shared" ca="1" si="33"/>
        <v>0</v>
      </c>
      <c r="J240" s="35">
        <f t="shared" ca="1" si="34"/>
        <v>29</v>
      </c>
      <c r="K240" s="32">
        <f t="shared" ca="1" si="35"/>
        <v>0</v>
      </c>
    </row>
    <row r="241" spans="1:11" x14ac:dyDescent="0.25">
      <c r="A241" s="11">
        <f t="shared" si="27"/>
        <v>44</v>
      </c>
      <c r="B241" t="str">
        <f ca="1">TEXT(DATE(YEAR(Invoer!$A$5),1,1)+ROWS(B$2:B241)-1,"jjjjmmdd")</f>
        <v>19200827</v>
      </c>
      <c r="C241" s="27" t="s">
        <v>36</v>
      </c>
      <c r="D241" s="35">
        <f t="shared" ca="1" si="28"/>
        <v>756.5</v>
      </c>
      <c r="E241" s="32">
        <f t="shared" ca="1" si="29"/>
        <v>0</v>
      </c>
      <c r="F241" s="35">
        <f t="shared" ca="1" si="30"/>
        <v>756</v>
      </c>
      <c r="G241" s="32">
        <f t="shared" ca="1" si="31"/>
        <v>0</v>
      </c>
      <c r="H241" s="35">
        <f t="shared" ca="1" si="32"/>
        <v>29</v>
      </c>
      <c r="I241" s="32">
        <f t="shared" ca="1" si="33"/>
        <v>0</v>
      </c>
      <c r="J241" s="35">
        <f t="shared" ca="1" si="34"/>
        <v>29</v>
      </c>
      <c r="K241" s="32">
        <f t="shared" ca="1" si="35"/>
        <v>0</v>
      </c>
    </row>
    <row r="242" spans="1:11" x14ac:dyDescent="0.25">
      <c r="A242" s="11">
        <f t="shared" si="27"/>
        <v>44</v>
      </c>
      <c r="B242" t="str">
        <f ca="1">TEXT(DATE(YEAR(Invoer!$A$5),1,1)+ROWS(B$2:B242)-1,"jjjjmmdd")</f>
        <v>19200828</v>
      </c>
      <c r="C242" s="27" t="s">
        <v>36</v>
      </c>
      <c r="D242" s="35">
        <f t="shared" ca="1" si="28"/>
        <v>757</v>
      </c>
      <c r="E242" s="32">
        <f t="shared" ca="1" si="29"/>
        <v>0</v>
      </c>
      <c r="F242" s="35">
        <f t="shared" ca="1" si="30"/>
        <v>756</v>
      </c>
      <c r="G242" s="32">
        <f t="shared" ca="1" si="31"/>
        <v>0</v>
      </c>
      <c r="H242" s="35">
        <f t="shared" ca="1" si="32"/>
        <v>30</v>
      </c>
      <c r="I242" s="32">
        <f t="shared" ca="1" si="33"/>
        <v>0</v>
      </c>
      <c r="J242" s="35">
        <f t="shared" ca="1" si="34"/>
        <v>29</v>
      </c>
      <c r="K242" s="32">
        <f t="shared" ca="1" si="35"/>
        <v>0</v>
      </c>
    </row>
    <row r="243" spans="1:11" x14ac:dyDescent="0.25">
      <c r="A243" s="11">
        <f t="shared" si="27"/>
        <v>44</v>
      </c>
      <c r="B243" t="str">
        <f ca="1">TEXT(DATE(YEAR(Invoer!$A$5),1,1)+ROWS(B$2:B243)-1,"jjjjmmdd")</f>
        <v>19200829</v>
      </c>
      <c r="C243" s="27" t="s">
        <v>36</v>
      </c>
      <c r="D243" s="35">
        <f t="shared" ca="1" si="28"/>
        <v>758</v>
      </c>
      <c r="E243" s="32">
        <f t="shared" ca="1" si="29"/>
        <v>0</v>
      </c>
      <c r="F243" s="35">
        <f t="shared" ca="1" si="30"/>
        <v>757</v>
      </c>
      <c r="G243" s="32">
        <f t="shared" ca="1" si="31"/>
        <v>0</v>
      </c>
      <c r="H243" s="35">
        <f t="shared" ca="1" si="32"/>
        <v>30</v>
      </c>
      <c r="I243" s="32">
        <f t="shared" ca="1" si="33"/>
        <v>0</v>
      </c>
      <c r="J243" s="35">
        <f t="shared" ca="1" si="34"/>
        <v>29</v>
      </c>
      <c r="K243" s="32">
        <f t="shared" ca="1" si="35"/>
        <v>0</v>
      </c>
    </row>
    <row r="244" spans="1:11" x14ac:dyDescent="0.25">
      <c r="A244" s="11">
        <f t="shared" si="27"/>
        <v>44</v>
      </c>
      <c r="B244" t="str">
        <f ca="1">TEXT(DATE(YEAR(Invoer!$A$5),1,1)+ROWS(B$2:B244)-1,"jjjjmmdd")</f>
        <v>19200830</v>
      </c>
      <c r="C244" s="27" t="s">
        <v>36</v>
      </c>
      <c r="D244" s="35">
        <f t="shared" ca="1" si="28"/>
        <v>757</v>
      </c>
      <c r="E244" s="32">
        <f t="shared" ca="1" si="29"/>
        <v>0</v>
      </c>
      <c r="F244" s="35">
        <f t="shared" ca="1" si="30"/>
        <v>756</v>
      </c>
      <c r="G244" s="32">
        <f t="shared" ca="1" si="31"/>
        <v>0</v>
      </c>
      <c r="H244" s="35">
        <f t="shared" ca="1" si="32"/>
        <v>30</v>
      </c>
      <c r="I244" s="32">
        <f t="shared" ca="1" si="33"/>
        <v>0</v>
      </c>
      <c r="J244" s="35">
        <f t="shared" ca="1" si="34"/>
        <v>29</v>
      </c>
      <c r="K244" s="32">
        <f t="shared" ca="1" si="35"/>
        <v>0</v>
      </c>
    </row>
    <row r="245" spans="1:11" x14ac:dyDescent="0.25">
      <c r="A245" s="11">
        <f t="shared" si="27"/>
        <v>44</v>
      </c>
      <c r="B245" t="str">
        <f ca="1">TEXT(DATE(YEAR(Invoer!$A$5),1,1)+ROWS(B$2:B245)-1,"jjjjmmdd")</f>
        <v>19200831</v>
      </c>
      <c r="C245" s="27" t="s">
        <v>36</v>
      </c>
      <c r="D245" s="35">
        <f t="shared" ca="1" si="28"/>
        <v>756.5</v>
      </c>
      <c r="E245" s="32">
        <f t="shared" ca="1" si="29"/>
        <v>0</v>
      </c>
      <c r="F245" s="35">
        <f t="shared" ca="1" si="30"/>
        <v>756</v>
      </c>
      <c r="G245" s="32">
        <f t="shared" ca="1" si="31"/>
        <v>0</v>
      </c>
      <c r="H245" s="35">
        <f t="shared" ca="1" si="32"/>
        <v>30</v>
      </c>
      <c r="I245" s="32">
        <f t="shared" ca="1" si="33"/>
        <v>0</v>
      </c>
      <c r="J245" s="35">
        <f t="shared" ca="1" si="34"/>
        <v>29</v>
      </c>
      <c r="K245" s="32">
        <f t="shared" ca="1" si="35"/>
        <v>0</v>
      </c>
    </row>
    <row r="246" spans="1:11" x14ac:dyDescent="0.25">
      <c r="A246" s="11">
        <f t="shared" si="27"/>
        <v>44</v>
      </c>
      <c r="B246" t="str">
        <f ca="1">TEXT(DATE(YEAR(Invoer!$A$5),1,1)+ROWS(B$2:B246)-1,"jjjjmmdd")</f>
        <v>19200901</v>
      </c>
      <c r="C246" s="27" t="s">
        <v>36</v>
      </c>
      <c r="D246" s="35">
        <f t="shared" ca="1" si="28"/>
        <v>757</v>
      </c>
      <c r="E246" s="32">
        <f t="shared" ca="1" si="29"/>
        <v>0</v>
      </c>
      <c r="F246" s="35">
        <f t="shared" ca="1" si="30"/>
        <v>756</v>
      </c>
      <c r="G246" s="32">
        <f t="shared" ca="1" si="31"/>
        <v>0</v>
      </c>
      <c r="H246" s="35">
        <f t="shared" ca="1" si="32"/>
        <v>30</v>
      </c>
      <c r="I246" s="32">
        <f t="shared" ca="1" si="33"/>
        <v>0</v>
      </c>
      <c r="J246" s="35">
        <f t="shared" ca="1" si="34"/>
        <v>29</v>
      </c>
      <c r="K246" s="32">
        <f t="shared" ca="1" si="35"/>
        <v>0</v>
      </c>
    </row>
    <row r="247" spans="1:11" x14ac:dyDescent="0.25">
      <c r="A247" s="11">
        <f t="shared" si="27"/>
        <v>44</v>
      </c>
      <c r="B247" t="str">
        <f ca="1">TEXT(DATE(YEAR(Invoer!$A$5),1,1)+ROWS(B$2:B247)-1,"jjjjmmdd")</f>
        <v>19200902</v>
      </c>
      <c r="C247" s="27" t="s">
        <v>36</v>
      </c>
      <c r="D247" s="35">
        <f t="shared" ca="1" si="28"/>
        <v>756</v>
      </c>
      <c r="E247" s="32">
        <f t="shared" ca="1" si="29"/>
        <v>0</v>
      </c>
      <c r="F247" s="35">
        <f t="shared" ca="1" si="30"/>
        <v>755.5</v>
      </c>
      <c r="G247" s="32">
        <f t="shared" ca="1" si="31"/>
        <v>0</v>
      </c>
      <c r="H247" s="35">
        <f t="shared" ca="1" si="32"/>
        <v>30.5</v>
      </c>
      <c r="I247" s="32">
        <f t="shared" ca="1" si="33"/>
        <v>0</v>
      </c>
      <c r="J247" s="35">
        <f t="shared" ca="1" si="34"/>
        <v>30</v>
      </c>
      <c r="K247" s="32">
        <f t="shared" ca="1" si="35"/>
        <v>0</v>
      </c>
    </row>
    <row r="248" spans="1:11" x14ac:dyDescent="0.25">
      <c r="A248" s="11">
        <f t="shared" si="27"/>
        <v>44</v>
      </c>
      <c r="B248" t="str">
        <f ca="1">TEXT(DATE(YEAR(Invoer!$A$5),1,1)+ROWS(B$2:B248)-1,"jjjjmmdd")</f>
        <v>19200903</v>
      </c>
      <c r="C248" s="27" t="s">
        <v>36</v>
      </c>
      <c r="D248" s="35">
        <f t="shared" ca="1" si="28"/>
        <v>757</v>
      </c>
      <c r="E248" s="32">
        <f t="shared" ca="1" si="29"/>
        <v>0</v>
      </c>
      <c r="F248" s="35">
        <f t="shared" ca="1" si="30"/>
        <v>755</v>
      </c>
      <c r="G248" s="32">
        <f t="shared" ca="1" si="31"/>
        <v>0</v>
      </c>
      <c r="H248" s="35">
        <f t="shared" ca="1" si="32"/>
        <v>30.5</v>
      </c>
      <c r="I248" s="32">
        <f t="shared" ca="1" si="33"/>
        <v>0</v>
      </c>
      <c r="J248" s="35">
        <f t="shared" ca="1" si="34"/>
        <v>30</v>
      </c>
      <c r="K248" s="32">
        <f t="shared" ca="1" si="35"/>
        <v>0</v>
      </c>
    </row>
    <row r="249" spans="1:11" x14ac:dyDescent="0.25">
      <c r="A249" s="11">
        <f t="shared" si="27"/>
        <v>44</v>
      </c>
      <c r="B249" t="str">
        <f ca="1">TEXT(DATE(YEAR(Invoer!$A$5),1,1)+ROWS(B$2:B249)-1,"jjjjmmdd")</f>
        <v>19200904</v>
      </c>
      <c r="C249" s="27" t="s">
        <v>36</v>
      </c>
      <c r="D249" s="35">
        <f t="shared" ca="1" si="28"/>
        <v>757</v>
      </c>
      <c r="E249" s="32">
        <f t="shared" ca="1" si="29"/>
        <v>0</v>
      </c>
      <c r="F249" s="35">
        <f t="shared" ca="1" si="30"/>
        <v>756</v>
      </c>
      <c r="G249" s="32">
        <f t="shared" ca="1" si="31"/>
        <v>0</v>
      </c>
      <c r="H249" s="35">
        <f t="shared" ca="1" si="32"/>
        <v>30</v>
      </c>
      <c r="I249" s="32">
        <f t="shared" ca="1" si="33"/>
        <v>0</v>
      </c>
      <c r="J249" s="35">
        <f t="shared" ca="1" si="34"/>
        <v>29</v>
      </c>
      <c r="K249" s="32">
        <f t="shared" ca="1" si="35"/>
        <v>0</v>
      </c>
    </row>
    <row r="250" spans="1:11" x14ac:dyDescent="0.25">
      <c r="A250" s="11">
        <f t="shared" si="27"/>
        <v>44</v>
      </c>
      <c r="B250" t="str">
        <f ca="1">TEXT(DATE(YEAR(Invoer!$A$5),1,1)+ROWS(B$2:B250)-1,"jjjjmmdd")</f>
        <v>19200905</v>
      </c>
      <c r="C250" s="27" t="s">
        <v>36</v>
      </c>
      <c r="D250" s="35">
        <f t="shared" ca="1" si="28"/>
        <v>757</v>
      </c>
      <c r="E250" s="32">
        <f t="shared" ca="1" si="29"/>
        <v>0</v>
      </c>
      <c r="F250" s="35">
        <f t="shared" ca="1" si="30"/>
        <v>756</v>
      </c>
      <c r="G250" s="32">
        <f t="shared" ca="1" si="31"/>
        <v>0</v>
      </c>
      <c r="H250" s="35">
        <f t="shared" ca="1" si="32"/>
        <v>30</v>
      </c>
      <c r="I250" s="32">
        <f t="shared" ca="1" si="33"/>
        <v>0</v>
      </c>
      <c r="J250" s="35">
        <f t="shared" ca="1" si="34"/>
        <v>29</v>
      </c>
      <c r="K250" s="32">
        <f t="shared" ca="1" si="35"/>
        <v>0</v>
      </c>
    </row>
    <row r="251" spans="1:11" x14ac:dyDescent="0.25">
      <c r="A251" s="11">
        <f t="shared" si="27"/>
        <v>44</v>
      </c>
      <c r="B251" t="str">
        <f ca="1">TEXT(DATE(YEAR(Invoer!$A$5),1,1)+ROWS(B$2:B251)-1,"jjjjmmdd")</f>
        <v>19200906</v>
      </c>
      <c r="C251" s="27" t="s">
        <v>36</v>
      </c>
      <c r="D251" s="35">
        <f t="shared" ca="1" si="28"/>
        <v>757.5</v>
      </c>
      <c r="E251" s="32">
        <f t="shared" ca="1" si="29"/>
        <v>0</v>
      </c>
      <c r="F251" s="35">
        <f t="shared" ca="1" si="30"/>
        <v>756</v>
      </c>
      <c r="G251" s="32">
        <f t="shared" ca="1" si="31"/>
        <v>0</v>
      </c>
      <c r="H251" s="35">
        <f t="shared" ca="1" si="32"/>
        <v>30.5</v>
      </c>
      <c r="I251" s="32">
        <f t="shared" ca="1" si="33"/>
        <v>0</v>
      </c>
      <c r="J251" s="35">
        <f t="shared" ca="1" si="34"/>
        <v>30</v>
      </c>
      <c r="K251" s="32">
        <f t="shared" ca="1" si="35"/>
        <v>0</v>
      </c>
    </row>
    <row r="252" spans="1:11" x14ac:dyDescent="0.25">
      <c r="A252" s="11">
        <f t="shared" si="27"/>
        <v>44</v>
      </c>
      <c r="B252" t="str">
        <f ca="1">TEXT(DATE(YEAR(Invoer!$A$5),1,1)+ROWS(B$2:B252)-1,"jjjjmmdd")</f>
        <v>19200907</v>
      </c>
      <c r="C252" s="27" t="s">
        <v>36</v>
      </c>
      <c r="D252" s="35">
        <f t="shared" ca="1" si="28"/>
        <v>757.5</v>
      </c>
      <c r="E252" s="32">
        <f t="shared" ca="1" si="29"/>
        <v>0</v>
      </c>
      <c r="F252" s="35">
        <f t="shared" ca="1" si="30"/>
        <v>755</v>
      </c>
      <c r="G252" s="32">
        <f t="shared" ca="1" si="31"/>
        <v>0</v>
      </c>
      <c r="H252" s="35">
        <f t="shared" ca="1" si="32"/>
        <v>31</v>
      </c>
      <c r="I252" s="32">
        <f t="shared" ca="1" si="33"/>
        <v>0</v>
      </c>
      <c r="J252" s="35">
        <f t="shared" ca="1" si="34"/>
        <v>30.5</v>
      </c>
      <c r="K252" s="32">
        <f t="shared" ca="1" si="35"/>
        <v>0</v>
      </c>
    </row>
    <row r="253" spans="1:11" x14ac:dyDescent="0.25">
      <c r="A253" s="11">
        <f t="shared" si="27"/>
        <v>44</v>
      </c>
      <c r="B253" t="str">
        <f ca="1">TEXT(DATE(YEAR(Invoer!$A$5),1,1)+ROWS(B$2:B253)-1,"jjjjmmdd")</f>
        <v>19200908</v>
      </c>
      <c r="C253" s="27" t="s">
        <v>36</v>
      </c>
      <c r="D253" s="35">
        <f t="shared" ca="1" si="28"/>
        <v>755</v>
      </c>
      <c r="E253" s="32">
        <f t="shared" ca="1" si="29"/>
        <v>0</v>
      </c>
      <c r="F253" s="35">
        <f t="shared" ca="1" si="30"/>
        <v>754.5</v>
      </c>
      <c r="G253" s="32">
        <f t="shared" ca="1" si="31"/>
        <v>0</v>
      </c>
      <c r="H253" s="35">
        <f t="shared" ca="1" si="32"/>
        <v>30.5</v>
      </c>
      <c r="I253" s="32">
        <f t="shared" ca="1" si="33"/>
        <v>0</v>
      </c>
      <c r="J253" s="35">
        <f t="shared" ca="1" si="34"/>
        <v>30</v>
      </c>
      <c r="K253" s="32">
        <f t="shared" ca="1" si="35"/>
        <v>0</v>
      </c>
    </row>
    <row r="254" spans="1:11" x14ac:dyDescent="0.25">
      <c r="A254" s="11">
        <f t="shared" si="27"/>
        <v>44</v>
      </c>
      <c r="B254" t="str">
        <f ca="1">TEXT(DATE(YEAR(Invoer!$A$5),1,1)+ROWS(B$2:B254)-1,"jjjjmmdd")</f>
        <v>19200909</v>
      </c>
      <c r="C254" s="27" t="s">
        <v>36</v>
      </c>
      <c r="D254" s="35">
        <f t="shared" ca="1" si="28"/>
        <v>755</v>
      </c>
      <c r="E254" s="32">
        <f t="shared" ca="1" si="29"/>
        <v>0</v>
      </c>
      <c r="F254" s="35">
        <f t="shared" ca="1" si="30"/>
        <v>754</v>
      </c>
      <c r="G254" s="32">
        <f t="shared" ca="1" si="31"/>
        <v>0</v>
      </c>
      <c r="H254" s="35">
        <f t="shared" ca="1" si="32"/>
        <v>31</v>
      </c>
      <c r="I254" s="32">
        <f t="shared" ca="1" si="33"/>
        <v>0</v>
      </c>
      <c r="J254" s="35">
        <f t="shared" ca="1" si="34"/>
        <v>30</v>
      </c>
      <c r="K254" s="32">
        <f t="shared" ca="1" si="35"/>
        <v>0</v>
      </c>
    </row>
    <row r="255" spans="1:11" x14ac:dyDescent="0.25">
      <c r="A255" s="11">
        <f t="shared" si="27"/>
        <v>44</v>
      </c>
      <c r="B255" t="str">
        <f ca="1">TEXT(DATE(YEAR(Invoer!$A$5),1,1)+ROWS(B$2:B255)-1,"jjjjmmdd")</f>
        <v>19200910</v>
      </c>
      <c r="C255" s="27" t="s">
        <v>36</v>
      </c>
      <c r="D255" s="35">
        <f t="shared" ca="1" si="28"/>
        <v>757.5</v>
      </c>
      <c r="E255" s="32">
        <f t="shared" ca="1" si="29"/>
        <v>0</v>
      </c>
      <c r="F255" s="35">
        <f t="shared" ca="1" si="30"/>
        <v>755.5</v>
      </c>
      <c r="G255" s="32">
        <f t="shared" ca="1" si="31"/>
        <v>0</v>
      </c>
      <c r="H255" s="35">
        <f t="shared" ca="1" si="32"/>
        <v>30.5</v>
      </c>
      <c r="I255" s="32">
        <f t="shared" ca="1" si="33"/>
        <v>0</v>
      </c>
      <c r="J255" s="35">
        <f t="shared" ca="1" si="34"/>
        <v>30</v>
      </c>
      <c r="K255" s="32">
        <f t="shared" ca="1" si="35"/>
        <v>0</v>
      </c>
    </row>
    <row r="256" spans="1:11" x14ac:dyDescent="0.25">
      <c r="A256" s="11">
        <f t="shared" si="27"/>
        <v>44</v>
      </c>
      <c r="B256" t="str">
        <f ca="1">TEXT(DATE(YEAR(Invoer!$A$5),1,1)+ROWS(B$2:B256)-1,"jjjjmmdd")</f>
        <v>19200911</v>
      </c>
      <c r="C256" s="27" t="s">
        <v>36</v>
      </c>
      <c r="D256" s="35">
        <f t="shared" ca="1" si="28"/>
        <v>756</v>
      </c>
      <c r="E256" s="32">
        <f t="shared" ca="1" si="29"/>
        <v>0</v>
      </c>
      <c r="F256" s="35">
        <f t="shared" ca="1" si="30"/>
        <v>755.5</v>
      </c>
      <c r="G256" s="32">
        <f t="shared" ca="1" si="31"/>
        <v>0</v>
      </c>
      <c r="H256" s="35">
        <f t="shared" ca="1" si="32"/>
        <v>30.5</v>
      </c>
      <c r="I256" s="32">
        <f t="shared" ca="1" si="33"/>
        <v>0</v>
      </c>
      <c r="J256" s="35">
        <f t="shared" ca="1" si="34"/>
        <v>30</v>
      </c>
      <c r="K256" s="32">
        <f t="shared" ca="1" si="35"/>
        <v>0</v>
      </c>
    </row>
    <row r="257" spans="1:11" x14ac:dyDescent="0.25">
      <c r="A257" s="11">
        <f t="shared" si="27"/>
        <v>44</v>
      </c>
      <c r="B257" t="str">
        <f ca="1">TEXT(DATE(YEAR(Invoer!$A$5),1,1)+ROWS(B$2:B257)-1,"jjjjmmdd")</f>
        <v>19200912</v>
      </c>
      <c r="C257" s="27" t="s">
        <v>36</v>
      </c>
      <c r="D257" s="35">
        <f t="shared" ca="1" si="28"/>
        <v>756</v>
      </c>
      <c r="E257" s="32">
        <f t="shared" ca="1" si="29"/>
        <v>0</v>
      </c>
      <c r="F257" s="35">
        <f t="shared" ca="1" si="30"/>
        <v>755.5</v>
      </c>
      <c r="G257" s="32">
        <f t="shared" ca="1" si="31"/>
        <v>0</v>
      </c>
      <c r="H257" s="35">
        <f t="shared" ca="1" si="32"/>
        <v>30.5</v>
      </c>
      <c r="I257" s="32">
        <f t="shared" ca="1" si="33"/>
        <v>0</v>
      </c>
      <c r="J257" s="35">
        <f t="shared" ca="1" si="34"/>
        <v>30</v>
      </c>
      <c r="K257" s="32">
        <f t="shared" ca="1" si="35"/>
        <v>0</v>
      </c>
    </row>
    <row r="258" spans="1:11" x14ac:dyDescent="0.25">
      <c r="A258" s="11">
        <f t="shared" ref="A258:A321" si="36">INDEX(Stations,2,1)</f>
        <v>44</v>
      </c>
      <c r="B258" t="str">
        <f ca="1">TEXT(DATE(YEAR(Invoer!$A$5),1,1)+ROWS(B$2:B258)-1,"jjjjmmdd")</f>
        <v>19200913</v>
      </c>
      <c r="C258" s="27" t="s">
        <v>36</v>
      </c>
      <c r="D258" s="35">
        <f t="shared" ref="D258:D321" ca="1" si="37">IF(OR(ISBLANK(VLOOKUP(DATEVALUE(LEFT($B258,4)&amp;"-"&amp;MID($B258,5,2)&amp;"-"&amp;RIGHT($B258,2)),Data,MATCH(LEFT(VLOOKUP(LEFT(D$1,1),Parameters,2,FALSE()),4)&amp;"*",OFFSET(Data,0,0,1),0)+MATCH(VLOOKUP(RIGHT(D$1,1),Parameters,2,FALSE()),OFFSET(Data,1,0,1),0)-2,FALSE())),ISTEXT(VLOOKUP(DATEVALUE(LEFT($B258,4)&amp;"-"&amp;MID($B258,5,2)&amp;"-"&amp;RIGHT($B258,2)),Data,MATCH(LEFT(VLOOKUP(LEFT(D$1,1),Parameters,2,FALSE()),4)&amp;"*",OFFSET(Data,0,0,1),0)+MATCH(VLOOKUP(RIGHT(D$1,1),Parameters,2,FALSE()),OFFSET(Data,1,0,1),0)-2,FALSE()))),"—",VLOOKUP(DATEVALUE(LEFT($B258,4)&amp;"-"&amp;MID($B258,5,2)&amp;"-"&amp;RIGHT($B258,2)),Data,MATCH(LEFT(VLOOKUP(LEFT(D$1,1),Parameters,2,FALSE()),4)&amp;"*",OFFSET(Data,0,0,1),0)+MATCH(VLOOKUP(RIGHT(D$1,1),Parameters,2,FALSE()),OFFSET(Data,1,0,1),0)-2,FALSE())/10)</f>
        <v>756</v>
      </c>
      <c r="E258" s="32">
        <f t="shared" ref="E258:E321" ca="1" si="38">IF(OR(ISBLANK(VLOOKUP(DATEVALUE(LEFT($B258,4)&amp;"-"&amp;MID($B258,5,2)&amp;"-"&amp;RIGHT($B258,2)),Data,MATCH(LEFT(VLOOKUP(MID(E$1,2,LEN(E$1)-1),Parameters,2,FALSE()),4)&amp;"*",OFFSET(Data,0,0,1),0)+MATCH(VLOOKUP(RIGHT(E$1,1),Parameters,2,FALSE()),OFFSET(Data,1,0,1),0)-2,FALSE())),ISTEXT(VLOOKUP(DATEVALUE(LEFT($B258,4)&amp;"-"&amp;MID($B258,5,2)&amp;"-"&amp;RIGHT($B258,2)),Data,MATCH(LEFT(VLOOKUP(MID(E$1,2,LEN(E$1)-1),Parameters,2,FALSE()),4)&amp;"*",OFFSET(Data,0,0,1),0)+MATCH(VLOOKUP(RIGHT(E$1,1),Parameters,2,FALSE())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-2),Parameters,2,FALSE()),4)&amp;"*",OFFSET(Catalogus,0,0,1),0)+MATCH(VLOOKUP(RIGHT(E$1,1),Parameters,2,FALSE()),OFFSET(Catalogus,1,0,1),0)-2,FALSE())))</f>
        <v>0</v>
      </c>
      <c r="F258" s="35">
        <f t="shared" ref="F258:F321" ca="1" si="39">IF(OR(ISBLANK(VLOOKUP(DATEVALUE(LEFT($B258,4)&amp;"-"&amp;MID($B258,5,2)&amp;"-"&amp;RIGHT($B258,2)),Data,MATCH(LEFT(VLOOKUP(LEFT(F$1,1),Parameters,2,FALSE()),4)&amp;"*",OFFSET(Data,0,0,1),0)+MATCH(VLOOKUP(RIGHT(F$1,1),Parameters,2,FALSE()),OFFSET(Data,1,0,1),0)-2,FALSE())),ISTEXT(VLOOKUP(DATEVALUE(LEFT($B258,4)&amp;"-"&amp;MID($B258,5,2)&amp;"-"&amp;RIGHT($B258,2)),Data,MATCH(LEFT(VLOOKUP(LEFT(F$1,1),Parameters,2,FALSE()),4)&amp;"*",OFFSET(Data,0,0,1),0)+MATCH(VLOOKUP(RIGHT(F$1,1),Parameters,2,FALSE()),OFFSET(Data,1,0,1),0)-2,FALSE()))),"—",VLOOKUP(DATEVALUE(LEFT($B258,4)&amp;"-"&amp;MID($B258,5,2)&amp;"-"&amp;RIGHT($B258,2)),Data,MATCH(LEFT(VLOOKUP(LEFT(F$1,1),Parameters,2,FALSE()),4)&amp;"*",OFFSET(Data,0,0,1),0)+MATCH(VLOOKUP(RIGHT(F$1,1),Parameters,2,FALSE()),OFFSET(Data,1,0,1),0)-2,FALSE())/10)</f>
        <v>754</v>
      </c>
      <c r="G258" s="32">
        <f t="shared" ref="G258:G321" ca="1" si="40">IF(OR(ISBLANK(VLOOKUP(DATEVALUE(LEFT($B258,4)&amp;"-"&amp;MID($B258,5,2)&amp;"-"&amp;RIGHT($B258,2)),Data,MATCH(LEFT(VLOOKUP(MID(G$1,2,LEN(G$1)-1),Parameters,2,FALSE()),4)&amp;"*",OFFSET(Data,0,0,1),0)+MATCH(VLOOKUP(RIGHT(G$1,1),Parameters,2,FALSE()),OFFSET(Data,1,0,1),0)-2,FALSE())),ISTEXT(VLOOKUP(DATEVALUE(LEFT($B258,4)&amp;"-"&amp;MID($B258,5,2)&amp;"-"&amp;RIGHT($B258,2)),Data,MATCH(LEFT(VLOOKUP(MID(G$1,2,LEN(G$1)-1),Parameters,2,FALSE()),4)&amp;"*",OFFSET(Data,0,0,1),0)+MATCH(VLOOKUP(RIGHT(G$1,1),Parameters,2,FALSE())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-2),Parameters,2,FALSE()),4)&amp;"*",OFFSET(Catalogus,0,0,1),0)+MATCH(VLOOKUP(RIGHT(G$1,1),Parameters,2,FALSE()),OFFSET(Catalogus,1,0,1),0)-2,FALSE())))</f>
        <v>0</v>
      </c>
      <c r="H258" s="35">
        <f t="shared" ref="H258:H321" ca="1" si="41">IF(OR(ISBLANK(VLOOKUP(DATEVALUE(LEFT($B258,4)&amp;"-"&amp;MID($B258,5,2)&amp;"-"&amp;RIGHT($B258,2)),Data,MATCH(LEFT(VLOOKUP(LEFT(H$1,1),Parameters,2,FALSE()),4)&amp;"*",OFFSET(Data,0,0,1),0)+MATCH(VLOOKUP(RIGHT(H$1,1),Parameters,2,FALSE()),OFFSET(Data,1,0,1),0)-2,FALSE())),ISTEXT(VLOOKUP(DATEVALUE(LEFT($B258,4)&amp;"-"&amp;MID($B258,5,2)&amp;"-"&amp;RIGHT($B258,2)),Data,MATCH(LEFT(VLOOKUP(LEFT(H$1,1),Parameters,2,FALSE()),4)&amp;"*",OFFSET(Data,0,0,1),0)+MATCH(VLOOKUP(RIGHT(H$1,1),Parameters,2,FALSE()),OFFSET(Data,1,0,1),0)-2,FALSE()))),"—",VLOOKUP(DATEVALUE(LEFT($B258,4)&amp;"-"&amp;MID($B258,5,2)&amp;"-"&amp;RIGHT($B258,2)),Data,MATCH(LEFT(VLOOKUP(LEFT(H$1,1),Parameters,2,FALSE()),4)&amp;"*",OFFSET(Data,0,0,1),0)+MATCH(VLOOKUP(RIGHT(H$1,1),Parameters,2,FALSE()),OFFSET(Data,1,0,1),0)-2,FALSE())/10)</f>
        <v>31</v>
      </c>
      <c r="I258" s="32">
        <f t="shared" ref="I258:I321" ca="1" si="42">IF(OR(ISBLANK(VLOOKUP(DATEVALUE(LEFT($B258,4)&amp;"-"&amp;MID($B258,5,2)&amp;"-"&amp;RIGHT($B258,2)),Data,MATCH(LEFT(VLOOKUP(MID(I$1,2,LEN(I$1)-1),Parameters,2,FALSE()),4)&amp;"*",OFFSET(Data,0,0,1),0)+MATCH(VLOOKUP(RIGHT(I$1,1),Parameters,2,FALSE()),OFFSET(Data,1,0,1),0)-2,FALSE())),ISTEXT(VLOOKUP(DATEVALUE(LEFT($B258,4)&amp;"-"&amp;MID($B258,5,2)&amp;"-"&amp;RIGHT($B258,2)),Data,MATCH(LEFT(VLOOKUP(MID(I$1,2,LEN(I$1)-1),Parameters,2,FALSE()),4)&amp;"*",OFFSET(Data,0,0,1),0)+MATCH(VLOOKUP(RIGHT(I$1,1),Parameters,2,FALSE())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-2),Parameters,2,FALSE()),4)&amp;"*",OFFSET(Catalogus,0,0,1),0)+MATCH(VLOOKUP(RIGHT(I$1,1),Parameters,2,FALSE()),OFFSET(Catalogus,1,0,1),0)-2,FALSE())))</f>
        <v>0</v>
      </c>
      <c r="J258" s="35">
        <f t="shared" ref="J258:J321" ca="1" si="43">IF(OR(ISBLANK(VLOOKUP(DATEVALUE(LEFT($B258,4)&amp;"-"&amp;MID($B258,5,2)&amp;"-"&amp;RIGHT($B258,2)),Data,MATCH(LEFT(VLOOKUP(LEFT(J$1,1),Parameters,2,FALSE()),4)&amp;"*",OFFSET(Data,0,0,1),0)+MATCH(VLOOKUP(RIGHT(J$1,1),Parameters,2,FALSE()),OFFSET(Data,1,0,1),0)-2,FALSE())),ISTEXT(VLOOKUP(DATEVALUE(LEFT($B258,4)&amp;"-"&amp;MID($B258,5,2)&amp;"-"&amp;RIGHT($B258,2)),Data,MATCH(LEFT(VLOOKUP(LEFT(J$1,1),Parameters,2,FALSE()),4)&amp;"*",OFFSET(Data,0,0,1),0)+MATCH(VLOOKUP(RIGHT(J$1,1),Parameters,2,FALSE()),OFFSET(Data,1,0,1),0)-2,FALSE()))),"—",VLOOKUP(DATEVALUE(LEFT($B258,4)&amp;"-"&amp;MID($B258,5,2)&amp;"-"&amp;RIGHT($B258,2)),Data,MATCH(LEFT(VLOOKUP(LEFT(J$1,1),Parameters,2,FALSE()),4)&amp;"*",OFFSET(Data,0,0,1),0)+MATCH(VLOOKUP(RIGHT(J$1,1),Parameters,2,FALSE()),OFFSET(Data,1,0,1),0)-2,FALSE())/10)</f>
        <v>31</v>
      </c>
      <c r="K258" s="32">
        <f t="shared" ref="K258:K321" ca="1" si="44">IF(OR(ISBLANK(VLOOKUP(DATEVALUE(LEFT($B258,4)&amp;"-"&amp;MID($B258,5,2)&amp;"-"&amp;RIGHT($B258,2)),Data,MATCH(LEFT(VLOOKUP(MID(K$1,2,LEN(K$1)-1),Parameters,2,FALSE()),4)&amp;"*",OFFSET(Data,0,0,1),0)+MATCH(VLOOKUP(RIGHT(K$1,1),Parameters,2,FALSE()),OFFSET(Data,1,0,1),0)-2,FALSE())),ISTEXT(VLOOKUP(DATEVALUE(LEFT($B258,4)&amp;"-"&amp;MID($B258,5,2)&amp;"-"&amp;RIGHT($B258,2)),Data,MATCH(LEFT(VLOOKUP(MID(K$1,2,LEN(K$1)-1),Parameters,2,FALSE()),4)&amp;"*",OFFSET(Data,0,0,1),0)+MATCH(VLOOKUP(RIGHT(K$1,1),Parameters,2,FALSE())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-2),Parameters,2,FALSE()),4)&amp;"*",OFFSET(Catalogus,0,0,1),0)+MATCH(VLOOKUP(RIGHT(K$1,1),Parameters,2,FALSE()),OFFSET(Catalogus,1,0,1),0)-2,FALSE())))</f>
        <v>0</v>
      </c>
    </row>
    <row r="259" spans="1:11" x14ac:dyDescent="0.25">
      <c r="A259" s="11">
        <f t="shared" si="36"/>
        <v>44</v>
      </c>
      <c r="B259" t="str">
        <f ca="1">TEXT(DATE(YEAR(Invoer!$A$5),1,1)+ROWS(B$2:B259)-1,"jjjjmmdd")</f>
        <v>19200914</v>
      </c>
      <c r="C259" s="27" t="s">
        <v>36</v>
      </c>
      <c r="D259" s="35">
        <f t="shared" ca="1" si="37"/>
        <v>756</v>
      </c>
      <c r="E259" s="32">
        <f t="shared" ca="1" si="38"/>
        <v>0</v>
      </c>
      <c r="F259" s="35">
        <f t="shared" ca="1" si="39"/>
        <v>753.5</v>
      </c>
      <c r="G259" s="32">
        <f t="shared" ca="1" si="40"/>
        <v>0</v>
      </c>
      <c r="H259" s="35">
        <f t="shared" ca="1" si="41"/>
        <v>29.5</v>
      </c>
      <c r="I259" s="32">
        <f t="shared" ca="1" si="42"/>
        <v>0</v>
      </c>
      <c r="J259" s="35">
        <f t="shared" ca="1" si="43"/>
        <v>29</v>
      </c>
      <c r="K259" s="32">
        <f t="shared" ca="1" si="44"/>
        <v>0</v>
      </c>
    </row>
    <row r="260" spans="1:11" x14ac:dyDescent="0.25">
      <c r="A260" s="11">
        <f t="shared" si="36"/>
        <v>44</v>
      </c>
      <c r="B260" t="str">
        <f ca="1">TEXT(DATE(YEAR(Invoer!$A$5),1,1)+ROWS(B$2:B260)-1,"jjjjmmdd")</f>
        <v>19200915</v>
      </c>
      <c r="C260" s="27" t="s">
        <v>36</v>
      </c>
      <c r="D260" s="35">
        <f t="shared" ca="1" si="37"/>
        <v>756.5</v>
      </c>
      <c r="E260" s="32">
        <f t="shared" ca="1" si="38"/>
        <v>0</v>
      </c>
      <c r="F260" s="35">
        <f t="shared" ca="1" si="39"/>
        <v>754.5</v>
      </c>
      <c r="G260" s="32">
        <f t="shared" ca="1" si="40"/>
        <v>0</v>
      </c>
      <c r="H260" s="35">
        <f t="shared" ca="1" si="41"/>
        <v>30</v>
      </c>
      <c r="I260" s="32">
        <f t="shared" ca="1" si="42"/>
        <v>0</v>
      </c>
      <c r="J260" s="35">
        <f t="shared" ca="1" si="43"/>
        <v>30</v>
      </c>
      <c r="K260" s="32">
        <f t="shared" ca="1" si="44"/>
        <v>0</v>
      </c>
    </row>
    <row r="261" spans="1:11" x14ac:dyDescent="0.25">
      <c r="A261" s="11">
        <f t="shared" si="36"/>
        <v>44</v>
      </c>
      <c r="B261" t="str">
        <f ca="1">TEXT(DATE(YEAR(Invoer!$A$5),1,1)+ROWS(B$2:B261)-1,"jjjjmmdd")</f>
        <v>19200916</v>
      </c>
      <c r="C261" s="27" t="s">
        <v>36</v>
      </c>
      <c r="D261" s="35">
        <f t="shared" ca="1" si="37"/>
        <v>756</v>
      </c>
      <c r="E261" s="32">
        <f t="shared" ca="1" si="38"/>
        <v>0</v>
      </c>
      <c r="F261" s="35">
        <f t="shared" ca="1" si="39"/>
        <v>755</v>
      </c>
      <c r="G261" s="32">
        <f t="shared" ca="1" si="40"/>
        <v>0</v>
      </c>
      <c r="H261" s="35">
        <f t="shared" ca="1" si="41"/>
        <v>30</v>
      </c>
      <c r="I261" s="32">
        <f t="shared" ca="1" si="42"/>
        <v>0</v>
      </c>
      <c r="J261" s="35">
        <f t="shared" ca="1" si="43"/>
        <v>30</v>
      </c>
      <c r="K261" s="32">
        <f t="shared" ca="1" si="44"/>
        <v>0</v>
      </c>
    </row>
    <row r="262" spans="1:11" x14ac:dyDescent="0.25">
      <c r="A262" s="11">
        <f t="shared" si="36"/>
        <v>44</v>
      </c>
      <c r="B262" t="str">
        <f ca="1">TEXT(DATE(YEAR(Invoer!$A$5),1,1)+ROWS(B$2:B262)-1,"jjjjmmdd")</f>
        <v>19200917</v>
      </c>
      <c r="C262" s="27" t="s">
        <v>36</v>
      </c>
      <c r="D262" s="35">
        <f t="shared" ca="1" si="37"/>
        <v>756</v>
      </c>
      <c r="E262" s="32">
        <f t="shared" ca="1" si="38"/>
        <v>0</v>
      </c>
      <c r="F262" s="35">
        <f t="shared" ca="1" si="39"/>
        <v>753.5</v>
      </c>
      <c r="G262" s="32">
        <f t="shared" ca="1" si="40"/>
        <v>0</v>
      </c>
      <c r="H262" s="35">
        <f t="shared" ca="1" si="41"/>
        <v>30.5</v>
      </c>
      <c r="I262" s="32">
        <f t="shared" ca="1" si="42"/>
        <v>0</v>
      </c>
      <c r="J262" s="35">
        <f t="shared" ca="1" si="43"/>
        <v>30</v>
      </c>
      <c r="K262" s="32">
        <f t="shared" ca="1" si="44"/>
        <v>0</v>
      </c>
    </row>
    <row r="263" spans="1:11" x14ac:dyDescent="0.25">
      <c r="A263" s="11">
        <f t="shared" si="36"/>
        <v>44</v>
      </c>
      <c r="B263" t="str">
        <f ca="1">TEXT(DATE(YEAR(Invoer!$A$5),1,1)+ROWS(B$2:B263)-1,"jjjjmmdd")</f>
        <v>19200918</v>
      </c>
      <c r="C263" s="27" t="s">
        <v>36</v>
      </c>
      <c r="D263" s="35">
        <f t="shared" ca="1" si="37"/>
        <v>756.5</v>
      </c>
      <c r="E263" s="32">
        <f t="shared" ca="1" si="38"/>
        <v>0</v>
      </c>
      <c r="F263" s="35">
        <f t="shared" ca="1" si="39"/>
        <v>754</v>
      </c>
      <c r="G263" s="32">
        <f t="shared" ca="1" si="40"/>
        <v>0</v>
      </c>
      <c r="H263" s="35">
        <f t="shared" ca="1" si="41"/>
        <v>30</v>
      </c>
      <c r="I263" s="32">
        <f t="shared" ca="1" si="42"/>
        <v>0</v>
      </c>
      <c r="J263" s="35">
        <f t="shared" ca="1" si="43"/>
        <v>30</v>
      </c>
      <c r="K263" s="32">
        <f t="shared" ca="1" si="44"/>
        <v>0</v>
      </c>
    </row>
    <row r="264" spans="1:11" x14ac:dyDescent="0.25">
      <c r="A264" s="11">
        <f t="shared" si="36"/>
        <v>44</v>
      </c>
      <c r="B264" t="str">
        <f ca="1">TEXT(DATE(YEAR(Invoer!$A$5),1,1)+ROWS(B$2:B264)-1,"jjjjmmdd")</f>
        <v>19200919</v>
      </c>
      <c r="C264" s="27" t="s">
        <v>36</v>
      </c>
      <c r="D264" s="35">
        <f t="shared" ca="1" si="37"/>
        <v>756.5</v>
      </c>
      <c r="E264" s="32">
        <f t="shared" ca="1" si="38"/>
        <v>0</v>
      </c>
      <c r="F264" s="35">
        <f t="shared" ca="1" si="39"/>
        <v>754</v>
      </c>
      <c r="G264" s="32">
        <f t="shared" ca="1" si="40"/>
        <v>0</v>
      </c>
      <c r="H264" s="35">
        <f t="shared" ca="1" si="41"/>
        <v>30</v>
      </c>
      <c r="I264" s="32">
        <f t="shared" ca="1" si="42"/>
        <v>0</v>
      </c>
      <c r="J264" s="35">
        <f t="shared" ca="1" si="43"/>
        <v>30</v>
      </c>
      <c r="K264" s="32">
        <f t="shared" ca="1" si="44"/>
        <v>0</v>
      </c>
    </row>
    <row r="265" spans="1:11" x14ac:dyDescent="0.25">
      <c r="A265" s="11">
        <f t="shared" si="36"/>
        <v>44</v>
      </c>
      <c r="B265" t="str">
        <f ca="1">TEXT(DATE(YEAR(Invoer!$A$5),1,1)+ROWS(B$2:B265)-1,"jjjjmmdd")</f>
        <v>19200920</v>
      </c>
      <c r="C265" s="27" t="s">
        <v>36</v>
      </c>
      <c r="D265" s="35">
        <f t="shared" ca="1" si="37"/>
        <v>756</v>
      </c>
      <c r="E265" s="32">
        <f t="shared" ca="1" si="38"/>
        <v>0</v>
      </c>
      <c r="F265" s="35">
        <f t="shared" ca="1" si="39"/>
        <v>755.5</v>
      </c>
      <c r="G265" s="32">
        <f t="shared" ca="1" si="40"/>
        <v>0</v>
      </c>
      <c r="H265" s="35">
        <f t="shared" ca="1" si="41"/>
        <v>31</v>
      </c>
      <c r="I265" s="32">
        <f t="shared" ca="1" si="42"/>
        <v>0</v>
      </c>
      <c r="J265" s="35">
        <f t="shared" ca="1" si="43"/>
        <v>30</v>
      </c>
      <c r="K265" s="32">
        <f t="shared" ca="1" si="44"/>
        <v>0</v>
      </c>
    </row>
    <row r="266" spans="1:11" x14ac:dyDescent="0.25">
      <c r="A266" s="11">
        <f t="shared" si="36"/>
        <v>44</v>
      </c>
      <c r="B266" t="str">
        <f ca="1">TEXT(DATE(YEAR(Invoer!$A$5),1,1)+ROWS(B$2:B266)-1,"jjjjmmdd")</f>
        <v>19200921</v>
      </c>
      <c r="C266" s="27" t="s">
        <v>36</v>
      </c>
      <c r="D266" s="35">
        <f t="shared" ca="1" si="37"/>
        <v>755</v>
      </c>
      <c r="E266" s="32">
        <f t="shared" ca="1" si="38"/>
        <v>0</v>
      </c>
      <c r="F266" s="35">
        <f t="shared" ca="1" si="39"/>
        <v>754</v>
      </c>
      <c r="G266" s="32">
        <f t="shared" ca="1" si="40"/>
        <v>0</v>
      </c>
      <c r="H266" s="35">
        <f t="shared" ca="1" si="41"/>
        <v>30</v>
      </c>
      <c r="I266" s="32">
        <f t="shared" ca="1" si="42"/>
        <v>0</v>
      </c>
      <c r="J266" s="35">
        <f t="shared" ca="1" si="43"/>
        <v>30</v>
      </c>
      <c r="K266" s="32">
        <f t="shared" ca="1" si="44"/>
        <v>0</v>
      </c>
    </row>
    <row r="267" spans="1:11" x14ac:dyDescent="0.25">
      <c r="A267" s="11">
        <f t="shared" si="36"/>
        <v>44</v>
      </c>
      <c r="B267" t="str">
        <f ca="1">TEXT(DATE(YEAR(Invoer!$A$5),1,1)+ROWS(B$2:B267)-1,"jjjjmmdd")</f>
        <v>19200922</v>
      </c>
      <c r="C267" s="27" t="s">
        <v>36</v>
      </c>
      <c r="D267" s="35">
        <f t="shared" ca="1" si="37"/>
        <v>756.5</v>
      </c>
      <c r="E267" s="32">
        <f t="shared" ca="1" si="38"/>
        <v>0</v>
      </c>
      <c r="F267" s="35">
        <f t="shared" ca="1" si="39"/>
        <v>756</v>
      </c>
      <c r="G267" s="32">
        <f t="shared" ca="1" si="40"/>
        <v>0</v>
      </c>
      <c r="H267" s="35">
        <f t="shared" ca="1" si="41"/>
        <v>30</v>
      </c>
      <c r="I267" s="32">
        <f t="shared" ca="1" si="42"/>
        <v>0</v>
      </c>
      <c r="J267" s="35">
        <f t="shared" ca="1" si="43"/>
        <v>29.5</v>
      </c>
      <c r="K267" s="32">
        <f t="shared" ca="1" si="44"/>
        <v>0</v>
      </c>
    </row>
    <row r="268" spans="1:11" x14ac:dyDescent="0.25">
      <c r="A268" s="11">
        <f t="shared" si="36"/>
        <v>44</v>
      </c>
      <c r="B268" t="str">
        <f ca="1">TEXT(DATE(YEAR(Invoer!$A$5),1,1)+ROWS(B$2:B268)-1,"jjjjmmdd")</f>
        <v>19200923</v>
      </c>
      <c r="C268" s="27" t="s">
        <v>36</v>
      </c>
      <c r="D268" s="35">
        <f t="shared" ca="1" si="37"/>
        <v>757</v>
      </c>
      <c r="E268" s="32">
        <f t="shared" ca="1" si="38"/>
        <v>0</v>
      </c>
      <c r="F268" s="35">
        <f t="shared" ca="1" si="39"/>
        <v>756</v>
      </c>
      <c r="G268" s="32">
        <f t="shared" ca="1" si="40"/>
        <v>0</v>
      </c>
      <c r="H268" s="35">
        <f t="shared" ca="1" si="41"/>
        <v>30</v>
      </c>
      <c r="I268" s="32">
        <f t="shared" ca="1" si="42"/>
        <v>0</v>
      </c>
      <c r="J268" s="35">
        <f t="shared" ca="1" si="43"/>
        <v>30</v>
      </c>
      <c r="K268" s="32">
        <f t="shared" ca="1" si="44"/>
        <v>0</v>
      </c>
    </row>
    <row r="269" spans="1:11" x14ac:dyDescent="0.25">
      <c r="A269" s="11">
        <f t="shared" si="36"/>
        <v>44</v>
      </c>
      <c r="B269" t="str">
        <f ca="1">TEXT(DATE(YEAR(Invoer!$A$5),1,1)+ROWS(B$2:B269)-1,"jjjjmmdd")</f>
        <v>19200924</v>
      </c>
      <c r="C269" s="27" t="s">
        <v>36</v>
      </c>
      <c r="D269" s="35">
        <f t="shared" ca="1" si="37"/>
        <v>755.5</v>
      </c>
      <c r="E269" s="32">
        <f t="shared" ca="1" si="38"/>
        <v>0</v>
      </c>
      <c r="F269" s="35">
        <f t="shared" ca="1" si="39"/>
        <v>753.5</v>
      </c>
      <c r="G269" s="32">
        <f t="shared" ca="1" si="40"/>
        <v>0</v>
      </c>
      <c r="H269" s="35">
        <f t="shared" ca="1" si="41"/>
        <v>31</v>
      </c>
      <c r="I269" s="32">
        <f t="shared" ca="1" si="42"/>
        <v>0</v>
      </c>
      <c r="J269" s="35">
        <f t="shared" ca="1" si="43"/>
        <v>30.5</v>
      </c>
      <c r="K269" s="32">
        <f t="shared" ca="1" si="44"/>
        <v>0</v>
      </c>
    </row>
    <row r="270" spans="1:11" x14ac:dyDescent="0.25">
      <c r="A270" s="11">
        <f t="shared" si="36"/>
        <v>44</v>
      </c>
      <c r="B270" t="str">
        <f ca="1">TEXT(DATE(YEAR(Invoer!$A$5),1,1)+ROWS(B$2:B270)-1,"jjjjmmdd")</f>
        <v>19200925</v>
      </c>
      <c r="C270" s="27" t="s">
        <v>36</v>
      </c>
      <c r="D270" s="35">
        <f t="shared" ca="1" si="37"/>
        <v>754</v>
      </c>
      <c r="E270" s="32">
        <f t="shared" ca="1" si="38"/>
        <v>0</v>
      </c>
      <c r="F270" s="35">
        <f t="shared" ca="1" si="39"/>
        <v>753.5</v>
      </c>
      <c r="G270" s="32">
        <f t="shared" ca="1" si="40"/>
        <v>0</v>
      </c>
      <c r="H270" s="35">
        <f t="shared" ca="1" si="41"/>
        <v>30.5</v>
      </c>
      <c r="I270" s="32">
        <f t="shared" ca="1" si="42"/>
        <v>0</v>
      </c>
      <c r="J270" s="35">
        <f t="shared" ca="1" si="43"/>
        <v>30</v>
      </c>
      <c r="K270" s="32">
        <f t="shared" ca="1" si="44"/>
        <v>0</v>
      </c>
    </row>
    <row r="271" spans="1:11" x14ac:dyDescent="0.25">
      <c r="A271" s="11">
        <f t="shared" si="36"/>
        <v>44</v>
      </c>
      <c r="B271" t="str">
        <f ca="1">TEXT(DATE(YEAR(Invoer!$A$5),1,1)+ROWS(B$2:B271)-1,"jjjjmmdd")</f>
        <v>19200926</v>
      </c>
      <c r="C271" s="27" t="s">
        <v>36</v>
      </c>
      <c r="D271" s="35">
        <f t="shared" ca="1" si="37"/>
        <v>754</v>
      </c>
      <c r="E271" s="32">
        <f t="shared" ca="1" si="38"/>
        <v>0</v>
      </c>
      <c r="F271" s="35">
        <f t="shared" ca="1" si="39"/>
        <v>753.5</v>
      </c>
      <c r="G271" s="32">
        <f t="shared" ca="1" si="40"/>
        <v>0</v>
      </c>
      <c r="H271" s="35">
        <f t="shared" ca="1" si="41"/>
        <v>30</v>
      </c>
      <c r="I271" s="32">
        <f t="shared" ca="1" si="42"/>
        <v>0</v>
      </c>
      <c r="J271" s="35">
        <f t="shared" ca="1" si="43"/>
        <v>29.5</v>
      </c>
      <c r="K271" s="32">
        <f t="shared" ca="1" si="44"/>
        <v>0</v>
      </c>
    </row>
    <row r="272" spans="1:11" x14ac:dyDescent="0.25">
      <c r="A272" s="11">
        <f t="shared" si="36"/>
        <v>44</v>
      </c>
      <c r="B272" t="str">
        <f ca="1">TEXT(DATE(YEAR(Invoer!$A$5),1,1)+ROWS(B$2:B272)-1,"jjjjmmdd")</f>
        <v>19200927</v>
      </c>
      <c r="C272" s="27" t="s">
        <v>36</v>
      </c>
      <c r="D272" s="35">
        <f t="shared" ca="1" si="37"/>
        <v>756</v>
      </c>
      <c r="E272" s="32">
        <f t="shared" ca="1" si="38"/>
        <v>0</v>
      </c>
      <c r="F272" s="35">
        <f t="shared" ca="1" si="39"/>
        <v>754</v>
      </c>
      <c r="G272" s="32">
        <f t="shared" ca="1" si="40"/>
        <v>0</v>
      </c>
      <c r="H272" s="35">
        <f t="shared" ca="1" si="41"/>
        <v>30.5</v>
      </c>
      <c r="I272" s="32">
        <f t="shared" ca="1" si="42"/>
        <v>0</v>
      </c>
      <c r="J272" s="35">
        <f t="shared" ca="1" si="43"/>
        <v>30</v>
      </c>
      <c r="K272" s="32">
        <f t="shared" ca="1" si="44"/>
        <v>0</v>
      </c>
    </row>
    <row r="273" spans="1:11" x14ac:dyDescent="0.25">
      <c r="A273" s="11">
        <f t="shared" si="36"/>
        <v>44</v>
      </c>
      <c r="B273" t="str">
        <f ca="1">TEXT(DATE(YEAR(Invoer!$A$5),1,1)+ROWS(B$2:B273)-1,"jjjjmmdd")</f>
        <v>19200928</v>
      </c>
      <c r="C273" s="27" t="s">
        <v>36</v>
      </c>
      <c r="D273" s="35">
        <f t="shared" ca="1" si="37"/>
        <v>755</v>
      </c>
      <c r="E273" s="32">
        <f t="shared" ca="1" si="38"/>
        <v>0</v>
      </c>
      <c r="F273" s="35">
        <f t="shared" ca="1" si="39"/>
        <v>754</v>
      </c>
      <c r="G273" s="32">
        <f t="shared" ca="1" si="40"/>
        <v>0</v>
      </c>
      <c r="H273" s="35">
        <f t="shared" ca="1" si="41"/>
        <v>31.5</v>
      </c>
      <c r="I273" s="32">
        <f t="shared" ca="1" si="42"/>
        <v>0</v>
      </c>
      <c r="J273" s="35">
        <f t="shared" ca="1" si="43"/>
        <v>30</v>
      </c>
      <c r="K273" s="32">
        <f t="shared" ca="1" si="44"/>
        <v>0</v>
      </c>
    </row>
    <row r="274" spans="1:11" x14ac:dyDescent="0.25">
      <c r="A274" s="11">
        <f t="shared" si="36"/>
        <v>44</v>
      </c>
      <c r="B274" t="str">
        <f ca="1">TEXT(DATE(YEAR(Invoer!$A$5),1,1)+ROWS(B$2:B274)-1,"jjjjmmdd")</f>
        <v>19200929</v>
      </c>
      <c r="C274" s="27" t="s">
        <v>36</v>
      </c>
      <c r="D274" s="35">
        <f t="shared" ca="1" si="37"/>
        <v>757</v>
      </c>
      <c r="E274" s="32">
        <f t="shared" ca="1" si="38"/>
        <v>0</v>
      </c>
      <c r="F274" s="35">
        <f t="shared" ca="1" si="39"/>
        <v>755</v>
      </c>
      <c r="G274" s="32">
        <f t="shared" ca="1" si="40"/>
        <v>0</v>
      </c>
      <c r="H274" s="35">
        <f t="shared" ca="1" si="41"/>
        <v>30.5</v>
      </c>
      <c r="I274" s="32">
        <f t="shared" ca="1" si="42"/>
        <v>0</v>
      </c>
      <c r="J274" s="35">
        <f t="shared" ca="1" si="43"/>
        <v>30</v>
      </c>
      <c r="K274" s="32">
        <f t="shared" ca="1" si="44"/>
        <v>0</v>
      </c>
    </row>
    <row r="275" spans="1:11" x14ac:dyDescent="0.25">
      <c r="A275" s="11">
        <f t="shared" si="36"/>
        <v>44</v>
      </c>
      <c r="B275" t="str">
        <f ca="1">TEXT(DATE(YEAR(Invoer!$A$5),1,1)+ROWS(B$2:B275)-1,"jjjjmmdd")</f>
        <v>19200930</v>
      </c>
      <c r="C275" s="27" t="s">
        <v>36</v>
      </c>
      <c r="D275" s="35">
        <f t="shared" ca="1" si="37"/>
        <v>757.5</v>
      </c>
      <c r="E275" s="32">
        <f t="shared" ca="1" si="38"/>
        <v>0</v>
      </c>
      <c r="F275" s="35">
        <f t="shared" ca="1" si="39"/>
        <v>756</v>
      </c>
      <c r="G275" s="32">
        <f t="shared" ca="1" si="40"/>
        <v>0</v>
      </c>
      <c r="H275" s="35">
        <f t="shared" ca="1" si="41"/>
        <v>30.5</v>
      </c>
      <c r="I275" s="32">
        <f t="shared" ca="1" si="42"/>
        <v>0</v>
      </c>
      <c r="J275" s="35">
        <f t="shared" ca="1" si="43"/>
        <v>30</v>
      </c>
      <c r="K275" s="32">
        <f t="shared" ca="1" si="44"/>
        <v>0</v>
      </c>
    </row>
    <row r="276" spans="1:11" x14ac:dyDescent="0.25">
      <c r="A276" s="11">
        <f t="shared" si="36"/>
        <v>44</v>
      </c>
      <c r="B276" t="str">
        <f ca="1">TEXT(DATE(YEAR(Invoer!$A$5),1,1)+ROWS(B$2:B276)-1,"jjjjmmdd")</f>
        <v>19201001</v>
      </c>
      <c r="C276" s="27" t="s">
        <v>36</v>
      </c>
      <c r="D276" s="35">
        <f t="shared" ca="1" si="37"/>
        <v>757</v>
      </c>
      <c r="E276" s="32">
        <f t="shared" ca="1" si="38"/>
        <v>0</v>
      </c>
      <c r="F276" s="35">
        <f t="shared" ca="1" si="39"/>
        <v>755</v>
      </c>
      <c r="G276" s="32">
        <f t="shared" ca="1" si="40"/>
        <v>0</v>
      </c>
      <c r="H276" s="35">
        <f t="shared" ca="1" si="41"/>
        <v>31</v>
      </c>
      <c r="I276" s="32">
        <f t="shared" ca="1" si="42"/>
        <v>0</v>
      </c>
      <c r="J276" s="35">
        <f t="shared" ca="1" si="43"/>
        <v>30</v>
      </c>
      <c r="K276" s="32">
        <f t="shared" ca="1" si="44"/>
        <v>0</v>
      </c>
    </row>
    <row r="277" spans="1:11" x14ac:dyDescent="0.25">
      <c r="A277" s="11">
        <f t="shared" si="36"/>
        <v>44</v>
      </c>
      <c r="B277" t="str">
        <f ca="1">TEXT(DATE(YEAR(Invoer!$A$5),1,1)+ROWS(B$2:B277)-1,"jjjjmmdd")</f>
        <v>19201002</v>
      </c>
      <c r="C277" s="27" t="s">
        <v>36</v>
      </c>
      <c r="D277" s="35">
        <f t="shared" ca="1" si="37"/>
        <v>757.5</v>
      </c>
      <c r="E277" s="32">
        <f t="shared" ca="1" si="38"/>
        <v>0</v>
      </c>
      <c r="F277" s="35">
        <f t="shared" ca="1" si="39"/>
        <v>754.5</v>
      </c>
      <c r="G277" s="32">
        <f t="shared" ca="1" si="40"/>
        <v>0</v>
      </c>
      <c r="H277" s="35">
        <f t="shared" ca="1" si="41"/>
        <v>30</v>
      </c>
      <c r="I277" s="32">
        <f t="shared" ca="1" si="42"/>
        <v>0</v>
      </c>
      <c r="J277" s="35">
        <f t="shared" ca="1" si="43"/>
        <v>29</v>
      </c>
      <c r="K277" s="32">
        <f t="shared" ca="1" si="44"/>
        <v>0</v>
      </c>
    </row>
    <row r="278" spans="1:11" x14ac:dyDescent="0.25">
      <c r="A278" s="11">
        <f t="shared" si="36"/>
        <v>44</v>
      </c>
      <c r="B278" t="str">
        <f ca="1">TEXT(DATE(YEAR(Invoer!$A$5),1,1)+ROWS(B$2:B278)-1,"jjjjmmdd")</f>
        <v>19201003</v>
      </c>
      <c r="C278" s="27" t="s">
        <v>36</v>
      </c>
      <c r="D278" s="35">
        <f t="shared" ca="1" si="37"/>
        <v>757.5</v>
      </c>
      <c r="E278" s="32">
        <f t="shared" ca="1" si="38"/>
        <v>0</v>
      </c>
      <c r="F278" s="35">
        <f t="shared" ca="1" si="39"/>
        <v>754.5</v>
      </c>
      <c r="G278" s="32">
        <f t="shared" ca="1" si="40"/>
        <v>0</v>
      </c>
      <c r="H278" s="35">
        <f t="shared" ca="1" si="41"/>
        <v>30</v>
      </c>
      <c r="I278" s="32">
        <f t="shared" ca="1" si="42"/>
        <v>0</v>
      </c>
      <c r="J278" s="35">
        <f t="shared" ca="1" si="43"/>
        <v>29</v>
      </c>
      <c r="K278" s="32">
        <f t="shared" ca="1" si="44"/>
        <v>0</v>
      </c>
    </row>
    <row r="279" spans="1:11" x14ac:dyDescent="0.25">
      <c r="A279" s="11">
        <f t="shared" si="36"/>
        <v>44</v>
      </c>
      <c r="B279" t="str">
        <f ca="1">TEXT(DATE(YEAR(Invoer!$A$5),1,1)+ROWS(B$2:B279)-1,"jjjjmmdd")</f>
        <v>19201004</v>
      </c>
      <c r="C279" s="27" t="s">
        <v>36</v>
      </c>
      <c r="D279" s="35">
        <f t="shared" ca="1" si="37"/>
        <v>757</v>
      </c>
      <c r="E279" s="32">
        <f t="shared" ca="1" si="38"/>
        <v>0</v>
      </c>
      <c r="F279" s="35">
        <f t="shared" ca="1" si="39"/>
        <v>755</v>
      </c>
      <c r="G279" s="32">
        <f t="shared" ca="1" si="40"/>
        <v>0</v>
      </c>
      <c r="H279" s="35">
        <f t="shared" ca="1" si="41"/>
        <v>30</v>
      </c>
      <c r="I279" s="32">
        <f t="shared" ca="1" si="42"/>
        <v>0</v>
      </c>
      <c r="J279" s="35">
        <f t="shared" ca="1" si="43"/>
        <v>29</v>
      </c>
      <c r="K279" s="32">
        <f t="shared" ca="1" si="44"/>
        <v>0</v>
      </c>
    </row>
    <row r="280" spans="1:11" x14ac:dyDescent="0.25">
      <c r="A280" s="11">
        <f t="shared" si="36"/>
        <v>44</v>
      </c>
      <c r="B280" t="str">
        <f ca="1">TEXT(DATE(YEAR(Invoer!$A$5),1,1)+ROWS(B$2:B280)-1,"jjjjmmdd")</f>
        <v>19201005</v>
      </c>
      <c r="C280" s="27" t="s">
        <v>36</v>
      </c>
      <c r="D280" s="35">
        <f t="shared" ca="1" si="37"/>
        <v>757.5</v>
      </c>
      <c r="E280" s="32">
        <f t="shared" ca="1" si="38"/>
        <v>0</v>
      </c>
      <c r="F280" s="35">
        <f t="shared" ca="1" si="39"/>
        <v>756</v>
      </c>
      <c r="G280" s="32">
        <f t="shared" ca="1" si="40"/>
        <v>0</v>
      </c>
      <c r="H280" s="35">
        <f t="shared" ca="1" si="41"/>
        <v>30</v>
      </c>
      <c r="I280" s="32">
        <f t="shared" ca="1" si="42"/>
        <v>0</v>
      </c>
      <c r="J280" s="35">
        <f t="shared" ca="1" si="43"/>
        <v>29</v>
      </c>
      <c r="K280" s="32">
        <f t="shared" ca="1" si="44"/>
        <v>0</v>
      </c>
    </row>
    <row r="281" spans="1:11" x14ac:dyDescent="0.25">
      <c r="A281" s="11">
        <f t="shared" si="36"/>
        <v>44</v>
      </c>
      <c r="B281" t="str">
        <f ca="1">TEXT(DATE(YEAR(Invoer!$A$5),1,1)+ROWS(B$2:B281)-1,"jjjjmmdd")</f>
        <v>19201006</v>
      </c>
      <c r="C281" s="27" t="s">
        <v>36</v>
      </c>
      <c r="D281" s="35">
        <f t="shared" ca="1" si="37"/>
        <v>757.5</v>
      </c>
      <c r="E281" s="32">
        <f t="shared" ca="1" si="38"/>
        <v>0</v>
      </c>
      <c r="F281" s="35">
        <f t="shared" ca="1" si="39"/>
        <v>754.5</v>
      </c>
      <c r="G281" s="32">
        <f t="shared" ca="1" si="40"/>
        <v>0</v>
      </c>
      <c r="H281" s="35">
        <f t="shared" ca="1" si="41"/>
        <v>30.5</v>
      </c>
      <c r="I281" s="32">
        <f t="shared" ca="1" si="42"/>
        <v>0</v>
      </c>
      <c r="J281" s="35">
        <f t="shared" ca="1" si="43"/>
        <v>30</v>
      </c>
      <c r="K281" s="32">
        <f t="shared" ca="1" si="44"/>
        <v>0</v>
      </c>
    </row>
    <row r="282" spans="1:11" x14ac:dyDescent="0.25">
      <c r="A282" s="11">
        <f t="shared" si="36"/>
        <v>44</v>
      </c>
      <c r="B282" t="str">
        <f ca="1">TEXT(DATE(YEAR(Invoer!$A$5),1,1)+ROWS(B$2:B282)-1,"jjjjmmdd")</f>
        <v>19201007</v>
      </c>
      <c r="C282" s="27" t="s">
        <v>36</v>
      </c>
      <c r="D282" s="35">
        <f t="shared" ca="1" si="37"/>
        <v>756</v>
      </c>
      <c r="E282" s="32">
        <f t="shared" ca="1" si="38"/>
        <v>0</v>
      </c>
      <c r="F282" s="35">
        <f t="shared" ca="1" si="39"/>
        <v>753.5</v>
      </c>
      <c r="G282" s="32">
        <f t="shared" ca="1" si="40"/>
        <v>0</v>
      </c>
      <c r="H282" s="35">
        <f t="shared" ca="1" si="41"/>
        <v>30</v>
      </c>
      <c r="I282" s="32">
        <f t="shared" ca="1" si="42"/>
        <v>0</v>
      </c>
      <c r="J282" s="35">
        <f t="shared" ca="1" si="43"/>
        <v>29</v>
      </c>
      <c r="K282" s="32">
        <f t="shared" ca="1" si="44"/>
        <v>0</v>
      </c>
    </row>
    <row r="283" spans="1:11" x14ac:dyDescent="0.25">
      <c r="A283" s="11">
        <f t="shared" si="36"/>
        <v>44</v>
      </c>
      <c r="B283" t="str">
        <f ca="1">TEXT(DATE(YEAR(Invoer!$A$5),1,1)+ROWS(B$2:B283)-1,"jjjjmmdd")</f>
        <v>19201008</v>
      </c>
      <c r="C283" s="27" t="s">
        <v>36</v>
      </c>
      <c r="D283" s="35">
        <f t="shared" ca="1" si="37"/>
        <v>756.5</v>
      </c>
      <c r="E283" s="32">
        <f t="shared" ca="1" si="38"/>
        <v>0</v>
      </c>
      <c r="F283" s="35">
        <f t="shared" ca="1" si="39"/>
        <v>754</v>
      </c>
      <c r="G283" s="32">
        <f t="shared" ca="1" si="40"/>
        <v>0</v>
      </c>
      <c r="H283" s="35">
        <f t="shared" ca="1" si="41"/>
        <v>30</v>
      </c>
      <c r="I283" s="32">
        <f t="shared" ca="1" si="42"/>
        <v>0</v>
      </c>
      <c r="J283" s="35">
        <f t="shared" ca="1" si="43"/>
        <v>29</v>
      </c>
      <c r="K283" s="32">
        <f t="shared" ca="1" si="44"/>
        <v>0</v>
      </c>
    </row>
    <row r="284" spans="1:11" x14ac:dyDescent="0.25">
      <c r="A284" s="11">
        <f t="shared" si="36"/>
        <v>44</v>
      </c>
      <c r="B284" t="str">
        <f ca="1">TEXT(DATE(YEAR(Invoer!$A$5),1,1)+ROWS(B$2:B284)-1,"jjjjmmdd")</f>
        <v>19201009</v>
      </c>
      <c r="C284" s="27" t="s">
        <v>36</v>
      </c>
      <c r="D284" s="35">
        <f t="shared" ca="1" si="37"/>
        <v>757</v>
      </c>
      <c r="E284" s="32">
        <f t="shared" ca="1" si="38"/>
        <v>0</v>
      </c>
      <c r="F284" s="35">
        <f t="shared" ca="1" si="39"/>
        <v>755</v>
      </c>
      <c r="G284" s="32">
        <f t="shared" ca="1" si="40"/>
        <v>0</v>
      </c>
      <c r="H284" s="35">
        <f t="shared" ca="1" si="41"/>
        <v>30</v>
      </c>
      <c r="I284" s="32">
        <f t="shared" ca="1" si="42"/>
        <v>0</v>
      </c>
      <c r="J284" s="35">
        <f t="shared" ca="1" si="43"/>
        <v>29</v>
      </c>
      <c r="K284" s="32">
        <f t="shared" ca="1" si="44"/>
        <v>0</v>
      </c>
    </row>
    <row r="285" spans="1:11" x14ac:dyDescent="0.25">
      <c r="A285" s="11">
        <f t="shared" si="36"/>
        <v>44</v>
      </c>
      <c r="B285" t="str">
        <f ca="1">TEXT(DATE(YEAR(Invoer!$A$5),1,1)+ROWS(B$2:B285)-1,"jjjjmmdd")</f>
        <v>19201010</v>
      </c>
      <c r="C285" s="27" t="s">
        <v>36</v>
      </c>
      <c r="D285" s="35">
        <f t="shared" ca="1" si="37"/>
        <v>757</v>
      </c>
      <c r="E285" s="32">
        <f t="shared" ca="1" si="38"/>
        <v>0</v>
      </c>
      <c r="F285" s="35">
        <f t="shared" ca="1" si="39"/>
        <v>755</v>
      </c>
      <c r="G285" s="32">
        <f t="shared" ca="1" si="40"/>
        <v>0</v>
      </c>
      <c r="H285" s="35">
        <f t="shared" ca="1" si="41"/>
        <v>30</v>
      </c>
      <c r="I285" s="32">
        <f t="shared" ca="1" si="42"/>
        <v>0</v>
      </c>
      <c r="J285" s="35">
        <f t="shared" ca="1" si="43"/>
        <v>29</v>
      </c>
      <c r="K285" s="32">
        <f t="shared" ca="1" si="44"/>
        <v>0</v>
      </c>
    </row>
    <row r="286" spans="1:11" x14ac:dyDescent="0.25">
      <c r="A286" s="11">
        <f t="shared" si="36"/>
        <v>44</v>
      </c>
      <c r="B286" t="str">
        <f ca="1">TEXT(DATE(YEAR(Invoer!$A$5),1,1)+ROWS(B$2:B286)-1,"jjjjmmdd")</f>
        <v>19201011</v>
      </c>
      <c r="C286" s="27" t="s">
        <v>36</v>
      </c>
      <c r="D286" s="35">
        <f t="shared" ca="1" si="37"/>
        <v>757</v>
      </c>
      <c r="E286" s="32">
        <f t="shared" ca="1" si="38"/>
        <v>0</v>
      </c>
      <c r="F286" s="35">
        <f t="shared" ca="1" si="39"/>
        <v>755</v>
      </c>
      <c r="G286" s="32">
        <f t="shared" ca="1" si="40"/>
        <v>0</v>
      </c>
      <c r="H286" s="35">
        <f t="shared" ca="1" si="41"/>
        <v>30</v>
      </c>
      <c r="I286" s="32">
        <f t="shared" ca="1" si="42"/>
        <v>0</v>
      </c>
      <c r="J286" s="35">
        <f t="shared" ca="1" si="43"/>
        <v>30</v>
      </c>
      <c r="K286" s="32">
        <f t="shared" ca="1" si="44"/>
        <v>0</v>
      </c>
    </row>
    <row r="287" spans="1:11" x14ac:dyDescent="0.25">
      <c r="A287" s="11">
        <f t="shared" si="36"/>
        <v>44</v>
      </c>
      <c r="B287" t="str">
        <f ca="1">TEXT(DATE(YEAR(Invoer!$A$5),1,1)+ROWS(B$2:B287)-1,"jjjjmmdd")</f>
        <v>19201012</v>
      </c>
      <c r="C287" s="27" t="s">
        <v>36</v>
      </c>
      <c r="D287" s="35">
        <f t="shared" ca="1" si="37"/>
        <v>756.5</v>
      </c>
      <c r="E287" s="32">
        <f t="shared" ca="1" si="38"/>
        <v>0</v>
      </c>
      <c r="F287" s="35">
        <f t="shared" ca="1" si="39"/>
        <v>755</v>
      </c>
      <c r="G287" s="32">
        <f t="shared" ca="1" si="40"/>
        <v>0</v>
      </c>
      <c r="H287" s="35">
        <f t="shared" ca="1" si="41"/>
        <v>30</v>
      </c>
      <c r="I287" s="32">
        <f t="shared" ca="1" si="42"/>
        <v>0</v>
      </c>
      <c r="J287" s="35">
        <f t="shared" ca="1" si="43"/>
        <v>29</v>
      </c>
      <c r="K287" s="32">
        <f t="shared" ca="1" si="44"/>
        <v>0</v>
      </c>
    </row>
    <row r="288" spans="1:11" x14ac:dyDescent="0.25">
      <c r="A288" s="11">
        <f t="shared" si="36"/>
        <v>44</v>
      </c>
      <c r="B288" t="str">
        <f ca="1">TEXT(DATE(YEAR(Invoer!$A$5),1,1)+ROWS(B$2:B288)-1,"jjjjmmdd")</f>
        <v>19201013</v>
      </c>
      <c r="C288" s="27" t="s">
        <v>36</v>
      </c>
      <c r="D288" s="35">
        <f t="shared" ca="1" si="37"/>
        <v>756</v>
      </c>
      <c r="E288" s="32">
        <f t="shared" ca="1" si="38"/>
        <v>0</v>
      </c>
      <c r="F288" s="35">
        <f t="shared" ca="1" si="39"/>
        <v>755</v>
      </c>
      <c r="G288" s="32">
        <f t="shared" ca="1" si="40"/>
        <v>0</v>
      </c>
      <c r="H288" s="35">
        <f t="shared" ca="1" si="41"/>
        <v>30</v>
      </c>
      <c r="I288" s="32">
        <f t="shared" ca="1" si="42"/>
        <v>0</v>
      </c>
      <c r="J288" s="35">
        <f t="shared" ca="1" si="43"/>
        <v>29</v>
      </c>
      <c r="K288" s="32">
        <f t="shared" ca="1" si="44"/>
        <v>0</v>
      </c>
    </row>
    <row r="289" spans="1:11" x14ac:dyDescent="0.25">
      <c r="A289" s="11">
        <f t="shared" si="36"/>
        <v>44</v>
      </c>
      <c r="B289" t="str">
        <f ca="1">TEXT(DATE(YEAR(Invoer!$A$5),1,1)+ROWS(B$2:B289)-1,"jjjjmmdd")</f>
        <v>19201014</v>
      </c>
      <c r="C289" s="27" t="s">
        <v>36</v>
      </c>
      <c r="D289" s="35">
        <f t="shared" ca="1" si="37"/>
        <v>754</v>
      </c>
      <c r="E289" s="32">
        <f t="shared" ca="1" si="38"/>
        <v>0</v>
      </c>
      <c r="F289" s="35">
        <f t="shared" ca="1" si="39"/>
        <v>752</v>
      </c>
      <c r="G289" s="32">
        <f t="shared" ca="1" si="40"/>
        <v>0</v>
      </c>
      <c r="H289" s="35">
        <f t="shared" ca="1" si="41"/>
        <v>31</v>
      </c>
      <c r="I289" s="32">
        <f t="shared" ca="1" si="42"/>
        <v>0</v>
      </c>
      <c r="J289" s="35">
        <f t="shared" ca="1" si="43"/>
        <v>30</v>
      </c>
      <c r="K289" s="32">
        <f t="shared" ca="1" si="44"/>
        <v>0</v>
      </c>
    </row>
    <row r="290" spans="1:11" x14ac:dyDescent="0.25">
      <c r="A290" s="11">
        <f t="shared" si="36"/>
        <v>44</v>
      </c>
      <c r="B290" t="str">
        <f ca="1">TEXT(DATE(YEAR(Invoer!$A$5),1,1)+ROWS(B$2:B290)-1,"jjjjmmdd")</f>
        <v>19201015</v>
      </c>
      <c r="C290" s="27" t="s">
        <v>36</v>
      </c>
      <c r="D290" s="35">
        <f t="shared" ca="1" si="37"/>
        <v>756.5</v>
      </c>
      <c r="E290" s="32">
        <f t="shared" ca="1" si="38"/>
        <v>0</v>
      </c>
      <c r="F290" s="35">
        <f t="shared" ca="1" si="39"/>
        <v>754</v>
      </c>
      <c r="G290" s="32">
        <f t="shared" ca="1" si="40"/>
        <v>0</v>
      </c>
      <c r="H290" s="35">
        <f t="shared" ca="1" si="41"/>
        <v>31</v>
      </c>
      <c r="I290" s="32">
        <f t="shared" ca="1" si="42"/>
        <v>0</v>
      </c>
      <c r="J290" s="35">
        <f t="shared" ca="1" si="43"/>
        <v>29</v>
      </c>
      <c r="K290" s="32">
        <f t="shared" ca="1" si="44"/>
        <v>0</v>
      </c>
    </row>
    <row r="291" spans="1:11" x14ac:dyDescent="0.25">
      <c r="A291" s="11">
        <f t="shared" si="36"/>
        <v>44</v>
      </c>
      <c r="B291" t="str">
        <f ca="1">TEXT(DATE(YEAR(Invoer!$A$5),1,1)+ROWS(B$2:B291)-1,"jjjjmmdd")</f>
        <v>19201016</v>
      </c>
      <c r="C291" s="27" t="s">
        <v>36</v>
      </c>
      <c r="D291" s="35">
        <f t="shared" ca="1" si="37"/>
        <v>756.5</v>
      </c>
      <c r="E291" s="32">
        <f t="shared" ca="1" si="38"/>
        <v>0</v>
      </c>
      <c r="F291" s="35">
        <f t="shared" ca="1" si="39"/>
        <v>753</v>
      </c>
      <c r="G291" s="32">
        <f t="shared" ca="1" si="40"/>
        <v>0</v>
      </c>
      <c r="H291" s="35">
        <f t="shared" ca="1" si="41"/>
        <v>30</v>
      </c>
      <c r="I291" s="32">
        <f t="shared" ca="1" si="42"/>
        <v>0</v>
      </c>
      <c r="J291" s="35">
        <f t="shared" ca="1" si="43"/>
        <v>29</v>
      </c>
      <c r="K291" s="32">
        <f t="shared" ca="1" si="44"/>
        <v>0</v>
      </c>
    </row>
    <row r="292" spans="1:11" x14ac:dyDescent="0.25">
      <c r="A292" s="11">
        <f t="shared" si="36"/>
        <v>44</v>
      </c>
      <c r="B292" t="str">
        <f ca="1">TEXT(DATE(YEAR(Invoer!$A$5),1,1)+ROWS(B$2:B292)-1,"jjjjmmdd")</f>
        <v>19201017</v>
      </c>
      <c r="C292" s="27" t="s">
        <v>36</v>
      </c>
      <c r="D292" s="35">
        <f t="shared" ca="1" si="37"/>
        <v>756.5</v>
      </c>
      <c r="E292" s="32">
        <f t="shared" ca="1" si="38"/>
        <v>0</v>
      </c>
      <c r="F292" s="35">
        <f t="shared" ca="1" si="39"/>
        <v>753</v>
      </c>
      <c r="G292" s="32">
        <f t="shared" ca="1" si="40"/>
        <v>0</v>
      </c>
      <c r="H292" s="35">
        <f t="shared" ca="1" si="41"/>
        <v>30</v>
      </c>
      <c r="I292" s="32">
        <f t="shared" ca="1" si="42"/>
        <v>0</v>
      </c>
      <c r="J292" s="35">
        <f t="shared" ca="1" si="43"/>
        <v>29</v>
      </c>
      <c r="K292" s="32">
        <f t="shared" ca="1" si="44"/>
        <v>0</v>
      </c>
    </row>
    <row r="293" spans="1:11" x14ac:dyDescent="0.25">
      <c r="A293" s="11">
        <f t="shared" si="36"/>
        <v>44</v>
      </c>
      <c r="B293" t="str">
        <f ca="1">TEXT(DATE(YEAR(Invoer!$A$5),1,1)+ROWS(B$2:B293)-1,"jjjjmmdd")</f>
        <v>19201018</v>
      </c>
      <c r="C293" s="27" t="s">
        <v>36</v>
      </c>
      <c r="D293" s="35">
        <f t="shared" ca="1" si="37"/>
        <v>755.5</v>
      </c>
      <c r="E293" s="32">
        <f t="shared" ca="1" si="38"/>
        <v>0</v>
      </c>
      <c r="F293" s="35">
        <f t="shared" ca="1" si="39"/>
        <v>753.5</v>
      </c>
      <c r="G293" s="32">
        <f t="shared" ca="1" si="40"/>
        <v>0</v>
      </c>
      <c r="H293" s="35">
        <f t="shared" ca="1" si="41"/>
        <v>31</v>
      </c>
      <c r="I293" s="32">
        <f t="shared" ca="1" si="42"/>
        <v>0</v>
      </c>
      <c r="J293" s="35">
        <f t="shared" ca="1" si="43"/>
        <v>30</v>
      </c>
      <c r="K293" s="32">
        <f t="shared" ca="1" si="44"/>
        <v>0</v>
      </c>
    </row>
    <row r="294" spans="1:11" x14ac:dyDescent="0.25">
      <c r="A294" s="11">
        <f t="shared" si="36"/>
        <v>44</v>
      </c>
      <c r="B294" t="str">
        <f ca="1">TEXT(DATE(YEAR(Invoer!$A$5),1,1)+ROWS(B$2:B294)-1,"jjjjmmdd")</f>
        <v>19201019</v>
      </c>
      <c r="C294" s="27" t="s">
        <v>36</v>
      </c>
      <c r="D294" s="35">
        <f t="shared" ca="1" si="37"/>
        <v>755</v>
      </c>
      <c r="E294" s="32">
        <f t="shared" ca="1" si="38"/>
        <v>0</v>
      </c>
      <c r="F294" s="35">
        <f t="shared" ca="1" si="39"/>
        <v>753.5</v>
      </c>
      <c r="G294" s="32">
        <f t="shared" ca="1" si="40"/>
        <v>0</v>
      </c>
      <c r="H294" s="35">
        <f t="shared" ca="1" si="41"/>
        <v>30</v>
      </c>
      <c r="I294" s="32">
        <f t="shared" ca="1" si="42"/>
        <v>0</v>
      </c>
      <c r="J294" s="35">
        <f t="shared" ca="1" si="43"/>
        <v>30</v>
      </c>
      <c r="K294" s="32">
        <f t="shared" ca="1" si="44"/>
        <v>0</v>
      </c>
    </row>
    <row r="295" spans="1:11" x14ac:dyDescent="0.25">
      <c r="A295" s="11">
        <f t="shared" si="36"/>
        <v>44</v>
      </c>
      <c r="B295" t="str">
        <f ca="1">TEXT(DATE(YEAR(Invoer!$A$5),1,1)+ROWS(B$2:B295)-1,"jjjjmmdd")</f>
        <v>19201020</v>
      </c>
      <c r="C295" s="27" t="s">
        <v>36</v>
      </c>
      <c r="D295" s="35">
        <f t="shared" ca="1" si="37"/>
        <v>753</v>
      </c>
      <c r="E295" s="32">
        <f t="shared" ca="1" si="38"/>
        <v>0</v>
      </c>
      <c r="F295" s="35">
        <f t="shared" ca="1" si="39"/>
        <v>753</v>
      </c>
      <c r="G295" s="32">
        <f t="shared" ca="1" si="40"/>
        <v>0</v>
      </c>
      <c r="H295" s="35">
        <f t="shared" ca="1" si="41"/>
        <v>30</v>
      </c>
      <c r="I295" s="32">
        <f t="shared" ca="1" si="42"/>
        <v>0</v>
      </c>
      <c r="J295" s="35">
        <f t="shared" ca="1" si="43"/>
        <v>29.5</v>
      </c>
      <c r="K295" s="32">
        <f t="shared" ca="1" si="44"/>
        <v>0</v>
      </c>
    </row>
    <row r="296" spans="1:11" x14ac:dyDescent="0.25">
      <c r="A296" s="11">
        <f t="shared" si="36"/>
        <v>44</v>
      </c>
      <c r="B296" t="str">
        <f ca="1">TEXT(DATE(YEAR(Invoer!$A$5),1,1)+ROWS(B$2:B296)-1,"jjjjmmdd")</f>
        <v>19201021</v>
      </c>
      <c r="C296" s="27" t="s">
        <v>36</v>
      </c>
      <c r="D296" s="35">
        <f t="shared" ca="1" si="37"/>
        <v>756</v>
      </c>
      <c r="E296" s="32">
        <f t="shared" ca="1" si="38"/>
        <v>0</v>
      </c>
      <c r="F296" s="35">
        <f t="shared" ca="1" si="39"/>
        <v>753.5</v>
      </c>
      <c r="G296" s="32">
        <f t="shared" ca="1" si="40"/>
        <v>0</v>
      </c>
      <c r="H296" s="35">
        <f t="shared" ca="1" si="41"/>
        <v>30</v>
      </c>
      <c r="I296" s="32">
        <f t="shared" ca="1" si="42"/>
        <v>0</v>
      </c>
      <c r="J296" s="35">
        <f t="shared" ca="1" si="43"/>
        <v>29</v>
      </c>
      <c r="K296" s="32">
        <f t="shared" ca="1" si="44"/>
        <v>0</v>
      </c>
    </row>
    <row r="297" spans="1:11" x14ac:dyDescent="0.25">
      <c r="A297" s="11">
        <f t="shared" si="36"/>
        <v>44</v>
      </c>
      <c r="B297" t="str">
        <f ca="1">TEXT(DATE(YEAR(Invoer!$A$5),1,1)+ROWS(B$2:B297)-1,"jjjjmmdd")</f>
        <v>19201022</v>
      </c>
      <c r="C297" s="27" t="s">
        <v>36</v>
      </c>
      <c r="D297" s="35">
        <f t="shared" ca="1" si="37"/>
        <v>755</v>
      </c>
      <c r="E297" s="32">
        <f t="shared" ca="1" si="38"/>
        <v>0</v>
      </c>
      <c r="F297" s="35">
        <f t="shared" ca="1" si="39"/>
        <v>752</v>
      </c>
      <c r="G297" s="32">
        <f t="shared" ca="1" si="40"/>
        <v>0</v>
      </c>
      <c r="H297" s="35">
        <f t="shared" ca="1" si="41"/>
        <v>30</v>
      </c>
      <c r="I297" s="32">
        <f t="shared" ca="1" si="42"/>
        <v>0</v>
      </c>
      <c r="J297" s="35">
        <f t="shared" ca="1" si="43"/>
        <v>29</v>
      </c>
      <c r="K297" s="32">
        <f t="shared" ca="1" si="44"/>
        <v>0</v>
      </c>
    </row>
    <row r="298" spans="1:11" x14ac:dyDescent="0.25">
      <c r="A298" s="11">
        <f t="shared" si="36"/>
        <v>44</v>
      </c>
      <c r="B298" t="str">
        <f ca="1">TEXT(DATE(YEAR(Invoer!$A$5),1,1)+ROWS(B$2:B298)-1,"jjjjmmdd")</f>
        <v>19201023</v>
      </c>
      <c r="C298" s="27" t="s">
        <v>36</v>
      </c>
      <c r="D298" s="35">
        <f t="shared" ca="1" si="37"/>
        <v>755</v>
      </c>
      <c r="E298" s="32">
        <f t="shared" ca="1" si="38"/>
        <v>0</v>
      </c>
      <c r="F298" s="35">
        <f t="shared" ca="1" si="39"/>
        <v>753</v>
      </c>
      <c r="G298" s="32">
        <f t="shared" ca="1" si="40"/>
        <v>0</v>
      </c>
      <c r="H298" s="35">
        <f t="shared" ca="1" si="41"/>
        <v>30</v>
      </c>
      <c r="I298" s="32">
        <f t="shared" ca="1" si="42"/>
        <v>0</v>
      </c>
      <c r="J298" s="35">
        <f t="shared" ca="1" si="43"/>
        <v>29</v>
      </c>
      <c r="K298" s="32">
        <f t="shared" ca="1" si="44"/>
        <v>0</v>
      </c>
    </row>
    <row r="299" spans="1:11" x14ac:dyDescent="0.25">
      <c r="A299" s="11">
        <f t="shared" si="36"/>
        <v>44</v>
      </c>
      <c r="B299" t="str">
        <f ca="1">TEXT(DATE(YEAR(Invoer!$A$5),1,1)+ROWS(B$2:B299)-1,"jjjjmmdd")</f>
        <v>19201024</v>
      </c>
      <c r="C299" s="27" t="s">
        <v>36</v>
      </c>
      <c r="D299" s="35">
        <f t="shared" ca="1" si="37"/>
        <v>755</v>
      </c>
      <c r="E299" s="32">
        <f t="shared" ca="1" si="38"/>
        <v>0</v>
      </c>
      <c r="F299" s="35">
        <f t="shared" ca="1" si="39"/>
        <v>753</v>
      </c>
      <c r="G299" s="32">
        <f t="shared" ca="1" si="40"/>
        <v>0</v>
      </c>
      <c r="H299" s="35">
        <f t="shared" ca="1" si="41"/>
        <v>30</v>
      </c>
      <c r="I299" s="32">
        <f t="shared" ca="1" si="42"/>
        <v>0</v>
      </c>
      <c r="J299" s="35">
        <f t="shared" ca="1" si="43"/>
        <v>29</v>
      </c>
      <c r="K299" s="32">
        <f t="shared" ca="1" si="44"/>
        <v>0</v>
      </c>
    </row>
    <row r="300" spans="1:11" x14ac:dyDescent="0.25">
      <c r="A300" s="11">
        <f t="shared" si="36"/>
        <v>44</v>
      </c>
      <c r="B300" t="str">
        <f ca="1">TEXT(DATE(YEAR(Invoer!$A$5),1,1)+ROWS(B$2:B300)-1,"jjjjmmdd")</f>
        <v>19201025</v>
      </c>
      <c r="C300" s="27" t="s">
        <v>36</v>
      </c>
      <c r="D300" s="35">
        <f t="shared" ca="1" si="37"/>
        <v>755.5</v>
      </c>
      <c r="E300" s="32">
        <f t="shared" ca="1" si="38"/>
        <v>0</v>
      </c>
      <c r="F300" s="35">
        <f t="shared" ca="1" si="39"/>
        <v>753</v>
      </c>
      <c r="G300" s="32">
        <f t="shared" ca="1" si="40"/>
        <v>0</v>
      </c>
      <c r="H300" s="35">
        <f t="shared" ca="1" si="41"/>
        <v>29</v>
      </c>
      <c r="I300" s="32">
        <f t="shared" ca="1" si="42"/>
        <v>0</v>
      </c>
      <c r="J300" s="35">
        <f t="shared" ca="1" si="43"/>
        <v>28</v>
      </c>
      <c r="K300" s="32">
        <f t="shared" ca="1" si="44"/>
        <v>0</v>
      </c>
    </row>
    <row r="301" spans="1:11" x14ac:dyDescent="0.25">
      <c r="A301" s="11">
        <f t="shared" si="36"/>
        <v>44</v>
      </c>
      <c r="B301" t="str">
        <f ca="1">TEXT(DATE(YEAR(Invoer!$A$5),1,1)+ROWS(B$2:B301)-1,"jjjjmmdd")</f>
        <v>19201026</v>
      </c>
      <c r="C301" s="27" t="s">
        <v>36</v>
      </c>
      <c r="D301" s="35">
        <f t="shared" ca="1" si="37"/>
        <v>754</v>
      </c>
      <c r="E301" s="32">
        <f t="shared" ca="1" si="38"/>
        <v>0</v>
      </c>
      <c r="F301" s="35">
        <f t="shared" ca="1" si="39"/>
        <v>752</v>
      </c>
      <c r="G301" s="32">
        <f t="shared" ca="1" si="40"/>
        <v>0</v>
      </c>
      <c r="H301" s="35">
        <f t="shared" ca="1" si="41"/>
        <v>29</v>
      </c>
      <c r="I301" s="32">
        <f t="shared" ca="1" si="42"/>
        <v>0</v>
      </c>
      <c r="J301" s="35">
        <f t="shared" ca="1" si="43"/>
        <v>28</v>
      </c>
      <c r="K301" s="32">
        <f t="shared" ca="1" si="44"/>
        <v>0</v>
      </c>
    </row>
    <row r="302" spans="1:11" x14ac:dyDescent="0.25">
      <c r="A302" s="11">
        <f t="shared" si="36"/>
        <v>44</v>
      </c>
      <c r="B302" t="str">
        <f ca="1">TEXT(DATE(YEAR(Invoer!$A$5),1,1)+ROWS(B$2:B302)-1,"jjjjmmdd")</f>
        <v>19201027</v>
      </c>
      <c r="C302" s="27" t="s">
        <v>36</v>
      </c>
      <c r="D302" s="35">
        <f t="shared" ca="1" si="37"/>
        <v>755</v>
      </c>
      <c r="E302" s="32">
        <f t="shared" ca="1" si="38"/>
        <v>0</v>
      </c>
      <c r="F302" s="35">
        <f t="shared" ca="1" si="39"/>
        <v>753</v>
      </c>
      <c r="G302" s="32">
        <f t="shared" ca="1" si="40"/>
        <v>0</v>
      </c>
      <c r="H302" s="35">
        <f t="shared" ca="1" si="41"/>
        <v>31</v>
      </c>
      <c r="I302" s="32">
        <f t="shared" ca="1" si="42"/>
        <v>0</v>
      </c>
      <c r="J302" s="35">
        <f t="shared" ca="1" si="43"/>
        <v>30</v>
      </c>
      <c r="K302" s="32">
        <f t="shared" ca="1" si="44"/>
        <v>0</v>
      </c>
    </row>
    <row r="303" spans="1:11" x14ac:dyDescent="0.25">
      <c r="A303" s="11">
        <f t="shared" si="36"/>
        <v>44</v>
      </c>
      <c r="B303" t="str">
        <f ca="1">TEXT(DATE(YEAR(Invoer!$A$5),1,1)+ROWS(B$2:B303)-1,"jjjjmmdd")</f>
        <v>19201028</v>
      </c>
      <c r="C303" s="27" t="s">
        <v>36</v>
      </c>
      <c r="D303" s="35">
        <f t="shared" ca="1" si="37"/>
        <v>755</v>
      </c>
      <c r="E303" s="32">
        <f t="shared" ca="1" si="38"/>
        <v>0</v>
      </c>
      <c r="F303" s="35">
        <f t="shared" ca="1" si="39"/>
        <v>751.5</v>
      </c>
      <c r="G303" s="32">
        <f t="shared" ca="1" si="40"/>
        <v>0</v>
      </c>
      <c r="H303" s="35">
        <f t="shared" ca="1" si="41"/>
        <v>31</v>
      </c>
      <c r="I303" s="32">
        <f t="shared" ca="1" si="42"/>
        <v>0</v>
      </c>
      <c r="J303" s="35">
        <f t="shared" ca="1" si="43"/>
        <v>30</v>
      </c>
      <c r="K303" s="32">
        <f t="shared" ca="1" si="44"/>
        <v>0</v>
      </c>
    </row>
    <row r="304" spans="1:11" x14ac:dyDescent="0.25">
      <c r="A304" s="11">
        <f t="shared" si="36"/>
        <v>44</v>
      </c>
      <c r="B304" t="str">
        <f ca="1">TEXT(DATE(YEAR(Invoer!$A$5),1,1)+ROWS(B$2:B304)-1,"jjjjmmdd")</f>
        <v>19201029</v>
      </c>
      <c r="C304" s="27" t="s">
        <v>36</v>
      </c>
      <c r="D304" s="35">
        <f t="shared" ca="1" si="37"/>
        <v>755</v>
      </c>
      <c r="E304" s="32">
        <f t="shared" ca="1" si="38"/>
        <v>0</v>
      </c>
      <c r="F304" s="35">
        <f t="shared" ca="1" si="39"/>
        <v>754.5</v>
      </c>
      <c r="G304" s="32">
        <f t="shared" ca="1" si="40"/>
        <v>0</v>
      </c>
      <c r="H304" s="35">
        <f t="shared" ca="1" si="41"/>
        <v>30</v>
      </c>
      <c r="I304" s="32">
        <f t="shared" ca="1" si="42"/>
        <v>0</v>
      </c>
      <c r="J304" s="35">
        <f t="shared" ca="1" si="43"/>
        <v>29.5</v>
      </c>
      <c r="K304" s="32">
        <f t="shared" ca="1" si="44"/>
        <v>0</v>
      </c>
    </row>
    <row r="305" spans="1:11" x14ac:dyDescent="0.25">
      <c r="A305" s="11">
        <f t="shared" si="36"/>
        <v>44</v>
      </c>
      <c r="B305" t="str">
        <f ca="1">TEXT(DATE(YEAR(Invoer!$A$5),1,1)+ROWS(B$2:B305)-1,"jjjjmmdd")</f>
        <v>19201030</v>
      </c>
      <c r="C305" s="27" t="s">
        <v>36</v>
      </c>
      <c r="D305" s="35">
        <f t="shared" ca="1" si="37"/>
        <v>755.5</v>
      </c>
      <c r="E305" s="32">
        <f t="shared" ca="1" si="38"/>
        <v>0</v>
      </c>
      <c r="F305" s="35">
        <f t="shared" ca="1" si="39"/>
        <v>753.5</v>
      </c>
      <c r="G305" s="32">
        <f t="shared" ca="1" si="40"/>
        <v>0</v>
      </c>
      <c r="H305" s="35">
        <f t="shared" ca="1" si="41"/>
        <v>30.5</v>
      </c>
      <c r="I305" s="32">
        <f t="shared" ca="1" si="42"/>
        <v>0</v>
      </c>
      <c r="J305" s="35">
        <f t="shared" ca="1" si="43"/>
        <v>30</v>
      </c>
      <c r="K305" s="32">
        <f t="shared" ca="1" si="44"/>
        <v>0</v>
      </c>
    </row>
    <row r="306" spans="1:11" x14ac:dyDescent="0.25">
      <c r="A306" s="11">
        <f t="shared" si="36"/>
        <v>44</v>
      </c>
      <c r="B306" t="str">
        <f ca="1">TEXT(DATE(YEAR(Invoer!$A$5),1,1)+ROWS(B$2:B306)-1,"jjjjmmdd")</f>
        <v>19201031</v>
      </c>
      <c r="C306" s="27" t="s">
        <v>36</v>
      </c>
      <c r="D306" s="35">
        <f t="shared" ca="1" si="37"/>
        <v>755.5</v>
      </c>
      <c r="E306" s="32">
        <f t="shared" ca="1" si="38"/>
        <v>0</v>
      </c>
      <c r="F306" s="35">
        <f t="shared" ca="1" si="39"/>
        <v>753.5</v>
      </c>
      <c r="G306" s="32">
        <f t="shared" ca="1" si="40"/>
        <v>0</v>
      </c>
      <c r="H306" s="35">
        <f t="shared" ca="1" si="41"/>
        <v>30.5</v>
      </c>
      <c r="I306" s="32">
        <f t="shared" ca="1" si="42"/>
        <v>0</v>
      </c>
      <c r="J306" s="35">
        <f t="shared" ca="1" si="43"/>
        <v>30</v>
      </c>
      <c r="K306" s="32">
        <f t="shared" ca="1" si="44"/>
        <v>0</v>
      </c>
    </row>
    <row r="307" spans="1:11" x14ac:dyDescent="0.25">
      <c r="A307" s="11">
        <f t="shared" si="36"/>
        <v>44</v>
      </c>
      <c r="B307" t="str">
        <f ca="1">TEXT(DATE(YEAR(Invoer!$A$5),1,1)+ROWS(B$2:B307)-1,"jjjjmmdd")</f>
        <v>19201101</v>
      </c>
      <c r="C307" s="27" t="s">
        <v>36</v>
      </c>
      <c r="D307" s="35">
        <f t="shared" ca="1" si="37"/>
        <v>755.5</v>
      </c>
      <c r="E307" s="32">
        <f t="shared" ca="1" si="38"/>
        <v>0</v>
      </c>
      <c r="F307" s="35">
        <f t="shared" ca="1" si="39"/>
        <v>753</v>
      </c>
      <c r="G307" s="32">
        <f t="shared" ca="1" si="40"/>
        <v>0</v>
      </c>
      <c r="H307" s="35">
        <f t="shared" ca="1" si="41"/>
        <v>30</v>
      </c>
      <c r="I307" s="32">
        <f t="shared" ca="1" si="42"/>
        <v>0</v>
      </c>
      <c r="J307" s="35">
        <f t="shared" ca="1" si="43"/>
        <v>29</v>
      </c>
      <c r="K307" s="32">
        <f t="shared" ca="1" si="44"/>
        <v>0</v>
      </c>
    </row>
    <row r="308" spans="1:11" x14ac:dyDescent="0.25">
      <c r="A308" s="11">
        <f t="shared" si="36"/>
        <v>44</v>
      </c>
      <c r="B308" t="str">
        <f ca="1">TEXT(DATE(YEAR(Invoer!$A$5),1,1)+ROWS(B$2:B308)-1,"jjjjmmdd")</f>
        <v>19201102</v>
      </c>
      <c r="C308" s="27" t="s">
        <v>36</v>
      </c>
      <c r="D308" s="35">
        <f t="shared" ca="1" si="37"/>
        <v>755.5</v>
      </c>
      <c r="E308" s="32">
        <f t="shared" ca="1" si="38"/>
        <v>0</v>
      </c>
      <c r="F308" s="35">
        <f t="shared" ca="1" si="39"/>
        <v>753.5</v>
      </c>
      <c r="G308" s="32">
        <f t="shared" ca="1" si="40"/>
        <v>0</v>
      </c>
      <c r="H308" s="35">
        <f t="shared" ca="1" si="41"/>
        <v>29</v>
      </c>
      <c r="I308" s="32">
        <f t="shared" ca="1" si="42"/>
        <v>0</v>
      </c>
      <c r="J308" s="35">
        <f t="shared" ca="1" si="43"/>
        <v>28</v>
      </c>
      <c r="K308" s="32">
        <f t="shared" ca="1" si="44"/>
        <v>0</v>
      </c>
    </row>
    <row r="309" spans="1:11" x14ac:dyDescent="0.25">
      <c r="A309" s="11">
        <f t="shared" si="36"/>
        <v>44</v>
      </c>
      <c r="B309" t="str">
        <f ca="1">TEXT(DATE(YEAR(Invoer!$A$5),1,1)+ROWS(B$2:B309)-1,"jjjjmmdd")</f>
        <v>19201103</v>
      </c>
      <c r="C309" s="27" t="s">
        <v>36</v>
      </c>
      <c r="D309" s="35">
        <f t="shared" ca="1" si="37"/>
        <v>755.5</v>
      </c>
      <c r="E309" s="32">
        <f t="shared" ca="1" si="38"/>
        <v>0</v>
      </c>
      <c r="F309" s="35">
        <f t="shared" ca="1" si="39"/>
        <v>753</v>
      </c>
      <c r="G309" s="32">
        <f t="shared" ca="1" si="40"/>
        <v>0</v>
      </c>
      <c r="H309" s="35">
        <f t="shared" ca="1" si="41"/>
        <v>29</v>
      </c>
      <c r="I309" s="32">
        <f t="shared" ca="1" si="42"/>
        <v>0</v>
      </c>
      <c r="J309" s="35">
        <f t="shared" ca="1" si="43"/>
        <v>28</v>
      </c>
      <c r="K309" s="32">
        <f t="shared" ca="1" si="44"/>
        <v>0</v>
      </c>
    </row>
    <row r="310" spans="1:11" x14ac:dyDescent="0.25">
      <c r="A310" s="11">
        <f t="shared" si="36"/>
        <v>44</v>
      </c>
      <c r="B310" t="str">
        <f ca="1">TEXT(DATE(YEAR(Invoer!$A$5),1,1)+ROWS(B$2:B310)-1,"jjjjmmdd")</f>
        <v>19201104</v>
      </c>
      <c r="C310" s="27" t="s">
        <v>36</v>
      </c>
      <c r="D310" s="35">
        <f t="shared" ca="1" si="37"/>
        <v>755</v>
      </c>
      <c r="E310" s="32">
        <f t="shared" ca="1" si="38"/>
        <v>0</v>
      </c>
      <c r="F310" s="35">
        <f t="shared" ca="1" si="39"/>
        <v>752.5</v>
      </c>
      <c r="G310" s="32">
        <f t="shared" ca="1" si="40"/>
        <v>0</v>
      </c>
      <c r="H310" s="35">
        <f t="shared" ca="1" si="41"/>
        <v>30</v>
      </c>
      <c r="I310" s="32">
        <f t="shared" ca="1" si="42"/>
        <v>0</v>
      </c>
      <c r="J310" s="35">
        <f t="shared" ca="1" si="43"/>
        <v>29</v>
      </c>
      <c r="K310" s="32">
        <f t="shared" ca="1" si="44"/>
        <v>0</v>
      </c>
    </row>
    <row r="311" spans="1:11" x14ac:dyDescent="0.25">
      <c r="A311" s="11">
        <f t="shared" si="36"/>
        <v>44</v>
      </c>
      <c r="B311" t="str">
        <f ca="1">TEXT(DATE(YEAR(Invoer!$A$5),1,1)+ROWS(B$2:B311)-1,"jjjjmmdd")</f>
        <v>19201105</v>
      </c>
      <c r="C311" s="27" t="s">
        <v>36</v>
      </c>
      <c r="D311" s="35">
        <f t="shared" ca="1" si="37"/>
        <v>755</v>
      </c>
      <c r="E311" s="32">
        <f t="shared" ca="1" si="38"/>
        <v>0</v>
      </c>
      <c r="F311" s="35">
        <f t="shared" ca="1" si="39"/>
        <v>753.5</v>
      </c>
      <c r="G311" s="32">
        <f t="shared" ca="1" si="40"/>
        <v>0</v>
      </c>
      <c r="H311" s="35">
        <f t="shared" ca="1" si="41"/>
        <v>30</v>
      </c>
      <c r="I311" s="32">
        <f t="shared" ca="1" si="42"/>
        <v>0</v>
      </c>
      <c r="J311" s="35">
        <f t="shared" ca="1" si="43"/>
        <v>30</v>
      </c>
      <c r="K311" s="32">
        <f t="shared" ca="1" si="44"/>
        <v>0</v>
      </c>
    </row>
    <row r="312" spans="1:11" x14ac:dyDescent="0.25">
      <c r="A312" s="11">
        <f t="shared" si="36"/>
        <v>44</v>
      </c>
      <c r="B312" t="str">
        <f ca="1">TEXT(DATE(YEAR(Invoer!$A$5),1,1)+ROWS(B$2:B312)-1,"jjjjmmdd")</f>
        <v>19201106</v>
      </c>
      <c r="C312" s="27" t="s">
        <v>36</v>
      </c>
      <c r="D312" s="35">
        <f t="shared" ca="1" si="37"/>
        <v>755</v>
      </c>
      <c r="E312" s="32">
        <f t="shared" ca="1" si="38"/>
        <v>0</v>
      </c>
      <c r="F312" s="35">
        <f t="shared" ca="1" si="39"/>
        <v>752.5</v>
      </c>
      <c r="G312" s="32">
        <f t="shared" ca="1" si="40"/>
        <v>0</v>
      </c>
      <c r="H312" s="35">
        <f t="shared" ca="1" si="41"/>
        <v>30</v>
      </c>
      <c r="I312" s="32">
        <f t="shared" ca="1" si="42"/>
        <v>0</v>
      </c>
      <c r="J312" s="35">
        <f t="shared" ca="1" si="43"/>
        <v>29</v>
      </c>
      <c r="K312" s="32">
        <f t="shared" ca="1" si="44"/>
        <v>0</v>
      </c>
    </row>
    <row r="313" spans="1:11" x14ac:dyDescent="0.25">
      <c r="A313" s="11">
        <f t="shared" si="36"/>
        <v>44</v>
      </c>
      <c r="B313" t="str">
        <f ca="1">TEXT(DATE(YEAR(Invoer!$A$5),1,1)+ROWS(B$2:B313)-1,"jjjjmmdd")</f>
        <v>19201107</v>
      </c>
      <c r="C313" s="27" t="s">
        <v>36</v>
      </c>
      <c r="D313" s="35">
        <f t="shared" ca="1" si="37"/>
        <v>755</v>
      </c>
      <c r="E313" s="32">
        <f t="shared" ca="1" si="38"/>
        <v>0</v>
      </c>
      <c r="F313" s="35">
        <f t="shared" ca="1" si="39"/>
        <v>752.5</v>
      </c>
      <c r="G313" s="32">
        <f t="shared" ca="1" si="40"/>
        <v>0</v>
      </c>
      <c r="H313" s="35">
        <f t="shared" ca="1" si="41"/>
        <v>30</v>
      </c>
      <c r="I313" s="32">
        <f t="shared" ca="1" si="42"/>
        <v>0</v>
      </c>
      <c r="J313" s="35">
        <f t="shared" ca="1" si="43"/>
        <v>29</v>
      </c>
      <c r="K313" s="32">
        <f t="shared" ca="1" si="44"/>
        <v>0</v>
      </c>
    </row>
    <row r="314" spans="1:11" x14ac:dyDescent="0.25">
      <c r="A314" s="11">
        <f t="shared" si="36"/>
        <v>44</v>
      </c>
      <c r="B314" t="str">
        <f ca="1">TEXT(DATE(YEAR(Invoer!$A$5),1,1)+ROWS(B$2:B314)-1,"jjjjmmdd")</f>
        <v>19201108</v>
      </c>
      <c r="C314" s="27" t="s">
        <v>36</v>
      </c>
      <c r="D314" s="35">
        <f t="shared" ca="1" si="37"/>
        <v>754.5</v>
      </c>
      <c r="E314" s="32">
        <f t="shared" ca="1" si="38"/>
        <v>0</v>
      </c>
      <c r="F314" s="35">
        <f t="shared" ca="1" si="39"/>
        <v>752.5</v>
      </c>
      <c r="G314" s="32">
        <f t="shared" ca="1" si="40"/>
        <v>0</v>
      </c>
      <c r="H314" s="35">
        <f t="shared" ca="1" si="41"/>
        <v>30</v>
      </c>
      <c r="I314" s="32">
        <f t="shared" ca="1" si="42"/>
        <v>0</v>
      </c>
      <c r="J314" s="35">
        <f t="shared" ca="1" si="43"/>
        <v>29</v>
      </c>
      <c r="K314" s="32">
        <f t="shared" ca="1" si="44"/>
        <v>0</v>
      </c>
    </row>
    <row r="315" spans="1:11" x14ac:dyDescent="0.25">
      <c r="A315" s="11">
        <f t="shared" si="36"/>
        <v>44</v>
      </c>
      <c r="B315" t="str">
        <f ca="1">TEXT(DATE(YEAR(Invoer!$A$5),1,1)+ROWS(B$2:B315)-1,"jjjjmmdd")</f>
        <v>19201109</v>
      </c>
      <c r="C315" s="27" t="s">
        <v>36</v>
      </c>
      <c r="D315" s="35">
        <f t="shared" ca="1" si="37"/>
        <v>756.5</v>
      </c>
      <c r="E315" s="32">
        <f t="shared" ca="1" si="38"/>
        <v>0</v>
      </c>
      <c r="F315" s="35">
        <f t="shared" ca="1" si="39"/>
        <v>754.5</v>
      </c>
      <c r="G315" s="32">
        <f t="shared" ca="1" si="40"/>
        <v>0</v>
      </c>
      <c r="H315" s="35">
        <f t="shared" ca="1" si="41"/>
        <v>30</v>
      </c>
      <c r="I315" s="32">
        <f t="shared" ca="1" si="42"/>
        <v>0</v>
      </c>
      <c r="J315" s="35">
        <f t="shared" ca="1" si="43"/>
        <v>29</v>
      </c>
      <c r="K315" s="32">
        <f t="shared" ca="1" si="44"/>
        <v>0</v>
      </c>
    </row>
    <row r="316" spans="1:11" x14ac:dyDescent="0.25">
      <c r="A316" s="11">
        <f t="shared" si="36"/>
        <v>44</v>
      </c>
      <c r="B316" t="str">
        <f ca="1">TEXT(DATE(YEAR(Invoer!$A$5),1,1)+ROWS(B$2:B316)-1,"jjjjmmdd")</f>
        <v>19201110</v>
      </c>
      <c r="C316" s="27" t="s">
        <v>36</v>
      </c>
      <c r="D316" s="35">
        <f t="shared" ca="1" si="37"/>
        <v>756</v>
      </c>
      <c r="E316" s="32">
        <f t="shared" ca="1" si="38"/>
        <v>0</v>
      </c>
      <c r="F316" s="35">
        <f t="shared" ca="1" si="39"/>
        <v>755</v>
      </c>
      <c r="G316" s="32">
        <f t="shared" ca="1" si="40"/>
        <v>0</v>
      </c>
      <c r="H316" s="35">
        <f t="shared" ca="1" si="41"/>
        <v>30</v>
      </c>
      <c r="I316" s="32">
        <f t="shared" ca="1" si="42"/>
        <v>0</v>
      </c>
      <c r="J316" s="35">
        <f t="shared" ca="1" si="43"/>
        <v>29</v>
      </c>
      <c r="K316" s="32">
        <f t="shared" ca="1" si="44"/>
        <v>0</v>
      </c>
    </row>
    <row r="317" spans="1:11" x14ac:dyDescent="0.25">
      <c r="A317" s="11">
        <f t="shared" si="36"/>
        <v>44</v>
      </c>
      <c r="B317" t="str">
        <f ca="1">TEXT(DATE(YEAR(Invoer!$A$5),1,1)+ROWS(B$2:B317)-1,"jjjjmmdd")</f>
        <v>19201111</v>
      </c>
      <c r="C317" s="27" t="s">
        <v>36</v>
      </c>
      <c r="D317" s="35">
        <f t="shared" ca="1" si="37"/>
        <v>755</v>
      </c>
      <c r="E317" s="32">
        <f t="shared" ca="1" si="38"/>
        <v>0</v>
      </c>
      <c r="F317" s="35">
        <f t="shared" ca="1" si="39"/>
        <v>752</v>
      </c>
      <c r="G317" s="32">
        <f t="shared" ca="1" si="40"/>
        <v>0</v>
      </c>
      <c r="H317" s="35">
        <f t="shared" ca="1" si="41"/>
        <v>30</v>
      </c>
      <c r="I317" s="32">
        <f t="shared" ca="1" si="42"/>
        <v>0</v>
      </c>
      <c r="J317" s="35">
        <f t="shared" ca="1" si="43"/>
        <v>29.5</v>
      </c>
      <c r="K317" s="32">
        <f t="shared" ca="1" si="44"/>
        <v>0</v>
      </c>
    </row>
    <row r="318" spans="1:11" x14ac:dyDescent="0.25">
      <c r="A318" s="11">
        <f t="shared" si="36"/>
        <v>44</v>
      </c>
      <c r="B318" t="str">
        <f ca="1">TEXT(DATE(YEAR(Invoer!$A$5),1,1)+ROWS(B$2:B318)-1,"jjjjmmdd")</f>
        <v>19201112</v>
      </c>
      <c r="C318" s="27" t="s">
        <v>36</v>
      </c>
      <c r="D318" s="35">
        <f t="shared" ca="1" si="37"/>
        <v>756</v>
      </c>
      <c r="E318" s="32">
        <f t="shared" ca="1" si="38"/>
        <v>0</v>
      </c>
      <c r="F318" s="35">
        <f t="shared" ca="1" si="39"/>
        <v>754.5</v>
      </c>
      <c r="G318" s="32">
        <f t="shared" ca="1" si="40"/>
        <v>0</v>
      </c>
      <c r="H318" s="35">
        <f t="shared" ca="1" si="41"/>
        <v>30</v>
      </c>
      <c r="I318" s="32">
        <f t="shared" ca="1" si="42"/>
        <v>0</v>
      </c>
      <c r="J318" s="35">
        <f t="shared" ca="1" si="43"/>
        <v>29</v>
      </c>
      <c r="K318" s="32">
        <f t="shared" ca="1" si="44"/>
        <v>0</v>
      </c>
    </row>
    <row r="319" spans="1:11" x14ac:dyDescent="0.25">
      <c r="A319" s="11">
        <f t="shared" si="36"/>
        <v>44</v>
      </c>
      <c r="B319" t="str">
        <f ca="1">TEXT(DATE(YEAR(Invoer!$A$5),1,1)+ROWS(B$2:B319)-1,"jjjjmmdd")</f>
        <v>19201113</v>
      </c>
      <c r="C319" s="27" t="s">
        <v>36</v>
      </c>
      <c r="D319" s="35">
        <f t="shared" ca="1" si="37"/>
        <v>756.5</v>
      </c>
      <c r="E319" s="32">
        <f t="shared" ca="1" si="38"/>
        <v>0</v>
      </c>
      <c r="F319" s="35">
        <f t="shared" ca="1" si="39"/>
        <v>755</v>
      </c>
      <c r="G319" s="32">
        <f t="shared" ca="1" si="40"/>
        <v>0</v>
      </c>
      <c r="H319" s="35">
        <f t="shared" ca="1" si="41"/>
        <v>29</v>
      </c>
      <c r="I319" s="32">
        <f t="shared" ca="1" si="42"/>
        <v>0</v>
      </c>
      <c r="J319" s="35">
        <f t="shared" ca="1" si="43"/>
        <v>29</v>
      </c>
      <c r="K319" s="32">
        <f t="shared" ca="1" si="44"/>
        <v>0</v>
      </c>
    </row>
    <row r="320" spans="1:11" x14ac:dyDescent="0.25">
      <c r="A320" s="11">
        <f t="shared" si="36"/>
        <v>44</v>
      </c>
      <c r="B320" t="str">
        <f ca="1">TEXT(DATE(YEAR(Invoer!$A$5),1,1)+ROWS(B$2:B320)-1,"jjjjmmdd")</f>
        <v>19201114</v>
      </c>
      <c r="C320" s="27" t="s">
        <v>36</v>
      </c>
      <c r="D320" s="35">
        <f t="shared" ca="1" si="37"/>
        <v>756.5</v>
      </c>
      <c r="E320" s="32">
        <f t="shared" ca="1" si="38"/>
        <v>0</v>
      </c>
      <c r="F320" s="35">
        <f t="shared" ca="1" si="39"/>
        <v>755</v>
      </c>
      <c r="G320" s="32">
        <f t="shared" ca="1" si="40"/>
        <v>0</v>
      </c>
      <c r="H320" s="35">
        <f t="shared" ca="1" si="41"/>
        <v>29</v>
      </c>
      <c r="I320" s="32">
        <f t="shared" ca="1" si="42"/>
        <v>0</v>
      </c>
      <c r="J320" s="35">
        <f t="shared" ca="1" si="43"/>
        <v>29</v>
      </c>
      <c r="K320" s="32">
        <f t="shared" ca="1" si="44"/>
        <v>0</v>
      </c>
    </row>
    <row r="321" spans="1:11" x14ac:dyDescent="0.25">
      <c r="A321" s="11">
        <f t="shared" si="36"/>
        <v>44</v>
      </c>
      <c r="B321" t="str">
        <f ca="1">TEXT(DATE(YEAR(Invoer!$A$5),1,1)+ROWS(B$2:B321)-1,"jjjjmmdd")</f>
        <v>19201115</v>
      </c>
      <c r="C321" s="27" t="s">
        <v>36</v>
      </c>
      <c r="D321" s="35">
        <f t="shared" ca="1" si="37"/>
        <v>757.5</v>
      </c>
      <c r="E321" s="32">
        <f t="shared" ca="1" si="38"/>
        <v>0</v>
      </c>
      <c r="F321" s="35">
        <f t="shared" ca="1" si="39"/>
        <v>754.5</v>
      </c>
      <c r="G321" s="32">
        <f t="shared" ca="1" si="40"/>
        <v>0</v>
      </c>
      <c r="H321" s="35">
        <f t="shared" ca="1" si="41"/>
        <v>28</v>
      </c>
      <c r="I321" s="32">
        <f t="shared" ca="1" si="42"/>
        <v>0</v>
      </c>
      <c r="J321" s="35">
        <f t="shared" ca="1" si="43"/>
        <v>27</v>
      </c>
      <c r="K321" s="32">
        <f t="shared" ca="1" si="44"/>
        <v>0</v>
      </c>
    </row>
    <row r="322" spans="1:11" x14ac:dyDescent="0.25">
      <c r="A322" s="11">
        <f t="shared" ref="A322:A367" si="45">INDEX(Stations,2,1)</f>
        <v>44</v>
      </c>
      <c r="B322" t="str">
        <f ca="1">TEXT(DATE(YEAR(Invoer!$A$5),1,1)+ROWS(B$2:B322)-1,"jjjjmmdd")</f>
        <v>19201116</v>
      </c>
      <c r="C322" s="27" t="s">
        <v>36</v>
      </c>
      <c r="D322" s="35">
        <f t="shared" ref="D322:D367" ca="1" si="46">IF(OR(ISBLANK(VLOOKUP(DATEVALUE(LEFT($B322,4)&amp;"-"&amp;MID($B322,5,2)&amp;"-"&amp;RIGHT($B322,2)),Data,MATCH(LEFT(VLOOKUP(LEFT(D$1,1),Parameters,2,FALSE()),4)&amp;"*",OFFSET(Data,0,0,1),0)+MATCH(VLOOKUP(RIGHT(D$1,1),Parameters,2,FALSE()),OFFSET(Data,1,0,1),0)-2,FALSE())),ISTEXT(VLOOKUP(DATEVALUE(LEFT($B322,4)&amp;"-"&amp;MID($B322,5,2)&amp;"-"&amp;RIGHT($B322,2)),Data,MATCH(LEFT(VLOOKUP(LEFT(D$1,1),Parameters,2,FALSE()),4)&amp;"*",OFFSET(Data,0,0,1),0)+MATCH(VLOOKUP(RIGHT(D$1,1),Parameters,2,FALSE()),OFFSET(Data,1,0,1),0)-2,FALSE()))),"—",VLOOKUP(DATEVALUE(LEFT($B322,4)&amp;"-"&amp;MID($B322,5,2)&amp;"-"&amp;RIGHT($B322,2)),Data,MATCH(LEFT(VLOOKUP(LEFT(D$1,1),Parameters,2,FALSE()),4)&amp;"*",OFFSET(Data,0,0,1),0)+MATCH(VLOOKUP(RIGHT(D$1,1),Parameters,2,FALSE()),OFFSET(Data,1,0,1),0)-2,FALSE())/10)</f>
        <v>756.5</v>
      </c>
      <c r="E322" s="32">
        <f t="shared" ref="E322:E367" ca="1" si="47">IF(OR(ISBLANK(VLOOKUP(DATEVALUE(LEFT($B322,4)&amp;"-"&amp;MID($B322,5,2)&amp;"-"&amp;RIGHT($B322,2)),Data,MATCH(LEFT(VLOOKUP(MID(E$1,2,LEN(E$1)-1),Parameters,2,FALSE()),4)&amp;"*",OFFSET(Data,0,0,1),0)+MATCH(VLOOKUP(RIGHT(E$1,1),Parameters,2,FALSE()),OFFSET(Data,1,0,1),0)-2,FALSE())),ISTEXT(VLOOKUP(DATEVALUE(LEFT($B322,4)&amp;"-"&amp;MID($B322,5,2)&amp;"-"&amp;RIGHT($B322,2)),Data,MATCH(LEFT(VLOOKUP(MID(E$1,2,LEN(E$1)-1),Parameters,2,FALSE()),4)&amp;"*",OFFSET(Data,0,0,1),0)+MATCH(VLOOKUP(RIGHT(E$1,1),Parameters,2,FALSE())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-2),Parameters,2,FALSE()),4)&amp;"*",OFFSET(Catalogus,0,0,1),0)+MATCH(VLOOKUP(RIGHT(E$1,1),Parameters,2,FALSE()),OFFSET(Catalogus,1,0,1),0)-2,FALSE())))</f>
        <v>0</v>
      </c>
      <c r="F322" s="35">
        <f t="shared" ref="F322:F367" ca="1" si="48">IF(OR(ISBLANK(VLOOKUP(DATEVALUE(LEFT($B322,4)&amp;"-"&amp;MID($B322,5,2)&amp;"-"&amp;RIGHT($B322,2)),Data,MATCH(LEFT(VLOOKUP(LEFT(F$1,1),Parameters,2,FALSE()),4)&amp;"*",OFFSET(Data,0,0,1),0)+MATCH(VLOOKUP(RIGHT(F$1,1),Parameters,2,FALSE()),OFFSET(Data,1,0,1),0)-2,FALSE())),ISTEXT(VLOOKUP(DATEVALUE(LEFT($B322,4)&amp;"-"&amp;MID($B322,5,2)&amp;"-"&amp;RIGHT($B322,2)),Data,MATCH(LEFT(VLOOKUP(LEFT(F$1,1),Parameters,2,FALSE()),4)&amp;"*",OFFSET(Data,0,0,1),0)+MATCH(VLOOKUP(RIGHT(F$1,1),Parameters,2,FALSE()),OFFSET(Data,1,0,1),0)-2,FALSE()))),"—",VLOOKUP(DATEVALUE(LEFT($B322,4)&amp;"-"&amp;MID($B322,5,2)&amp;"-"&amp;RIGHT($B322,2)),Data,MATCH(LEFT(VLOOKUP(LEFT(F$1,1),Parameters,2,FALSE()),4)&amp;"*",OFFSET(Data,0,0,1),0)+MATCH(VLOOKUP(RIGHT(F$1,1),Parameters,2,FALSE()),OFFSET(Data,1,0,1),0)-2,FALSE())/10)</f>
        <v>754.5</v>
      </c>
      <c r="G322" s="32">
        <f t="shared" ref="G322:G367" ca="1" si="49">IF(OR(ISBLANK(VLOOKUP(DATEVALUE(LEFT($B322,4)&amp;"-"&amp;MID($B322,5,2)&amp;"-"&amp;RIGHT($B322,2)),Data,MATCH(LEFT(VLOOKUP(MID(G$1,2,LEN(G$1)-1),Parameters,2,FALSE()),4)&amp;"*",OFFSET(Data,0,0,1),0)+MATCH(VLOOKUP(RIGHT(G$1,1),Parameters,2,FALSE()),OFFSET(Data,1,0,1),0)-2,FALSE())),ISTEXT(VLOOKUP(DATEVALUE(LEFT($B322,4)&amp;"-"&amp;MID($B322,5,2)&amp;"-"&amp;RIGHT($B322,2)),Data,MATCH(LEFT(VLOOKUP(MID(G$1,2,LEN(G$1)-1),Parameters,2,FALSE()),4)&amp;"*",OFFSET(Data,0,0,1),0)+MATCH(VLOOKUP(RIGHT(G$1,1),Parameters,2,FALSE())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-2),Parameters,2,FALSE()),4)&amp;"*",OFFSET(Catalogus,0,0,1),0)+MATCH(VLOOKUP(RIGHT(G$1,1),Parameters,2,FALSE()),OFFSET(Catalogus,1,0,1),0)-2,FALSE())))</f>
        <v>0</v>
      </c>
      <c r="H322" s="35">
        <f t="shared" ref="H322:H367" ca="1" si="50">IF(OR(ISBLANK(VLOOKUP(DATEVALUE(LEFT($B322,4)&amp;"-"&amp;MID($B322,5,2)&amp;"-"&amp;RIGHT($B322,2)),Data,MATCH(LEFT(VLOOKUP(LEFT(H$1,1),Parameters,2,FALSE()),4)&amp;"*",OFFSET(Data,0,0,1),0)+MATCH(VLOOKUP(RIGHT(H$1,1),Parameters,2,FALSE()),OFFSET(Data,1,0,1),0)-2,FALSE())),ISTEXT(VLOOKUP(DATEVALUE(LEFT($B322,4)&amp;"-"&amp;MID($B322,5,2)&amp;"-"&amp;RIGHT($B322,2)),Data,MATCH(LEFT(VLOOKUP(LEFT(H$1,1),Parameters,2,FALSE()),4)&amp;"*",OFFSET(Data,0,0,1),0)+MATCH(VLOOKUP(RIGHT(H$1,1),Parameters,2,FALSE()),OFFSET(Data,1,0,1),0)-2,FALSE()))),"—",VLOOKUP(DATEVALUE(LEFT($B322,4)&amp;"-"&amp;MID($B322,5,2)&amp;"-"&amp;RIGHT($B322,2)),Data,MATCH(LEFT(VLOOKUP(LEFT(H$1,1),Parameters,2,FALSE()),4)&amp;"*",OFFSET(Data,0,0,1),0)+MATCH(VLOOKUP(RIGHT(H$1,1),Parameters,2,FALSE()),OFFSET(Data,1,0,1),0)-2,FALSE())/10)</f>
        <v>28</v>
      </c>
      <c r="I322" s="32">
        <f t="shared" ref="I322:I367" ca="1" si="51">IF(OR(ISBLANK(VLOOKUP(DATEVALUE(LEFT($B322,4)&amp;"-"&amp;MID($B322,5,2)&amp;"-"&amp;RIGHT($B322,2)),Data,MATCH(LEFT(VLOOKUP(MID(I$1,2,LEN(I$1)-1),Parameters,2,FALSE()),4)&amp;"*",OFFSET(Data,0,0,1),0)+MATCH(VLOOKUP(RIGHT(I$1,1),Parameters,2,FALSE()),OFFSET(Data,1,0,1),0)-2,FALSE())),ISTEXT(VLOOKUP(DATEVALUE(LEFT($B322,4)&amp;"-"&amp;MID($B322,5,2)&amp;"-"&amp;RIGHT($B322,2)),Data,MATCH(LEFT(VLOOKUP(MID(I$1,2,LEN(I$1)-1),Parameters,2,FALSE()),4)&amp;"*",OFFSET(Data,0,0,1),0)+MATCH(VLOOKUP(RIGHT(I$1,1),Parameters,2,FALSE())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-2),Parameters,2,FALSE()),4)&amp;"*",OFFSET(Catalogus,0,0,1),0)+MATCH(VLOOKUP(RIGHT(I$1,1),Parameters,2,FALSE()),OFFSET(Catalogus,1,0,1),0)-2,FALSE())))</f>
        <v>0</v>
      </c>
      <c r="J322" s="35">
        <f t="shared" ref="J322:J367" ca="1" si="52">IF(OR(ISBLANK(VLOOKUP(DATEVALUE(LEFT($B322,4)&amp;"-"&amp;MID($B322,5,2)&amp;"-"&amp;RIGHT($B322,2)),Data,MATCH(LEFT(VLOOKUP(LEFT(J$1,1),Parameters,2,FALSE()),4)&amp;"*",OFFSET(Data,0,0,1),0)+MATCH(VLOOKUP(RIGHT(J$1,1),Parameters,2,FALSE()),OFFSET(Data,1,0,1),0)-2,FALSE())),ISTEXT(VLOOKUP(DATEVALUE(LEFT($B322,4)&amp;"-"&amp;MID($B322,5,2)&amp;"-"&amp;RIGHT($B322,2)),Data,MATCH(LEFT(VLOOKUP(LEFT(J$1,1),Parameters,2,FALSE()),4)&amp;"*",OFFSET(Data,0,0,1),0)+MATCH(VLOOKUP(RIGHT(J$1,1),Parameters,2,FALSE()),OFFSET(Data,1,0,1),0)-2,FALSE()))),"—",VLOOKUP(DATEVALUE(LEFT($B322,4)&amp;"-"&amp;MID($B322,5,2)&amp;"-"&amp;RIGHT($B322,2)),Data,MATCH(LEFT(VLOOKUP(LEFT(J$1,1),Parameters,2,FALSE()),4)&amp;"*",OFFSET(Data,0,0,1),0)+MATCH(VLOOKUP(RIGHT(J$1,1),Parameters,2,FALSE()),OFFSET(Data,1,0,1),0)-2,FALSE())/10)</f>
        <v>27</v>
      </c>
      <c r="K322" s="32">
        <f t="shared" ref="K322:K367" ca="1" si="53">IF(OR(ISBLANK(VLOOKUP(DATEVALUE(LEFT($B322,4)&amp;"-"&amp;MID($B322,5,2)&amp;"-"&amp;RIGHT($B322,2)),Data,MATCH(LEFT(VLOOKUP(MID(K$1,2,LEN(K$1)-1),Parameters,2,FALSE()),4)&amp;"*",OFFSET(Data,0,0,1),0)+MATCH(VLOOKUP(RIGHT(K$1,1),Parameters,2,FALSE()),OFFSET(Data,1,0,1),0)-2,FALSE())),ISTEXT(VLOOKUP(DATEVALUE(LEFT($B322,4)&amp;"-"&amp;MID($B322,5,2)&amp;"-"&amp;RIGHT($B322,2)),Data,MATCH(LEFT(VLOOKUP(MID(K$1,2,LEN(K$1)-1),Parameters,2,FALSE()),4)&amp;"*",OFFSET(Data,0,0,1),0)+MATCH(VLOOKUP(RIGHT(K$1,1),Parameters,2,FALSE())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-2),Parameters,2,FALSE()),4)&amp;"*",OFFSET(Catalogus,0,0,1),0)+MATCH(VLOOKUP(RIGHT(K$1,1),Parameters,2,FALSE()),OFFSET(Catalogus,1,0,1),0)-2,FALSE())))</f>
        <v>0</v>
      </c>
    </row>
    <row r="323" spans="1:11" x14ac:dyDescent="0.25">
      <c r="A323" s="11">
        <f t="shared" si="45"/>
        <v>44</v>
      </c>
      <c r="B323" t="str">
        <f ca="1">TEXT(DATE(YEAR(Invoer!$A$5),1,1)+ROWS(B$2:B323)-1,"jjjjmmdd")</f>
        <v>19201117</v>
      </c>
      <c r="C323" s="27" t="s">
        <v>36</v>
      </c>
      <c r="D323" s="35">
        <f t="shared" ca="1" si="46"/>
        <v>757</v>
      </c>
      <c r="E323" s="32">
        <f t="shared" ca="1" si="47"/>
        <v>0</v>
      </c>
      <c r="F323" s="35">
        <f t="shared" ca="1" si="48"/>
        <v>755</v>
      </c>
      <c r="G323" s="32">
        <f t="shared" ca="1" si="49"/>
        <v>0</v>
      </c>
      <c r="H323" s="35">
        <f t="shared" ca="1" si="50"/>
        <v>29</v>
      </c>
      <c r="I323" s="32">
        <f t="shared" ca="1" si="51"/>
        <v>0</v>
      </c>
      <c r="J323" s="35">
        <f t="shared" ca="1" si="52"/>
        <v>28</v>
      </c>
      <c r="K323" s="32">
        <f t="shared" ca="1" si="53"/>
        <v>0</v>
      </c>
    </row>
    <row r="324" spans="1:11" x14ac:dyDescent="0.25">
      <c r="A324" s="11">
        <f t="shared" si="45"/>
        <v>44</v>
      </c>
      <c r="B324" t="str">
        <f ca="1">TEXT(DATE(YEAR(Invoer!$A$5),1,1)+ROWS(B$2:B324)-1,"jjjjmmdd")</f>
        <v>19201118</v>
      </c>
      <c r="C324" s="27" t="s">
        <v>36</v>
      </c>
      <c r="D324" s="35">
        <f t="shared" ca="1" si="46"/>
        <v>757</v>
      </c>
      <c r="E324" s="32">
        <f t="shared" ca="1" si="47"/>
        <v>0</v>
      </c>
      <c r="F324" s="35">
        <f t="shared" ca="1" si="48"/>
        <v>755</v>
      </c>
      <c r="G324" s="32">
        <f t="shared" ca="1" si="49"/>
        <v>0</v>
      </c>
      <c r="H324" s="35">
        <f t="shared" ca="1" si="50"/>
        <v>29</v>
      </c>
      <c r="I324" s="32">
        <f t="shared" ca="1" si="51"/>
        <v>0</v>
      </c>
      <c r="J324" s="35">
        <f t="shared" ca="1" si="52"/>
        <v>28</v>
      </c>
      <c r="K324" s="32">
        <f t="shared" ca="1" si="53"/>
        <v>0</v>
      </c>
    </row>
    <row r="325" spans="1:11" x14ac:dyDescent="0.25">
      <c r="A325" s="11">
        <f t="shared" si="45"/>
        <v>44</v>
      </c>
      <c r="B325" t="str">
        <f ca="1">TEXT(DATE(YEAR(Invoer!$A$5),1,1)+ROWS(B$2:B325)-1,"jjjjmmdd")</f>
        <v>19201119</v>
      </c>
      <c r="C325" s="27" t="s">
        <v>36</v>
      </c>
      <c r="D325" s="35">
        <f t="shared" ca="1" si="46"/>
        <v>756.5</v>
      </c>
      <c r="E325" s="32">
        <f t="shared" ca="1" si="47"/>
        <v>0</v>
      </c>
      <c r="F325" s="35">
        <f t="shared" ca="1" si="48"/>
        <v>756</v>
      </c>
      <c r="G325" s="32">
        <f t="shared" ca="1" si="49"/>
        <v>0</v>
      </c>
      <c r="H325" s="35">
        <f t="shared" ca="1" si="50"/>
        <v>29</v>
      </c>
      <c r="I325" s="32">
        <f t="shared" ca="1" si="51"/>
        <v>0</v>
      </c>
      <c r="J325" s="35">
        <f t="shared" ca="1" si="52"/>
        <v>28</v>
      </c>
      <c r="K325" s="32">
        <f t="shared" ca="1" si="53"/>
        <v>0</v>
      </c>
    </row>
    <row r="326" spans="1:11" x14ac:dyDescent="0.25">
      <c r="A326" s="11">
        <f t="shared" si="45"/>
        <v>44</v>
      </c>
      <c r="B326" t="str">
        <f ca="1">TEXT(DATE(YEAR(Invoer!$A$5),1,1)+ROWS(B$2:B326)-1,"jjjjmmdd")</f>
        <v>19201120</v>
      </c>
      <c r="C326" s="27" t="s">
        <v>36</v>
      </c>
      <c r="D326" s="35">
        <f t="shared" ca="1" si="46"/>
        <v>755</v>
      </c>
      <c r="E326" s="32">
        <f t="shared" ca="1" si="47"/>
        <v>0</v>
      </c>
      <c r="F326" s="35">
        <f t="shared" ca="1" si="48"/>
        <v>754.5</v>
      </c>
      <c r="G326" s="32">
        <f t="shared" ca="1" si="49"/>
        <v>0</v>
      </c>
      <c r="H326" s="35">
        <f t="shared" ca="1" si="50"/>
        <v>29</v>
      </c>
      <c r="I326" s="32">
        <f t="shared" ca="1" si="51"/>
        <v>0</v>
      </c>
      <c r="J326" s="35">
        <f t="shared" ca="1" si="52"/>
        <v>28</v>
      </c>
      <c r="K326" s="32">
        <f t="shared" ca="1" si="53"/>
        <v>0</v>
      </c>
    </row>
    <row r="327" spans="1:11" x14ac:dyDescent="0.25">
      <c r="A327" s="11">
        <f t="shared" si="45"/>
        <v>44</v>
      </c>
      <c r="B327" t="str">
        <f ca="1">TEXT(DATE(YEAR(Invoer!$A$5),1,1)+ROWS(B$2:B327)-1,"jjjjmmdd")</f>
        <v>19201121</v>
      </c>
      <c r="C327" s="27" t="s">
        <v>36</v>
      </c>
      <c r="D327" s="35">
        <f t="shared" ca="1" si="46"/>
        <v>756</v>
      </c>
      <c r="E327" s="32">
        <f t="shared" ca="1" si="47"/>
        <v>0</v>
      </c>
      <c r="F327" s="35">
        <f t="shared" ca="1" si="48"/>
        <v>754.5</v>
      </c>
      <c r="G327" s="32">
        <f t="shared" ca="1" si="49"/>
        <v>0</v>
      </c>
      <c r="H327" s="35">
        <f t="shared" ca="1" si="50"/>
        <v>29</v>
      </c>
      <c r="I327" s="32">
        <f t="shared" ca="1" si="51"/>
        <v>0</v>
      </c>
      <c r="J327" s="35">
        <f t="shared" ca="1" si="52"/>
        <v>28</v>
      </c>
      <c r="K327" s="32">
        <f t="shared" ca="1" si="53"/>
        <v>0</v>
      </c>
    </row>
    <row r="328" spans="1:11" x14ac:dyDescent="0.25">
      <c r="A328" s="11">
        <f t="shared" si="45"/>
        <v>44</v>
      </c>
      <c r="B328" t="str">
        <f ca="1">TEXT(DATE(YEAR(Invoer!$A$5),1,1)+ROWS(B$2:B328)-1,"jjjjmmdd")</f>
        <v>19201122</v>
      </c>
      <c r="C328" s="27" t="s">
        <v>36</v>
      </c>
      <c r="D328" s="35">
        <f t="shared" ca="1" si="46"/>
        <v>756</v>
      </c>
      <c r="E328" s="32">
        <f t="shared" ca="1" si="47"/>
        <v>0</v>
      </c>
      <c r="F328" s="35">
        <f t="shared" ca="1" si="48"/>
        <v>755</v>
      </c>
      <c r="G328" s="32">
        <f t="shared" ca="1" si="49"/>
        <v>0</v>
      </c>
      <c r="H328" s="35">
        <f t="shared" ca="1" si="50"/>
        <v>29</v>
      </c>
      <c r="I328" s="32">
        <f t="shared" ca="1" si="51"/>
        <v>0</v>
      </c>
      <c r="J328" s="35">
        <f t="shared" ca="1" si="52"/>
        <v>28</v>
      </c>
      <c r="K328" s="32">
        <f t="shared" ca="1" si="53"/>
        <v>0</v>
      </c>
    </row>
    <row r="329" spans="1:11" x14ac:dyDescent="0.25">
      <c r="A329" s="11">
        <f t="shared" si="45"/>
        <v>44</v>
      </c>
      <c r="B329" t="str">
        <f ca="1">TEXT(DATE(YEAR(Invoer!$A$5),1,1)+ROWS(B$2:B329)-1,"jjjjmmdd")</f>
        <v>19201123</v>
      </c>
      <c r="C329" s="27" t="s">
        <v>36</v>
      </c>
      <c r="D329" s="35">
        <f t="shared" ca="1" si="46"/>
        <v>757</v>
      </c>
      <c r="E329" s="32">
        <f t="shared" ca="1" si="47"/>
        <v>0</v>
      </c>
      <c r="F329" s="35">
        <f t="shared" ca="1" si="48"/>
        <v>754.5</v>
      </c>
      <c r="G329" s="32">
        <f t="shared" ca="1" si="49"/>
        <v>0</v>
      </c>
      <c r="H329" s="35">
        <f t="shared" ca="1" si="50"/>
        <v>29</v>
      </c>
      <c r="I329" s="32">
        <f t="shared" ca="1" si="51"/>
        <v>0</v>
      </c>
      <c r="J329" s="35">
        <f t="shared" ca="1" si="52"/>
        <v>27</v>
      </c>
      <c r="K329" s="32">
        <f t="shared" ca="1" si="53"/>
        <v>0</v>
      </c>
    </row>
    <row r="330" spans="1:11" x14ac:dyDescent="0.25">
      <c r="A330" s="11">
        <f t="shared" si="45"/>
        <v>44</v>
      </c>
      <c r="B330" t="str">
        <f ca="1">TEXT(DATE(YEAR(Invoer!$A$5),1,1)+ROWS(B$2:B330)-1,"jjjjmmdd")</f>
        <v>19201124</v>
      </c>
      <c r="C330" s="27" t="s">
        <v>36</v>
      </c>
      <c r="D330" s="35">
        <f t="shared" ca="1" si="46"/>
        <v>757</v>
      </c>
      <c r="E330" s="32">
        <f t="shared" ca="1" si="47"/>
        <v>0</v>
      </c>
      <c r="F330" s="35">
        <f t="shared" ca="1" si="48"/>
        <v>754.5</v>
      </c>
      <c r="G330" s="32">
        <f t="shared" ca="1" si="49"/>
        <v>0</v>
      </c>
      <c r="H330" s="35">
        <f t="shared" ca="1" si="50"/>
        <v>29</v>
      </c>
      <c r="I330" s="32">
        <f t="shared" ca="1" si="51"/>
        <v>0</v>
      </c>
      <c r="J330" s="35">
        <f t="shared" ca="1" si="52"/>
        <v>27</v>
      </c>
      <c r="K330" s="32">
        <f t="shared" ca="1" si="53"/>
        <v>0</v>
      </c>
    </row>
    <row r="331" spans="1:11" x14ac:dyDescent="0.25">
      <c r="A331" s="11">
        <f t="shared" si="45"/>
        <v>44</v>
      </c>
      <c r="B331" t="str">
        <f ca="1">TEXT(DATE(YEAR(Invoer!$A$5),1,1)+ROWS(B$2:B331)-1,"jjjjmmdd")</f>
        <v>19201125</v>
      </c>
      <c r="C331" s="27" t="s">
        <v>36</v>
      </c>
      <c r="D331" s="35">
        <f t="shared" ca="1" si="46"/>
        <v>756.5</v>
      </c>
      <c r="E331" s="32">
        <f t="shared" ca="1" si="47"/>
        <v>0</v>
      </c>
      <c r="F331" s="35">
        <f t="shared" ca="1" si="48"/>
        <v>754</v>
      </c>
      <c r="G331" s="32">
        <f t="shared" ca="1" si="49"/>
        <v>0</v>
      </c>
      <c r="H331" s="35">
        <f t="shared" ca="1" si="50"/>
        <v>29</v>
      </c>
      <c r="I331" s="32">
        <f t="shared" ca="1" si="51"/>
        <v>0</v>
      </c>
      <c r="J331" s="35">
        <f t="shared" ca="1" si="52"/>
        <v>28</v>
      </c>
      <c r="K331" s="32">
        <f t="shared" ca="1" si="53"/>
        <v>0</v>
      </c>
    </row>
    <row r="332" spans="1:11" x14ac:dyDescent="0.25">
      <c r="A332" s="11">
        <f t="shared" si="45"/>
        <v>44</v>
      </c>
      <c r="B332" t="str">
        <f ca="1">TEXT(DATE(YEAR(Invoer!$A$5),1,1)+ROWS(B$2:B332)-1,"jjjjmmdd")</f>
        <v>19201126</v>
      </c>
      <c r="C332" s="27" t="s">
        <v>36</v>
      </c>
      <c r="D332" s="35">
        <f t="shared" ca="1" si="46"/>
        <v>756</v>
      </c>
      <c r="E332" s="32">
        <f t="shared" ca="1" si="47"/>
        <v>0</v>
      </c>
      <c r="F332" s="35">
        <f t="shared" ca="1" si="48"/>
        <v>754</v>
      </c>
      <c r="G332" s="32">
        <f t="shared" ca="1" si="49"/>
        <v>0</v>
      </c>
      <c r="H332" s="35">
        <f t="shared" ca="1" si="50"/>
        <v>29</v>
      </c>
      <c r="I332" s="32">
        <f t="shared" ca="1" si="51"/>
        <v>0</v>
      </c>
      <c r="J332" s="35">
        <f t="shared" ca="1" si="52"/>
        <v>29</v>
      </c>
      <c r="K332" s="32">
        <f t="shared" ca="1" si="53"/>
        <v>0</v>
      </c>
    </row>
    <row r="333" spans="1:11" x14ac:dyDescent="0.25">
      <c r="A333" s="11">
        <f t="shared" si="45"/>
        <v>44</v>
      </c>
      <c r="B333" t="str">
        <f ca="1">TEXT(DATE(YEAR(Invoer!$A$5),1,1)+ROWS(B$2:B333)-1,"jjjjmmdd")</f>
        <v>19201127</v>
      </c>
      <c r="C333" s="27" t="s">
        <v>36</v>
      </c>
      <c r="D333" s="35">
        <f t="shared" ca="1" si="46"/>
        <v>756.5</v>
      </c>
      <c r="E333" s="32">
        <f t="shared" ca="1" si="47"/>
        <v>0</v>
      </c>
      <c r="F333" s="35">
        <f t="shared" ca="1" si="48"/>
        <v>755</v>
      </c>
      <c r="G333" s="32">
        <f t="shared" ca="1" si="49"/>
        <v>0</v>
      </c>
      <c r="H333" s="35">
        <f t="shared" ca="1" si="50"/>
        <v>29</v>
      </c>
      <c r="I333" s="32">
        <f t="shared" ca="1" si="51"/>
        <v>0</v>
      </c>
      <c r="J333" s="35">
        <f t="shared" ca="1" si="52"/>
        <v>29</v>
      </c>
      <c r="K333" s="32">
        <f t="shared" ca="1" si="53"/>
        <v>0</v>
      </c>
    </row>
    <row r="334" spans="1:11" x14ac:dyDescent="0.25">
      <c r="A334" s="11">
        <f t="shared" si="45"/>
        <v>44</v>
      </c>
      <c r="B334" t="str">
        <f ca="1">TEXT(DATE(YEAR(Invoer!$A$5),1,1)+ROWS(B$2:B334)-1,"jjjjmmdd")</f>
        <v>19201128</v>
      </c>
      <c r="C334" s="27" t="s">
        <v>36</v>
      </c>
      <c r="D334" s="35">
        <f t="shared" ca="1" si="46"/>
        <v>756.5</v>
      </c>
      <c r="E334" s="32">
        <f t="shared" ca="1" si="47"/>
        <v>0</v>
      </c>
      <c r="F334" s="35">
        <f t="shared" ca="1" si="48"/>
        <v>755</v>
      </c>
      <c r="G334" s="32">
        <f t="shared" ca="1" si="49"/>
        <v>0</v>
      </c>
      <c r="H334" s="35">
        <f t="shared" ca="1" si="50"/>
        <v>29</v>
      </c>
      <c r="I334" s="32">
        <f t="shared" ca="1" si="51"/>
        <v>0</v>
      </c>
      <c r="J334" s="35">
        <f t="shared" ca="1" si="52"/>
        <v>29</v>
      </c>
      <c r="K334" s="32">
        <f t="shared" ca="1" si="53"/>
        <v>0</v>
      </c>
    </row>
    <row r="335" spans="1:11" x14ac:dyDescent="0.25">
      <c r="A335" s="11">
        <f t="shared" si="45"/>
        <v>44</v>
      </c>
      <c r="B335" t="str">
        <f ca="1">TEXT(DATE(YEAR(Invoer!$A$5),1,1)+ROWS(B$2:B335)-1,"jjjjmmdd")</f>
        <v>19201129</v>
      </c>
      <c r="C335" s="27" t="s">
        <v>36</v>
      </c>
      <c r="D335" s="35">
        <f t="shared" ca="1" si="46"/>
        <v>757.5</v>
      </c>
      <c r="E335" s="32">
        <f t="shared" ca="1" si="47"/>
        <v>0</v>
      </c>
      <c r="F335" s="35">
        <f t="shared" ca="1" si="48"/>
        <v>755.5</v>
      </c>
      <c r="G335" s="32">
        <f t="shared" ca="1" si="49"/>
        <v>0</v>
      </c>
      <c r="H335" s="35">
        <f t="shared" ca="1" si="50"/>
        <v>29</v>
      </c>
      <c r="I335" s="32">
        <f t="shared" ca="1" si="51"/>
        <v>0</v>
      </c>
      <c r="J335" s="35">
        <f t="shared" ca="1" si="52"/>
        <v>29</v>
      </c>
      <c r="K335" s="32">
        <f t="shared" ca="1" si="53"/>
        <v>0</v>
      </c>
    </row>
    <row r="336" spans="1:11" x14ac:dyDescent="0.25">
      <c r="A336" s="11">
        <f t="shared" si="45"/>
        <v>44</v>
      </c>
      <c r="B336" t="str">
        <f ca="1">TEXT(DATE(YEAR(Invoer!$A$5),1,1)+ROWS(B$2:B336)-1,"jjjjmmdd")</f>
        <v>19201130</v>
      </c>
      <c r="C336" s="27" t="s">
        <v>36</v>
      </c>
      <c r="D336" s="35">
        <f t="shared" ca="1" si="46"/>
        <v>757.5</v>
      </c>
      <c r="E336" s="32">
        <f t="shared" ca="1" si="47"/>
        <v>0</v>
      </c>
      <c r="F336" s="35">
        <f t="shared" ca="1" si="48"/>
        <v>755</v>
      </c>
      <c r="G336" s="32">
        <f t="shared" ca="1" si="49"/>
        <v>0</v>
      </c>
      <c r="H336" s="35">
        <f t="shared" ca="1" si="50"/>
        <v>29</v>
      </c>
      <c r="I336" s="32">
        <f t="shared" ca="1" si="51"/>
        <v>0</v>
      </c>
      <c r="J336" s="35">
        <f t="shared" ca="1" si="52"/>
        <v>29</v>
      </c>
      <c r="K336" s="32">
        <f t="shared" ca="1" si="53"/>
        <v>0</v>
      </c>
    </row>
    <row r="337" spans="1:11" x14ac:dyDescent="0.25">
      <c r="A337" s="11">
        <f t="shared" si="45"/>
        <v>44</v>
      </c>
      <c r="B337" t="str">
        <f ca="1">TEXT(DATE(YEAR(Invoer!$A$5),1,1)+ROWS(B$2:B337)-1,"jjjjmmdd")</f>
        <v>19201201</v>
      </c>
      <c r="C337" s="27" t="s">
        <v>36</v>
      </c>
      <c r="D337" s="35">
        <f t="shared" ca="1" si="46"/>
        <v>757.5</v>
      </c>
      <c r="E337" s="32">
        <f t="shared" ca="1" si="47"/>
        <v>0</v>
      </c>
      <c r="F337" s="35">
        <f t="shared" ca="1" si="48"/>
        <v>756</v>
      </c>
      <c r="G337" s="32">
        <f t="shared" ca="1" si="49"/>
        <v>0</v>
      </c>
      <c r="H337" s="35">
        <f t="shared" ca="1" si="50"/>
        <v>29</v>
      </c>
      <c r="I337" s="32">
        <f t="shared" ca="1" si="51"/>
        <v>0</v>
      </c>
      <c r="J337" s="35">
        <f t="shared" ca="1" si="52"/>
        <v>28</v>
      </c>
      <c r="K337" s="32">
        <f t="shared" ca="1" si="53"/>
        <v>0</v>
      </c>
    </row>
    <row r="338" spans="1:11" x14ac:dyDescent="0.25">
      <c r="A338" s="11">
        <f t="shared" si="45"/>
        <v>44</v>
      </c>
      <c r="B338" t="str">
        <f ca="1">TEXT(DATE(YEAR(Invoer!$A$5),1,1)+ROWS(B$2:B338)-1,"jjjjmmdd")</f>
        <v>19201202</v>
      </c>
      <c r="C338" s="27" t="s">
        <v>36</v>
      </c>
      <c r="D338" s="35">
        <f t="shared" ca="1" si="46"/>
        <v>757.5</v>
      </c>
      <c r="E338" s="32">
        <f t="shared" ca="1" si="47"/>
        <v>0</v>
      </c>
      <c r="F338" s="35">
        <f t="shared" ca="1" si="48"/>
        <v>755</v>
      </c>
      <c r="G338" s="32">
        <f t="shared" ca="1" si="49"/>
        <v>0</v>
      </c>
      <c r="H338" s="35">
        <f t="shared" ca="1" si="50"/>
        <v>29</v>
      </c>
      <c r="I338" s="32">
        <f t="shared" ca="1" si="51"/>
        <v>0</v>
      </c>
      <c r="J338" s="35">
        <f t="shared" ca="1" si="52"/>
        <v>28</v>
      </c>
      <c r="K338" s="32">
        <f t="shared" ca="1" si="53"/>
        <v>0</v>
      </c>
    </row>
    <row r="339" spans="1:11" x14ac:dyDescent="0.25">
      <c r="A339" s="11">
        <f t="shared" si="45"/>
        <v>44</v>
      </c>
      <c r="B339" t="str">
        <f ca="1">TEXT(DATE(YEAR(Invoer!$A$5),1,1)+ROWS(B$2:B339)-1,"jjjjmmdd")</f>
        <v>19201203</v>
      </c>
      <c r="C339" s="27" t="s">
        <v>36</v>
      </c>
      <c r="D339" s="35">
        <f t="shared" ca="1" si="46"/>
        <v>757.5</v>
      </c>
      <c r="E339" s="32">
        <f t="shared" ca="1" si="47"/>
        <v>0</v>
      </c>
      <c r="F339" s="35">
        <f t="shared" ca="1" si="48"/>
        <v>755</v>
      </c>
      <c r="G339" s="32">
        <f t="shared" ca="1" si="49"/>
        <v>0</v>
      </c>
      <c r="H339" s="35">
        <f t="shared" ca="1" si="50"/>
        <v>29</v>
      </c>
      <c r="I339" s="32">
        <f t="shared" ca="1" si="51"/>
        <v>0</v>
      </c>
      <c r="J339" s="35">
        <f t="shared" ca="1" si="52"/>
        <v>28</v>
      </c>
      <c r="K339" s="32">
        <f t="shared" ca="1" si="53"/>
        <v>0</v>
      </c>
    </row>
    <row r="340" spans="1:11" x14ac:dyDescent="0.25">
      <c r="A340" s="11">
        <f t="shared" si="45"/>
        <v>44</v>
      </c>
      <c r="B340" t="str">
        <f ca="1">TEXT(DATE(YEAR(Invoer!$A$5),1,1)+ROWS(B$2:B340)-1,"jjjjmmdd")</f>
        <v>19201204</v>
      </c>
      <c r="C340" s="27" t="s">
        <v>36</v>
      </c>
      <c r="D340" s="35">
        <f t="shared" ca="1" si="46"/>
        <v>757</v>
      </c>
      <c r="E340" s="32">
        <f t="shared" ca="1" si="47"/>
        <v>0</v>
      </c>
      <c r="F340" s="35">
        <f t="shared" ca="1" si="48"/>
        <v>755</v>
      </c>
      <c r="G340" s="32">
        <f t="shared" ca="1" si="49"/>
        <v>0</v>
      </c>
      <c r="H340" s="35">
        <f t="shared" ca="1" si="50"/>
        <v>29</v>
      </c>
      <c r="I340" s="32">
        <f t="shared" ca="1" si="51"/>
        <v>0</v>
      </c>
      <c r="J340" s="35">
        <f t="shared" ca="1" si="52"/>
        <v>28</v>
      </c>
      <c r="K340" s="32">
        <f t="shared" ca="1" si="53"/>
        <v>0</v>
      </c>
    </row>
    <row r="341" spans="1:11" x14ac:dyDescent="0.25">
      <c r="A341" s="11">
        <f t="shared" si="45"/>
        <v>44</v>
      </c>
      <c r="B341" t="str">
        <f ca="1">TEXT(DATE(YEAR(Invoer!$A$5),1,1)+ROWS(B$2:B341)-1,"jjjjmmdd")</f>
        <v>19201205</v>
      </c>
      <c r="C341" s="27" t="s">
        <v>36</v>
      </c>
      <c r="D341" s="35">
        <f t="shared" ca="1" si="46"/>
        <v>757</v>
      </c>
      <c r="E341" s="32">
        <f t="shared" ca="1" si="47"/>
        <v>0</v>
      </c>
      <c r="F341" s="35">
        <f t="shared" ca="1" si="48"/>
        <v>755</v>
      </c>
      <c r="G341" s="32">
        <f t="shared" ca="1" si="49"/>
        <v>0</v>
      </c>
      <c r="H341" s="35">
        <f t="shared" ca="1" si="50"/>
        <v>29</v>
      </c>
      <c r="I341" s="32">
        <f t="shared" ca="1" si="51"/>
        <v>0</v>
      </c>
      <c r="J341" s="35">
        <f t="shared" ca="1" si="52"/>
        <v>28</v>
      </c>
      <c r="K341" s="32">
        <f t="shared" ca="1" si="53"/>
        <v>0</v>
      </c>
    </row>
    <row r="342" spans="1:11" x14ac:dyDescent="0.25">
      <c r="A342" s="11">
        <f t="shared" si="45"/>
        <v>44</v>
      </c>
      <c r="B342" t="str">
        <f ca="1">TEXT(DATE(YEAR(Invoer!$A$5),1,1)+ROWS(B$2:B342)-1,"jjjjmmdd")</f>
        <v>19201206</v>
      </c>
      <c r="C342" s="27" t="s">
        <v>36</v>
      </c>
      <c r="D342" s="35">
        <f t="shared" ca="1" si="46"/>
        <v>756</v>
      </c>
      <c r="E342" s="32">
        <f t="shared" ca="1" si="47"/>
        <v>0</v>
      </c>
      <c r="F342" s="35">
        <f t="shared" ca="1" si="48"/>
        <v>753.5</v>
      </c>
      <c r="G342" s="32">
        <f t="shared" ca="1" si="49"/>
        <v>0</v>
      </c>
      <c r="H342" s="35">
        <f t="shared" ca="1" si="50"/>
        <v>28</v>
      </c>
      <c r="I342" s="32">
        <f t="shared" ca="1" si="51"/>
        <v>0</v>
      </c>
      <c r="J342" s="35">
        <f t="shared" ca="1" si="52"/>
        <v>27</v>
      </c>
      <c r="K342" s="32">
        <f t="shared" ca="1" si="53"/>
        <v>0</v>
      </c>
    </row>
    <row r="343" spans="1:11" x14ac:dyDescent="0.25">
      <c r="A343" s="11">
        <f t="shared" si="45"/>
        <v>44</v>
      </c>
      <c r="B343" t="str">
        <f ca="1">TEXT(DATE(YEAR(Invoer!$A$5),1,1)+ROWS(B$2:B343)-1,"jjjjmmdd")</f>
        <v>19201207</v>
      </c>
      <c r="C343" s="27" t="s">
        <v>36</v>
      </c>
      <c r="D343" s="35">
        <f t="shared" ca="1" si="46"/>
        <v>755</v>
      </c>
      <c r="E343" s="32">
        <f t="shared" ca="1" si="47"/>
        <v>0</v>
      </c>
      <c r="F343" s="35">
        <f t="shared" ca="1" si="48"/>
        <v>753.5</v>
      </c>
      <c r="G343" s="32">
        <f t="shared" ca="1" si="49"/>
        <v>0</v>
      </c>
      <c r="H343" s="35">
        <f t="shared" ca="1" si="50"/>
        <v>28.5</v>
      </c>
      <c r="I343" s="32">
        <f t="shared" ca="1" si="51"/>
        <v>0</v>
      </c>
      <c r="J343" s="35">
        <f t="shared" ca="1" si="52"/>
        <v>28</v>
      </c>
      <c r="K343" s="32">
        <f t="shared" ca="1" si="53"/>
        <v>0</v>
      </c>
    </row>
    <row r="344" spans="1:11" x14ac:dyDescent="0.25">
      <c r="A344" s="11">
        <f t="shared" si="45"/>
        <v>44</v>
      </c>
      <c r="B344" t="str">
        <f ca="1">TEXT(DATE(YEAR(Invoer!$A$5),1,1)+ROWS(B$2:B344)-1,"jjjjmmdd")</f>
        <v>19201208</v>
      </c>
      <c r="C344" s="27" t="s">
        <v>36</v>
      </c>
      <c r="D344" s="35">
        <f t="shared" ca="1" si="46"/>
        <v>757</v>
      </c>
      <c r="E344" s="32">
        <f t="shared" ca="1" si="47"/>
        <v>0</v>
      </c>
      <c r="F344" s="35">
        <f t="shared" ca="1" si="48"/>
        <v>755</v>
      </c>
      <c r="G344" s="32">
        <f t="shared" ca="1" si="49"/>
        <v>0</v>
      </c>
      <c r="H344" s="35">
        <f t="shared" ca="1" si="50"/>
        <v>28</v>
      </c>
      <c r="I344" s="32">
        <f t="shared" ca="1" si="51"/>
        <v>0</v>
      </c>
      <c r="J344" s="35">
        <f t="shared" ca="1" si="52"/>
        <v>28</v>
      </c>
      <c r="K344" s="32">
        <f t="shared" ca="1" si="53"/>
        <v>0</v>
      </c>
    </row>
    <row r="345" spans="1:11" x14ac:dyDescent="0.25">
      <c r="A345" s="11">
        <f t="shared" si="45"/>
        <v>44</v>
      </c>
      <c r="B345" t="str">
        <f ca="1">TEXT(DATE(YEAR(Invoer!$A$5),1,1)+ROWS(B$2:B345)-1,"jjjjmmdd")</f>
        <v>19201209</v>
      </c>
      <c r="C345" s="27" t="s">
        <v>36</v>
      </c>
      <c r="D345" s="35">
        <f t="shared" ca="1" si="46"/>
        <v>757.5</v>
      </c>
      <c r="E345" s="32">
        <f t="shared" ca="1" si="47"/>
        <v>0</v>
      </c>
      <c r="F345" s="35">
        <f t="shared" ca="1" si="48"/>
        <v>756</v>
      </c>
      <c r="G345" s="32">
        <f t="shared" ca="1" si="49"/>
        <v>0</v>
      </c>
      <c r="H345" s="35">
        <f t="shared" ca="1" si="50"/>
        <v>28</v>
      </c>
      <c r="I345" s="32">
        <f t="shared" ca="1" si="51"/>
        <v>0</v>
      </c>
      <c r="J345" s="35">
        <f t="shared" ca="1" si="52"/>
        <v>27</v>
      </c>
      <c r="K345" s="32">
        <f t="shared" ca="1" si="53"/>
        <v>0</v>
      </c>
    </row>
    <row r="346" spans="1:11" x14ac:dyDescent="0.25">
      <c r="A346" s="11">
        <f t="shared" si="45"/>
        <v>44</v>
      </c>
      <c r="B346" t="str">
        <f ca="1">TEXT(DATE(YEAR(Invoer!$A$5),1,1)+ROWS(B$2:B346)-1,"jjjjmmdd")</f>
        <v>19201210</v>
      </c>
      <c r="C346" s="27" t="s">
        <v>36</v>
      </c>
      <c r="D346" s="35">
        <f t="shared" ca="1" si="46"/>
        <v>755</v>
      </c>
      <c r="E346" s="32">
        <f t="shared" ca="1" si="47"/>
        <v>0</v>
      </c>
      <c r="F346" s="35">
        <f t="shared" ca="1" si="48"/>
        <v>755</v>
      </c>
      <c r="G346" s="32">
        <f t="shared" ca="1" si="49"/>
        <v>0</v>
      </c>
      <c r="H346" s="35">
        <f t="shared" ca="1" si="50"/>
        <v>27</v>
      </c>
      <c r="I346" s="32">
        <f t="shared" ca="1" si="51"/>
        <v>0</v>
      </c>
      <c r="J346" s="35">
        <f t="shared" ca="1" si="52"/>
        <v>26</v>
      </c>
      <c r="K346" s="32">
        <f t="shared" ca="1" si="53"/>
        <v>0</v>
      </c>
    </row>
    <row r="347" spans="1:11" x14ac:dyDescent="0.25">
      <c r="A347" s="11">
        <f t="shared" si="45"/>
        <v>44</v>
      </c>
      <c r="B347" t="str">
        <f ca="1">TEXT(DATE(YEAR(Invoer!$A$5),1,1)+ROWS(B$2:B347)-1,"jjjjmmdd")</f>
        <v>19201211</v>
      </c>
      <c r="C347" s="27" t="s">
        <v>36</v>
      </c>
      <c r="D347" s="35">
        <f t="shared" ca="1" si="46"/>
        <v>757.5</v>
      </c>
      <c r="E347" s="32">
        <f t="shared" ca="1" si="47"/>
        <v>0</v>
      </c>
      <c r="F347" s="35">
        <f t="shared" ca="1" si="48"/>
        <v>755</v>
      </c>
      <c r="G347" s="32">
        <f t="shared" ca="1" si="49"/>
        <v>0</v>
      </c>
      <c r="H347" s="35">
        <f t="shared" ca="1" si="50"/>
        <v>27.5</v>
      </c>
      <c r="I347" s="32">
        <f t="shared" ca="1" si="51"/>
        <v>0</v>
      </c>
      <c r="J347" s="35">
        <f t="shared" ca="1" si="52"/>
        <v>27.5</v>
      </c>
      <c r="K347" s="32">
        <f t="shared" ca="1" si="53"/>
        <v>0</v>
      </c>
    </row>
    <row r="348" spans="1:11" x14ac:dyDescent="0.25">
      <c r="A348" s="11">
        <f t="shared" si="45"/>
        <v>44</v>
      </c>
      <c r="B348" t="str">
        <f ca="1">TEXT(DATE(YEAR(Invoer!$A$5),1,1)+ROWS(B$2:B348)-1,"jjjjmmdd")</f>
        <v>19201212</v>
      </c>
      <c r="C348" s="27" t="s">
        <v>36</v>
      </c>
      <c r="D348" s="35">
        <f t="shared" ca="1" si="46"/>
        <v>757</v>
      </c>
      <c r="E348" s="32">
        <f t="shared" ca="1" si="47"/>
        <v>0</v>
      </c>
      <c r="F348" s="35">
        <f t="shared" ca="1" si="48"/>
        <v>755</v>
      </c>
      <c r="G348" s="32">
        <f t="shared" ca="1" si="49"/>
        <v>0</v>
      </c>
      <c r="H348" s="35">
        <f t="shared" ca="1" si="50"/>
        <v>27</v>
      </c>
      <c r="I348" s="32">
        <f t="shared" ca="1" si="51"/>
        <v>0</v>
      </c>
      <c r="J348" s="35">
        <f t="shared" ca="1" si="52"/>
        <v>27</v>
      </c>
      <c r="K348" s="32">
        <f t="shared" ca="1" si="53"/>
        <v>0</v>
      </c>
    </row>
    <row r="349" spans="1:11" x14ac:dyDescent="0.25">
      <c r="A349" s="11">
        <f t="shared" si="45"/>
        <v>44</v>
      </c>
      <c r="B349" t="str">
        <f ca="1">TEXT(DATE(YEAR(Invoer!$A$5),1,1)+ROWS(B$2:B349)-1,"jjjjmmdd")</f>
        <v>19201213</v>
      </c>
      <c r="C349" s="27" t="s">
        <v>36</v>
      </c>
      <c r="D349" s="35">
        <f t="shared" ca="1" si="46"/>
        <v>756.5</v>
      </c>
      <c r="E349" s="32">
        <f t="shared" ca="1" si="47"/>
        <v>0</v>
      </c>
      <c r="F349" s="35">
        <f t="shared" ca="1" si="48"/>
        <v>754.5</v>
      </c>
      <c r="G349" s="32">
        <f t="shared" ca="1" si="49"/>
        <v>0</v>
      </c>
      <c r="H349" s="35">
        <f t="shared" ca="1" si="50"/>
        <v>28</v>
      </c>
      <c r="I349" s="32">
        <f t="shared" ca="1" si="51"/>
        <v>0</v>
      </c>
      <c r="J349" s="35">
        <f t="shared" ca="1" si="52"/>
        <v>27</v>
      </c>
      <c r="K349" s="32">
        <f t="shared" ca="1" si="53"/>
        <v>0</v>
      </c>
    </row>
    <row r="350" spans="1:11" x14ac:dyDescent="0.25">
      <c r="A350" s="11">
        <f t="shared" si="45"/>
        <v>44</v>
      </c>
      <c r="B350" t="str">
        <f ca="1">TEXT(DATE(YEAR(Invoer!$A$5),1,1)+ROWS(B$2:B350)-1,"jjjjmmdd")</f>
        <v>19201214</v>
      </c>
      <c r="C350" s="27" t="s">
        <v>36</v>
      </c>
      <c r="D350" s="35">
        <f t="shared" ca="1" si="46"/>
        <v>756.5</v>
      </c>
      <c r="E350" s="32">
        <f t="shared" ca="1" si="47"/>
        <v>0</v>
      </c>
      <c r="F350" s="35">
        <f t="shared" ca="1" si="48"/>
        <v>754.5</v>
      </c>
      <c r="G350" s="32">
        <f t="shared" ca="1" si="49"/>
        <v>0</v>
      </c>
      <c r="H350" s="35">
        <f t="shared" ca="1" si="50"/>
        <v>28</v>
      </c>
      <c r="I350" s="32">
        <f t="shared" ca="1" si="51"/>
        <v>0</v>
      </c>
      <c r="J350" s="35">
        <f t="shared" ca="1" si="52"/>
        <v>29</v>
      </c>
      <c r="K350" s="32">
        <f t="shared" ca="1" si="53"/>
        <v>0</v>
      </c>
    </row>
    <row r="351" spans="1:11" x14ac:dyDescent="0.25">
      <c r="A351" s="11">
        <f t="shared" si="45"/>
        <v>44</v>
      </c>
      <c r="B351" t="str">
        <f ca="1">TEXT(DATE(YEAR(Invoer!$A$5),1,1)+ROWS(B$2:B351)-1,"jjjjmmdd")</f>
        <v>19201215</v>
      </c>
      <c r="C351" s="27" t="s">
        <v>36</v>
      </c>
      <c r="D351" s="35">
        <f t="shared" ca="1" si="46"/>
        <v>758</v>
      </c>
      <c r="E351" s="32">
        <f t="shared" ca="1" si="47"/>
        <v>0</v>
      </c>
      <c r="F351" s="35">
        <f t="shared" ca="1" si="48"/>
        <v>756</v>
      </c>
      <c r="G351" s="32">
        <f t="shared" ca="1" si="49"/>
        <v>0</v>
      </c>
      <c r="H351" s="35">
        <f t="shared" ca="1" si="50"/>
        <v>29</v>
      </c>
      <c r="I351" s="32">
        <f t="shared" ca="1" si="51"/>
        <v>0</v>
      </c>
      <c r="J351" s="35">
        <f t="shared" ca="1" si="52"/>
        <v>27</v>
      </c>
      <c r="K351" s="32">
        <f t="shared" ca="1" si="53"/>
        <v>0</v>
      </c>
    </row>
    <row r="352" spans="1:11" x14ac:dyDescent="0.25">
      <c r="A352" s="11">
        <f t="shared" si="45"/>
        <v>44</v>
      </c>
      <c r="B352" t="str">
        <f ca="1">TEXT(DATE(YEAR(Invoer!$A$5),1,1)+ROWS(B$2:B352)-1,"jjjjmmdd")</f>
        <v>19201216</v>
      </c>
      <c r="C352" s="27" t="s">
        <v>36</v>
      </c>
      <c r="D352" s="35">
        <f t="shared" ca="1" si="46"/>
        <v>757</v>
      </c>
      <c r="E352" s="32">
        <f t="shared" ca="1" si="47"/>
        <v>0</v>
      </c>
      <c r="F352" s="35">
        <f t="shared" ca="1" si="48"/>
        <v>754.5</v>
      </c>
      <c r="G352" s="32">
        <f t="shared" ca="1" si="49"/>
        <v>0</v>
      </c>
      <c r="H352" s="35">
        <f t="shared" ca="1" si="50"/>
        <v>28.5</v>
      </c>
      <c r="I352" s="32">
        <f t="shared" ca="1" si="51"/>
        <v>0</v>
      </c>
      <c r="J352" s="35">
        <f t="shared" ca="1" si="52"/>
        <v>28</v>
      </c>
      <c r="K352" s="32">
        <f t="shared" ca="1" si="53"/>
        <v>0</v>
      </c>
    </row>
    <row r="353" spans="1:11" x14ac:dyDescent="0.25">
      <c r="A353" s="11">
        <f t="shared" si="45"/>
        <v>44</v>
      </c>
      <c r="B353" t="str">
        <f ca="1">TEXT(DATE(YEAR(Invoer!$A$5),1,1)+ROWS(B$2:B353)-1,"jjjjmmdd")</f>
        <v>19201217</v>
      </c>
      <c r="C353" s="27" t="s">
        <v>36</v>
      </c>
      <c r="D353" s="35">
        <f t="shared" ca="1" si="46"/>
        <v>756.5</v>
      </c>
      <c r="E353" s="32">
        <f t="shared" ca="1" si="47"/>
        <v>0</v>
      </c>
      <c r="F353" s="35">
        <f t="shared" ca="1" si="48"/>
        <v>754</v>
      </c>
      <c r="G353" s="32">
        <f t="shared" ca="1" si="49"/>
        <v>0</v>
      </c>
      <c r="H353" s="35">
        <f t="shared" ca="1" si="50"/>
        <v>29</v>
      </c>
      <c r="I353" s="32">
        <f t="shared" ca="1" si="51"/>
        <v>0</v>
      </c>
      <c r="J353" s="35">
        <f t="shared" ca="1" si="52"/>
        <v>28</v>
      </c>
      <c r="K353" s="32">
        <f t="shared" ca="1" si="53"/>
        <v>0</v>
      </c>
    </row>
    <row r="354" spans="1:11" x14ac:dyDescent="0.25">
      <c r="A354" s="11">
        <f t="shared" si="45"/>
        <v>44</v>
      </c>
      <c r="B354" t="str">
        <f ca="1">TEXT(DATE(YEAR(Invoer!$A$5),1,1)+ROWS(B$2:B354)-1,"jjjjmmdd")</f>
        <v>19201218</v>
      </c>
      <c r="C354" s="27" t="s">
        <v>36</v>
      </c>
      <c r="D354" s="35">
        <f t="shared" ca="1" si="46"/>
        <v>757</v>
      </c>
      <c r="E354" s="32">
        <f t="shared" ca="1" si="47"/>
        <v>0</v>
      </c>
      <c r="F354" s="35">
        <f t="shared" ca="1" si="48"/>
        <v>754.5</v>
      </c>
      <c r="G354" s="32">
        <f t="shared" ca="1" si="49"/>
        <v>0</v>
      </c>
      <c r="H354" s="35">
        <f t="shared" ca="1" si="50"/>
        <v>29</v>
      </c>
      <c r="I354" s="32">
        <f t="shared" ca="1" si="51"/>
        <v>0</v>
      </c>
      <c r="J354" s="35">
        <f t="shared" ca="1" si="52"/>
        <v>28</v>
      </c>
      <c r="K354" s="32">
        <f t="shared" ca="1" si="53"/>
        <v>0</v>
      </c>
    </row>
    <row r="355" spans="1:11" x14ac:dyDescent="0.25">
      <c r="A355" s="11">
        <f t="shared" si="45"/>
        <v>44</v>
      </c>
      <c r="B355" t="str">
        <f ca="1">TEXT(DATE(YEAR(Invoer!$A$5),1,1)+ROWS(B$2:B355)-1,"jjjjmmdd")</f>
        <v>19201219</v>
      </c>
      <c r="C355" s="27" t="s">
        <v>36</v>
      </c>
      <c r="D355" s="35">
        <f t="shared" ca="1" si="46"/>
        <v>757</v>
      </c>
      <c r="E355" s="32">
        <f t="shared" ca="1" si="47"/>
        <v>0</v>
      </c>
      <c r="F355" s="35">
        <f t="shared" ca="1" si="48"/>
        <v>754.5</v>
      </c>
      <c r="G355" s="32">
        <f t="shared" ca="1" si="49"/>
        <v>0</v>
      </c>
      <c r="H355" s="35">
        <f t="shared" ca="1" si="50"/>
        <v>29</v>
      </c>
      <c r="I355" s="32">
        <f t="shared" ca="1" si="51"/>
        <v>0</v>
      </c>
      <c r="J355" s="35">
        <f t="shared" ca="1" si="52"/>
        <v>28</v>
      </c>
      <c r="K355" s="32">
        <f t="shared" ca="1" si="53"/>
        <v>0</v>
      </c>
    </row>
    <row r="356" spans="1:11" x14ac:dyDescent="0.25">
      <c r="A356" s="11">
        <f t="shared" si="45"/>
        <v>44</v>
      </c>
      <c r="B356" t="str">
        <f ca="1">TEXT(DATE(YEAR(Invoer!$A$5),1,1)+ROWS(B$2:B356)-1,"jjjjmmdd")</f>
        <v>19201220</v>
      </c>
      <c r="C356" s="27" t="s">
        <v>36</v>
      </c>
      <c r="D356" s="35">
        <f t="shared" ca="1" si="46"/>
        <v>756</v>
      </c>
      <c r="E356" s="32">
        <f t="shared" ca="1" si="47"/>
        <v>0</v>
      </c>
      <c r="F356" s="35">
        <f t="shared" ca="1" si="48"/>
        <v>755.5</v>
      </c>
      <c r="G356" s="32">
        <f t="shared" ca="1" si="49"/>
        <v>0</v>
      </c>
      <c r="H356" s="35">
        <f t="shared" ca="1" si="50"/>
        <v>29</v>
      </c>
      <c r="I356" s="32">
        <f t="shared" ca="1" si="51"/>
        <v>0</v>
      </c>
      <c r="J356" s="35">
        <f t="shared" ca="1" si="52"/>
        <v>28</v>
      </c>
      <c r="K356" s="32">
        <f t="shared" ca="1" si="53"/>
        <v>0</v>
      </c>
    </row>
    <row r="357" spans="1:11" x14ac:dyDescent="0.25">
      <c r="A357" s="11">
        <f t="shared" si="45"/>
        <v>44</v>
      </c>
      <c r="B357" t="str">
        <f ca="1">TEXT(DATE(YEAR(Invoer!$A$5),1,1)+ROWS(B$2:B357)-1,"jjjjmmdd")</f>
        <v>19201221</v>
      </c>
      <c r="C357" s="27" t="s">
        <v>36</v>
      </c>
      <c r="D357" s="35">
        <f t="shared" ca="1" si="46"/>
        <v>756.5</v>
      </c>
      <c r="E357" s="32">
        <f t="shared" ca="1" si="47"/>
        <v>0</v>
      </c>
      <c r="F357" s="35">
        <f t="shared" ca="1" si="48"/>
        <v>754.5</v>
      </c>
      <c r="G357" s="32">
        <f t="shared" ca="1" si="49"/>
        <v>0</v>
      </c>
      <c r="H357" s="35">
        <f t="shared" ca="1" si="50"/>
        <v>28</v>
      </c>
      <c r="I357" s="32">
        <f t="shared" ca="1" si="51"/>
        <v>0</v>
      </c>
      <c r="J357" s="35">
        <f t="shared" ca="1" si="52"/>
        <v>28</v>
      </c>
      <c r="K357" s="32">
        <f t="shared" ca="1" si="53"/>
        <v>0</v>
      </c>
    </row>
    <row r="358" spans="1:11" x14ac:dyDescent="0.25">
      <c r="A358" s="11">
        <f t="shared" si="45"/>
        <v>44</v>
      </c>
      <c r="B358" t="str">
        <f ca="1">TEXT(DATE(YEAR(Invoer!$A$5),1,1)+ROWS(B$2:B358)-1,"jjjjmmdd")</f>
        <v>19201222</v>
      </c>
      <c r="C358" s="27" t="s">
        <v>36</v>
      </c>
      <c r="D358" s="35">
        <f t="shared" ca="1" si="46"/>
        <v>757.5</v>
      </c>
      <c r="E358" s="32">
        <f t="shared" ca="1" si="47"/>
        <v>0</v>
      </c>
      <c r="F358" s="35">
        <f t="shared" ca="1" si="48"/>
        <v>755.5</v>
      </c>
      <c r="G358" s="32">
        <f t="shared" ca="1" si="49"/>
        <v>0</v>
      </c>
      <c r="H358" s="35">
        <f t="shared" ca="1" si="50"/>
        <v>29</v>
      </c>
      <c r="I358" s="32">
        <f t="shared" ca="1" si="51"/>
        <v>0</v>
      </c>
      <c r="J358" s="35">
        <f t="shared" ca="1" si="52"/>
        <v>28</v>
      </c>
      <c r="K358" s="32">
        <f t="shared" ca="1" si="53"/>
        <v>0</v>
      </c>
    </row>
    <row r="359" spans="1:11" x14ac:dyDescent="0.25">
      <c r="A359" s="11">
        <f t="shared" si="45"/>
        <v>44</v>
      </c>
      <c r="B359" t="str">
        <f ca="1">TEXT(DATE(YEAR(Invoer!$A$5),1,1)+ROWS(B$2:B359)-1,"jjjjmmdd")</f>
        <v>19201223</v>
      </c>
      <c r="C359" s="27" t="s">
        <v>36</v>
      </c>
      <c r="D359" s="35">
        <f t="shared" ca="1" si="46"/>
        <v>757.5</v>
      </c>
      <c r="E359" s="32">
        <f t="shared" ca="1" si="47"/>
        <v>0</v>
      </c>
      <c r="F359" s="35">
        <f t="shared" ca="1" si="48"/>
        <v>756.5</v>
      </c>
      <c r="G359" s="32">
        <f t="shared" ca="1" si="49"/>
        <v>0</v>
      </c>
      <c r="H359" s="35">
        <f t="shared" ca="1" si="50"/>
        <v>29</v>
      </c>
      <c r="I359" s="32">
        <f t="shared" ca="1" si="51"/>
        <v>0</v>
      </c>
      <c r="J359" s="35">
        <f t="shared" ca="1" si="52"/>
        <v>28</v>
      </c>
      <c r="K359" s="32">
        <f t="shared" ca="1" si="53"/>
        <v>0</v>
      </c>
    </row>
    <row r="360" spans="1:11" x14ac:dyDescent="0.25">
      <c r="A360" s="11">
        <f t="shared" si="45"/>
        <v>44</v>
      </c>
      <c r="B360" t="str">
        <f ca="1">TEXT(DATE(YEAR(Invoer!$A$5),1,1)+ROWS(B$2:B360)-1,"jjjjmmdd")</f>
        <v>19201224</v>
      </c>
      <c r="C360" s="27" t="s">
        <v>36</v>
      </c>
      <c r="D360" s="35">
        <f t="shared" ca="1" si="46"/>
        <v>757.5</v>
      </c>
      <c r="E360" s="32">
        <f t="shared" ca="1" si="47"/>
        <v>0</v>
      </c>
      <c r="F360" s="35">
        <f t="shared" ca="1" si="48"/>
        <v>756.5</v>
      </c>
      <c r="G360" s="32">
        <f t="shared" ca="1" si="49"/>
        <v>0</v>
      </c>
      <c r="H360" s="35">
        <f t="shared" ca="1" si="50"/>
        <v>28.5</v>
      </c>
      <c r="I360" s="32">
        <f t="shared" ca="1" si="51"/>
        <v>0</v>
      </c>
      <c r="J360" s="35">
        <f t="shared" ca="1" si="52"/>
        <v>27</v>
      </c>
      <c r="K360" s="32">
        <f t="shared" ca="1" si="53"/>
        <v>0</v>
      </c>
    </row>
    <row r="361" spans="1:11" x14ac:dyDescent="0.25">
      <c r="A361" s="11">
        <f t="shared" si="45"/>
        <v>44</v>
      </c>
      <c r="B361" t="str">
        <f ca="1">TEXT(DATE(YEAR(Invoer!$A$5),1,1)+ROWS(B$2:B361)-1,"jjjjmmdd")</f>
        <v>19201225</v>
      </c>
      <c r="C361" s="27" t="s">
        <v>36</v>
      </c>
      <c r="D361" s="35">
        <f t="shared" ca="1" si="46"/>
        <v>757.5</v>
      </c>
      <c r="E361" s="32">
        <f t="shared" ca="1" si="47"/>
        <v>0</v>
      </c>
      <c r="F361" s="35">
        <f t="shared" ca="1" si="48"/>
        <v>756.5</v>
      </c>
      <c r="G361" s="32">
        <f t="shared" ca="1" si="49"/>
        <v>0</v>
      </c>
      <c r="H361" s="35">
        <f t="shared" ca="1" si="50"/>
        <v>28</v>
      </c>
      <c r="I361" s="32">
        <f t="shared" ca="1" si="51"/>
        <v>0</v>
      </c>
      <c r="J361" s="35">
        <f t="shared" ca="1" si="52"/>
        <v>27</v>
      </c>
      <c r="K361" s="32">
        <f t="shared" ca="1" si="53"/>
        <v>0</v>
      </c>
    </row>
    <row r="362" spans="1:11" x14ac:dyDescent="0.25">
      <c r="A362" s="11">
        <f t="shared" si="45"/>
        <v>44</v>
      </c>
      <c r="B362" t="str">
        <f ca="1">TEXT(DATE(YEAR(Invoer!$A$5),1,1)+ROWS(B$2:B362)-1,"jjjjmmdd")</f>
        <v>19201226</v>
      </c>
      <c r="C362" s="27" t="s">
        <v>36</v>
      </c>
      <c r="D362" s="35">
        <f t="shared" ca="1" si="46"/>
        <v>757</v>
      </c>
      <c r="E362" s="32">
        <f t="shared" ca="1" si="47"/>
        <v>0</v>
      </c>
      <c r="F362" s="35">
        <f t="shared" ca="1" si="48"/>
        <v>756</v>
      </c>
      <c r="G362" s="32">
        <f t="shared" ca="1" si="49"/>
        <v>0</v>
      </c>
      <c r="H362" s="35">
        <f t="shared" ca="1" si="50"/>
        <v>28</v>
      </c>
      <c r="I362" s="32">
        <f t="shared" ca="1" si="51"/>
        <v>0</v>
      </c>
      <c r="J362" s="35">
        <f t="shared" ca="1" si="52"/>
        <v>27</v>
      </c>
      <c r="K362" s="32">
        <f t="shared" ca="1" si="53"/>
        <v>0</v>
      </c>
    </row>
    <row r="363" spans="1:11" x14ac:dyDescent="0.25">
      <c r="A363" s="11">
        <f t="shared" si="45"/>
        <v>44</v>
      </c>
      <c r="B363" t="str">
        <f ca="1">TEXT(DATE(YEAR(Invoer!$A$5),1,1)+ROWS(B$2:B363)-1,"jjjjmmdd")</f>
        <v>19201227</v>
      </c>
      <c r="C363" s="27" t="s">
        <v>36</v>
      </c>
      <c r="D363" s="35">
        <f t="shared" ca="1" si="46"/>
        <v>757.5</v>
      </c>
      <c r="E363" s="32">
        <f t="shared" ca="1" si="47"/>
        <v>0</v>
      </c>
      <c r="F363" s="35">
        <f t="shared" ca="1" si="48"/>
        <v>756</v>
      </c>
      <c r="G363" s="32">
        <f t="shared" ca="1" si="49"/>
        <v>0</v>
      </c>
      <c r="H363" s="35">
        <f t="shared" ca="1" si="50"/>
        <v>28</v>
      </c>
      <c r="I363" s="32">
        <f t="shared" ca="1" si="51"/>
        <v>0</v>
      </c>
      <c r="J363" s="35">
        <f t="shared" ca="1" si="52"/>
        <v>28</v>
      </c>
      <c r="K363" s="32">
        <f t="shared" ca="1" si="53"/>
        <v>0</v>
      </c>
    </row>
    <row r="364" spans="1:11" x14ac:dyDescent="0.25">
      <c r="A364" s="11">
        <f t="shared" si="45"/>
        <v>44</v>
      </c>
      <c r="B364" t="str">
        <f ca="1">TEXT(DATE(YEAR(Invoer!$A$5),1,1)+ROWS(B$2:B364)-1,"jjjjmmdd")</f>
        <v>19201228</v>
      </c>
      <c r="C364" s="27" t="s">
        <v>36</v>
      </c>
      <c r="D364" s="35">
        <f t="shared" ca="1" si="46"/>
        <v>756</v>
      </c>
      <c r="E364" s="32">
        <f t="shared" ca="1" si="47"/>
        <v>0</v>
      </c>
      <c r="F364" s="35">
        <f t="shared" ca="1" si="48"/>
        <v>755</v>
      </c>
      <c r="G364" s="32">
        <f t="shared" ca="1" si="49"/>
        <v>0</v>
      </c>
      <c r="H364" s="35">
        <f t="shared" ca="1" si="50"/>
        <v>28</v>
      </c>
      <c r="I364" s="32">
        <f t="shared" ca="1" si="51"/>
        <v>0</v>
      </c>
      <c r="J364" s="35">
        <f t="shared" ca="1" si="52"/>
        <v>27</v>
      </c>
      <c r="K364" s="32">
        <f t="shared" ca="1" si="53"/>
        <v>0</v>
      </c>
    </row>
    <row r="365" spans="1:11" x14ac:dyDescent="0.25">
      <c r="A365" s="11">
        <f t="shared" si="45"/>
        <v>44</v>
      </c>
      <c r="B365" t="str">
        <f ca="1">TEXT(DATE(YEAR(Invoer!$A$5),1,1)+ROWS(B$2:B365)-1,"jjjjmmdd")</f>
        <v>19201229</v>
      </c>
      <c r="C365" s="27" t="s">
        <v>36</v>
      </c>
      <c r="D365" s="35">
        <f t="shared" ca="1" si="46"/>
        <v>757.5</v>
      </c>
      <c r="E365" s="32">
        <f t="shared" ca="1" si="47"/>
        <v>0</v>
      </c>
      <c r="F365" s="35">
        <f t="shared" ca="1" si="48"/>
        <v>755</v>
      </c>
      <c r="G365" s="32">
        <f t="shared" ca="1" si="49"/>
        <v>0</v>
      </c>
      <c r="H365" s="35">
        <f t="shared" ca="1" si="50"/>
        <v>28</v>
      </c>
      <c r="I365" s="32">
        <f t="shared" ca="1" si="51"/>
        <v>0</v>
      </c>
      <c r="J365" s="35">
        <f t="shared" ca="1" si="52"/>
        <v>27</v>
      </c>
      <c r="K365" s="32">
        <f t="shared" ca="1" si="53"/>
        <v>0</v>
      </c>
    </row>
    <row r="366" spans="1:11" x14ac:dyDescent="0.25">
      <c r="A366" s="11">
        <f t="shared" si="45"/>
        <v>44</v>
      </c>
      <c r="B366" t="str">
        <f ca="1">TEXT(DATE(YEAR(Invoer!$A$5),1,1)+ROWS(B$2:B366)-1,"jjjjmmdd")</f>
        <v>19201230</v>
      </c>
      <c r="C366" s="27" t="s">
        <v>36</v>
      </c>
      <c r="D366" s="35">
        <f t="shared" ca="1" si="46"/>
        <v>757</v>
      </c>
      <c r="E366" s="32">
        <f t="shared" ca="1" si="47"/>
        <v>0</v>
      </c>
      <c r="F366" s="35">
        <f t="shared" ca="1" si="48"/>
        <v>755</v>
      </c>
      <c r="G366" s="32">
        <f t="shared" ca="1" si="49"/>
        <v>0</v>
      </c>
      <c r="H366" s="35">
        <f t="shared" ca="1" si="50"/>
        <v>29</v>
      </c>
      <c r="I366" s="32">
        <f t="shared" ca="1" si="51"/>
        <v>0</v>
      </c>
      <c r="J366" s="35">
        <f t="shared" ca="1" si="52"/>
        <v>27</v>
      </c>
      <c r="K366" s="32">
        <f t="shared" ca="1" si="53"/>
        <v>0</v>
      </c>
    </row>
    <row r="367" spans="1:11" x14ac:dyDescent="0.25">
      <c r="A367" s="11">
        <f t="shared" si="45"/>
        <v>44</v>
      </c>
      <c r="B367" t="str">
        <f ca="1">TEXT(DATE(YEAR(Invoer!$A$5),1,1)+ROWS(B$2:B367)-1,"jjjjmmdd")</f>
        <v>19201231</v>
      </c>
      <c r="C367" s="27" t="s">
        <v>36</v>
      </c>
      <c r="D367" s="35">
        <f t="shared" ca="1" si="46"/>
        <v>757</v>
      </c>
      <c r="E367" s="32">
        <f t="shared" ca="1" si="47"/>
        <v>0</v>
      </c>
      <c r="F367" s="35">
        <f t="shared" ca="1" si="48"/>
        <v>755</v>
      </c>
      <c r="G367" s="32">
        <f t="shared" ca="1" si="49"/>
        <v>0</v>
      </c>
      <c r="H367" s="35">
        <f t="shared" ca="1" si="50"/>
        <v>29</v>
      </c>
      <c r="I367" s="32">
        <f t="shared" ca="1" si="51"/>
        <v>0</v>
      </c>
      <c r="J367" s="35">
        <f t="shared" ca="1" si="52"/>
        <v>28</v>
      </c>
      <c r="K367" s="32">
        <f t="shared" ca="1" si="53"/>
        <v>0</v>
      </c>
    </row>
  </sheetData>
  <pageMargins left="0.7" right="0.7" top="0.75" bottom="0.75" header="0.3" footer="0.3"/>
  <pageSetup paperSize="9" orientation="portrait" r:id="rId1"/>
  <ignoredErrors>
    <ignoredError sqref="E2:K36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733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044, 19200101, 1,    0, 00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044, 19200102, 1,    0, 00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044, 19200103, 1,    0, 00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044, 19200104, 1,    0, 00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044, 19200105, 1,    0, 00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044, 19200106, 1,   98, 00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044, 19200107, 1,    0, 00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044, 19200108, 1,    0, 00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044, 19200109, 1,    8, 00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044, 19200110, 1,   94, 00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044, 19200111, 1,    0, 00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044, 19200112, 1,    0, 00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044, 19200113, 1,    0, 00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044, 19200114, 1,   54, 00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044, 19200115, 1,   75, 00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044, 19200116, 1,    0, 00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044, 19200117, 1,    0, 00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044, 19200118, 1,    0, 00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044, 19200119, 1,   95, 00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044, 19200120, 1,    9, 00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044, 19200121, 1,   12, 00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044, 19200122, 1,   55, 00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044, 19200123, 1,    0, 00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044, 19200124, 1,   43, 00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044, 19200125, 1,    0, 00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044, 19200126, 1,    0, 00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044, 19200127, 1,    0, 00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044, 19200128, 1,    0, 00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044, 19200129, 1,    0, 00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044, 19200130, 1,   35, 00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044, 19200131, 1,    0, 00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044, 19200201, 1,   68, 00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044, 19200202, 1,    0, 00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044, 19200203, 1,    0, 00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044, 19200204, 1,    0, 00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044, 19200205, 1,    0, 00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044, 19200206, 1,    0, 00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044, 19200207, 1,    0, 00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044, 19200208, 1,    0, 00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044, 19200209, 1,    0, 00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044, 19200210, 1,    0, 00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044, 19200211, 1,   35, 00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044, 19200212, 1,    0, 00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044, 19200213, 1,    0, 00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044, 19200214, 1,    0, 00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044, 19200215, 1,    0, 00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044, 19200216, 1,    0, 00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044, 19200217, 1,    0, 00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044, 19200218, 1,    0, 00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044, 19200219, 1,    0, 00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044, 19200220, 1,    0, 00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044, 19200221, 1,    0, 00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044, 19200222, 1,   10, 00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044, 19200223, 1,    0, 00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044, 19200224, 1,    0, 00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044, 19200225, 1,    0, 00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044, 19200226, 1,    0, 00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044, 19200227, 1,    0, 00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044, 19200228, 1,    0, 00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044, 19200229, 1,    0, 00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044, 19200301, 1,    0, 00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044, 19200302, 1,    0, 00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044, 19200303, 1,    0, 00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044, 19200304, 1,    0, 00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044, 19200305, 1,    0, 00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044, 19200306, 1,    0, 00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044, 19200307, 1,    0, 00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044, 19200308, 1,    0, 00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044, 19200309, 1,    0, 00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044, 19200310, 1,    0, 00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044, 19200311, 1,    0, 00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044, 19200312, 1,    0, 00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044, 19200313, 1,    0, 00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044, 19200314, 1,    0, 00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044, 19200315, 1,    0, 00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044, 19200316, 1,    0, 00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044, 19200317, 1,    0, 00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044, 19200318, 1,    0, 00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044, 19200319, 1,    0, 00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044, 19200320, 1,    0, 00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044, 19200321, 1,    0, 00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044, 19200322, 1,    0, 00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044, 19200323, 1,    0, 00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044, 19200324, 1,    0, 00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044, 19200325, 1,    0, 00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044, 19200326, 1,    0, 00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044, 19200327, 1,    0, 00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044, 19200328, 1,    0, 00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044, 19200329, 1,    0, 00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044, 19200330, 1,    0, 00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044, 19200331, 1,    0, 00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044, 19200401, 1,    0, 00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044, 19200402, 1,    0, 00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044, 19200403, 1,    0, 00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044, 19200404, 1,    0, 00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044, 19200405, 1,    0, 00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044, 19200406, 1,    0, 00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044, 19200407, 1,    0, 00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044, 19200408, 1,    0, 00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044, 19200409, 1,    0, 00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044, 19200410, 1,    0, 00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044, 19200411, 1,    0, 00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044, 19200412, 1,    0, 00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044, 19200413, 1,    0, 00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044, 19200414, 1,    0, 00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044, 19200415, 1,    0, 00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044, 19200416, 1,    0, 00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044, 19200417, 1,    0, 00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044, 19200418, 1,    0, 00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044, 19200419, 1,    0, 00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044, 19200420, 1,    0, 00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044, 19200421, 1,    0, 00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044, 19200422, 1,    0, 00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044, 19200423, 1,    0, 00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044, 19200424, 1,    0, 00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044, 19200425, 1,    0, 00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044, 19200426, 1,    0, 00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044, 19200427, 1,    0, 00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044, 19200428, 1,    0, 00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044, 19200429, 1,    0, 00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044, 19200430, 1,    0, 00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044, 19200501, 1,    0, 00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044, 19200502, 1,    0, 00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044, 19200503, 1,    0, 00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044, 19200504, 1,    0, 00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044, 19200505, 1,    0, 00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044, 19200506, 1,    0, 00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044, 19200507, 1,    0, 00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044, 19200508, 1,    0, 00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044, 19200509, 1,    0, 00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044, 19200510, 1,    0, 00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044, 19200511, 1,    0, 00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044, 19200512, 1,    0, 00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044, 19200513, 1,    0, 00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044, 19200514, 1,    0, 00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044, 19200515, 1,    0, 00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044, 19200516, 1,    0, 00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044, 19200517, 1,    0, 00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044, 19200518, 1,    0, 00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044, 19200519, 1,    0, 00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044, 19200520, 1,   69, 00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044, 19200521, 1,    0, 00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044, 19200522, 1,    0, 00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044, 19200523, 1,    0, 00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044, 19200524, 1,    0, 00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044, 19200525, 1,    0, 00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044, 19200526, 1,   98, 00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044, 19200527, 1,    0, 00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044, 19200528, 1,    0, 00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044, 19200529, 1,    0, 00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044, 19200530, 1,    0, 00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044, 19200531, 1,    0, 00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044, 19200601, 1,    0, 00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044, 19200602, 1,    0, 00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044, 19200603, 1,    0, 00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044, 19200604, 1,    0, 00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044, 19200605, 1,    0, 00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044, 19200606, 1,    0, 00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044, 19200607, 1,    0, 00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044, 19200608, 1,    0, 00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044, 19200609, 1,    0, 00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044, 19200610, 1,    0, 00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044, 19200611, 1,    0, 00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044, 19200612, 1,    0, 00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044, 19200613, 1,    0, 00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044, 19200614, 1,    0, 00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044, 19200615, 1,    0, 00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044, 19200616, 1,    0, 00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044, 19200617, 1,    0, 00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044, 19200618, 1,    0, 00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044, 19200619, 1,    0, 00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044, 19200620, 1,    0, 00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044, 19200621, 1,   35, 00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044, 19200622, 1,    0, 00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044, 19200623, 1,   39, 00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044, 19200624, 1,    0, 00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044, 19200625, 1,    0, 00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044, 19200626, 1,    0, 00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044, 19200627, 1,    0, 00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044, 19200628, 1,    0, 00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044, 19200629, 1,    0, 00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044, 19200630, 1,    0, 00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044, 19200701, 1,    0, 00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044, 19200702, 1,    0, 00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044, 19200703, 1,    0, 00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044, 19200704, 1,    0, 00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044, 19200705, 1,    0, 00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044, 19200706, 1,    0, 00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044, 19200707, 1,    0, 00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044, 19200708, 1,    0, 00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044, 19200709, 1,    0, 00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044, 19200710, 1,    0, 00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044, 19200711, 1,    0, 00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044, 19200712, 1,    0, 00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044, 19200713, 1,  170, 00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044, 19200714, 1,   92, 00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044, 19200715, 1,    0, 00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044, 19200716, 1,    0, 00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044, 19200717, 1,    0, 00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044, 19200718, 1,    0, 00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044, 19200719, 1,    0, 00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044, 19200720, 1,    0, 00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044, 19200721, 1,    0, 00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044, 19200722, 1,    0, 00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044, 19200723, 1,    0, 00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044, 19200724, 1,    0, 00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044, 19200725, 1,    0, 00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044, 19200726, 1,    0, 00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044, 19200727, 1,    0, 00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044, 19200728, 1,    0, 00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044, 19200729, 1,    0, 00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044, 19200730, 1,    0, 00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044, 19200731, 1,    0, 00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044, 19200801, 1,    0, 00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044, 19200802, 1,    0, 00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044, 19200803, 1,    0, 00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044, 19200804, 1,    0, 00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044, 19200805, 1,    0, 00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044, 19200806, 1,    0, 00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044, 19200807, 1,    0, 00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044, 19200808, 1,    0, 00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044, 19200809, 1,    0, 00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044, 19200810, 1,  260, 00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044, 19200811, 1,    0, 00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044, 19200812, 1,    0, 00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044, 19200813, 1,    0, 00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044, 19200814, 1,    0, 00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044, 19200815, 1,    0, 00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044, 19200816, 1,   74, 00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044, 19200817, 1,    0, 00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044, 19200818, 1,   18, 00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044, 19200819, 1,    0, 00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044, 19200820, 1,    0, 00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044, 19200821, 1,    0, 00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044, 19200822, 1,    0, 00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044, 19200823, 1,    0, 00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044, 19200824, 1,    0, 00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044, 19200825, 1,    8, 00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044, 19200826, 1,    0, 00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044, 19200827, 1,    0, 00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044, 19200828, 1,    0, 00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044, 19200829, 1,    0, 00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044, 19200830, 1,    0, 00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044, 19200831, 1,    0, 00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044, 19200901, 1,   45, 00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044, 19200902, 1,    0, 00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044, 19200903, 1,    0, 00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044, 19200904, 1,    0, 00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044, 19200905, 1,    0, 00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044, 19200906, 1,    0, 00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044, 19200907, 1,    0, 00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044, 19200908, 1,    0, 00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044, 19200909, 1,    0, 00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044, 19200910, 1,    0, 00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044, 19200911, 1,    0, 00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044, 19200912, 1,    0, 00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044, 19200913, 1,    0, 00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044, 19200914, 1,  155, 00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044, 19200915, 1,    0, 00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044, 19200916, 1,    0, 00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044, 19200917, 1,    0, 00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044, 19200918, 1,    0, 00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044, 19200919, 1,    0, 00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044, 19200920, 1,    0, 00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044, 19200921, 1,    0, 00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044, 19200922, 1,    0, 00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044, 19200923, 1,    0, 00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044, 19200924, 1,    0, 00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044, 19200925, 1,    0, 00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044, 19200926, 1,    0, 00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044, 19200927, 1,    0, 00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044, 19200928, 1,    0, 00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044, 19200929, 1,    0, 00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044, 19200930, 1,    0, 00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044, 19201001, 1,    0, 00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044, 19201002, 1,    0, 00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044, 19201003, 1,    0, 00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044, 19201004, 1,    0, 00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044, 19201005, 1,    0, 00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044, 19201006, 1,    0, 00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044, 19201007, 1,    0, 00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044, 19201008, 1,    0, 00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044, 19201009, 1,    0, 00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044, 19201010, 1,    0, 00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044, 19201011, 1,    0, 00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044, 19201012, 1,    0, 00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044, 19201013, 1,    0, 00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044, 19201014, 1,    0, 00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044, 19201015, 1,    0, 00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044, 19201016, 1,    0, 00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044, 19201017, 1,    0, 00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044, 19201018, 1,    0, 00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044, 19201019, 1,    0, 00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044, 19201020, 1,    0, 00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044, 19201021, 1,    0, 00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044, 19201022, 1,    0, 00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044, 19201023, 1,    0, 00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044, 19201024, 1,    0, 00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044, 19201025, 1,    0, 00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044, 19201026, 1,    0, 00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044, 19201027, 1,    0, 00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044, 19201028, 1,    0, 00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044, 19201029, 1,    0, 00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044, 19201030, 1,    0, 00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044, 19201031, 1,    0, 00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044, 19201101, 1,  500, 00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044, 19201102, 1,    0, 00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044, 19201103, 1,   90, 00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044, 19201104, 1,    0, 00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044, 19201105, 1,    0, 00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044, 19201106, 1,    0, 00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044, 19201107, 1,    0, 00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044, 19201108, 1,    0, 00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044, 19201109, 1,    0, 00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044, 19201110, 1,    0, 00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044, 19201111, 1,   50, 00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044, 19201112, 1,    0, 00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044, 19201113, 1,    0, 00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044, 19201114, 1,    0, 00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044, 19201115, 1,  130, 00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044, 19201116, 1,   50, 00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044, 19201117, 1,   70, 00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044, 19201118, 1,   72, 00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044, 19201119, 1,    0, 00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044, 19201120, 1,    0, 00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044, 19201121, 1,    0, 00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044, 19201122, 1,    0, 00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044, 19201123, 1,    0, 00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044, 19201124, 1,    0, 00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044, 19201125, 1,  100, 00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044, 19201126, 1,    0, 00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044, 19201127, 1,    0, 00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044, 19201128, 1,    0, 00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044, 19201129, 1,    0, 00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044, 19201130, 1,    0, 00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044, 19201201, 1,    0, 00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044, 19201202, 1,   26, 00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044, 19201203, 1,    0, 00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044, 19201204, 1,    0, 00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044, 19201205, 1,    0, 00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044, 19201206, 1,    0, 00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044, 19201207, 1,    0, 00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044, 19201208, 1,    0, 00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044, 19201209, 1,  114, 00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044, 19201210, 1,   34, 00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044, 19201211, 1,   84, 00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044, 19201212, 1,    0, 00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044, 19201213, 1,    0, 00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044, 19201214, 1,    0, 00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044, 19201215, 1,    0, 00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044, 19201216, 1,    0, 00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044, 19201217, 1,    0, 00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044, 19201218, 1,    0, 00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044, 19201219, 1,    0, 00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044, 19201220, 1,    0, 00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044, 19201221, 1,    0, 00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044, 19201222, 1,    0, 00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044, 19201223, 1,    0, 00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044, 19201224, 1,    0, 00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044, 19201225, 1,    0, 00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044, 19201226, 1,    0, 00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044, 19201227, 1,    0, 00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044, 19201228, 1,    0, 00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044, 19201229, 1,    0, 00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044, 19201230, 1,    0, 00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044, 19201231, 1,    0, 00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042, 19200101, 1,    0, 00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042, 19200102, 1,    0, 00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042, 19200103, 1,    0, 00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042, 19200104, 1,    0, 00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042, 19200105, 1,    0, 00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042, 19200106, 1,    0, 00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042, 19200107, 1,    0, 00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042, 19200108, 1,    0, 00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042, 19200109, 1,  120, 00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042, 19200110, 1,  240, 00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042, 19200111, 1,    0, 00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042, 19200112, 1,   60, 00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042, 19200113, 1,   40, 00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042, 19200114, 1,   30, 00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042, 19200115, 1,   70, 00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042, 19200116, 1,    0, 00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042, 19200117, 1,    0, 00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042, 19200118, 1,    0, 00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042, 19200119, 1,   85, 00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042, 19200120, 1,   40, 00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042, 19200121, 1,   60, 00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042, 19200122, 1,   12, 00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042, 19200123, 1,   40, 00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042, 19200124, 1,    8, 00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042, 19200125, 1,    0, 00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042, 19200126, 1,    0, 00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042, 19200127, 1,   20, 00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042, 19200128, 1,    0, 00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042, 19200129, 1,    0, 00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042, 19200130, 1,   48, 00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042, 19200131, 1,    0, 00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042, 19200201, 1,    0, 00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042, 19200202, 1,    0, 00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042, 19200203, 1,    0, 00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042, 19200204, 1,    0, 00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042, 19200205, 1,    0, 00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042, 19200206, 1,    0, 00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042, 19200207, 1,    0, 00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042, 19200208, 1,    8, 00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042, 19200209, 1,    0, 00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042, 19200210, 1,    0, 00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042, 19200211, 1,    0, 00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042, 19200212, 1,    0, 00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042, 19200213, 1,    0, 00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042, 19200214, 1,    0, 00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042, 19200215, 1,    0, 00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042, 19200216, 1,    0, 00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042, 19200217, 1,    0, 00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042, 19200218, 1,    0, 00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042, 19200219, 1,    0, 00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042, 19200220, 1,    0, 00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042, 19200221, 1,    0, 00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042, 19200222, 1,    0, 00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042, 19200223, 1,    0, 00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042, 19200224, 1,    0, 00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042, 19200225, 1,    0, 00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042, 19200226, 1,    0, 00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042, 19200227, 1,    0, 00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042, 19200228, 1,    0, 00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042, 19200229, 1,    0, 00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042, 19200301, 1,    0, 00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042, 19200302, 1,    0, 00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042, 19200303, 1,    0, 00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042, 19200304, 1,    0, 00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042, 19200305, 1,    0, 00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042, 19200306, 1,    0, 00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042, 19200307, 1,    0, 00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042, 19200308, 1,    0, 00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042, 19200309, 1,    0, 00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042, 19200310, 1,    0, 00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042, 19200311, 1,    0, 00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042, 19200312, 1,    0, 00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042, 19200313, 1,    0, 00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042, 19200314, 1,    0, 00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042, 19200315, 1,    0, 00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042, 19200316, 1,    0, 00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042, 19200317, 1,    0, 00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042, 19200318, 1,    0, 00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042, 19200319, 1,    0, 00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042, 19200320, 1,    0, 00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042, 19200321, 1,    0, 00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042, 19200322, 1,    0, 00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042, 19200323, 1,    0, 00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042, 19200324, 1,    0, 00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042, 19200325, 1,    0, 00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042, 19200326, 1,    0, 00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042, 19200327, 1,    0, 00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042, 19200328, 1,   20, 00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042, 19200329, 1,    0, 00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042, 19200330, 1,    0, 00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042, 19200331, 1,    0, 00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042, 19200401, 1,    0, 00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042, 19200402, 1,    0, 00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042, 19200403, 1,    0, 00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042, 19200404, 1,    0, 00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042, 19200405, 1,    0, 00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042, 19200406, 1,    0, 00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042, 19200407, 1,    0, 00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042, 19200408, 1,    0, 00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042, 19200409, 1,    0, 00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042, 19200410, 1,    0, 00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042, 19200411, 1,    0, 00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042, 19200412, 1,    0, 00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042, 19200413, 1,    0, 00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042, 19200414, 1,    0, 00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042, 19200415, 1,    0, 00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042, 19200416, 1,    0, 00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042, 19200417, 1,    0, 00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042, 19200418, 1,    0, 00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042, 19200419, 1,    0, 00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042, 19200420, 1,    0, 00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042, 19200421, 1,    0, 00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042, 19200422, 1,    0, 00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042, 19200423, 1,    0, 00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042, 19200424, 1,    0, 00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042, 19200425, 1,    0, 00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042, 19200426, 1,    0, 00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042, 19200427, 1,    0, 00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042, 19200428, 1,    0, 00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042, 19200429, 1,    0, 00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042, 19200430, 1,    0, 00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042, 19200501, 1,    0, 00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042, 19200502, 1,    0, 00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042, 19200503, 1,    0, 00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042, 19200504, 1,    0, 00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042, 19200505, 1,    0, 00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042, 19200506, 1,    0, 00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042, 19200507, 1,    0, 00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042, 19200508, 1,    0, 00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042, 19200509, 1,    0, 00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042, 19200510, 1,    0, 00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042, 19200511, 1,    0, 00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042, 19200512, 1,    0, 00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042, 19200513, 1,    0, 00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042, 19200514, 1,    0, 00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042, 19200515, 1,    0, 00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042, 19200516, 1,    0, 00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042, 19200517, 1,    0, 00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042, 19200518, 1,    0, 00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042, 19200519, 1,   90, 00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042, 19200520, 1,    0, 00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042, 19200521, 1,    0, 00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042, 19200522, 1,    0, 00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042, 19200523, 1,    0, 00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042, 19200524, 1,    0, 00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042, 19200525, 1,   80, 00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042, 19200526, 1,    0, 00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042, 19200527, 1,    0, 00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042, 19200528, 1,    0, 00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042, 19200529, 1,    0, 00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042, 19200530, 1,    0, 00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042, 19200531, 1,    0, 00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042, 19200601, 1,    0, 00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042, 19200602, 1,    0, 00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042, 19200603, 1,    0, 00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042, 19200604, 1,    0, 00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042, 19200605, 1,    0, 00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042, 19200606, 1,    0, 00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042, 19200607, 1,    0, 00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042, 19200608, 1,    0, 00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042, 19200609, 1,    0, 00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042, 19200610, 1,    0, 00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042, 19200611, 1,    0, 00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042, 19200612, 1,    0, 00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042, 19200613, 1,    0, 00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042, 19200614, 1,    0, 00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042, 19200615, 1,    0, 00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042, 19200616, 1,    0, 00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042, 19200617, 1,    0, 00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042, 19200618, 1,    0, 00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042, 19200619, 1,    0, 00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042, 19200620, 1,    0, 00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042, 19200621, 1,    0, 00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042, 19200622, 1,    0, 00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042, 19200623, 1,    0, 00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042, 19200624, 1,    0, 00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042, 19200625, 1,    0, 00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042, 19200626, 1,    0, 00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042, 19200627, 1,    0, 00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042, 19200628, 1,    0, 00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042, 19200629, 1,    0, 00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042, 19200630, 1,    0, 00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042, 19200701, 1,    0, 00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042, 19200702, 1,    0, 00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042, 19200703, 1,    0, 00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042, 19200704, 1,    0, 00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042, 19200705, 1,    0, 00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042, 19200706, 1,    0, 00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042, 19200707, 1,    0, 00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042, 19200708, 1,    0, 00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042, 19200709, 1,    0, 00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042, 19200710, 1,    0, 00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042, 19200711, 1,   30, 00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042, 19200712, 1,    0, 00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042, 19200713, 1,   80, 00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042, 19200714, 1,    0, 00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042, 19200715, 1,    0, 00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042, 19200716, 1,    0, 00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042, 19200717, 1,    0, 00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042, 19200718, 1,   20, 00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042, 19200719, 1,    0, 00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042, 19200720, 1,    0, 00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042, 19200721, 1,    0, 00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042, 19200722, 1,   60, 00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042, 19200723, 1,   30, 00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042, 19200724, 1,    0, 00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042, 19200725, 1,    0, 00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042, 19200726, 1,   10, 00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042, 19200727, 1,    0, 00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042, 19200728, 1,    0, 00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042, 19200729, 1,    0, 00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042, 19200730, 1,    0, 00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042, 19200731, 1,    0, 00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042, 19200801, 1,    0, 00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042, 19200802, 1,    0, 00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042, 19200803, 1,    0, 00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042, 19200804, 1,    0, 00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042, 19200805, 1,    0, 00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042, 19200806, 1,    0, 00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042, 19200807, 1,    0, 00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042, 19200808, 1,    0, 00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042, 19200809, 1,    0, 00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042, 19200810, 1,  210, 00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042, 19200811, 1,    0, 00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042, 19200812, 1,    0, 00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042, 19200813, 1,    0, 00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042, 19200814, 1,    0, 00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042, 19200815, 1,    0, 00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042, 19200816, 1,   70, 00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042, 19200817, 1,    0, 00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042, 19200818, 1,    0, 00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042, 19200819, 1,    0, 00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042, 19200820, 1,    0, 00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042, 19200821, 1,    0, 00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042, 19200822, 1,    0, 00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042, 19200823, 1,    0, 00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042, 19200824, 1,    0, 00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042, 19200825, 1,    0, 00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042, 19200826, 1,    0, 00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042, 19200827, 1,    0, 00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042, 19200828, 1,    0, 00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042, 19200829, 1,    0, 00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042, 19200830, 1,    0, 00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042, 19200831, 1,    0, 00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042, 19200901, 1,  150, 00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042, 19200902, 1,    0, 00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042, 19200903, 1,    0, 00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042, 19200904, 1,    0, 00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042, 19200905, 1,    0, 00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042, 19200906, 1,    0, 00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042, 19200907, 1,    0, 00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042, 19200908, 1,    0, 00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042, 19200909, 1,    0, 00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042, 19200910, 1,    0, 00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042, 19200911, 1,    0, 00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042, 19200912, 1,    0, 00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042, 19200913, 1,  375, 00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042, 19200914, 1,    0, 00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042, 19200915, 1,    0, 00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042, 19200916, 1,    0, 00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042, 19200917, 1,    0, 00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042, 19200918, 1,    0, 00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042, 19200919, 1,    0, 00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042, 19200920, 1,    0, 00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042, 19200921, 1,    0, 00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042, 19200922, 1,    0, 00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042, 19200923, 1,    0, 00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042, 19200924, 1,    0, 00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042, 19200925, 1,    0, 00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042, 19200926, 1,    0, 00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042, 19200927, 1,    0, 00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042, 19200928, 1,    0, 00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042, 19200929, 1,    0, 00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042, 19200930, 1,    0, 00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042, 19201001, 1,    0, 00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042, 19201002, 1,    0, 00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042, 19201003, 1,   25, 00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042, 19201004, 1,    0, 00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042, 19201005, 1,    0, 00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042, 19201006, 1,    0, 00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042, 19201007, 1,    0, 00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042, 19201008, 1,    0, 00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042, 19201009, 1,    0, 00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042, 19201010, 1,    0, 00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042, 19201011, 1,    0, 00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042, 19201012, 1,   40, 00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042, 19201013, 1,    0, 00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042, 19201014, 1,    0, 00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042, 19201015, 1,    0, 00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042, 19201016, 1,    0, 00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042, 19201017, 1,    0, 00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042, 19201018, 1,    0, 00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042, 19201019, 1,    0, 00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042, 19201020, 1,    0, 00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042, 19201021, 1,    0, 00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042, 19201022, 1,    0, 00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042, 19201023, 1,    0, 00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042, 19201024, 1,    0, 00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042, 19201025, 1,   17, 00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042, 19201026, 1,    0, 00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042, 19201027, 1,    0, 00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042, 19201028, 1,    0, 00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042, 19201029, 1,    0, 00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042, 19201030, 1,    0, 00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042, 19201031, 1,    0, 00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042, 19201101, 1,    0, 00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042, 19201102, 1,   96, 00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042, 19201103, 1,  165, 00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042, 19201104, 1,    0, 00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042, 19201105, 1,    0, 00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042, 19201106, 1,   16, 00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042, 19201107, 1,    0, 00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042, 19201108, 1,    0, 00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042, 19201109, 1,    0, 00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042, 19201110, 1,    0, 00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042, 19201111, 1,    0, 00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042, 19201112, 1,   53, 00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042, 19201113, 1,    0, 00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042, 19201114, 1,  102, 00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042, 19201115, 1,   66, 00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042, 19201116, 1,   64, 00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042, 19201117, 1,    9, 00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042, 19201118, 1,    0, 00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042, 19201119, 1,   49, 00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042, 19201120, 1,    0, 00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042, 19201121, 1,   85, 00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042, 19201122, 1,    0, 00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042, 19201123, 1,    0, 00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042, 19201124, 1,    0, 00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042, 19201125, 1,   20, 00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042, 19201126, 1,    0, 00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042, 19201127, 1,    0, 00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042, 19201128, 1,    0, 00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042, 19201129, 1,    0, 00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042, 19201130, 1,    0, 00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042, 19201201, 1,    0, 00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042, 19201202, 1,   42, 00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042, 19201203, 1,    0, 00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042, 19201204, 1,    0, 00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042, 19201205, 1,    0, 00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042, 19201206, 1,   46, 00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042, 19201207, 1,   45, 00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042, 19201208, 1,    0, 00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042, 19201209, 1,    0, 00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042, 19201210, 1,   35, 00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042, 19201211, 1,   12, 00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042, 19201212, 1,    0, 00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042, 19201213, 1,    0, 00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042, 19201214, 1,   20, 00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042, 19201215, 1,    0, 00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042, 19201216, 1,    0, 00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042, 19201217, 1,   51, 00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19201218, 1, ////, 07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042, 19201219, 1,    0, 00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042, 19201220, 1,    0, 00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042, 19201221, 1,    0, 00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042, 19201222, 1,    0, 00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042, 19201223, 1,    0, 00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042, 19201224, 1,    0, 00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042, 19201225, 1,    0, 00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042, 19201226, 1,    0, 00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042, 19201227, 1,    0, 00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042, 19201228, 1,   30, 00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042, 19201229, 1,    0, 00</v>
      </c>
    </row>
    <row r="732" spans="1:1" x14ac:dyDescent="0.25">
      <c r="A732" s="19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042, 19201230, 1,    0, 00</v>
      </c>
    </row>
    <row r="733" spans="1:1" x14ac:dyDescent="0.25">
      <c r="A733" s="19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042, 19201231, 1,    0, 00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1" width="85.7109375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"""&amp;Overig!K1&amp;""""</f>
        <v>"Stn", "Datum", "Tijd", "Px", "qPx", "Pn", "qPn", "Tx", "qTx", "Tn", "qTn"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//"""),"'","""")&amp;SUBSTITUTE(TEXT(IF(ISTEXT(Overig!H2),Overig!H2,10*Overig!H2),""",""????0;"",""???-0;"",""????0;"", ////"""),"'","""")&amp;SUBSTITUTE(TEXT(Overig!I2,""",""?00;"",""?-00;"",""?00;"", //"""),"'","""")&amp;SUBSTITUTE(TEXT(IF(ISTEXT(Overig!J2),Overig!J2,10*Overig!J2),""",""????0;"",""???-0;"",""????0;"", ////"""),"'","""")&amp;SUBSTITUTE(TEXT(Overig!K2,""",""?00;"",""?-00;"",""?00;"", //"""),"'","""")</f>
        <v>044, 19200101, 24.00, 7570, 00, 7565, 00,  290, 00,  285, 00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//"""),"'","""")&amp;SUBSTITUTE(TEXT(IF(ISTEXT(Overig!H3),Overig!H3,10*Overig!H3),""",""????0;"",""???-0;"",""????0;"", ////"""),"'","""")&amp;SUBSTITUTE(TEXT(Overig!I3,""",""?00;"",""?-00;"",""?00;"", //"""),"'","""")&amp;SUBSTITUTE(TEXT(IF(ISTEXT(Overig!J3),Overig!J3,10*Overig!J3),""",""????0;"",""???-0;"",""????0;"", ////"""),"'","""")&amp;SUBSTITUTE(TEXT(Overig!K3,""",""?00;"",""?-00;"",""?00;"", //"""),"'","""")</f>
        <v>044, 19200102, 24.00, 7575, 00, 7570, 00,  290, 00,  290, 00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//"""),"'","""")&amp;SUBSTITUTE(TEXT(IF(ISTEXT(Overig!H4),Overig!H4,10*Overig!H4),""",""????0;"",""???-0;"",""????0;"", ////"""),"'","""")&amp;SUBSTITUTE(TEXT(Overig!I4,""",""?00;"",""?-00;"",""?00;"", //"""),"'","""")&amp;SUBSTITUTE(TEXT(IF(ISTEXT(Overig!J4),Overig!J4,10*Overig!J4),""",""????0;"",""???-0;"",""????0;"", ////"""),"'","""")&amp;SUBSTITUTE(TEXT(Overig!K4,""",""?00;"",""?-00;"",""?00;"", //"""),"'","""")</f>
        <v>044, 19200103, 24.00, 7560, 00, 7555, 00,  295, 00,  290, 00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//"""),"'","""")&amp;SUBSTITUTE(TEXT(IF(ISTEXT(Overig!H5),Overig!H5,10*Overig!H5),""",""????0;"",""???-0;"",""????0;"", ////"""),"'","""")&amp;SUBSTITUTE(TEXT(Overig!I5,""",""?00;"",""?-00;"",""?00;"", //"""),"'","""")&amp;SUBSTITUTE(TEXT(IF(ISTEXT(Overig!J5),Overig!J5,10*Overig!J5),""",""????0;"",""???-0;"",""????0;"", ////"""),"'","""")&amp;SUBSTITUTE(TEXT(Overig!K5,""",""?00;"",""?-00;"",""?00;"", //"""),"'","""")</f>
        <v>044, 19200104, 24.00, 7570, 00, 7565, 00,  285, 00,  280, 00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//"""),"'","""")&amp;SUBSTITUTE(TEXT(IF(ISTEXT(Overig!H6),Overig!H6,10*Overig!H6),""",""????0;"",""???-0;"",""????0;"", ////"""),"'","""")&amp;SUBSTITUTE(TEXT(Overig!I6,""",""?00;"",""?-00;"",""?00;"", //"""),"'","""")&amp;SUBSTITUTE(TEXT(IF(ISTEXT(Overig!J6),Overig!J6,10*Overig!J6),""",""????0;"",""???-0;"",""????0;"", ////"""),"'","""")&amp;SUBSTITUTE(TEXT(Overig!K6,""",""?00;"",""?-00;"",""?00;"", //"""),"'","""")</f>
        <v>044, 19200105, 24.00, 7565, 00, 7555, 00,  290, 00,  285, 00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//"""),"'","""")&amp;SUBSTITUTE(TEXT(IF(ISTEXT(Overig!H7),Overig!H7,10*Overig!H7),""",""????0;"",""???-0;"",""????0;"", ////"""),"'","""")&amp;SUBSTITUTE(TEXT(Overig!I7,""",""?00;"",""?-00;"",""?00;"", //"""),"'","""")&amp;SUBSTITUTE(TEXT(IF(ISTEXT(Overig!J7),Overig!J7,10*Overig!J7),""",""????0;"",""???-0;"",""????0;"", ////"""),"'","""")&amp;SUBSTITUTE(TEXT(Overig!K7,""",""?00;"",""?-00;"",""?00;"", //"""),"'","""")</f>
        <v>044, 19200106, 24.00, 7575, 00, 7570, 00,  280, 00,  275, 00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//"""),"'","""")&amp;SUBSTITUTE(TEXT(IF(ISTEXT(Overig!H8),Overig!H8,10*Overig!H8),""",""????0;"",""???-0;"",""????0;"", ////"""),"'","""")&amp;SUBSTITUTE(TEXT(Overig!I8,""",""?00;"",""?-00;"",""?00;"", //"""),"'","""")&amp;SUBSTITUTE(TEXT(IF(ISTEXT(Overig!J8),Overig!J8,10*Overig!J8),""",""????0;"",""???-0;"",""????0;"", ////"""),"'","""")&amp;SUBSTITUTE(TEXT(Overig!K8,""",""?00;"",""?-00;"",""?00;"", //"""),"'","""")</f>
        <v>044, 19200107, 24.00, 7575, 00, 7565, 00,  285, 00,  280, 00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//"""),"'","""")&amp;SUBSTITUTE(TEXT(IF(ISTEXT(Overig!H9),Overig!H9,10*Overig!H9),""",""????0;"",""???-0;"",""????0;"", ////"""),"'","""")&amp;SUBSTITUTE(TEXT(Overig!I9,""",""?00;"",""?-00;"",""?00;"", //"""),"'","""")&amp;SUBSTITUTE(TEXT(IF(ISTEXT(Overig!J9),Overig!J9,10*Overig!J9),""",""????0;"",""???-0;"",""????0;"", ////"""),"'","""")&amp;SUBSTITUTE(TEXT(Overig!K9,""",""?00;"",""?-00;"",""?00;"", //"""),"'","""")</f>
        <v>044, 19200108, 24.00, 7575, 00, 7570, 00,  285, 00,  280, 00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//"""),"'","""")&amp;SUBSTITUTE(TEXT(IF(ISTEXT(Overig!H10),Overig!H10,10*Overig!H10),""",""????0;"",""???-0;"",""????0;"", ////"""),"'","""")&amp;SUBSTITUTE(TEXT(Overig!I10,""",""?00;"",""?-00;"",""?00;"", //"""),"'","""")&amp;SUBSTITUTE(TEXT(IF(ISTEXT(Overig!J10),Overig!J10,10*Overig!J10),""",""????0;"",""???-0;"",""????0;"", ////"""),"'","""")&amp;SUBSTITUTE(TEXT(Overig!K10,""",""?00;"",""?-00;"",""?00;"", //"""),"'","""")</f>
        <v>044, 19200109, 24.00, 7580, 00, 7575, 00,  290, 00,  285, 00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//"""),"'","""")&amp;SUBSTITUTE(TEXT(IF(ISTEXT(Overig!H11),Overig!H11,10*Overig!H11),""",""????0;"",""???-0;"",""????0;"", ////"""),"'","""")&amp;SUBSTITUTE(TEXT(Overig!I11,""",""?00;"",""?-00;"",""?00;"", //"""),"'","""")&amp;SUBSTITUTE(TEXT(IF(ISTEXT(Overig!J11),Overig!J11,10*Overig!J11),""",""????0;"",""???-0;"",""????0;"", ////"""),"'","""")&amp;SUBSTITUTE(TEXT(Overig!K11,""",""?00;"",""?-00;"",""?00;"", //"""),"'","""")</f>
        <v>044, 19200110, 24.00, 7580, 00, 7565, 00,  270, 00,  260, 00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//"""),"'","""")&amp;SUBSTITUTE(TEXT(IF(ISTEXT(Overig!H12),Overig!H12,10*Overig!H12),""",""????0;"",""???-0;"",""????0;"", ////"""),"'","""")&amp;SUBSTITUTE(TEXT(Overig!I12,""",""?00;"",""?-00;"",""?00;"", //"""),"'","""")&amp;SUBSTITUTE(TEXT(IF(ISTEXT(Overig!J12),Overig!J12,10*Overig!J12),""",""????0;"",""???-0;"",""????0;"", ////"""),"'","""")&amp;SUBSTITUTE(TEXT(Overig!K12,""",""?00;"",""?-00;"",""?00;"", //"""),"'","""")</f>
        <v>044, 19200111, 24.00, 7580, 00, 7565, 00,  270, 00,  260, 00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//"""),"'","""")&amp;SUBSTITUTE(TEXT(IF(ISTEXT(Overig!H13),Overig!H13,10*Overig!H13),""",""????0;"",""???-0;"",""????0;"", ////"""),"'","""")&amp;SUBSTITUTE(TEXT(Overig!I13,""",""?00;"",""?-00;"",""?00;"", //"""),"'","""")&amp;SUBSTITUTE(TEXT(IF(ISTEXT(Overig!J13),Overig!J13,10*Overig!J13),""",""????0;"",""???-0;"",""????0;"", ////"""),"'","""")&amp;SUBSTITUTE(TEXT(Overig!K13,""",""?00;"",""?-00;"",""?00;"", //"""),"'","""")</f>
        <v>044, 19200112, 24.00, 7580, 00, 7560, 00,  270, 00,  265, 00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//"""),"'","""")&amp;SUBSTITUTE(TEXT(IF(ISTEXT(Overig!H14),Overig!H14,10*Overig!H14),""",""????0;"",""???-0;"",""????0;"", ////"""),"'","""")&amp;SUBSTITUTE(TEXT(Overig!I14,""",""?00;"",""?-00;"",""?00;"", //"""),"'","""")&amp;SUBSTITUTE(TEXT(IF(ISTEXT(Overig!J14),Overig!J14,10*Overig!J14),""",""????0;"",""???-0;"",""????0;"", ////"""),"'","""")&amp;SUBSTITUTE(TEXT(Overig!K14,""",""?00;"",""?-00;"",""?00;"", //"""),"'","""")</f>
        <v>044, 19200113, 24.00, 7575, 00, 7565, 00,  280, 00,  265, 00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//"""),"'","""")&amp;SUBSTITUTE(TEXT(IF(ISTEXT(Overig!H15),Overig!H15,10*Overig!H15),""",""????0;"",""???-0;"",""????0;"", ////"""),"'","""")&amp;SUBSTITUTE(TEXT(Overig!I15,""",""?00;"",""?-00;"",""?00;"", //"""),"'","""")&amp;SUBSTITUTE(TEXT(IF(ISTEXT(Overig!J15),Overig!J15,10*Overig!J15),""",""????0;"",""???-0;"",""????0;"", ////"""),"'","""")&amp;SUBSTITUTE(TEXT(Overig!K15,""",""?00;"",""?-00;"",""?00;"", //"""),"'","""")</f>
        <v>044, 19200114, 24.00, 7580, 00, 7560, 00,  280, 00,  280, 00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//"""),"'","""")&amp;SUBSTITUTE(TEXT(IF(ISTEXT(Overig!H16),Overig!H16,10*Overig!H16),""",""????0;"",""???-0;"",""????0;"", ////"""),"'","""")&amp;SUBSTITUTE(TEXT(Overig!I16,""",""?00;"",""?-00;"",""?00;"", //"""),"'","""")&amp;SUBSTITUTE(TEXT(IF(ISTEXT(Overig!J16),Overig!J16,10*Overig!J16),""",""????0;"",""???-0;"",""????0;"", ////"""),"'","""")&amp;SUBSTITUTE(TEXT(Overig!K16,""",""?00;"",""?-00;"",""?00;"", //"""),"'","""")</f>
        <v>044, 19200115, 24.00, 7575, 00, 7565, 00,  265, 00,  260, 00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//"""),"'","""")&amp;SUBSTITUTE(TEXT(IF(ISTEXT(Overig!H17),Overig!H17,10*Overig!H17),""",""????0;"",""???-0;"",""????0;"", ////"""),"'","""")&amp;SUBSTITUTE(TEXT(Overig!I17,""",""?00;"",""?-00;"",""?00;"", //"""),"'","""")&amp;SUBSTITUTE(TEXT(IF(ISTEXT(Overig!J17),Overig!J17,10*Overig!J17),""",""????0;"",""???-0;"",""????0;"", ////"""),"'","""")&amp;SUBSTITUTE(TEXT(Overig!K17,""",""?00;"",""?-00;"",""?00;"", //"""),"'","""")</f>
        <v>044, 19200116, 24.00, 7575, 00, 7555, 00,  280, 00,  270, 00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//"""),"'","""")&amp;SUBSTITUTE(TEXT(IF(ISTEXT(Overig!H18),Overig!H18,10*Overig!H18),""",""????0;"",""???-0;"",""????0;"", ////"""),"'","""")&amp;SUBSTITUTE(TEXT(Overig!I18,""",""?00;"",""?-00;"",""?00;"", //"""),"'","""")&amp;SUBSTITUTE(TEXT(IF(ISTEXT(Overig!J18),Overig!J18,10*Overig!J18),""",""????0;"",""???-0;"",""????0;"", ////"""),"'","""")&amp;SUBSTITUTE(TEXT(Overig!K18,""",""?00;"",""?-00;"",""?00;"", //"""),"'","""")</f>
        <v>044, 19200117, 24.00, 7575, 00, 7565, 00,  290, 00,  275, 00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//"""),"'","""")&amp;SUBSTITUTE(TEXT(IF(ISTEXT(Overig!H19),Overig!H19,10*Overig!H19),""",""????0;"",""???-0;"",""????0;"", ////"""),"'","""")&amp;SUBSTITUTE(TEXT(Overig!I19,""",""?00;"",""?-00;"",""?00;"", //"""),"'","""")&amp;SUBSTITUTE(TEXT(IF(ISTEXT(Overig!J19),Overig!J19,10*Overig!J19),""",""????0;"",""???-0;"",""????0;"", ////"""),"'","""")&amp;SUBSTITUTE(TEXT(Overig!K19,""",""?00;"",""?-00;"",""?00;"", //"""),"'","""")</f>
        <v>044, 19200118, 24.00, 7580, 00, 7575, 00,  285, 00,  280, 00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//"""),"'","""")&amp;SUBSTITUTE(TEXT(IF(ISTEXT(Overig!H20),Overig!H20,10*Overig!H20),""",""????0;"",""???-0;"",""????0;"", ////"""),"'","""")&amp;SUBSTITUTE(TEXT(Overig!I20,""",""?00;"",""?-00;"",""?00;"", //"""),"'","""")&amp;SUBSTITUTE(TEXT(IF(ISTEXT(Overig!J20),Overig!J20,10*Overig!J20),""",""????0;"",""???-0;"",""????0;"", ////"""),"'","""")&amp;SUBSTITUTE(TEXT(Overig!K20,""",""?00;"",""?-00;"",""?00;"", //"""),"'","""")</f>
        <v>044, 19200119, 24.00, 7575, 00, 7565, 00,  275, 00,  270, 00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//"""),"'","""")&amp;SUBSTITUTE(TEXT(IF(ISTEXT(Overig!H21),Overig!H21,10*Overig!H21),""",""????0;"",""???-0;"",""????0;"", ////"""),"'","""")&amp;SUBSTITUTE(TEXT(Overig!I21,""",""?00;"",""?-00;"",""?00;"", //"""),"'","""")&amp;SUBSTITUTE(TEXT(IF(ISTEXT(Overig!J21),Overig!J21,10*Overig!J21),""",""????0;"",""???-0;"",""????0;"", ////"""),"'","""")&amp;SUBSTITUTE(TEXT(Overig!K21,""",""?00;"",""?-00;"",""?00;"", //"""),"'","""")</f>
        <v>044, 19200120, 24.00, 7580, 00, 7555, 00,  275, 00,  265, 00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//"""),"'","""")&amp;SUBSTITUTE(TEXT(IF(ISTEXT(Overig!H22),Overig!H22,10*Overig!H22),""",""????0;"",""???-0;"",""????0;"", ////"""),"'","""")&amp;SUBSTITUTE(TEXT(Overig!I22,""",""?00;"",""?-00;"",""?00;"", //"""),"'","""")&amp;SUBSTITUTE(TEXT(IF(ISTEXT(Overig!J22),Overig!J22,10*Overig!J22),""",""????0;"",""???-0;"",""????0;"", ////"""),"'","""")&amp;SUBSTITUTE(TEXT(Overig!K22,""",""?00;"",""?-00;"",""?00;"", //"""),"'","""")</f>
        <v>044, 19200121, 24.00, 7580, 00, 7565, 00,  260, 00,  255, 00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//"""),"'","""")&amp;SUBSTITUTE(TEXT(IF(ISTEXT(Overig!H23),Overig!H23,10*Overig!H23),""",""????0;"",""???-0;"",""????0;"", ////"""),"'","""")&amp;SUBSTITUTE(TEXT(Overig!I23,""",""?00;"",""?-00;"",""?00;"", //"""),"'","""")&amp;SUBSTITUTE(TEXT(IF(ISTEXT(Overig!J23),Overig!J23,10*Overig!J23),""",""????0;"",""???-0;"",""????0;"", ////"""),"'","""")&amp;SUBSTITUTE(TEXT(Overig!K23,""",""?00;"",""?-00;"",""?00;"", //"""),"'","""")</f>
        <v>044, 19200122, 24.00, 7575, 00, 7570, 00,  265, 00,  260, 00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//"""),"'","""")&amp;SUBSTITUTE(TEXT(IF(ISTEXT(Overig!H24),Overig!H24,10*Overig!H24),""",""????0;"",""???-0;"",""????0;"", ////"""),"'","""")&amp;SUBSTITUTE(TEXT(Overig!I24,""",""?00;"",""?-00;"",""?00;"", //"""),"'","""")&amp;SUBSTITUTE(TEXT(IF(ISTEXT(Overig!J24),Overig!J24,10*Overig!J24),""",""????0;"",""???-0;"",""????0;"", ////"""),"'","""")&amp;SUBSTITUTE(TEXT(Overig!K24,""",""?00;"",""?-00;"",""?00;"", //"""),"'","""")</f>
        <v>044, 19200123, 24.00, 7575, 00, 7570, 00,  270, 00,  265, 00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//"""),"'","""")&amp;SUBSTITUTE(TEXT(IF(ISTEXT(Overig!H25),Overig!H25,10*Overig!H25),""",""????0;"",""???-0;"",""????0;"", ////"""),"'","""")&amp;SUBSTITUTE(TEXT(Overig!I25,""",""?00;"",""?-00;"",""?00;"", //"""),"'","""")&amp;SUBSTITUTE(TEXT(IF(ISTEXT(Overig!J25),Overig!J25,10*Overig!J25),""",""????0;"",""???-0;"",""????0;"", ////"""),"'","""")&amp;SUBSTITUTE(TEXT(Overig!K25,""",""?00;"",""?-00;"",""?00;"", //"""),"'","""")</f>
        <v>044, 19200124, 24.00, 7575, 00, 7560, 00,  275, 00,  265, 00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//"""),"'","""")&amp;SUBSTITUTE(TEXT(IF(ISTEXT(Overig!H26),Overig!H26,10*Overig!H26),""",""????0;"",""???-0;"",""????0;"", ////"""),"'","""")&amp;SUBSTITUTE(TEXT(Overig!I26,""",""?00;"",""?-00;"",""?00;"", //"""),"'","""")&amp;SUBSTITUTE(TEXT(IF(ISTEXT(Overig!J26),Overig!J26,10*Overig!J26),""",""????0;"",""???-0;"",""????0;"", ////"""),"'","""")&amp;SUBSTITUTE(TEXT(Overig!K26,""",""?00;"",""?-00;"",""?00;"", //"""),"'","""")</f>
        <v>044, 19200125, 24.00, 7570, 00, 7565, 00,  285, 00,  270, 00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//"""),"'","""")&amp;SUBSTITUTE(TEXT(IF(ISTEXT(Overig!H27),Overig!H27,10*Overig!H27),""",""????0;"",""???-0;"",""????0;"", ////"""),"'","""")&amp;SUBSTITUTE(TEXT(Overig!I27,""",""?00;"",""?-00;"",""?00;"", //"""),"'","""")&amp;SUBSTITUTE(TEXT(IF(ISTEXT(Overig!J27),Overig!J27,10*Overig!J27),""",""????0;"",""???-0;"",""????0;"", ////"""),"'","""")&amp;SUBSTITUTE(TEXT(Overig!K27,""",""?00;"",""?-00;"",""?00;"", //"""),"'","""")</f>
        <v>044, 19200126, 24.00, 7575, 00, 7570, 00,  280, 00,  270, 00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//"""),"'","""")&amp;SUBSTITUTE(TEXT(IF(ISTEXT(Overig!H28),Overig!H28,10*Overig!H28),""",""????0;"",""???-0;"",""????0;"", ////"""),"'","""")&amp;SUBSTITUTE(TEXT(Overig!I28,""",""?00;"",""?-00;"",""?00;"", //"""),"'","""")&amp;SUBSTITUTE(TEXT(IF(ISTEXT(Overig!J28),Overig!J28,10*Overig!J28),""",""????0;"",""???-0;"",""????0;"", ////"""),"'","""")&amp;SUBSTITUTE(TEXT(Overig!K28,""",""?00;"",""?-00;"",""?00;"", //"""),"'","""")</f>
        <v>044, 19200127, 24.00, 7580, 00, 7565, 00,  280, 00,  275, 00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//"""),"'","""")&amp;SUBSTITUTE(TEXT(IF(ISTEXT(Overig!H29),Overig!H29,10*Overig!H29),""",""????0;"",""???-0;"",""????0;"", ////"""),"'","""")&amp;SUBSTITUTE(TEXT(Overig!I29,""",""?00;"",""?-00;"",""?00;"", //"""),"'","""")&amp;SUBSTITUTE(TEXT(IF(ISTEXT(Overig!J29),Overig!J29,10*Overig!J29),""",""????0;"",""???-0;"",""????0;"", ////"""),"'","""")&amp;SUBSTITUTE(TEXT(Overig!K29,""",""?00;"",""?-00;"",""?00;"", //"""),"'","""")</f>
        <v>044, 19200128, 24.00, 7580, 00, 7560, 00,  275, 00,  270, 00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//"""),"'","""")&amp;SUBSTITUTE(TEXT(IF(ISTEXT(Overig!H30),Overig!H30,10*Overig!H30),""",""????0;"",""???-0;"",""????0;"", ////"""),"'","""")&amp;SUBSTITUTE(TEXT(Overig!I30,""",""?00;"",""?-00;"",""?00;"", //"""),"'","""")&amp;SUBSTITUTE(TEXT(IF(ISTEXT(Overig!J30),Overig!J30,10*Overig!J30),""",""????0;"",""???-0;"",""????0;"", ////"""),"'","""")&amp;SUBSTITUTE(TEXT(Overig!K30,""",""?00;"",""?-00;"",""?00;"", //"""),"'","""")</f>
        <v>044, 19200129, 24.00, 7575, 00, 7570, 00,  270, 00,  265, 00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//"""),"'","""")&amp;SUBSTITUTE(TEXT(IF(ISTEXT(Overig!H31),Overig!H31,10*Overig!H31),""",""????0;"",""???-0;"",""????0;"", ////"""),"'","""")&amp;SUBSTITUTE(TEXT(Overig!I31,""",""?00;"",""?-00;"",""?00;"", //"""),"'","""")&amp;SUBSTITUTE(TEXT(IF(ISTEXT(Overig!J31),Overig!J31,10*Overig!J31),""",""????0;"",""???-0;"",""????0;"", ////"""),"'","""")&amp;SUBSTITUTE(TEXT(Overig!K31,""",""?00;"",""?-00;"",""?00;"", //"""),"'","""")</f>
        <v>044, 19200130, 24.00, 7575, 00, 7555, 00,  270, 00,  265, 00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//"""),"'","""")&amp;SUBSTITUTE(TEXT(IF(ISTEXT(Overig!H32),Overig!H32,10*Overig!H32),""",""????0;"",""???-0;"",""????0;"", ////"""),"'","""")&amp;SUBSTITUTE(TEXT(Overig!I32,""",""?00;"",""?-00;"",""?00;"", //"""),"'","""")&amp;SUBSTITUTE(TEXT(IF(ISTEXT(Overig!J32),Overig!J32,10*Overig!J32),""",""????0;"",""???-0;"",""????0;"", ////"""),"'","""")&amp;SUBSTITUTE(TEXT(Overig!K32,""",""?00;"",""?-00;"",""?00;"", //"""),"'","""")</f>
        <v>044, 19200131, 24.00, 7570, 00, 7560, 00,  275, 00,  270, 00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//"""),"'","""")&amp;SUBSTITUTE(TEXT(IF(ISTEXT(Overig!H33),Overig!H33,10*Overig!H33),""",""????0;"",""???-0;"",""????0;"", ////"""),"'","""")&amp;SUBSTITUTE(TEXT(Overig!I33,""",""?00;"",""?-00;"",""?00;"", //"""),"'","""")&amp;SUBSTITUTE(TEXT(IF(ISTEXT(Overig!J33),Overig!J33,10*Overig!J33),""",""????0;"",""???-0;"",""????0;"", ////"""),"'","""")&amp;SUBSTITUTE(TEXT(Overig!K33,""",""?00;"",""?-00;"",""?00;"", //"""),"'","""")</f>
        <v>044, 19200201, 24.00, 7580, 00, 7560, 00,  290, 00,  280, 00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//"""),"'","""")&amp;SUBSTITUTE(TEXT(IF(ISTEXT(Overig!H34),Overig!H34,10*Overig!H34),""",""????0;"",""???-0;"",""????0;"", ////"""),"'","""")&amp;SUBSTITUTE(TEXT(Overig!I34,""",""?00;"",""?-00;"",""?00;"", //"""),"'","""")&amp;SUBSTITUTE(TEXT(IF(ISTEXT(Overig!J34),Overig!J34,10*Overig!J34),""",""????0;"",""???-0;"",""????0;"", ////"""),"'","""")&amp;SUBSTITUTE(TEXT(Overig!K34,""",""?00;"",""?-00;"",""?00;"", //"""),"'","""")</f>
        <v>044, 19200202, 24.00, 7585, 00, 7570, 00,  290, 00,  285, 00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//"""),"'","""")&amp;SUBSTITUTE(TEXT(IF(ISTEXT(Overig!H35),Overig!H35,10*Overig!H35),""",""????0;"",""???-0;"",""????0;"", ////"""),"'","""")&amp;SUBSTITUTE(TEXT(Overig!I35,""",""?00;"",""?-00;"",""?00;"", //"""),"'","""")&amp;SUBSTITUTE(TEXT(IF(ISTEXT(Overig!J35),Overig!J35,10*Overig!J35),""",""????0;"",""???-0;"",""????0;"", ////"""),"'","""")&amp;SUBSTITUTE(TEXT(Overig!K35,""",""?00;"",""?-00;"",""?00;"", //"""),"'","""")</f>
        <v>044, 19200203, 24.00, 7570, 00, 7550, 00,  280, 00,  270, 00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//"""),"'","""")&amp;SUBSTITUTE(TEXT(IF(ISTEXT(Overig!H36),Overig!H36,10*Overig!H36),""",""????0;"",""???-0;"",""????0;"", ////"""),"'","""")&amp;SUBSTITUTE(TEXT(Overig!I36,""",""?00;"",""?-00;"",""?00;"", //"""),"'","""")&amp;SUBSTITUTE(TEXT(IF(ISTEXT(Overig!J36),Overig!J36,10*Overig!J36),""",""????0;"",""???-0;"",""????0;"", ////"""),"'","""")&amp;SUBSTITUTE(TEXT(Overig!K36,""",""?00;"",""?-00;"",""?00;"", //"""),"'","""")</f>
        <v>044, 19200204, 24.00, 7565, 00, 7555, 00,  285, 00,  275, 00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//"""),"'","""")&amp;SUBSTITUTE(TEXT(IF(ISTEXT(Overig!H37),Overig!H37,10*Overig!H37),""",""????0;"",""???-0;"",""????0;"", ////"""),"'","""")&amp;SUBSTITUTE(TEXT(Overig!I37,""",""?00;"",""?-00;"",""?00;"", //"""),"'","""")&amp;SUBSTITUTE(TEXT(IF(ISTEXT(Overig!J37),Overig!J37,10*Overig!J37),""",""????0;"",""???-0;"",""????0;"", ////"""),"'","""")&amp;SUBSTITUTE(TEXT(Overig!K37,""",""?00;"",""?-00;"",""?00;"", //"""),"'","""")</f>
        <v>044, 19200205, 24.00, 7560, 00, 7545, 00,  285, 00,  270, 00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//"""),"'","""")&amp;SUBSTITUTE(TEXT(IF(ISTEXT(Overig!H38),Overig!H38,10*Overig!H38),""",""????0;"",""???-0;"",""????0;"", ////"""),"'","""")&amp;SUBSTITUTE(TEXT(Overig!I38,""",""?00;"",""?-00;"",""?00;"", //"""),"'","""")&amp;SUBSTITUTE(TEXT(IF(ISTEXT(Overig!J38),Overig!J38,10*Overig!J38),""",""????0;"",""???-0;"",""????0;"", ////"""),"'","""")&amp;SUBSTITUTE(TEXT(Overig!K38,""",""?00;"",""?-00;"",""?00;"", //"""),"'","""")</f>
        <v>044, 19200206, 24.00, 7560, 00, 7545, 00,  290, 00,  265, 00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//"""),"'","""")&amp;SUBSTITUTE(TEXT(IF(ISTEXT(Overig!H39),Overig!H39,10*Overig!H39),""",""????0;"",""???-0;"",""????0;"", ////"""),"'","""")&amp;SUBSTITUTE(TEXT(Overig!I39,""",""?00;"",""?-00;"",""?00;"", //"""),"'","""")&amp;SUBSTITUTE(TEXT(IF(ISTEXT(Overig!J39),Overig!J39,10*Overig!J39),""",""????0;"",""???-0;"",""????0;"", ////"""),"'","""")&amp;SUBSTITUTE(TEXT(Overig!K39,""",""?00;"",""?-00;"",""?00;"", //"""),"'","""")</f>
        <v>044, 19200207, 24.00, 7565, 00, 7555, 00,  280, 00,  270, 00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//"""),"'","""")&amp;SUBSTITUTE(TEXT(IF(ISTEXT(Overig!H40),Overig!H40,10*Overig!H40),""",""????0;"",""???-0;"",""????0;"", ////"""),"'","""")&amp;SUBSTITUTE(TEXT(Overig!I40,""",""?00;"",""?-00;"",""?00;"", //"""),"'","""")&amp;SUBSTITUTE(TEXT(IF(ISTEXT(Overig!J40),Overig!J40,10*Overig!J40),""",""????0;"",""???-0;"",""????0;"", ////"""),"'","""")&amp;SUBSTITUTE(TEXT(Overig!K40,""",""?00;"",""?-00;"",""?00;"", //"""),"'","""")</f>
        <v>044, 19200208, 24.00, 7570, 00, 7565, 00,  290, 00,  260, 00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//"""),"'","""")&amp;SUBSTITUTE(TEXT(IF(ISTEXT(Overig!H41),Overig!H41,10*Overig!H41),""",""????0;"",""???-0;"",""????0;"", ////"""),"'","""")&amp;SUBSTITUTE(TEXT(Overig!I41,""",""?00;"",""?-00;"",""?00;"", //"""),"'","""")&amp;SUBSTITUTE(TEXT(IF(ISTEXT(Overig!J41),Overig!J41,10*Overig!J41),""",""????0;"",""???-0;"",""????0;"", ////"""),"'","""")&amp;SUBSTITUTE(TEXT(Overig!K41,""",""?00;"",""?-00;"",""?00;"", //"""),"'","""")</f>
        <v>044, 19200209, 24.00, 7590, 00, 7580, 00,  280, 00,  275, 00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//"""),"'","""")&amp;SUBSTITUTE(TEXT(IF(ISTEXT(Overig!H42),Overig!H42,10*Overig!H42),""",""????0;"",""???-0;"",""????0;"", ////"""),"'","""")&amp;SUBSTITUTE(TEXT(Overig!I42,""",""?00;"",""?-00;"",""?00;"", //"""),"'","""")&amp;SUBSTITUTE(TEXT(IF(ISTEXT(Overig!J42),Overig!J42,10*Overig!J42),""",""????0;"",""???-0;"",""????0;"", ////"""),"'","""")&amp;SUBSTITUTE(TEXT(Overig!K42,""",""?00;"",""?-00;"",""?00;"", //"""),"'","""")</f>
        <v>044, 19200210, 24.00, 7590, 00, 7575, 00,  275, 00,  270, 00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//"""),"'","""")&amp;SUBSTITUTE(TEXT(IF(ISTEXT(Overig!H43),Overig!H43,10*Overig!H43),""",""????0;"",""???-0;"",""????0;"", ////"""),"'","""")&amp;SUBSTITUTE(TEXT(Overig!I43,""",""?00;"",""?-00;"",""?00;"", //"""),"'","""")&amp;SUBSTITUTE(TEXT(IF(ISTEXT(Overig!J43),Overig!J43,10*Overig!J43),""",""????0;"",""???-0;"",""????0;"", ////"""),"'","""")&amp;SUBSTITUTE(TEXT(Overig!K43,""",""?00;"",""?-00;"",""?00;"", //"""),"'","""")</f>
        <v>044, 19200211, 24.00, 7580, 00, 7550, 00,  280, 00,  275, 00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//"""),"'","""")&amp;SUBSTITUTE(TEXT(IF(ISTEXT(Overig!H44),Overig!H44,10*Overig!H44),""",""????0;"",""???-0;"",""????0;"", ////"""),"'","""")&amp;SUBSTITUTE(TEXT(Overig!I44,""",""?00;"",""?-00;"",""?00;"", //"""),"'","""")&amp;SUBSTITUTE(TEXT(IF(ISTEXT(Overig!J44),Overig!J44,10*Overig!J44),""",""????0;"",""???-0;"",""????0;"", ////"""),"'","""")&amp;SUBSTITUTE(TEXT(Overig!K44,""",""?00;"",""?-00;"",""?00;"", //"""),"'","""")</f>
        <v>044, 19200212, 24.00, 7575, 00, 7560, 00,  280, 00,  275, 00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//"""),"'","""")&amp;SUBSTITUTE(TEXT(IF(ISTEXT(Overig!H45),Overig!H45,10*Overig!H45),""",""????0;"",""???-0;"",""????0;"", ////"""),"'","""")&amp;SUBSTITUTE(TEXT(Overig!I45,""",""?00;"",""?-00;"",""?00;"", //"""),"'","""")&amp;SUBSTITUTE(TEXT(IF(ISTEXT(Overig!J45),Overig!J45,10*Overig!J45),""",""????0;"",""???-0;"",""????0;"", ////"""),"'","""")&amp;SUBSTITUTE(TEXT(Overig!K45,""",""?00;"",""?-00;"",""?00;"", //"""),"'","""")</f>
        <v>044, 19200213, 24.00, 7580, 00, 7565, 00,  285, 00,  275, 00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//"""),"'","""")&amp;SUBSTITUTE(TEXT(IF(ISTEXT(Overig!H46),Overig!H46,10*Overig!H46),""",""????0;"",""???-0;"",""????0;"", ////"""),"'","""")&amp;SUBSTITUTE(TEXT(Overig!I46,""",""?00;"",""?-00;"",""?00;"", //"""),"'","""")&amp;SUBSTITUTE(TEXT(IF(ISTEXT(Overig!J46),Overig!J46,10*Overig!J46),""",""????0;"",""???-0;"",""????0;"", ////"""),"'","""")&amp;SUBSTITUTE(TEXT(Overig!K46,""",""?00;"",""?-00;"",""?00;"", //"""),"'","""")</f>
        <v>044, 19200214, 24.00, 7590, 00, 7565, 00,  285, 00,  270, 00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//"""),"'","""")&amp;SUBSTITUTE(TEXT(IF(ISTEXT(Overig!H47),Overig!H47,10*Overig!H47),""",""????0;"",""???-0;"",""????0;"", ////"""),"'","""")&amp;SUBSTITUTE(TEXT(Overig!I47,""",""?00;"",""?-00;"",""?00;"", //"""),"'","""")&amp;SUBSTITUTE(TEXT(IF(ISTEXT(Overig!J47),Overig!J47,10*Overig!J47),""",""????0;"",""???-0;"",""????0;"", ////"""),"'","""")&amp;SUBSTITUTE(TEXT(Overig!K47,""",""?00;"",""?-00;"",""?00;"", //"""),"'","""")</f>
        <v>044, 19200215, 24.00, 7590, 00, 7565, 00,  285, 00,  270, 00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//"""),"'","""")&amp;SUBSTITUTE(TEXT(IF(ISTEXT(Overig!H48),Overig!H48,10*Overig!H48),""",""????0;"",""???-0;"",""????0;"", ////"""),"'","""")&amp;SUBSTITUTE(TEXT(Overig!I48,""",""?00;"",""?-00;"",""?00;"", //"""),"'","""")&amp;SUBSTITUTE(TEXT(IF(ISTEXT(Overig!J48),Overig!J48,10*Overig!J48),""",""????0;"",""???-0;"",""????0;"", ////"""),"'","""")&amp;SUBSTITUTE(TEXT(Overig!K48,""",""?00;"",""?-00;"",""?00;"", //"""),"'","""")</f>
        <v>044, 19200216, 24.00, 7580, 00, 7555, 00,  285, 00,  270, 00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//"""),"'","""")&amp;SUBSTITUTE(TEXT(IF(ISTEXT(Overig!H49),Overig!H49,10*Overig!H49),""",""????0;"",""???-0;"",""????0;"", ////"""),"'","""")&amp;SUBSTITUTE(TEXT(Overig!I49,""",""?00;"",""?-00;"",""?00;"", //"""),"'","""")&amp;SUBSTITUTE(TEXT(IF(ISTEXT(Overig!J49),Overig!J49,10*Overig!J49),""",""????0;"",""???-0;"",""????0;"", ////"""),"'","""")&amp;SUBSTITUTE(TEXT(Overig!K49,""",""?00;"",""?-00;"",""?00;"", //"""),"'","""")</f>
        <v>044, 19200217, 24.00, 7570, 00, 7545, 00,  280, 00,  270, 00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//"""),"'","""")&amp;SUBSTITUTE(TEXT(IF(ISTEXT(Overig!H50),Overig!H50,10*Overig!H50),""",""????0;"",""???-0;"",""????0;"", ////"""),"'","""")&amp;SUBSTITUTE(TEXT(Overig!I50,""",""?00;"",""?-00;"",""?00;"", //"""),"'","""")&amp;SUBSTITUTE(TEXT(IF(ISTEXT(Overig!J50),Overig!J50,10*Overig!J50),""",""????0;"",""???-0;"",""????0;"", ////"""),"'","""")&amp;SUBSTITUTE(TEXT(Overig!K50,""",""?00;"",""?-00;"",""?00;"", //"""),"'","""")</f>
        <v>044, 19200218, 24.00, 7565, 00, 7545, 00,  285, 00,  275, 00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//"""),"'","""")&amp;SUBSTITUTE(TEXT(IF(ISTEXT(Overig!H51),Overig!H51,10*Overig!H51),""",""????0;"",""???-0;"",""????0;"", ////"""),"'","""")&amp;SUBSTITUTE(TEXT(Overig!I51,""",""?00;"",""?-00;"",""?00;"", //"""),"'","""")&amp;SUBSTITUTE(TEXT(IF(ISTEXT(Overig!J51),Overig!J51,10*Overig!J51),""",""????0;"",""???-0;"",""????0;"", ////"""),"'","""")&amp;SUBSTITUTE(TEXT(Overig!K51,""",""?00;"",""?-00;"",""?00;"", //"""),"'","""")</f>
        <v>044, 19200219, 24.00, 7565, 00, 7545, 00,  280, 00,  275, 00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//"""),"'","""")&amp;SUBSTITUTE(TEXT(IF(ISTEXT(Overig!H52),Overig!H52,10*Overig!H52),""",""????0;"",""???-0;"",""????0;"", ////"""),"'","""")&amp;SUBSTITUTE(TEXT(Overig!I52,""",""?00;"",""?-00;"",""?00;"", //"""),"'","""")&amp;SUBSTITUTE(TEXT(IF(ISTEXT(Overig!J52),Overig!J52,10*Overig!J52),""",""????0;"",""???-0;"",""????0;"", ////"""),"'","""")&amp;SUBSTITUTE(TEXT(Overig!K52,""",""?00;"",""?-00;"",""?00;"", //"""),"'","""")</f>
        <v>044, 19200220, 24.00, 7575, 00, 7565, 00,  285, 00,  275, 00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//"""),"'","""")&amp;SUBSTITUTE(TEXT(IF(ISTEXT(Overig!H53),Overig!H53,10*Overig!H53),""",""????0;"",""???-0;"",""????0;"", ////"""),"'","""")&amp;SUBSTITUTE(TEXT(Overig!I53,""",""?00;"",""?-00;"",""?00;"", //"""),"'","""")&amp;SUBSTITUTE(TEXT(IF(ISTEXT(Overig!J53),Overig!J53,10*Overig!J53),""",""????0;"",""???-0;"",""????0;"", ////"""),"'","""")&amp;SUBSTITUTE(TEXT(Overig!K53,""",""?00;"",""?-00;"",""?00;"", //"""),"'","""")</f>
        <v>044, 19200221, 24.00, 7575, 00, 7555, 00,  280, 00,  270, 00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//"""),"'","""")&amp;SUBSTITUTE(TEXT(IF(ISTEXT(Overig!H54),Overig!H54,10*Overig!H54),""",""????0;"",""???-0;"",""????0;"", ////"""),"'","""")&amp;SUBSTITUTE(TEXT(Overig!I54,""",""?00;"",""?-00;"",""?00;"", //"""),"'","""")&amp;SUBSTITUTE(TEXT(IF(ISTEXT(Overig!J54),Overig!J54,10*Overig!J54),""",""????0;"",""???-0;"",""????0;"", ////"""),"'","""")&amp;SUBSTITUTE(TEXT(Overig!K54,""",""?00;"",""?-00;"",""?00;"", //"""),"'","""")</f>
        <v>044, 19200222, 24.00, 7575, 00, 7555, 00,  280, 00,  270, 00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//"""),"'","""")&amp;SUBSTITUTE(TEXT(IF(ISTEXT(Overig!H55),Overig!H55,10*Overig!H55),""",""????0;"",""???-0;"",""????0;"", ////"""),"'","""")&amp;SUBSTITUTE(TEXT(Overig!I55,""",""?00;"",""?-00;"",""?00;"", //"""),"'","""")&amp;SUBSTITUTE(TEXT(IF(ISTEXT(Overig!J55),Overig!J55,10*Overig!J55),""",""????0;"",""???-0;"",""????0;"", ////"""),"'","""")&amp;SUBSTITUTE(TEXT(Overig!K55,""",""?00;"",""?-00;"",""?00;"", //"""),"'","""")</f>
        <v>044, 19200223, 24.00, 7570, 00, 7530, 00,  275, 00,  270, 00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//"""),"'","""")&amp;SUBSTITUTE(TEXT(IF(ISTEXT(Overig!H56),Overig!H56,10*Overig!H56),""",""????0;"",""???-0;"",""????0;"", ////"""),"'","""")&amp;SUBSTITUTE(TEXT(Overig!I56,""",""?00;"",""?-00;"",""?00;"", //"""),"'","""")&amp;SUBSTITUTE(TEXT(IF(ISTEXT(Overig!J56),Overig!J56,10*Overig!J56),""",""????0;"",""???-0;"",""????0;"", ////"""),"'","""")&amp;SUBSTITUTE(TEXT(Overig!K56,""",""?00;"",""?-00;"",""?00;"", //"""),"'","""")</f>
        <v>044, 19200224, 24.00, 7590, 00, 7580, 00,  280, 00,  275, 00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//"""),"'","""")&amp;SUBSTITUTE(TEXT(IF(ISTEXT(Overig!H57),Overig!H57,10*Overig!H57),""",""????0;"",""???-0;"",""????0;"", ////"""),"'","""")&amp;SUBSTITUTE(TEXT(Overig!I57,""",""?00;"",""?-00;"",""?00;"", //"""),"'","""")&amp;SUBSTITUTE(TEXT(IF(ISTEXT(Overig!J57),Overig!J57,10*Overig!J57),""",""????0;"",""???-0;"",""????0;"", ////"""),"'","""")&amp;SUBSTITUTE(TEXT(Overig!K57,""",""?00;"",""?-00;"",""?00;"", //"""),"'","""")</f>
        <v>044, 19200225, 24.00, 7575, 00, 7550, 00,  290, 00,  275, 00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//"""),"'","""")&amp;SUBSTITUTE(TEXT(IF(ISTEXT(Overig!H58),Overig!H58,10*Overig!H58),""",""????0;"",""???-0;"",""????0;"", ////"""),"'","""")&amp;SUBSTITUTE(TEXT(Overig!I58,""",""?00;"",""?-00;"",""?00;"", //"""),"'","""")&amp;SUBSTITUTE(TEXT(IF(ISTEXT(Overig!J58),Overig!J58,10*Overig!J58),""",""????0;"",""???-0;"",""????0;"", ////"""),"'","""")&amp;SUBSTITUTE(TEXT(Overig!K58,""",""?00;"",""?-00;"",""?00;"", //"""),"'","""")</f>
        <v>044, 19200226, 24.00, 7580, 00, 7560, 00,  280, 00,  275, 00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//"""),"'","""")&amp;SUBSTITUTE(TEXT(IF(ISTEXT(Overig!H59),Overig!H59,10*Overig!H59),""",""????0;"",""???-0;"",""????0;"", ////"""),"'","""")&amp;SUBSTITUTE(TEXT(Overig!I59,""",""?00;"",""?-00;"",""?00;"", //"""),"'","""")&amp;SUBSTITUTE(TEXT(IF(ISTEXT(Overig!J59),Overig!J59,10*Overig!J59),""",""????0;"",""???-0;"",""????0;"", ////"""),"'","""")&amp;SUBSTITUTE(TEXT(Overig!K59,""",""?00;"",""?-00;"",""?00;"", //"""),"'","""")</f>
        <v>044, 19200227, 24.00, 7595, 00, 7590, 00,  295, 00,  290, 00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//"""),"'","""")&amp;SUBSTITUTE(TEXT(IF(ISTEXT(Overig!H60),Overig!H60,10*Overig!H60),""",""????0;"",""???-0;"",""????0;"", ////"""),"'","""")&amp;SUBSTITUTE(TEXT(Overig!I60,""",""?00;"",""?-00;"",""?00;"", //"""),"'","""")&amp;SUBSTITUTE(TEXT(IF(ISTEXT(Overig!J60),Overig!J60,10*Overig!J60),""",""????0;"",""???-0;"",""????0;"", ////"""),"'","""")&amp;SUBSTITUTE(TEXT(Overig!K60,""",""?00;"",""?-00;"",""?00;"", //"""),"'","""")</f>
        <v>044, 19200228, 24.00, 7595, 00, 7590, 00,  290, 00,  285, 00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//"""),"'","""")&amp;SUBSTITUTE(TEXT(IF(ISTEXT(Overig!H61),Overig!H61,10*Overig!H61),""",""????0;"",""???-0;"",""????0;"", ////"""),"'","""")&amp;SUBSTITUTE(TEXT(Overig!I61,""",""?00;"",""?-00;"",""?00;"", //"""),"'","""")&amp;SUBSTITUTE(TEXT(IF(ISTEXT(Overig!J61),Overig!J61,10*Overig!J61),""",""????0;"",""???-0;"",""????0;"", ////"""),"'","""")&amp;SUBSTITUTE(TEXT(Overig!K61,""",""?00;"",""?-00;"",""?00;"", //"""),"'","""")</f>
        <v>044, 19200229, 24.00, 7590, 00, 7580, 00,  285, 00,  280, 00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//"""),"'","""")&amp;SUBSTITUTE(TEXT(IF(ISTEXT(Overig!H62),Overig!H62,10*Overig!H62),""",""????0;"",""???-0;"",""????0;"", ////"""),"'","""")&amp;SUBSTITUTE(TEXT(Overig!I62,""",""?00;"",""?-00;"",""?00;"", //"""),"'","""")&amp;SUBSTITUTE(TEXT(IF(ISTEXT(Overig!J62),Overig!J62,10*Overig!J62),""",""????0;"",""???-0;"",""????0;"", ////"""),"'","""")&amp;SUBSTITUTE(TEXT(Overig!K62,""",""?00;"",""?-00;"",""?00;"", //"""),"'","""")</f>
        <v>044, 19200301, 24.00, 7555, 00, 7535, 00,  295, 00,  280, 00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//"""),"'","""")&amp;SUBSTITUTE(TEXT(IF(ISTEXT(Overig!H63),Overig!H63,10*Overig!H63),""",""????0;"",""???-0;"",""????0;"", ////"""),"'","""")&amp;SUBSTITUTE(TEXT(Overig!I63,""",""?00;"",""?-00;"",""?00;"", //"""),"'","""")&amp;SUBSTITUTE(TEXT(IF(ISTEXT(Overig!J63),Overig!J63,10*Overig!J63),""",""????0;"",""???-0;"",""????0;"", ////"""),"'","""")&amp;SUBSTITUTE(TEXT(Overig!K63,""",""?00;"",""?-00;"",""?00;"", //"""),"'","""")</f>
        <v>044, 19200302, 24.00, 7575, 00, 7555, 00,  290, 00,  280, 00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//"""),"'","""")&amp;SUBSTITUTE(TEXT(IF(ISTEXT(Overig!H64),Overig!H64,10*Overig!H64),""",""????0;"",""???-0;"",""????0;"", ////"""),"'","""")&amp;SUBSTITUTE(TEXT(Overig!I64,""",""?00;"",""?-00;"",""?00;"", //"""),"'","""")&amp;SUBSTITUTE(TEXT(IF(ISTEXT(Overig!J64),Overig!J64,10*Overig!J64),""",""????0;"",""???-0;"",""????0;"", ////"""),"'","""")&amp;SUBSTITUTE(TEXT(Overig!K64,""",""?00;"",""?-00;"",""?00;"", //"""),"'","""")</f>
        <v>044, 19200303, 24.00, 7595, 00, 7575, 00,  285, 00,  280, 00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//"""),"'","""")&amp;SUBSTITUTE(TEXT(IF(ISTEXT(Overig!H65),Overig!H65,10*Overig!H65),""",""????0;"",""???-0;"",""????0;"", ////"""),"'","""")&amp;SUBSTITUTE(TEXT(Overig!I65,""",""?00;"",""?-00;"",""?00;"", //"""),"'","""")&amp;SUBSTITUTE(TEXT(IF(ISTEXT(Overig!J65),Overig!J65,10*Overig!J65),""",""????0;"",""???-0;"",""????0;"", ////"""),"'","""")&amp;SUBSTITUTE(TEXT(Overig!K65,""",""?00;"",""?-00;"",""?00;"", //"""),"'","""")</f>
        <v>044, 19200304, 24.00, 7570, 00, 7545, 00,  290, 00,  280, 00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//"""),"'","""")&amp;SUBSTITUTE(TEXT(IF(ISTEXT(Overig!H66),Overig!H66,10*Overig!H66),""",""????0;"",""???-0;"",""????0;"", ////"""),"'","""")&amp;SUBSTITUTE(TEXT(Overig!I66,""",""?00;"",""?-00;"",""?00;"", //"""),"'","""")&amp;SUBSTITUTE(TEXT(IF(ISTEXT(Overig!J66),Overig!J66,10*Overig!J66),""",""????0;"",""???-0;"",""????0;"", ////"""),"'","""")&amp;SUBSTITUTE(TEXT(Overig!K66,""",""?00;"",""?-00;"",""?00;"", //"""),"'","""")</f>
        <v>044, 19200305, 24.00, 7575, 00, 7560, 00,  290, 00,  280, 00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//"""),"'","""")&amp;SUBSTITUTE(TEXT(IF(ISTEXT(Overig!H67),Overig!H67,10*Overig!H67),""",""????0;"",""???-0;"",""????0;"", ////"""),"'","""")&amp;SUBSTITUTE(TEXT(Overig!I67,""",""?00;"",""?-00;"",""?00;"", //"""),"'","""")&amp;SUBSTITUTE(TEXT(IF(ISTEXT(Overig!J67),Overig!J67,10*Overig!J67),""",""????0;"",""???-0;"",""????0;"", ////"""),"'","""")&amp;SUBSTITUTE(TEXT(Overig!K67,""",""?00;"",""?-00;"",""?00;"", //"""),"'","""")</f>
        <v>044, 19200306, 24.00, 7590, 00, 7565, 00,  290, 00,  280, 00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//"""),"'","""")&amp;SUBSTITUTE(TEXT(IF(ISTEXT(Overig!H68),Overig!H68,10*Overig!H68),""",""????0;"",""???-0;"",""????0;"", ////"""),"'","""")&amp;SUBSTITUTE(TEXT(Overig!I68,""",""?00;"",""?-00;"",""?00;"", //"""),"'","""")&amp;SUBSTITUTE(TEXT(IF(ISTEXT(Overig!J68),Overig!J68,10*Overig!J68),""",""????0;"",""???-0;"",""????0;"", ////"""),"'","""")&amp;SUBSTITUTE(TEXT(Overig!K68,""",""?00;"",""?-00;"",""?00;"", //"""),"'","""")</f>
        <v>044, 19200307, 24.00, 7585, 00, 7570, 00,  285, 00,  280, 00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//"""),"'","""")&amp;SUBSTITUTE(TEXT(IF(ISTEXT(Overig!H69),Overig!H69,10*Overig!H69),""",""????0;"",""???-0;"",""????0;"", ////"""),"'","""")&amp;SUBSTITUTE(TEXT(Overig!I69,""",""?00;"",""?-00;"",""?00;"", //"""),"'","""")&amp;SUBSTITUTE(TEXT(IF(ISTEXT(Overig!J69),Overig!J69,10*Overig!J69),""",""????0;"",""???-0;"",""????0;"", ////"""),"'","""")&amp;SUBSTITUTE(TEXT(Overig!K69,""",""?00;"",""?-00;"",""?00;"", //"""),"'","""")</f>
        <v>044, 19200308, 24.00, 7605, 00, 7590, 00,  280, 00,  275, 00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//"""),"'","""")&amp;SUBSTITUTE(TEXT(IF(ISTEXT(Overig!H70),Overig!H70,10*Overig!H70),""",""????0;"",""???-0;"",""????0;"", ////"""),"'","""")&amp;SUBSTITUTE(TEXT(Overig!I70,""",""?00;"",""?-00;"",""?00;"", //"""),"'","""")&amp;SUBSTITUTE(TEXT(IF(ISTEXT(Overig!J70),Overig!J70,10*Overig!J70),""",""????0;"",""???-0;"",""????0;"", ////"""),"'","""")&amp;SUBSTITUTE(TEXT(Overig!K70,""",""?00;"",""?-00;"",""?00;"", //"""),"'","""")</f>
        <v>044, 19200309, 24.00, 7595, 00, 7580, 00,  285, 00,  270, 00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//"""),"'","""")&amp;SUBSTITUTE(TEXT(IF(ISTEXT(Overig!H71),Overig!H71,10*Overig!H71),""",""????0;"",""???-0;"",""????0;"", ////"""),"'","""")&amp;SUBSTITUTE(TEXT(Overig!I71,""",""?00;"",""?-00;"",""?00;"", //"""),"'","""")&amp;SUBSTITUTE(TEXT(IF(ISTEXT(Overig!J71),Overig!J71,10*Overig!J71),""",""????0;"",""???-0;"",""????0;"", ////"""),"'","""")&amp;SUBSTITUTE(TEXT(Overig!K71,""",""?00;"",""?-00;"",""?00;"", //"""),"'","""")</f>
        <v>044, 19200310, 24.00, 7595, 00, 7570, 00,  280, 00,  275, 00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//"""),"'","""")&amp;SUBSTITUTE(TEXT(IF(ISTEXT(Overig!H72),Overig!H72,10*Overig!H72),""",""????0;"",""???-0;"",""????0;"", ////"""),"'","""")&amp;SUBSTITUTE(TEXT(Overig!I72,""",""?00;"",""?-00;"",""?00;"", //"""),"'","""")&amp;SUBSTITUTE(TEXT(IF(ISTEXT(Overig!J72),Overig!J72,10*Overig!J72),""",""????0;"",""???-0;"",""????0;"", ////"""),"'","""")&amp;SUBSTITUTE(TEXT(Overig!K72,""",""?00;"",""?-00;"",""?00;"", //"""),"'","""")</f>
        <v>044, 19200311, 24.00, 7585, 00, 7570, 00,  280, 00,  270, 00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//"""),"'","""")&amp;SUBSTITUTE(TEXT(IF(ISTEXT(Overig!H73),Overig!H73,10*Overig!H73),""",""????0;"",""???-0;"",""????0;"", ////"""),"'","""")&amp;SUBSTITUTE(TEXT(Overig!I73,""",""?00;"",""?-00;"",""?00;"", //"""),"'","""")&amp;SUBSTITUTE(TEXT(IF(ISTEXT(Overig!J73),Overig!J73,10*Overig!J73),""",""????0;"",""???-0;"",""????0;"", ////"""),"'","""")&amp;SUBSTITUTE(TEXT(Overig!K73,""",""?00;"",""?-00;"",""?00;"", //"""),"'","""")</f>
        <v>044, 19200312, 24.00, 7585, 00, 7565, 00,  285, 00,  275, 00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//"""),"'","""")&amp;SUBSTITUTE(TEXT(IF(ISTEXT(Overig!H74),Overig!H74,10*Overig!H74),""",""????0;"",""???-0;"",""????0;"", ////"""),"'","""")&amp;SUBSTITUTE(TEXT(Overig!I74,""",""?00;"",""?-00;"",""?00;"", //"""),"'","""")&amp;SUBSTITUTE(TEXT(IF(ISTEXT(Overig!J74),Overig!J74,10*Overig!J74),""",""????0;"",""???-0;"",""????0;"", ////"""),"'","""")&amp;SUBSTITUTE(TEXT(Overig!K74,""",""?00;"",""?-00;"",""?00;"", //"""),"'","""")</f>
        <v>044, 19200313, 24.00, 7585, 00, 7560, 00,  280, 00,  275, 00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//"""),"'","""")&amp;SUBSTITUTE(TEXT(IF(ISTEXT(Overig!H75),Overig!H75,10*Overig!H75),""",""????0;"",""???-0;"",""????0;"", ////"""),"'","""")&amp;SUBSTITUTE(TEXT(Overig!I75,""",""?00;"",""?-00;"",""?00;"", //"""),"'","""")&amp;SUBSTITUTE(TEXT(IF(ISTEXT(Overig!J75),Overig!J75,10*Overig!J75),""",""????0;"",""???-0;"",""????0;"", ////"""),"'","""")&amp;SUBSTITUTE(TEXT(Overig!K75,""",""?00;"",""?-00;"",""?00;"", //"""),"'","""")</f>
        <v>044, 19200314, 24.00, 7585, 00, 7560, 00,  280, 00,  275, 00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//"""),"'","""")&amp;SUBSTITUTE(TEXT(IF(ISTEXT(Overig!H76),Overig!H76,10*Overig!H76),""",""????0;"",""???-0;"",""????0;"", ////"""),"'","""")&amp;SUBSTITUTE(TEXT(Overig!I76,""",""?00;"",""?-00;"",""?00;"", //"""),"'","""")&amp;SUBSTITUTE(TEXT(IF(ISTEXT(Overig!J76),Overig!J76,10*Overig!J76),""",""????0;"",""???-0;"",""????0;"", ////"""),"'","""")&amp;SUBSTITUTE(TEXT(Overig!K76,""",""?00;"",""?-00;"",""?00;"", //"""),"'","""")</f>
        <v>044, 19200315, 24.00, 7575, 00, 7560, 00,  280, 00,  275, 00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//"""),"'","""")&amp;SUBSTITUTE(TEXT(IF(ISTEXT(Overig!H77),Overig!H77,10*Overig!H77),""",""????0;"",""???-0;"",""????0;"", ////"""),"'","""")&amp;SUBSTITUTE(TEXT(Overig!I77,""",""?00;"",""?-00;"",""?00;"", //"""),"'","""")&amp;SUBSTITUTE(TEXT(IF(ISTEXT(Overig!J77),Overig!J77,10*Overig!J77),""",""????0;"",""???-0;"",""????0;"", ////"""),"'","""")&amp;SUBSTITUTE(TEXT(Overig!K77,""",""?00;"",""?-00;"",""?00;"", //"""),"'","""")</f>
        <v>044, 19200316, 24.00, 7580, 00, 7565, 00,  290, 00,  270, 00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//"""),"'","""")&amp;SUBSTITUTE(TEXT(IF(ISTEXT(Overig!H78),Overig!H78,10*Overig!H78),""",""????0;"",""???-0;"",""????0;"", ////"""),"'","""")&amp;SUBSTITUTE(TEXT(Overig!I78,""",""?00;"",""?-00;"",""?00;"", //"""),"'","""")&amp;SUBSTITUTE(TEXT(IF(ISTEXT(Overig!J78),Overig!J78,10*Overig!J78),""",""????0;"",""???-0;"",""????0;"", ////"""),"'","""")&amp;SUBSTITUTE(TEXT(Overig!K78,""",""?00;"",""?-00;"",""?00;"", //"""),"'","""")</f>
        <v>044, 19200317, 24.00, 7590, 00, 7580, 00,  285, 00,  280, 00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//"""),"'","""")&amp;SUBSTITUTE(TEXT(IF(ISTEXT(Overig!H79),Overig!H79,10*Overig!H79),""",""????0;"",""???-0;"",""????0;"", ////"""),"'","""")&amp;SUBSTITUTE(TEXT(Overig!I79,""",""?00;"",""?-00;"",""?00;"", //"""),"'","""")&amp;SUBSTITUTE(TEXT(IF(ISTEXT(Overig!J79),Overig!J79,10*Overig!J79),""",""????0;"",""???-0;"",""????0;"", ////"""),"'","""")&amp;SUBSTITUTE(TEXT(Overig!K79,""",""?00;"",""?-00;"",""?00;"", //"""),"'","""")</f>
        <v>044, 19200318, 24.00, 7580, 00, 7560, 00,  280, 00,  270, 00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//"""),"'","""")&amp;SUBSTITUTE(TEXT(IF(ISTEXT(Overig!H80),Overig!H80,10*Overig!H80),""",""????0;"",""???-0;"",""????0;"", ////"""),"'","""")&amp;SUBSTITUTE(TEXT(Overig!I80,""",""?00;"",""?-00;"",""?00;"", //"""),"'","""")&amp;SUBSTITUTE(TEXT(IF(ISTEXT(Overig!J80),Overig!J80,10*Overig!J80),""",""????0;"",""???-0;"",""????0;"", ////"""),"'","""")&amp;SUBSTITUTE(TEXT(Overig!K80,""",""?00;"",""?-00;"",""?00;"", //"""),"'","""")</f>
        <v>044, 19200319, 24.00, 7565, 00, 7540, 00,  280, 00,  270, 00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//"""),"'","""")&amp;SUBSTITUTE(TEXT(IF(ISTEXT(Overig!H81),Overig!H81,10*Overig!H81),""",""????0;"",""???-0;"",""????0;"", ////"""),"'","""")&amp;SUBSTITUTE(TEXT(Overig!I81,""",""?00;"",""?-00;"",""?00;"", //"""),"'","""")&amp;SUBSTITUTE(TEXT(IF(ISTEXT(Overig!J81),Overig!J81,10*Overig!J81),""",""????0;"",""???-0;"",""????0;"", ////"""),"'","""")&amp;SUBSTITUTE(TEXT(Overig!K81,""",""?00;"",""?-00;"",""?00;"", //"""),"'","""")</f>
        <v>044, 19200320, 24.00, 7560, 00, 7545, 00,  290, 00,  270, 00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//"""),"'","""")&amp;SUBSTITUTE(TEXT(IF(ISTEXT(Overig!H82),Overig!H82,10*Overig!H82),""",""????0;"",""???-0;"",""????0;"", ////"""),"'","""")&amp;SUBSTITUTE(TEXT(Overig!I82,""",""?00;"",""?-00;"",""?00;"", //"""),"'","""")&amp;SUBSTITUTE(TEXT(IF(ISTEXT(Overig!J82),Overig!J82,10*Overig!J82),""",""????0;"",""???-0;"",""????0;"", ////"""),"'","""")&amp;SUBSTITUTE(TEXT(Overig!K82,""",""?00;"",""?-00;"",""?00;"", //"""),"'","""")</f>
        <v>044, 19200321, 24.00, 7590, 00, 7580, 00,  290, 00,  280, 00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//"""),"'","""")&amp;SUBSTITUTE(TEXT(IF(ISTEXT(Overig!H83),Overig!H83,10*Overig!H83),""",""????0;"",""???-0;"",""????0;"", ////"""),"'","""")&amp;SUBSTITUTE(TEXT(Overig!I83,""",""?00;"",""?-00;"",""?00;"", //"""),"'","""")&amp;SUBSTITUTE(TEXT(IF(ISTEXT(Overig!J83),Overig!J83,10*Overig!J83),""",""????0;"",""???-0;"",""????0;"", ////"""),"'","""")&amp;SUBSTITUTE(TEXT(Overig!K83,""",""?00;"",""?-00;"",""?00;"", //"""),"'","""")</f>
        <v>044, 19200322, 24.00, 7590, 00, 7580, 00,  290, 00,  280, 00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//"""),"'","""")&amp;SUBSTITUTE(TEXT(IF(ISTEXT(Overig!H84),Overig!H84,10*Overig!H84),""",""????0;"",""???-0;"",""????0;"", ////"""),"'","""")&amp;SUBSTITUTE(TEXT(Overig!I84,""",""?00;"",""?-00;"",""?00;"", //"""),"'","""")&amp;SUBSTITUTE(TEXT(IF(ISTEXT(Overig!J84),Overig!J84,10*Overig!J84),""",""????0;"",""???-0;"",""????0;"", ////"""),"'","""")&amp;SUBSTITUTE(TEXT(Overig!K84,""",""?00;"",""?-00;"",""?00;"", //"""),"'","""")</f>
        <v>044, 19200323, 24.00, 7580, 00, 7570, 00,  285, 00,  270, 00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//"""),"'","""")&amp;SUBSTITUTE(TEXT(IF(ISTEXT(Overig!H85),Overig!H85,10*Overig!H85),""",""????0;"",""???-0;"",""????0;"", ////"""),"'","""")&amp;SUBSTITUTE(TEXT(Overig!I85,""",""?00;"",""?-00;"",""?00;"", //"""),"'","""")&amp;SUBSTITUTE(TEXT(IF(ISTEXT(Overig!J85),Overig!J85,10*Overig!J85),""",""????0;"",""???-0;"",""????0;"", ////"""),"'","""")&amp;SUBSTITUTE(TEXT(Overig!K85,""",""?00;"",""?-00;"",""?00;"", //"""),"'","""")</f>
        <v>044, 19200324, 24.00, 7580, 00, 7550, 00,  280, 00,  275, 00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//"""),"'","""")&amp;SUBSTITUTE(TEXT(IF(ISTEXT(Overig!H86),Overig!H86,10*Overig!H86),""",""????0;"",""???-0;"",""????0;"", ////"""),"'","""")&amp;SUBSTITUTE(TEXT(Overig!I86,""",""?00;"",""?-00;"",""?00;"", //"""),"'","""")&amp;SUBSTITUTE(TEXT(IF(ISTEXT(Overig!J86),Overig!J86,10*Overig!J86),""",""????0;"",""???-0;"",""????0;"", ////"""),"'","""")&amp;SUBSTITUTE(TEXT(Overig!K86,""",""?00;"",""?-00;"",""?00;"", //"""),"'","""")</f>
        <v>044, 19200325, 24.00, 7580, 00, 7575, 00,  280, 00,  270, 00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//"""),"'","""")&amp;SUBSTITUTE(TEXT(IF(ISTEXT(Overig!H87),Overig!H87,10*Overig!H87),""",""????0;"",""???-0;"",""????0;"", ////"""),"'","""")&amp;SUBSTITUTE(TEXT(Overig!I87,""",""?00;"",""?-00;"",""?00;"", //"""),"'","""")&amp;SUBSTITUTE(TEXT(IF(ISTEXT(Overig!J87),Overig!J87,10*Overig!J87),""",""????0;"",""???-0;"",""????0;"", ////"""),"'","""")&amp;SUBSTITUTE(TEXT(Overig!K87,""",""?00;"",""?-00;"",""?00;"", //"""),"'","""")</f>
        <v>044, 19200326, 24.00, 7590, 00, 7580, 00,  280, 00,  270, 00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//"""),"'","""")&amp;SUBSTITUTE(TEXT(IF(ISTEXT(Overig!H88),Overig!H88,10*Overig!H88),""",""????0;"",""???-0;"",""????0;"", ////"""),"'","""")&amp;SUBSTITUTE(TEXT(Overig!I88,""",""?00;"",""?-00;"",""?00;"", //"""),"'","""")&amp;SUBSTITUTE(TEXT(IF(ISTEXT(Overig!J88),Overig!J88,10*Overig!J88),""",""????0;"",""???-0;"",""????0;"", ////"""),"'","""")&amp;SUBSTITUTE(TEXT(Overig!K88,""",""?00;"",""?-00;"",""?00;"", //"""),"'","""")</f>
        <v>044, 19200327, 24.00, 7585, 00, 7555, 00,  285, 00,  270, 00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//"""),"'","""")&amp;SUBSTITUTE(TEXT(IF(ISTEXT(Overig!H89),Overig!H89,10*Overig!H89),""",""????0;"",""???-0;"",""????0;"", ////"""),"'","""")&amp;SUBSTITUTE(TEXT(Overig!I89,""",""?00;"",""?-00;"",""?00;"", //"""),"'","""")&amp;SUBSTITUTE(TEXT(IF(ISTEXT(Overig!J89),Overig!J89,10*Overig!J89),""",""????0;"",""???-0;"",""????0;"", ////"""),"'","""")&amp;SUBSTITUTE(TEXT(Overig!K89,""",""?00;"",""?-00;"",""?00;"", //"""),"'","""")</f>
        <v>044, 19200328, 24.00, 7585, 00, 7555, 00,  285, 00,  270, 00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//"""),"'","""")&amp;SUBSTITUTE(TEXT(IF(ISTEXT(Overig!H90),Overig!H90,10*Overig!H90),""",""????0;"",""???-0;"",""????0;"", ////"""),"'","""")&amp;SUBSTITUTE(TEXT(Overig!I90,""",""?00;"",""?-00;"",""?00;"", //"""),"'","""")&amp;SUBSTITUTE(TEXT(IF(ISTEXT(Overig!J90),Overig!J90,10*Overig!J90),""",""????0;"",""???-0;"",""????0;"", ////"""),"'","""")&amp;SUBSTITUTE(TEXT(Overig!K90,""",""?00;"",""?-00;"",""?00;"", //"""),"'","""")</f>
        <v>044, 19200329, 24.00, 7580, 00, 7560, 00,  280, 00,  280, 00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//"""),"'","""")&amp;SUBSTITUTE(TEXT(IF(ISTEXT(Overig!H91),Overig!H91,10*Overig!H91),""",""????0;"",""???-0;"",""????0;"", ////"""),"'","""")&amp;SUBSTITUTE(TEXT(Overig!I91,""",""?00;"",""?-00;"",""?00;"", //"""),"'","""")&amp;SUBSTITUTE(TEXT(IF(ISTEXT(Overig!J91),Overig!J91,10*Overig!J91),""",""????0;"",""???-0;"",""????0;"", ////"""),"'","""")&amp;SUBSTITUTE(TEXT(Overig!K91,""",""?00;"",""?-00;"",""?00;"", //"""),"'","""")</f>
        <v>044, 19200330, 24.00, 7590, 00, 7565, 00,  280, 00,  270, 00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//"""),"'","""")&amp;SUBSTITUTE(TEXT(IF(ISTEXT(Overig!H92),Overig!H92,10*Overig!H92),""",""????0;"",""???-0;"",""????0;"", ////"""),"'","""")&amp;SUBSTITUTE(TEXT(Overig!I92,""",""?00;"",""?-00;"",""?00;"", //"""),"'","""")&amp;SUBSTITUTE(TEXT(IF(ISTEXT(Overig!J92),Overig!J92,10*Overig!J92),""",""????0;"",""???-0;"",""????0;"", ////"""),"'","""")&amp;SUBSTITUTE(TEXT(Overig!K92,""",""?00;"",""?-00;"",""?00;"", //"""),"'","""")</f>
        <v>044, 19200331, 24.00, 7585, 00, 7565, 00,  285, 00,  280, 00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//"""),"'","""")&amp;SUBSTITUTE(TEXT(IF(ISTEXT(Overig!H93),Overig!H93,10*Overig!H93),""",""????0;"",""???-0;"",""????0;"", ////"""),"'","""")&amp;SUBSTITUTE(TEXT(Overig!I93,""",""?00;"",""?-00;"",""?00;"", //"""),"'","""")&amp;SUBSTITUTE(TEXT(IF(ISTEXT(Overig!J93),Overig!J93,10*Overig!J93),""",""????0;"",""???-0;"",""????0;"", ////"""),"'","""")&amp;SUBSTITUTE(TEXT(Overig!K93,""",""?00;"",""?-00;"",""?00;"", //"""),"'","""")</f>
        <v>044, 19200401, 24.00, 7590, 00, 7570, 00,  280, 00,  280, 00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//"""),"'","""")&amp;SUBSTITUTE(TEXT(IF(ISTEXT(Overig!H94),Overig!H94,10*Overig!H94),""",""????0;"",""???-0;"",""????0;"", ////"""),"'","""")&amp;SUBSTITUTE(TEXT(Overig!I94,""",""?00;"",""?-00;"",""?00;"", //"""),"'","""")&amp;SUBSTITUTE(TEXT(IF(ISTEXT(Overig!J94),Overig!J94,10*Overig!J94),""",""????0;"",""???-0;"",""????0;"", ////"""),"'","""")&amp;SUBSTITUTE(TEXT(Overig!K94,""",""?00;"",""?-00;"",""?00;"", //"""),"'","""")</f>
        <v>044, 19200402, 24.00, 7580, 00, 7570, 00,  280, 00,  280, 00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//"""),"'","""")&amp;SUBSTITUTE(TEXT(IF(ISTEXT(Overig!H95),Overig!H95,10*Overig!H95),""",""????0;"",""???-0;"",""????0;"", ////"""),"'","""")&amp;SUBSTITUTE(TEXT(Overig!I95,""",""?00;"",""?-00;"",""?00;"", //"""),"'","""")&amp;SUBSTITUTE(TEXT(IF(ISTEXT(Overig!J95),Overig!J95,10*Overig!J95),""",""????0;"",""???-0;"",""????0;"", ////"""),"'","""")&amp;SUBSTITUTE(TEXT(Overig!K95,""",""?00;"",""?-00;"",""?00;"", //"""),"'","""")</f>
        <v>044, 19200403, 24.00, 7585, 00, 7560, 00,  280, 00,  270, 00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//"""),"'","""")&amp;SUBSTITUTE(TEXT(IF(ISTEXT(Overig!H96),Overig!H96,10*Overig!H96),""",""????0;"",""???-0;"",""????0;"", ////"""),"'","""")&amp;SUBSTITUTE(TEXT(Overig!I96,""",""?00;"",""?-00;"",""?00;"", //"""),"'","""")&amp;SUBSTITUTE(TEXT(IF(ISTEXT(Overig!J96),Overig!J96,10*Overig!J96),""",""????0;"",""???-0;"",""????0;"", ////"""),"'","""")&amp;SUBSTITUTE(TEXT(Overig!K96,""",""?00;"",""?-00;"",""?00;"", //"""),"'","""")</f>
        <v>044, 19200404, 24.00, 7585, 00, 7560, 00,  280, 00,  270, 00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//"""),"'","""")&amp;SUBSTITUTE(TEXT(IF(ISTEXT(Overig!H97),Overig!H97,10*Overig!H97),""",""????0;"",""???-0;"",""????0;"", ////"""),"'","""")&amp;SUBSTITUTE(TEXT(Overig!I97,""",""?00;"",""?-00;"",""?00;"", //"""),"'","""")&amp;SUBSTITUTE(TEXT(IF(ISTEXT(Overig!J97),Overig!J97,10*Overig!J97),""",""????0;"",""???-0;"",""????0;"", ////"""),"'","""")&amp;SUBSTITUTE(TEXT(Overig!K97,""",""?00;"",""?-00;"",""?00;"", //"""),"'","""")</f>
        <v>044, 19200405, 24.00, 7585, 00, 7560, 00,  280, 00,  270, 00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//"""),"'","""")&amp;SUBSTITUTE(TEXT(IF(ISTEXT(Overig!H98),Overig!H98,10*Overig!H98),""",""????0;"",""???-0;"",""????0;"", ////"""),"'","""")&amp;SUBSTITUTE(TEXT(Overig!I98,""",""?00;"",""?-00;"",""?00;"", //"""),"'","""")&amp;SUBSTITUTE(TEXT(IF(ISTEXT(Overig!J98),Overig!J98,10*Overig!J98),""",""????0;"",""???-0;"",""????0;"", ////"""),"'","""")&amp;SUBSTITUTE(TEXT(Overig!K98,""",""?00;"",""?-00;"",""?00;"", //"""),"'","""")</f>
        <v>044, 19200406, 24.00, 7575, 00, 7565, 00,  285, 00,  280, 00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//"""),"'","""")&amp;SUBSTITUTE(TEXT(IF(ISTEXT(Overig!H99),Overig!H99,10*Overig!H99),""",""????0;"",""???-0;"",""????0;"", ////"""),"'","""")&amp;SUBSTITUTE(TEXT(Overig!I99,""",""?00;"",""?-00;"",""?00;"", //"""),"'","""")&amp;SUBSTITUTE(TEXT(IF(ISTEXT(Overig!J99),Overig!J99,10*Overig!J99),""",""????0;"",""???-0;"",""????0;"", ////"""),"'","""")&amp;SUBSTITUTE(TEXT(Overig!K99,""",""?00;"",""?-00;"",""?00;"", //"""),"'","""")</f>
        <v>044, 19200407, 24.00, 7575, 00, 7550, 00,  280, 00,  275, 00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//"""),"'","""")&amp;SUBSTITUTE(TEXT(IF(ISTEXT(Overig!H100),Overig!H100,10*Overig!H100),""",""????0;"",""???-0;"",""????0;"", ////"""),"'","""")&amp;SUBSTITUTE(TEXT(Overig!I100,""",""?00;"",""?-00;"",""?00;"", //"""),"'","""")&amp;SUBSTITUTE(TEXT(IF(ISTEXT(Overig!J100),Overig!J100,10*Overig!J100),""",""????0;"",""???-0;"",""????0;"", ////"""),"'","""")&amp;SUBSTITUTE(TEXT(Overig!K100,""",""?00;"",""?-00;"",""?00;"", //"""),"'","""")</f>
        <v>044, 19200408, 24.00, 7570, 00, 7545, 00,  280, 00,  280, 00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//"""),"'","""")&amp;SUBSTITUTE(TEXT(IF(ISTEXT(Overig!H101),Overig!H101,10*Overig!H101),""",""????0;"",""???-0;"",""????0;"", ////"""),"'","""")&amp;SUBSTITUTE(TEXT(Overig!I101,""",""?00;"",""?-00;"",""?00;"", //"""),"'","""")&amp;SUBSTITUTE(TEXT(IF(ISTEXT(Overig!J101),Overig!J101,10*Overig!J101),""",""????0;"",""???-0;"",""????0;"", ////"""),"'","""")&amp;SUBSTITUTE(TEXT(Overig!K101,""",""?00;"",""?-00;"",""?00;"", //"""),"'","""")</f>
        <v>044, 19200409, 24.00, 7565, 00, 7545, 00,  280, 00,  270, 00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//"""),"'","""")&amp;SUBSTITUTE(TEXT(IF(ISTEXT(Overig!H102),Overig!H102,10*Overig!H102),""",""????0;"",""???-0;"",""????0;"", ////"""),"'","""")&amp;SUBSTITUTE(TEXT(Overig!I102,""",""?00;"",""?-00;"",""?00;"", //"""),"'","""")&amp;SUBSTITUTE(TEXT(IF(ISTEXT(Overig!J102),Overig!J102,10*Overig!J102),""",""????0;"",""???-0;"",""????0;"", ////"""),"'","""")&amp;SUBSTITUTE(TEXT(Overig!K102,""",""?00;"",""?-00;"",""?00;"", //"""),"'","""")</f>
        <v>044, 19200410, 24.00, 7565, 00, 7545, 00,  290, 00,  270, 00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//"""),"'","""")&amp;SUBSTITUTE(TEXT(IF(ISTEXT(Overig!H103),Overig!H103,10*Overig!H103),""",""????0;"",""???-0;"",""????0;"", ////"""),"'","""")&amp;SUBSTITUTE(TEXT(Overig!I103,""",""?00;"",""?-00;"",""?00;"", //"""),"'","""")&amp;SUBSTITUTE(TEXT(IF(ISTEXT(Overig!J103),Overig!J103,10*Overig!J103),""",""????0;"",""???-0;"",""????0;"", ////"""),"'","""")&amp;SUBSTITUTE(TEXT(Overig!K103,""",""?00;"",""?-00;"",""?00;"", //"""),"'","""")</f>
        <v>044, 19200411, 24.00, 7545, 00, 7545, 00,  290, 00,  270, 00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//"""),"'","""")&amp;SUBSTITUTE(TEXT(IF(ISTEXT(Overig!H104),Overig!H104,10*Overig!H104),""",""????0;"",""???-0;"",""????0;"", ////"""),"'","""")&amp;SUBSTITUTE(TEXT(Overig!I104,""",""?00;"",""?-00;"",""?00;"", //"""),"'","""")&amp;SUBSTITUTE(TEXT(IF(ISTEXT(Overig!J104),Overig!J104,10*Overig!J104),""",""????0;"",""???-0;"",""????0;"", ////"""),"'","""")&amp;SUBSTITUTE(TEXT(Overig!K104,""",""?00;"",""?-00;"",""?00;"", //"""),"'","""")</f>
        <v>044, 19200412, 24.00, 7565, 00, 7540, 00,  290, 00,  270, 00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//"""),"'","""")&amp;SUBSTITUTE(TEXT(IF(ISTEXT(Overig!H105),Overig!H105,10*Overig!H105),""",""????0;"",""???-0;"",""????0;"", ////"""),"'","""")&amp;SUBSTITUTE(TEXT(Overig!I105,""",""?00;"",""?-00;"",""?00;"", //"""),"'","""")&amp;SUBSTITUTE(TEXT(IF(ISTEXT(Overig!J105),Overig!J105,10*Overig!J105),""",""????0;"",""???-0;"",""????0;"", ////"""),"'","""")&amp;SUBSTITUTE(TEXT(Overig!K105,""",""?00;"",""?-00;"",""?00;"", //"""),"'","""")</f>
        <v>044, 19200413, 24.00, 7565, 00, 7545, 00,  290, 00,  280, 00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//"""),"'","""")&amp;SUBSTITUTE(TEXT(IF(ISTEXT(Overig!H106),Overig!H106,10*Overig!H106),""",""????0;"",""???-0;"",""????0;"", ////"""),"'","""")&amp;SUBSTITUTE(TEXT(Overig!I106,""",""?00;"",""?-00;"",""?00;"", //"""),"'","""")&amp;SUBSTITUTE(TEXT(IF(ISTEXT(Overig!J106),Overig!J106,10*Overig!J106),""",""????0;"",""???-0;"",""????0;"", ////"""),"'","""")&amp;SUBSTITUTE(TEXT(Overig!K106,""",""?00;"",""?-00;"",""?00;"", //"""),"'","""")</f>
        <v>044, 19200414, 24.00, 7565, 00, 7550, 00,  285, 00,  270, 00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//"""),"'","""")&amp;SUBSTITUTE(TEXT(IF(ISTEXT(Overig!H107),Overig!H107,10*Overig!H107),""",""????0;"",""???-0;"",""????0;"", ////"""),"'","""")&amp;SUBSTITUTE(TEXT(Overig!I107,""",""?00;"",""?-00;"",""?00;"", //"""),"'","""")&amp;SUBSTITUTE(TEXT(IF(ISTEXT(Overig!J107),Overig!J107,10*Overig!J107),""",""????0;"",""???-0;"",""????0;"", ////"""),"'","""")&amp;SUBSTITUTE(TEXT(Overig!K107,""",""?00;"",""?-00;"",""?00;"", //"""),"'","""")</f>
        <v>044, 19200415, 24.00, 7570, 00, 7550, 00,  285, 00,  270, 00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//"""),"'","""")&amp;SUBSTITUTE(TEXT(IF(ISTEXT(Overig!H108),Overig!H108,10*Overig!H108),""",""????0;"",""???-0;"",""????0;"", ////"""),"'","""")&amp;SUBSTITUTE(TEXT(Overig!I108,""",""?00;"",""?-00;"",""?00;"", //"""),"'","""")&amp;SUBSTITUTE(TEXT(IF(ISTEXT(Overig!J108),Overig!J108,10*Overig!J108),""",""????0;"",""???-0;"",""????0;"", ////"""),"'","""")&amp;SUBSTITUTE(TEXT(Overig!K108,""",""?00;"",""?-00;"",""?00;"", //"""),"'","""")</f>
        <v>044, 19200416, 24.00, 7575, 00, 7550, 00,  280, 00,  270, 00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//"""),"'","""")&amp;SUBSTITUTE(TEXT(IF(ISTEXT(Overig!H109),Overig!H109,10*Overig!H109),""",""????0;"",""???-0;"",""????0;"", ////"""),"'","""")&amp;SUBSTITUTE(TEXT(Overig!I109,""",""?00;"",""?-00;"",""?00;"", //"""),"'","""")&amp;SUBSTITUTE(TEXT(IF(ISTEXT(Overig!J109),Overig!J109,10*Overig!J109),""",""????0;"",""???-0;"",""????0;"", ////"""),"'","""")&amp;SUBSTITUTE(TEXT(Overig!K109,""",""?00;"",""?-00;"",""?00;"", //"""),"'","""")</f>
        <v>044, 19200417, 24.00, 7570, 00, 7545, 00,  280, 00,  270, 00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//"""),"'","""")&amp;SUBSTITUTE(TEXT(IF(ISTEXT(Overig!H110),Overig!H110,10*Overig!H110),""",""????0;"",""???-0;"",""????0;"", ////"""),"'","""")&amp;SUBSTITUTE(TEXT(Overig!I110,""",""?00;"",""?-00;"",""?00;"", //"""),"'","""")&amp;SUBSTITUTE(TEXT(IF(ISTEXT(Overig!J110),Overig!J110,10*Overig!J110),""",""????0;"",""???-0;"",""????0;"", ////"""),"'","""")&amp;SUBSTITUTE(TEXT(Overig!K110,""",""?00;"",""?-00;"",""?00;"", //"""),"'","""")</f>
        <v>044, 19200418, 24.00, 7570, 00, 7545, 00,  280, 00,  270, 00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//"""),"'","""")&amp;SUBSTITUTE(TEXT(IF(ISTEXT(Overig!H111),Overig!H111,10*Overig!H111),""",""????0;"",""???-0;"",""????0;"", ////"""),"'","""")&amp;SUBSTITUTE(TEXT(Overig!I111,""",""?00;"",""?-00;"",""?00;"", //"""),"'","""")&amp;SUBSTITUTE(TEXT(IF(ISTEXT(Overig!J111),Overig!J111,10*Overig!J111),""",""????0;"",""???-0;"",""????0;"", ////"""),"'","""")&amp;SUBSTITUTE(TEXT(Overig!K111,""",""?00;"",""?-00;"",""?00;"", //"""),"'","""")</f>
        <v>044, 19200419, 24.00, 7565, 00, 7550, 00,  280, 00,  270, 00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//"""),"'","""")&amp;SUBSTITUTE(TEXT(IF(ISTEXT(Overig!H112),Overig!H112,10*Overig!H112),""",""????0;"",""???-0;"",""????0;"", ////"""),"'","""")&amp;SUBSTITUTE(TEXT(Overig!I112,""",""?00;"",""?-00;"",""?00;"", //"""),"'","""")&amp;SUBSTITUTE(TEXT(IF(ISTEXT(Overig!J112),Overig!J112,10*Overig!J112),""",""????0;"",""???-0;"",""????0;"", ////"""),"'","""")&amp;SUBSTITUTE(TEXT(Overig!K112,""",""?00;"",""?-00;"",""?00;"", //"""),"'","""")</f>
        <v>044, 19200420, 24.00, 7575, 00, 7560, 00,  290, 00,  280, 00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//"""),"'","""")&amp;SUBSTITUTE(TEXT(IF(ISTEXT(Overig!H113),Overig!H113,10*Overig!H113),""",""????0;"",""???-0;"",""????0;"", ////"""),"'","""")&amp;SUBSTITUTE(TEXT(Overig!I113,""",""?00;"",""?-00;"",""?00;"", //"""),"'","""")&amp;SUBSTITUTE(TEXT(IF(ISTEXT(Overig!J113),Overig!J113,10*Overig!J113),""",""????0;"",""???-0;"",""????0;"", ////"""),"'","""")&amp;SUBSTITUTE(TEXT(Overig!K113,""",""?00;"",""?-00;"",""?00;"", //"""),"'","""")</f>
        <v>044, 19200421, 24.00, 7595, 00, 7570, 00,  290, 00,  280, 00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//"""),"'","""")&amp;SUBSTITUTE(TEXT(IF(ISTEXT(Overig!H114),Overig!H114,10*Overig!H114),""",""????0;"",""???-0;"",""????0;"", ////"""),"'","""")&amp;SUBSTITUTE(TEXT(Overig!I114,""",""?00;"",""?-00;"",""?00;"", //"""),"'","""")&amp;SUBSTITUTE(TEXT(IF(ISTEXT(Overig!J114),Overig!J114,10*Overig!J114),""",""????0;"",""???-0;"",""????0;"", ////"""),"'","""")&amp;SUBSTITUTE(TEXT(Overig!K114,""",""?00;"",""?-00;"",""?00;"", //"""),"'","""")</f>
        <v>044, 19200422, 24.00, 7590, 00, 7585, 00,  290, 00,  280, 00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//"""),"'","""")&amp;SUBSTITUTE(TEXT(IF(ISTEXT(Overig!H115),Overig!H115,10*Overig!H115),""",""????0;"",""???-0;"",""????0;"", ////"""),"'","""")&amp;SUBSTITUTE(TEXT(Overig!I115,""",""?00;"",""?-00;"",""?00;"", //"""),"'","""")&amp;SUBSTITUTE(TEXT(IF(ISTEXT(Overig!J115),Overig!J115,10*Overig!J115),""",""????0;"",""???-0;"",""????0;"", ////"""),"'","""")&amp;SUBSTITUTE(TEXT(Overig!K115,""",""?00;"",""?-00;"",""?00;"", //"""),"'","""")</f>
        <v>044, 19200423, 24.00, 7585, 00, 7565, 00,  290, 00,  280, 00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//"""),"'","""")&amp;SUBSTITUTE(TEXT(IF(ISTEXT(Overig!H116),Overig!H116,10*Overig!H116),""",""????0;"",""???-0;"",""????0;"", ////"""),"'","""")&amp;SUBSTITUTE(TEXT(Overig!I116,""",""?00;"",""?-00;"",""?00;"", //"""),"'","""")&amp;SUBSTITUTE(TEXT(IF(ISTEXT(Overig!J116),Overig!J116,10*Overig!J116),""",""????0;"",""???-0;"",""????0;"", ////"""),"'","""")&amp;SUBSTITUTE(TEXT(Overig!K116,""",""?00;"",""?-00;"",""?00;"", //"""),"'","""")</f>
        <v>044, 19200424, 24.00, 7595, 00, 7565, 00,  290, 00,  280, 00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//"""),"'","""")&amp;SUBSTITUTE(TEXT(IF(ISTEXT(Overig!H117),Overig!H117,10*Overig!H117),""",""????0;"",""???-0;"",""????0;"", ////"""),"'","""")&amp;SUBSTITUTE(TEXT(Overig!I117,""",""?00;"",""?-00;"",""?00;"", //"""),"'","""")&amp;SUBSTITUTE(TEXT(IF(ISTEXT(Overig!J117),Overig!J117,10*Overig!J117),""",""????0;"",""???-0;"",""????0;"", ////"""),"'","""")&amp;SUBSTITUTE(TEXT(Overig!K117,""",""?00;"",""?-00;"",""?00;"", //"""),"'","""")</f>
        <v>044, 19200425, 24.00, 7595, 00, 7565, 00,  290, 00,  280, 00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//"""),"'","""")&amp;SUBSTITUTE(TEXT(IF(ISTEXT(Overig!H118),Overig!H118,10*Overig!H118),""",""????0;"",""???-0;"",""????0;"", ////"""),"'","""")&amp;SUBSTITUTE(TEXT(Overig!I118,""",""?00;"",""?-00;"",""?00;"", //"""),"'","""")&amp;SUBSTITUTE(TEXT(IF(ISTEXT(Overig!J118),Overig!J118,10*Overig!J118),""",""????0;"",""???-0;"",""????0;"", ////"""),"'","""")&amp;SUBSTITUTE(TEXT(Overig!K118,""",""?00;"",""?-00;"",""?00;"", //"""),"'","""")</f>
        <v>044, 19200426, 24.00, 7585, 00, 7585, 00,  280, 00,  270, 00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//"""),"'","""")&amp;SUBSTITUTE(TEXT(IF(ISTEXT(Overig!H119),Overig!H119,10*Overig!H119),""",""????0;"",""???-0;"",""????0;"", ////"""),"'","""")&amp;SUBSTITUTE(TEXT(Overig!I119,""",""?00;"",""?-00;"",""?00;"", //"""),"'","""")&amp;SUBSTITUTE(TEXT(IF(ISTEXT(Overig!J119),Overig!J119,10*Overig!J119),""",""????0;"",""???-0;"",""????0;"", ////"""),"'","""")&amp;SUBSTITUTE(TEXT(Overig!K119,""",""?00;"",""?-00;"",""?00;"", //"""),"'","""")</f>
        <v>044, 19200427, 24.00, 7585, 00, 7555, 00,  285, 00,  280, 00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//"""),"'","""")&amp;SUBSTITUTE(TEXT(IF(ISTEXT(Overig!H120),Overig!H120,10*Overig!H120),""",""????0;"",""???-0;"",""????0;"", ////"""),"'","""")&amp;SUBSTITUTE(TEXT(Overig!I120,""",""?00;"",""?-00;"",""?00;"", //"""),"'","""")&amp;SUBSTITUTE(TEXT(IF(ISTEXT(Overig!J120),Overig!J120,10*Overig!J120),""",""????0;"",""???-0;"",""????0;"", ////"""),"'","""")&amp;SUBSTITUTE(TEXT(Overig!K120,""",""?00;"",""?-00;"",""?00;"", //"""),"'","""")</f>
        <v>044, 19200428, 24.00, 7580, 00, 7555, 00,  290, 00,  280, 00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//"""),"'","""")&amp;SUBSTITUTE(TEXT(IF(ISTEXT(Overig!H121),Overig!H121,10*Overig!H121),""",""????0;"",""???-0;"",""????0;"", ////"""),"'","""")&amp;SUBSTITUTE(TEXT(Overig!I121,""",""?00;"",""?-00;"",""?00;"", //"""),"'","""")&amp;SUBSTITUTE(TEXT(IF(ISTEXT(Overig!J121),Overig!J121,10*Overig!J121),""",""????0;"",""???-0;"",""????0;"", ////"""),"'","""")&amp;SUBSTITUTE(TEXT(Overig!K121,""",""?00;"",""?-00;"",""?00;"", //"""),"'","""")</f>
        <v>044, 19200429, 24.00, 7570, 00, 7550, 00,  290, 00,  280, 00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//"""),"'","""")&amp;SUBSTITUTE(TEXT(IF(ISTEXT(Overig!H122),Overig!H122,10*Overig!H122),""",""????0;"",""???-0;"",""????0;"", ////"""),"'","""")&amp;SUBSTITUTE(TEXT(Overig!I122,""",""?00;"",""?-00;"",""?00;"", //"""),"'","""")&amp;SUBSTITUTE(TEXT(IF(ISTEXT(Overig!J122),Overig!J122,10*Overig!J122),""",""????0;"",""???-0;"",""????0;"", ////"""),"'","""")&amp;SUBSTITUTE(TEXT(Overig!K122,""",""?00;"",""?-00;"",""?00;"", //"""),"'","""")</f>
        <v>044, 19200430, 24.00, 7595, 00, 7575, 00,  290, 00,  280, 00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//"""),"'","""")&amp;SUBSTITUTE(TEXT(IF(ISTEXT(Overig!H123),Overig!H123,10*Overig!H123),""",""????0;"",""???-0;"",""????0;"", ////"""),"'","""")&amp;SUBSTITUTE(TEXT(Overig!I123,""",""?00;"",""?-00;"",""?00;"", //"""),"'","""")&amp;SUBSTITUTE(TEXT(IF(ISTEXT(Overig!J123),Overig!J123,10*Overig!J123),""",""????0;"",""???-0;"",""????0;"", ////"""),"'","""")&amp;SUBSTITUTE(TEXT(Overig!K123,""",""?00;"",""?-00;"",""?00;"", //"""),"'","""")</f>
        <v>044, 19200501, 24.00, 7575, 00, 7555, 00,  290, 00,  280, 00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//"""),"'","""")&amp;SUBSTITUTE(TEXT(IF(ISTEXT(Overig!H124),Overig!H124,10*Overig!H124),""",""????0;"",""???-0;"",""????0;"", ////"""),"'","""")&amp;SUBSTITUTE(TEXT(Overig!I124,""",""?00;"",""?-00;"",""?00;"", //"""),"'","""")&amp;SUBSTITUTE(TEXT(IF(ISTEXT(Overig!J124),Overig!J124,10*Overig!J124),""",""????0;"",""???-0;"",""????0;"", ////"""),"'","""")&amp;SUBSTITUTE(TEXT(Overig!K124,""",""?00;"",""?-00;"",""?00;"", //"""),"'","""")</f>
        <v>044, 19200502, 24.00, 7580, 00, 7560, 00,  295, 00,  290, 00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//"""),"'","""")&amp;SUBSTITUTE(TEXT(IF(ISTEXT(Overig!H125),Overig!H125,10*Overig!H125),""",""????0;"",""???-0;"",""????0;"", ////"""),"'","""")&amp;SUBSTITUTE(TEXT(Overig!I125,""",""?00;"",""?-00;"",""?00;"", //"""),"'","""")&amp;SUBSTITUTE(TEXT(IF(ISTEXT(Overig!J125),Overig!J125,10*Overig!J125),""",""????0;"",""???-0;"",""????0;"", ////"""),"'","""")&amp;SUBSTITUTE(TEXT(Overig!K125,""",""?00;"",""?-00;"",""?00;"", //"""),"'","""")</f>
        <v>044, 19200503, 24.00, 7555, 00, 7545, 00,  290, 00,  280, 00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//"""),"'","""")&amp;SUBSTITUTE(TEXT(IF(ISTEXT(Overig!H126),Overig!H126,10*Overig!H126),""",""????0;"",""???-0;"",""????0;"", ////"""),"'","""")&amp;SUBSTITUTE(TEXT(Overig!I126,""",""?00;"",""?-00;"",""?00;"", //"""),"'","""")&amp;SUBSTITUTE(TEXT(IF(ISTEXT(Overig!J126),Overig!J126,10*Overig!J126),""",""????0;"",""???-0;"",""????0;"", ////"""),"'","""")&amp;SUBSTITUTE(TEXT(Overig!K126,""",""?00;"",""?-00;"",""?00;"", //"""),"'","""")</f>
        <v>044, 19200504, 24.00, 7570, 00, 7555, 00,  290, 00,  280, 00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//"""),"'","""")&amp;SUBSTITUTE(TEXT(IF(ISTEXT(Overig!H127),Overig!H127,10*Overig!H127),""",""????0;"",""???-0;"",""????0;"", ////"""),"'","""")&amp;SUBSTITUTE(TEXT(Overig!I127,""",""?00;"",""?-00;"",""?00;"", //"""),"'","""")&amp;SUBSTITUTE(TEXT(IF(ISTEXT(Overig!J127),Overig!J127,10*Overig!J127),""",""????0;"",""???-0;"",""????0;"", ////"""),"'","""")&amp;SUBSTITUTE(TEXT(Overig!K127,""",""?00;"",""?-00;"",""?00;"", //"""),"'","""")</f>
        <v>044, 19200505, 24.00, 7575, 00, 7565, 00,  290, 00,  280, 00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//"""),"'","""")&amp;SUBSTITUTE(TEXT(IF(ISTEXT(Overig!H128),Overig!H128,10*Overig!H128),""",""????0;"",""???-0;"",""????0;"", ////"""),"'","""")&amp;SUBSTITUTE(TEXT(Overig!I128,""",""?00;"",""?-00;"",""?00;"", //"""),"'","""")&amp;SUBSTITUTE(TEXT(IF(ISTEXT(Overig!J128),Overig!J128,10*Overig!J128),""",""????0;"",""???-0;"",""????0;"", ////"""),"'","""")&amp;SUBSTITUTE(TEXT(Overig!K128,""",""?00;"",""?-00;"",""?00;"", //"""),"'","""")</f>
        <v>044, 19200506, 24.00, 7575, 00, 7550, 00,  290, 00,  280, 00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//"""),"'","""")&amp;SUBSTITUTE(TEXT(IF(ISTEXT(Overig!H129),Overig!H129,10*Overig!H129),""",""????0;"",""???-0;"",""????0;"", ////"""),"'","""")&amp;SUBSTITUTE(TEXT(Overig!I129,""",""?00;"",""?-00;"",""?00;"", //"""),"'","""")&amp;SUBSTITUTE(TEXT(IF(ISTEXT(Overig!J129),Overig!J129,10*Overig!J129),""",""????0;"",""???-0;"",""????0;"", ////"""),"'","""")&amp;SUBSTITUTE(TEXT(Overig!K129,""",""?00;"",""?-00;"",""?00;"", //"""),"'","""")</f>
        <v>044, 19200507, 24.00, 7575, 00, 7555, 00,  290, 00,  280, 00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//"""),"'","""")&amp;SUBSTITUTE(TEXT(IF(ISTEXT(Overig!H130),Overig!H130,10*Overig!H130),""",""????0;"",""???-0;"",""????0;"", ////"""),"'","""")&amp;SUBSTITUTE(TEXT(Overig!I130,""",""?00;"",""?-00;"",""?00;"", //"""),"'","""")&amp;SUBSTITUTE(TEXT(IF(ISTEXT(Overig!J130),Overig!J130,10*Overig!J130),""",""????0;"",""???-0;"",""????0;"", ////"""),"'","""")&amp;SUBSTITUTE(TEXT(Overig!K130,""",""?00;"",""?-00;"",""?00;"", //"""),"'","""")</f>
        <v>044, 19200508, 24.00, 7580, 00, 7550, 00,  290, 00,  280, 00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//"""),"'","""")&amp;SUBSTITUTE(TEXT(IF(ISTEXT(Overig!H131),Overig!H131,10*Overig!H131),""",""????0;"",""???-0;"",""????0;"", ////"""),"'","""")&amp;SUBSTITUTE(TEXT(Overig!I131,""",""?00;"",""?-00;"",""?00;"", //"""),"'","""")&amp;SUBSTITUTE(TEXT(IF(ISTEXT(Overig!J131),Overig!J131,10*Overig!J131),""",""????0;"",""???-0;"",""????0;"", ////"""),"'","""")&amp;SUBSTITUTE(TEXT(Overig!K131,""",""?00;"",""?-00;"",""?00;"", //"""),"'","""")</f>
        <v>044, 19200509, 24.00, 7580, 00, 7550, 00,  290, 00,  280, 00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//"""),"'","""")&amp;SUBSTITUTE(TEXT(IF(ISTEXT(Overig!H132),Overig!H132,10*Overig!H132),""",""????0;"",""???-0;"",""????0;"", ////"""),"'","""")&amp;SUBSTITUTE(TEXT(Overig!I132,""",""?00;"",""?-00;"",""?00;"", //"""),"'","""")&amp;SUBSTITUTE(TEXT(IF(ISTEXT(Overig!J132),Overig!J132,10*Overig!J132),""",""????0;"",""???-0;"",""????0;"", ////"""),"'","""")&amp;SUBSTITUTE(TEXT(Overig!K132,""",""?00;"",""?-00;"",""?00;"", //"""),"'","""")</f>
        <v>044, 19200510, 24.00, 7575, 00, 7560, 00,  290, 00,  280, 00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//"""),"'","""")&amp;SUBSTITUTE(TEXT(IF(ISTEXT(Overig!H133),Overig!H133,10*Overig!H133),""",""????0;"",""???-0;"",""????0;"", ////"""),"'","""")&amp;SUBSTITUTE(TEXT(Overig!I133,""",""?00;"",""?-00;"",""?00;"", //"""),"'","""")&amp;SUBSTITUTE(TEXT(IF(ISTEXT(Overig!J133),Overig!J133,10*Overig!J133),""",""????0;"",""???-0;"",""????0;"", ////"""),"'","""")&amp;SUBSTITUTE(TEXT(Overig!K133,""",""?00;"",""?-00;"",""?00;"", //"""),"'","""")</f>
        <v>044, 19200511, 24.00, 7570, 00, 7550, 00,  290, 00,  280, 00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//"""),"'","""")&amp;SUBSTITUTE(TEXT(IF(ISTEXT(Overig!H134),Overig!H134,10*Overig!H134),""",""????0;"",""???-0;"",""????0;"", ////"""),"'","""")&amp;SUBSTITUTE(TEXT(Overig!I134,""",""?00;"",""?-00;"",""?00;"", //"""),"'","""")&amp;SUBSTITUTE(TEXT(IF(ISTEXT(Overig!J134),Overig!J134,10*Overig!J134),""",""????0;"",""???-0;"",""????0;"", ////"""),"'","""")&amp;SUBSTITUTE(TEXT(Overig!K134,""",""?00;"",""?-00;"",""?00;"", //"""),"'","""")</f>
        <v>044, 19200512, 24.00, 7575, 00, 7550, 00,  290, 00,  270, 00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//"""),"'","""")&amp;SUBSTITUTE(TEXT(IF(ISTEXT(Overig!H135),Overig!H135,10*Overig!H135),""",""????0;"",""???-0;"",""????0;"", ////"""),"'","""")&amp;SUBSTITUTE(TEXT(Overig!I135,""",""?00;"",""?-00;"",""?00;"", //"""),"'","""")&amp;SUBSTITUTE(TEXT(IF(ISTEXT(Overig!J135),Overig!J135,10*Overig!J135),""",""????0;"",""???-0;"",""????0;"", ////"""),"'","""")&amp;SUBSTITUTE(TEXT(Overig!K135,""",""?00;"",""?-00;"",""?00;"", //"""),"'","""")</f>
        <v>044, 19200513, 24.00, 7575, 00, 7550, 00,  290, 00,  270, 00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//"""),"'","""")&amp;SUBSTITUTE(TEXT(IF(ISTEXT(Overig!H136),Overig!H136,10*Overig!H136),""",""????0;"",""???-0;"",""????0;"", ////"""),"'","""")&amp;SUBSTITUTE(TEXT(Overig!I136,""",""?00;"",""?-00;"",""?00;"", //"""),"'","""")&amp;SUBSTITUTE(TEXT(IF(ISTEXT(Overig!J136),Overig!J136,10*Overig!J136),""",""????0;"",""???-0;"",""????0;"", ////"""),"'","""")&amp;SUBSTITUTE(TEXT(Overig!K136,""",""?00;"",""?-00;"",""?00;"", //"""),"'","""")</f>
        <v>044, 19200514, 24.00, 7560, 00, 7545, 00,  280, 00,  260, 00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//"""),"'","""")&amp;SUBSTITUTE(TEXT(IF(ISTEXT(Overig!H137),Overig!H137,10*Overig!H137),""",""????0;"",""???-0;"",""????0;"", ////"""),"'","""")&amp;SUBSTITUTE(TEXT(Overig!I137,""",""?00;"",""?-00;"",""?00;"", //"""),"'","""")&amp;SUBSTITUTE(TEXT(IF(ISTEXT(Overig!J137),Overig!J137,10*Overig!J137),""",""????0;"",""???-0;"",""????0;"", ////"""),"'","""")&amp;SUBSTITUTE(TEXT(Overig!K137,""",""?00;"",""?-00;"",""?00;"", //"""),"'","""")</f>
        <v>044, 19200515, 24.00, 7565, 00, 7550, 00,  280, 00,  260, 00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//"""),"'","""")&amp;SUBSTITUTE(TEXT(IF(ISTEXT(Overig!H138),Overig!H138,10*Overig!H138),""",""????0;"",""???-0;"",""????0;"", ////"""),"'","""")&amp;SUBSTITUTE(TEXT(Overig!I138,""",""?00;"",""?-00;"",""?00;"", //"""),"'","""")&amp;SUBSTITUTE(TEXT(IF(ISTEXT(Overig!J138),Overig!J138,10*Overig!J138),""",""????0;"",""???-0;"",""????0;"", ////"""),"'","""")&amp;SUBSTITUTE(TEXT(Overig!K138,""",""?00;"",""?-00;"",""?00;"", //"""),"'","""")</f>
        <v>044, 19200516, 24.00, 7565, 00, 7550, 00,  280, 00,  260, 00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//"""),"'","""")&amp;SUBSTITUTE(TEXT(IF(ISTEXT(Overig!H139),Overig!H139,10*Overig!H139),""",""????0;"",""???-0;"",""????0;"", ////"""),"'","""")&amp;SUBSTITUTE(TEXT(Overig!I139,""",""?00;"",""?-00;"",""?00;"", //"""),"'","""")&amp;SUBSTITUTE(TEXT(IF(ISTEXT(Overig!J139),Overig!J139,10*Overig!J139),""",""????0;"",""???-0;"",""????0;"", ////"""),"'","""")&amp;SUBSTITUTE(TEXT(Overig!K139,""",""?00;"",""?-00;"",""?00;"", //"""),"'","""")</f>
        <v>044, 19200517, 24.00, 7565, 00, 7540, 00,  285, 00,  280, 00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//"""),"'","""")&amp;SUBSTITUTE(TEXT(IF(ISTEXT(Overig!H140),Overig!H140,10*Overig!H140),""",""????0;"",""???-0;"",""????0;"", ////"""),"'","""")&amp;SUBSTITUTE(TEXT(Overig!I140,""",""?00;"",""?-00;"",""?00;"", //"""),"'","""")&amp;SUBSTITUTE(TEXT(IF(ISTEXT(Overig!J140),Overig!J140,10*Overig!J140),""",""????0;"",""???-0;"",""????0;"", ////"""),"'","""")&amp;SUBSTITUTE(TEXT(Overig!K140,""",""?00;"",""?-00;"",""?00;"", //"""),"'","""")</f>
        <v>044, 19200518, 24.00, 7560, 00, 7550, 00,  290, 00,  280, 00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//"""),"'","""")&amp;SUBSTITUTE(TEXT(IF(ISTEXT(Overig!H141),Overig!H141,10*Overig!H141),""",""????0;"",""???-0;"",""????0;"", ////"""),"'","""")&amp;SUBSTITUTE(TEXT(Overig!I141,""",""?00;"",""?-00;"",""?00;"", //"""),"'","""")&amp;SUBSTITUTE(TEXT(IF(ISTEXT(Overig!J141),Overig!J141,10*Overig!J141),""",""????0;"",""???-0;"",""????0;"", ////"""),"'","""")&amp;SUBSTITUTE(TEXT(Overig!K141,""",""?00;"",""?-00;"",""?00;"", //"""),"'","""")</f>
        <v>044, 19200519, 24.00, 7565, 00, 7550, 00,  295, 00,  290, 00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//"""),"'","""")&amp;SUBSTITUTE(TEXT(IF(ISTEXT(Overig!H142),Overig!H142,10*Overig!H142),""",""????0;"",""???-0;"",""????0;"", ////"""),"'","""")&amp;SUBSTITUTE(TEXT(Overig!I142,""",""?00;"",""?-00;"",""?00;"", //"""),"'","""")&amp;SUBSTITUTE(TEXT(IF(ISTEXT(Overig!J142),Overig!J142,10*Overig!J142),""",""????0;"",""???-0;"",""????0;"", ////"""),"'","""")&amp;SUBSTITUTE(TEXT(Overig!K142,""",""?00;"",""?-00;"",""?00;"", //"""),"'","""")</f>
        <v>044, 19200520, 24.00, 7560, 00, 7550, 00,  295, 00,  280, 00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//"""),"'","""")&amp;SUBSTITUTE(TEXT(IF(ISTEXT(Overig!H143),Overig!H143,10*Overig!H143),""",""????0;"",""???-0;"",""????0;"", ////"""),"'","""")&amp;SUBSTITUTE(TEXT(Overig!I143,""",""?00;"",""?-00;"",""?00;"", //"""),"'","""")&amp;SUBSTITUTE(TEXT(IF(ISTEXT(Overig!J143),Overig!J143,10*Overig!J143),""",""????0;"",""???-0;"",""????0;"", ////"""),"'","""")&amp;SUBSTITUTE(TEXT(Overig!K143,""",""?00;"",""?-00;"",""?00;"", //"""),"'","""")</f>
        <v>044, 19200521, 24.00, 7565, 00, 7565, 00,  295, 00,  280, 00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//"""),"'","""")&amp;SUBSTITUTE(TEXT(IF(ISTEXT(Overig!H144),Overig!H144,10*Overig!H144),""",""????0;"",""???-0;"",""????0;"", ////"""),"'","""")&amp;SUBSTITUTE(TEXT(Overig!I144,""",""?00;"",""?-00;"",""?00;"", //"""),"'","""")&amp;SUBSTITUTE(TEXT(IF(ISTEXT(Overig!J144),Overig!J144,10*Overig!J144),""",""????0;"",""???-0;"",""????0;"", ////"""),"'","""")&amp;SUBSTITUTE(TEXT(Overig!K144,""",""?00;"",""?-00;"",""?00;"", //"""),"'","""")</f>
        <v>044, 19200522, 24.00, 7560, 00, 7540, 00,  290, 00,  280, 00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//"""),"'","""")&amp;SUBSTITUTE(TEXT(IF(ISTEXT(Overig!H145),Overig!H145,10*Overig!H145),""",""????0;"",""???-0;"",""????0;"", ////"""),"'","""")&amp;SUBSTITUTE(TEXT(Overig!I145,""",""?00;"",""?-00;"",""?00;"", //"""),"'","""")&amp;SUBSTITUTE(TEXT(IF(ISTEXT(Overig!J145),Overig!J145,10*Overig!J145),""",""????0;"",""???-0;"",""????0;"", ////"""),"'","""")&amp;SUBSTITUTE(TEXT(Overig!K145,""",""?00;"",""?-00;"",""?00;"", //"""),"'","""")</f>
        <v>044, 19200523, 24.00, 7560, 00, 7540, 00,  290, 00,  280, 00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//"""),"'","""")&amp;SUBSTITUTE(TEXT(IF(ISTEXT(Overig!H146),Overig!H146,10*Overig!H146),""",""????0;"",""???-0;"",""????0;"", ////"""),"'","""")&amp;SUBSTITUTE(TEXT(Overig!I146,""",""?00;"",""?-00;"",""?00;"", //"""),"'","""")&amp;SUBSTITUTE(TEXT(IF(ISTEXT(Overig!J146),Overig!J146,10*Overig!J146),""",""????0;"",""???-0;"",""????0;"", ////"""),"'","""")&amp;SUBSTITUTE(TEXT(Overig!K146,""",""?00;"",""?-00;"",""?00;"", //"""),"'","""")</f>
        <v>044, 19200524, 24.00, 7560, 00, 7540, 00,  290, 00,  280, 00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//"""),"'","""")&amp;SUBSTITUTE(TEXT(IF(ISTEXT(Overig!H147),Overig!H147,10*Overig!H147),""",""????0;"",""???-0;"",""????0;"", ////"""),"'","""")&amp;SUBSTITUTE(TEXT(Overig!I147,""",""?00;"",""?-00;"",""?00;"", //"""),"'","""")&amp;SUBSTITUTE(TEXT(IF(ISTEXT(Overig!J147),Overig!J147,10*Overig!J147),""",""????0;"",""???-0;"",""????0;"", ////"""),"'","""")&amp;SUBSTITUTE(TEXT(Overig!K147,""",""?00;"",""?-00;"",""?00;"", //"""),"'","""")</f>
        <v>044, 19200525, 24.00, 7565, 00, 7540, 00,  295, 00,  280, 00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//"""),"'","""")&amp;SUBSTITUTE(TEXT(IF(ISTEXT(Overig!H148),Overig!H148,10*Overig!H148),""",""????0;"",""???-0;"",""????0;"", ////"""),"'","""")&amp;SUBSTITUTE(TEXT(Overig!I148,""",""?00;"",""?-00;"",""?00;"", //"""),"'","""")&amp;SUBSTITUTE(TEXT(IF(ISTEXT(Overig!J148),Overig!J148,10*Overig!J148),""",""????0;"",""???-0;"",""????0;"", ////"""),"'","""")&amp;SUBSTITUTE(TEXT(Overig!K148,""",""?00;"",""?-00;"",""?00;"", //"""),"'","""")</f>
        <v>044, 19200526, 24.00, 7560, 00, 7535, 00,  305, 00,  290, 00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//"""),"'","""")&amp;SUBSTITUTE(TEXT(IF(ISTEXT(Overig!H149),Overig!H149,10*Overig!H149),""",""????0;"",""???-0;"",""????0;"", ////"""),"'","""")&amp;SUBSTITUTE(TEXT(Overig!I149,""",""?00;"",""?-00;"",""?00;"", //"""),"'","""")&amp;SUBSTITUTE(TEXT(IF(ISTEXT(Overig!J149),Overig!J149,10*Overig!J149),""",""????0;"",""???-0;"",""????0;"", ////"""),"'","""")&amp;SUBSTITUTE(TEXT(Overig!K149,""",""?00;"",""?-00;"",""?00;"", //"""),"'","""")</f>
        <v>044, 19200527, 24.00, 7550, 00, 7530, 00,  310, 00,  290, 00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//"""),"'","""")&amp;SUBSTITUTE(TEXT(IF(ISTEXT(Overig!H150),Overig!H150,10*Overig!H150),""",""????0;"",""???-0;"",""????0;"", ////"""),"'","""")&amp;SUBSTITUTE(TEXT(Overig!I150,""",""?00;"",""?-00;"",""?00;"", //"""),"'","""")&amp;SUBSTITUTE(TEXT(IF(ISTEXT(Overig!J150),Overig!J150,10*Overig!J150),""",""????0;"",""???-0;"",""????0;"", ////"""),"'","""")&amp;SUBSTITUTE(TEXT(Overig!K150,""",""?00;"",""?-00;"",""?00;"", //"""),"'","""")</f>
        <v>044, 19200528, 24.00, 7555, 00, 7520, 00,  300, 00,  280, 00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//"""),"'","""")&amp;SUBSTITUTE(TEXT(IF(ISTEXT(Overig!H151),Overig!H151,10*Overig!H151),""",""????0;"",""???-0;"",""????0;"", ////"""),"'","""")&amp;SUBSTITUTE(TEXT(Overig!I151,""",""?00;"",""?-00;"",""?00;"", //"""),"'","""")&amp;SUBSTITUTE(TEXT(IF(ISTEXT(Overig!J151),Overig!J151,10*Overig!J151),""",""????0;"",""???-0;"",""????0;"", ////"""),"'","""")&amp;SUBSTITUTE(TEXT(Overig!K151,""",""?00;"",""?-00;"",""?00;"", //"""),"'","""")</f>
        <v>044, 19200529, 24.00, 7550, 00, 7530, 00,  310, 00,  300, 00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//"""),"'","""")&amp;SUBSTITUTE(TEXT(IF(ISTEXT(Overig!H152),Overig!H152,10*Overig!H152),""",""????0;"",""???-0;"",""????0;"", ////"""),"'","""")&amp;SUBSTITUTE(TEXT(Overig!I152,""",""?00;"",""?-00;"",""?00;"", //"""),"'","""")&amp;SUBSTITUTE(TEXT(IF(ISTEXT(Overig!J152),Overig!J152,10*Overig!J152),""",""????0;"",""???-0;"",""????0;"", ////"""),"'","""")&amp;SUBSTITUTE(TEXT(Overig!K152,""",""?00;"",""?-00;"",""?00;"", //"""),"'","""")</f>
        <v>044, 19200530, 24.00, 7550, 00, 7530, 00,  310, 00,  300, 00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//"""),"'","""")&amp;SUBSTITUTE(TEXT(IF(ISTEXT(Overig!H153),Overig!H153,10*Overig!H153),""",""????0;"",""???-0;"",""????0;"", ////"""),"'","""")&amp;SUBSTITUTE(TEXT(Overig!I153,""",""?00;"",""?-00;"",""?00;"", //"""),"'","""")&amp;SUBSTITUTE(TEXT(IF(ISTEXT(Overig!J153),Overig!J153,10*Overig!J153),""",""????0;"",""???-0;"",""????0;"", ////"""),"'","""")&amp;SUBSTITUTE(TEXT(Overig!K153,""",""?00;"",""?-00;"",""?00;"", //"""),"'","""")</f>
        <v>044, 19200531, 24.00, 7560, 00, 7545, 00,  300, 00,  290, 00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//"""),"'","""")&amp;SUBSTITUTE(TEXT(IF(ISTEXT(Overig!H154),Overig!H154,10*Overig!H154),""",""????0;"",""???-0;"",""????0;"", ////"""),"'","""")&amp;SUBSTITUTE(TEXT(Overig!I154,""",""?00;"",""?-00;"",""?00;"", //"""),"'","""")&amp;SUBSTITUTE(TEXT(IF(ISTEXT(Overig!J154),Overig!J154,10*Overig!J154),""",""????0;"",""???-0;"",""????0;"", ////"""),"'","""")&amp;SUBSTITUTE(TEXT(Overig!K154,""",""?00;"",""?-00;"",""?00;"", //"""),"'","""")</f>
        <v>044, 19200601, 24.00, 7560, 00, 7545, 00,  290, 00,  280, 00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//"""),"'","""")&amp;SUBSTITUTE(TEXT(IF(ISTEXT(Overig!H155),Overig!H155,10*Overig!H155),""",""????0;"",""???-0;"",""????0;"", ////"""),"'","""")&amp;SUBSTITUTE(TEXT(Overig!I155,""",""?00;"",""?-00;"",""?00;"", //"""),"'","""")&amp;SUBSTITUTE(TEXT(IF(ISTEXT(Overig!J155),Overig!J155,10*Overig!J155),""",""????0;"",""???-0;"",""????0;"", ////"""),"'","""")&amp;SUBSTITUTE(TEXT(Overig!K155,""",""?00;"",""?-00;"",""?00;"", //"""),"'","""")</f>
        <v>044, 19200602, 24.00, 7570, 00, 7545, 00,  290, 00,  280, 00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//"""),"'","""")&amp;SUBSTITUTE(TEXT(IF(ISTEXT(Overig!H156),Overig!H156,10*Overig!H156),""",""????0;"",""???-0;"",""????0;"", ////"""),"'","""")&amp;SUBSTITUTE(TEXT(Overig!I156,""",""?00;"",""?-00;"",""?00;"", //"""),"'","""")&amp;SUBSTITUTE(TEXT(IF(ISTEXT(Overig!J156),Overig!J156,10*Overig!J156),""",""????0;"",""???-0;"",""????0;"", ////"""),"'","""")&amp;SUBSTITUTE(TEXT(Overig!K156,""",""?00;"",""?-00;"",""?00;"", //"""),"'","""")</f>
        <v>044, 19200603, 24.00, 7565, 00, 7550, 00,  290, 00,  285, 00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//"""),"'","""")&amp;SUBSTITUTE(TEXT(IF(ISTEXT(Overig!H157),Overig!H157,10*Overig!H157),""",""????0;"",""???-0;"",""????0;"", ////"""),"'","""")&amp;SUBSTITUTE(TEXT(Overig!I157,""",""?00;"",""?-00;"",""?00;"", //"""),"'","""")&amp;SUBSTITUTE(TEXT(IF(ISTEXT(Overig!J157),Overig!J157,10*Overig!J157),""",""????0;"",""???-0;"",""????0;"", ////"""),"'","""")&amp;SUBSTITUTE(TEXT(Overig!K157,""",""?00;"",""?-00;"",""?00;"", //"""),"'","""")</f>
        <v>044, 19200604, 24.00, 7570, 00, 7550, 00,  290, 00,  280, 00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//"""),"'","""")&amp;SUBSTITUTE(TEXT(IF(ISTEXT(Overig!H158),Overig!H158,10*Overig!H158),""",""????0;"",""???-0;"",""????0;"", ////"""),"'","""")&amp;SUBSTITUTE(TEXT(Overig!I158,""",""?00;"",""?-00;"",""?00;"", //"""),"'","""")&amp;SUBSTITUTE(TEXT(IF(ISTEXT(Overig!J158),Overig!J158,10*Overig!J158),""",""????0;"",""???-0;"",""????0;"", ////"""),"'","""")&amp;SUBSTITUTE(TEXT(Overig!K158,""",""?00;"",""?-00;"",""?00;"", //"""),"'","""")</f>
        <v>044, 19200605, 24.00, 7595, 00, 7565, 00,  290, 00,  280, 00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//"""),"'","""")&amp;SUBSTITUTE(TEXT(IF(ISTEXT(Overig!H159),Overig!H159,10*Overig!H159),""",""????0;"",""???-0;"",""????0;"", ////"""),"'","""")&amp;SUBSTITUTE(TEXT(Overig!I159,""",""?00;"",""?-00;"",""?00;"", //"""),"'","""")&amp;SUBSTITUTE(TEXT(IF(ISTEXT(Overig!J159),Overig!J159,10*Overig!J159),""",""????0;"",""???-0;"",""????0;"", ////"""),"'","""")&amp;SUBSTITUTE(TEXT(Overig!K159,""",""?00;"",""?-00;"",""?00;"", //"""),"'","""")</f>
        <v>044, 19200606, 24.00, 7595, 00, 7565, 00,  290, 00,  280, 00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//"""),"'","""")&amp;SUBSTITUTE(TEXT(IF(ISTEXT(Overig!H160),Overig!H160,10*Overig!H160),""",""????0;"",""???-0;"",""????0;"", ////"""),"'","""")&amp;SUBSTITUTE(TEXT(Overig!I160,""",""?00;"",""?-00;"",""?00;"", //"""),"'","""")&amp;SUBSTITUTE(TEXT(IF(ISTEXT(Overig!J160),Overig!J160,10*Overig!J160),""",""????0;"",""???-0;"",""????0;"", ////"""),"'","""")&amp;SUBSTITUTE(TEXT(Overig!K160,""",""?00;"",""?-00;"",""?00;"", //"""),"'","""")</f>
        <v>044, 19200607, 24.00, 7595, 00, 7565, 00,  295, 00,  290, 00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//"""),"'","""")&amp;SUBSTITUTE(TEXT(IF(ISTEXT(Overig!H161),Overig!H161,10*Overig!H161),""",""????0;"",""???-0;"",""????0;"", ////"""),"'","""")&amp;SUBSTITUTE(TEXT(Overig!I161,""",""?00;"",""?-00;"",""?00;"", //"""),"'","""")&amp;SUBSTITUTE(TEXT(IF(ISTEXT(Overig!J161),Overig!J161,10*Overig!J161),""",""????0;"",""???-0;"",""????0;"", ////"""),"'","""")&amp;SUBSTITUTE(TEXT(Overig!K161,""",""?00;"",""?-00;"",""?00;"", //"""),"'","""")</f>
        <v>044, 19200608, 24.00, 7565, 00, 7545, 00,  300, 00,  290, 00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//"""),"'","""")&amp;SUBSTITUTE(TEXT(IF(ISTEXT(Overig!H162),Overig!H162,10*Overig!H162),""",""????0;"",""???-0;"",""????0;"", ////"""),"'","""")&amp;SUBSTITUTE(TEXT(Overig!I162,""",""?00;"",""?-00;"",""?00;"", //"""),"'","""")&amp;SUBSTITUTE(TEXT(IF(ISTEXT(Overig!J162),Overig!J162,10*Overig!J162),""",""????0;"",""???-0;"",""????0;"", ////"""),"'","""")&amp;SUBSTITUTE(TEXT(Overig!K162,""",""?00;"",""?-00;"",""?00;"", //"""),"'","""")</f>
        <v>044, 19200609, 24.00, 7550, 00, 7545, 00,  300, 00,  280, 00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//"""),"'","""")&amp;SUBSTITUTE(TEXT(IF(ISTEXT(Overig!H163),Overig!H163,10*Overig!H163),""",""????0;"",""???-0;"",""????0;"", ////"""),"'","""")&amp;SUBSTITUTE(TEXT(Overig!I163,""",""?00;"",""?-00;"",""?00;"", //"""),"'","""")&amp;SUBSTITUTE(TEXT(IF(ISTEXT(Overig!J163),Overig!J163,10*Overig!J163),""",""????0;"",""???-0;"",""????0;"", ////"""),"'","""")&amp;SUBSTITUTE(TEXT(Overig!K163,""",""?00;"",""?-00;"",""?00;"", //"""),"'","""")</f>
        <v>044, 19200610, 24.00, 7550, 00, 7535, 00,  300, 00,  290, 00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//"""),"'","""")&amp;SUBSTITUTE(TEXT(IF(ISTEXT(Overig!H164),Overig!H164,10*Overig!H164),""",""????0;"",""???-0;"",""????0;"", ////"""),"'","""")&amp;SUBSTITUTE(TEXT(Overig!I164,""",""?00;"",""?-00;"",""?00;"", //"""),"'","""")&amp;SUBSTITUTE(TEXT(IF(ISTEXT(Overig!J164),Overig!J164,10*Overig!J164),""",""????0;"",""???-0;"",""????0;"", ////"""),"'","""")&amp;SUBSTITUTE(TEXT(Overig!K164,""",""?00;"",""?-00;"",""?00;"", //"""),"'","""")</f>
        <v>044, 19200611, 24.00, 7550, 00, 7545, 00,  300, 00,  300, 00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//"""),"'","""")&amp;SUBSTITUTE(TEXT(IF(ISTEXT(Overig!H165),Overig!H165,10*Overig!H165),""",""????0;"",""???-0;"",""????0;"", ////"""),"'","""")&amp;SUBSTITUTE(TEXT(Overig!I165,""",""?00;"",""?-00;"",""?00;"", //"""),"'","""")&amp;SUBSTITUTE(TEXT(IF(ISTEXT(Overig!J165),Overig!J165,10*Overig!J165),""",""????0;"",""???-0;"",""????0;"", ////"""),"'","""")&amp;SUBSTITUTE(TEXT(Overig!K165,""",""?00;"",""?-00;"",""?00;"", //"""),"'","""")</f>
        <v>044, 19200612, 24.00, 7565, 00, 7550, 00,  300, 00,  290, 00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//"""),"'","""")&amp;SUBSTITUTE(TEXT(IF(ISTEXT(Overig!H166),Overig!H166,10*Overig!H166),""",""????0;"",""???-0;"",""????0;"", ////"""),"'","""")&amp;SUBSTITUTE(TEXT(Overig!I166,""",""?00;"",""?-00;"",""?00;"", //"""),"'","""")&amp;SUBSTITUTE(TEXT(IF(ISTEXT(Overig!J166),Overig!J166,10*Overig!J166),""",""????0;"",""???-0;"",""????0;"", ////"""),"'","""")&amp;SUBSTITUTE(TEXT(Overig!K166,""",""?00;"",""?-00;"",""?00;"", //"""),"'","""")</f>
        <v>044, 19200613, 24.00, 7565, 00, 7550, 00,  300, 00,  290, 00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//"""),"'","""")&amp;SUBSTITUTE(TEXT(IF(ISTEXT(Overig!H167),Overig!H167,10*Overig!H167),""",""????0;"",""???-0;"",""????0;"", ////"""),"'","""")&amp;SUBSTITUTE(TEXT(Overig!I167,""",""?00;"",""?-00;"",""?00;"", //"""),"'","""")&amp;SUBSTITUTE(TEXT(IF(ISTEXT(Overig!J167),Overig!J167,10*Overig!J167),""",""????0;"",""???-0;"",""????0;"", ////"""),"'","""")&amp;SUBSTITUTE(TEXT(Overig!K167,""",""?00;"",""?-00;"",""?00;"", //"""),"'","""")</f>
        <v>044, 19200614, 24.00, 7570, 00, 7550, 00,  290, 00,  280, 00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//"""),"'","""")&amp;SUBSTITUTE(TEXT(IF(ISTEXT(Overig!H168),Overig!H168,10*Overig!H168),""",""????0;"",""???-0;"",""????0;"", ////"""),"'","""")&amp;SUBSTITUTE(TEXT(Overig!I168,""",""?00;"",""?-00;"",""?00;"", //"""),"'","""")&amp;SUBSTITUTE(TEXT(IF(ISTEXT(Overig!J168),Overig!J168,10*Overig!J168),""",""????0;"",""???-0;"",""????0;"", ////"""),"'","""")&amp;SUBSTITUTE(TEXT(Overig!K168,""",""?00;"",""?-00;"",""?00;"", //"""),"'","""")</f>
        <v>044, 19200615, 24.00, 7560, 00, 7550, 00,  290, 00,  285, 00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//"""),"'","""")&amp;SUBSTITUTE(TEXT(IF(ISTEXT(Overig!H169),Overig!H169,10*Overig!H169),""",""????0;"",""???-0;"",""????0;"", ////"""),"'","""")&amp;SUBSTITUTE(TEXT(Overig!I169,""",""?00;"",""?-00;"",""?00;"", //"""),"'","""")&amp;SUBSTITUTE(TEXT(IF(ISTEXT(Overig!J169),Overig!J169,10*Overig!J169),""",""????0;"",""???-0;"",""????0;"", ////"""),"'","""")&amp;SUBSTITUTE(TEXT(Overig!K169,""",""?00;"",""?-00;"",""?00;"", //"""),"'","""")</f>
        <v>044, 19200616, 24.00, 7560, 00, 7540, 00,  295, 00,  290, 00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//"""),"'","""")&amp;SUBSTITUTE(TEXT(IF(ISTEXT(Overig!H170),Overig!H170,10*Overig!H170),""",""????0;"",""???-0;"",""????0;"", ////"""),"'","""")&amp;SUBSTITUTE(TEXT(Overig!I170,""",""?00;"",""?-00;"",""?00;"", //"""),"'","""")&amp;SUBSTITUTE(TEXT(IF(ISTEXT(Overig!J170),Overig!J170,10*Overig!J170),""",""????0;"",""???-0;"",""????0;"", ////"""),"'","""")&amp;SUBSTITUTE(TEXT(Overig!K170,""",""?00;"",""?-00;"",""?00;"", //"""),"'","""")</f>
        <v>044, 19200617, 24.00, 7565, 00, 7550, 00,  300, 00,  295, 00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//"""),"'","""")&amp;SUBSTITUTE(TEXT(IF(ISTEXT(Overig!H171),Overig!H171,10*Overig!H171),""",""????0;"",""???-0;"",""????0;"", ////"""),"'","""")&amp;SUBSTITUTE(TEXT(Overig!I171,""",""?00;"",""?-00;"",""?00;"", //"""),"'","""")&amp;SUBSTITUTE(TEXT(IF(ISTEXT(Overig!J171),Overig!J171,10*Overig!J171),""",""????0;"",""???-0;"",""????0;"", ////"""),"'","""")&amp;SUBSTITUTE(TEXT(Overig!K171,""",""?00;"",""?-00;"",""?00;"", //"""),"'","""")</f>
        <v>044, 19200618, 24.00, 7575, 00, 7550, 00,  300, 00,  290, 00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//"""),"'","""")&amp;SUBSTITUTE(TEXT(IF(ISTEXT(Overig!H172),Overig!H172,10*Overig!H172),""",""????0;"",""???-0;"",""????0;"", ////"""),"'","""")&amp;SUBSTITUTE(TEXT(Overig!I172,""",""?00;"",""?-00;"",""?00;"", //"""),"'","""")&amp;SUBSTITUTE(TEXT(IF(ISTEXT(Overig!J172),Overig!J172,10*Overig!J172),""",""????0;"",""???-0;"",""????0;"", ////"""),"'","""")&amp;SUBSTITUTE(TEXT(Overig!K172,""",""?00;"",""?-00;"",""?00;"", //"""),"'","""")</f>
        <v>044, 19200619, 24.00, 7575, 00, 7550, 00,  295, 00,  280, 00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//"""),"'","""")&amp;SUBSTITUTE(TEXT(IF(ISTEXT(Overig!H173),Overig!H173,10*Overig!H173),""",""????0;"",""???-0;"",""????0;"", ////"""),"'","""")&amp;SUBSTITUTE(TEXT(Overig!I173,""",""?00;"",""?-00;"",""?00;"", //"""),"'","""")&amp;SUBSTITUTE(TEXT(IF(ISTEXT(Overig!J173),Overig!J173,10*Overig!J173),""",""????0;"",""???-0;"",""????0;"", ////"""),"'","""")&amp;SUBSTITUTE(TEXT(Overig!K173,""",""?00;"",""?-00;"",""?00;"", //"""),"'","""")</f>
        <v>044, 19200620, 24.00, 7575, 00, 7550, 00,  295, 00,  280, 00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//"""),"'","""")&amp;SUBSTITUTE(TEXT(IF(ISTEXT(Overig!H174),Overig!H174,10*Overig!H174),""",""????0;"",""???-0;"",""????0;"", ////"""),"'","""")&amp;SUBSTITUTE(TEXT(Overig!I174,""",""?00;"",""?-00;"",""?00;"", //"""),"'","""")&amp;SUBSTITUTE(TEXT(IF(ISTEXT(Overig!J174),Overig!J174,10*Overig!J174),""",""????0;"",""???-0;"",""????0;"", ////"""),"'","""")&amp;SUBSTITUTE(TEXT(Overig!K174,""",""?00;"",""?-00;"",""?00;"", //"""),"'","""")</f>
        <v>044, 19200621, 24.00, 7575, 00, 7560, 00,  280, 00,  270, 00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//"""),"'","""")&amp;SUBSTITUTE(TEXT(IF(ISTEXT(Overig!H175),Overig!H175,10*Overig!H175),""",""????0;"",""???-0;"",""????0;"", ////"""),"'","""")&amp;SUBSTITUTE(TEXT(Overig!I175,""",""?00;"",""?-00;"",""?00;"", //"""),"'","""")&amp;SUBSTITUTE(TEXT(IF(ISTEXT(Overig!J175),Overig!J175,10*Overig!J175),""",""????0;"",""???-0;"",""????0;"", ////"""),"'","""")&amp;SUBSTITUTE(TEXT(Overig!K175,""",""?00;"",""?-00;"",""?00;"", //"""),"'","""")</f>
        <v>044, 19200622, 24.00, 7565, 00, 7550, 00,  280, 00,  250, 00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//"""),"'","""")&amp;SUBSTITUTE(TEXT(IF(ISTEXT(Overig!H176),Overig!H176,10*Overig!H176),""",""????0;"",""???-0;"",""????0;"", ////"""),"'","""")&amp;SUBSTITUTE(TEXT(Overig!I176,""",""?00;"",""?-00;"",""?00;"", //"""),"'","""")&amp;SUBSTITUTE(TEXT(IF(ISTEXT(Overig!J176),Overig!J176,10*Overig!J176),""",""????0;"",""???-0;"",""????0;"", ////"""),"'","""")&amp;SUBSTITUTE(TEXT(Overig!K176,""",""?00;"",""?-00;"",""?00;"", //"""),"'","""")</f>
        <v>044, 19200623, 24.00, 7595, 00, 7565, 00,  290, 00,  270, 00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//"""),"'","""")&amp;SUBSTITUTE(TEXT(IF(ISTEXT(Overig!H177),Overig!H177,10*Overig!H177),""",""????0;"",""???-0;"",""????0;"", ////"""),"'","""")&amp;SUBSTITUTE(TEXT(Overig!I177,""",""?00;"",""?-00;"",""?00;"", //"""),"'","""")&amp;SUBSTITUTE(TEXT(IF(ISTEXT(Overig!J177),Overig!J177,10*Overig!J177),""",""????0;"",""???-0;"",""????0;"", ////"""),"'","""")&amp;SUBSTITUTE(TEXT(Overig!K177,""",""?00;"",""?-00;"",""?00;"", //"""),"'","""")</f>
        <v>044, 19200624, 24.00, 7570, 00, 7560, 00,  300, 00,  280, 00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//"""),"'","""")&amp;SUBSTITUTE(TEXT(IF(ISTEXT(Overig!H178),Overig!H178,10*Overig!H178),""",""????0;"",""???-0;"",""????0;"", ////"""),"'","""")&amp;SUBSTITUTE(TEXT(Overig!I178,""",""?00;"",""?-00;"",""?00;"", //"""),"'","""")&amp;SUBSTITUTE(TEXT(IF(ISTEXT(Overig!J178),Overig!J178,10*Overig!J178),""",""????0;"",""???-0;"",""????0;"", ////"""),"'","""")&amp;SUBSTITUTE(TEXT(Overig!K178,""",""?00;"",""?-00;"",""?00;"", //"""),"'","""")</f>
        <v>044, 19200625, 24.00, 7570, 00, 7550, 00,  290, 00,  290, 00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//"""),"'","""")&amp;SUBSTITUTE(TEXT(IF(ISTEXT(Overig!H179),Overig!H179,10*Overig!H179),""",""????0;"",""???-0;"",""????0;"", ////"""),"'","""")&amp;SUBSTITUTE(TEXT(Overig!I179,""",""?00;"",""?-00;"",""?00;"", //"""),"'","""")&amp;SUBSTITUTE(TEXT(IF(ISTEXT(Overig!J179),Overig!J179,10*Overig!J179),""",""????0;"",""???-0;"",""????0;"", ////"""),"'","""")&amp;SUBSTITUTE(TEXT(Overig!K179,""",""?00;"",""?-00;"",""?00;"", //"""),"'","""")</f>
        <v>044, 19200626, 24.00, 7560, 00, 7560, 00,  300, 00,  290, 00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//"""),"'","""")&amp;SUBSTITUTE(TEXT(IF(ISTEXT(Overig!H180),Overig!H180,10*Overig!H180),""",""????0;"",""???-0;"",""????0;"", ////"""),"'","""")&amp;SUBSTITUTE(TEXT(Overig!I180,""",""?00;"",""?-00;"",""?00;"", //"""),"'","""")&amp;SUBSTITUTE(TEXT(IF(ISTEXT(Overig!J180),Overig!J180,10*Overig!J180),""",""????0;"",""???-0;"",""????0;"", ////"""),"'","""")&amp;SUBSTITUTE(TEXT(Overig!K180,""",""?00;"",""?-00;"",""?00;"", //"""),"'","""")</f>
        <v>044, 19200627, 24.00, 7560, 00, 7560, 00,  300, 00,  290, 00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//"""),"'","""")&amp;SUBSTITUTE(TEXT(IF(ISTEXT(Overig!H181),Overig!H181,10*Overig!H181),""",""????0;"",""???-0;"",""????0;"", ////"""),"'","""")&amp;SUBSTITUTE(TEXT(Overig!I181,""",""?00;"",""?-00;"",""?00;"", //"""),"'","""")&amp;SUBSTITUTE(TEXT(IF(ISTEXT(Overig!J181),Overig!J181,10*Overig!J181),""",""????0;"",""???-0;"",""????0;"", ////"""),"'","""")&amp;SUBSTITUTE(TEXT(Overig!K181,""",""?00;"",""?-00;"",""?00;"", //"""),"'","""")</f>
        <v>044, 19200628, 24.00, 7550, 00, 7550, 00,  290, 00,  280, 00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//"""),"'","""")&amp;SUBSTITUTE(TEXT(IF(ISTEXT(Overig!H182),Overig!H182,10*Overig!H182),""",""????0;"",""???-0;"",""????0;"", ////"""),"'","""")&amp;SUBSTITUTE(TEXT(Overig!I182,""",""?00;"",""?-00;"",""?00;"", //"""),"'","""")&amp;SUBSTITUTE(TEXT(IF(ISTEXT(Overig!J182),Overig!J182,10*Overig!J182),""",""????0;"",""???-0;"",""????0;"", ////"""),"'","""")&amp;SUBSTITUTE(TEXT(Overig!K182,""",""?00;"",""?-00;"",""?00;"", //"""),"'","""")</f>
        <v>044, 19200629, 24.00, 7555, 00, 7555, 00,  290, 00,  280, 00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//"""),"'","""")&amp;SUBSTITUTE(TEXT(IF(ISTEXT(Overig!H183),Overig!H183,10*Overig!H183),""",""????0;"",""???-0;"",""????0;"", ////"""),"'","""")&amp;SUBSTITUTE(TEXT(Overig!I183,""",""?00;"",""?-00;"",""?00;"", //"""),"'","""")&amp;SUBSTITUTE(TEXT(IF(ISTEXT(Overig!J183),Overig!J183,10*Overig!J183),""",""????0;"",""???-0;"",""????0;"", ////"""),"'","""")&amp;SUBSTITUTE(TEXT(Overig!K183,""",""?00;"",""?-00;"",""?00;"", //"""),"'","""")</f>
        <v>044, 19200630, 24.00, 7560, 00, 7560, 00,  290, 00,  280, 00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//"""),"'","""")&amp;SUBSTITUTE(TEXT(IF(ISTEXT(Overig!H184),Overig!H184,10*Overig!H184),""",""????0;"",""???-0;"",""????0;"", ////"""),"'","""")&amp;SUBSTITUTE(TEXT(Overig!I184,""",""?00;"",""?-00;"",""?00;"", //"""),"'","""")&amp;SUBSTITUTE(TEXT(IF(ISTEXT(Overig!J184),Overig!J184,10*Overig!J184),""",""????0;"",""???-0;"",""????0;"", ////"""),"'","""")&amp;SUBSTITUTE(TEXT(Overig!K184,""",""?00;"",""?-00;"",""?00;"", //"""),"'","""")</f>
        <v>044, 19200701, 24.00, 7585, 00, 7560, 00,  300, 00,  290, 00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//"""),"'","""")&amp;SUBSTITUTE(TEXT(IF(ISTEXT(Overig!H185),Overig!H185,10*Overig!H185),""",""????0;"",""???-0;"",""????0;"", ////"""),"'","""")&amp;SUBSTITUTE(TEXT(Overig!I185,""",""?00;"",""?-00;"",""?00;"", //"""),"'","""")&amp;SUBSTITUTE(TEXT(IF(ISTEXT(Overig!J185),Overig!J185,10*Overig!J185),""",""????0;"",""???-0;"",""????0;"", ////"""),"'","""")&amp;SUBSTITUTE(TEXT(Overig!K185,""",""?00;"",""?-00;"",""?00;"", //"""),"'","""")</f>
        <v>044, 19200702, 24.00, 7590, 00, 7570, 00,  290, 00,  280, 00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//"""),"'","""")&amp;SUBSTITUTE(TEXT(IF(ISTEXT(Overig!H186),Overig!H186,10*Overig!H186),""",""????0;"",""???-0;"",""????0;"", ////"""),"'","""")&amp;SUBSTITUTE(TEXT(Overig!I186,""",""?00;"",""?-00;"",""?00;"", //"""),"'","""")&amp;SUBSTITUTE(TEXT(IF(ISTEXT(Overig!J186),Overig!J186,10*Overig!J186),""",""????0;"",""???-0;"",""????0;"", ////"""),"'","""")&amp;SUBSTITUTE(TEXT(Overig!K186,""",""?00;"",""?-00;"",""?00;"", //"""),"'","""")</f>
        <v>044, 19200703, 24.00, 7585, 00, 7565, 00,  295, 00,  270, 00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//"""),"'","""")&amp;SUBSTITUTE(TEXT(IF(ISTEXT(Overig!H187),Overig!H187,10*Overig!H187),""",""????0;"",""???-0;"",""????0;"", ////"""),"'","""")&amp;SUBSTITUTE(TEXT(Overig!I187,""",""?00;"",""?-00;"",""?00;"", //"""),"'","""")&amp;SUBSTITUTE(TEXT(IF(ISTEXT(Overig!J187),Overig!J187,10*Overig!J187),""",""????0;"",""???-0;"",""????0;"", ////"""),"'","""")&amp;SUBSTITUTE(TEXT(Overig!K187,""",""?00;"",""?-00;"",""?00;"", //"""),"'","""")</f>
        <v>044, 19200704, 24.00, 7580, 00, 7580, 00,  290, 00,  280, 00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//"""),"'","""")&amp;SUBSTITUTE(TEXT(IF(ISTEXT(Overig!H188),Overig!H188,10*Overig!H188),""",""????0;"",""???-0;"",""????0;"", ////"""),"'","""")&amp;SUBSTITUTE(TEXT(Overig!I188,""",""?00;"",""?-00;"",""?00;"", //"""),"'","""")&amp;SUBSTITUTE(TEXT(IF(ISTEXT(Overig!J188),Overig!J188,10*Overig!J188),""",""????0;"",""???-0;"",""????0;"", ////"""),"'","""")&amp;SUBSTITUTE(TEXT(Overig!K188,""",""?00;"",""?-00;"",""?00;"", //"""),"'","""")</f>
        <v>044, 19200705, 24.00, 7590, 00, 7570, 00,  280, 00,  280, 00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//"""),"'","""")&amp;SUBSTITUTE(TEXT(IF(ISTEXT(Overig!H189),Overig!H189,10*Overig!H189),""",""????0;"",""???-0;"",""????0;"", ////"""),"'","""")&amp;SUBSTITUTE(TEXT(Overig!I189,""",""?00;"",""?-00;"",""?00;"", //"""),"'","""")&amp;SUBSTITUTE(TEXT(IF(ISTEXT(Overig!J189),Overig!J189,10*Overig!J189),""",""????0;"",""???-0;"",""????0;"", ////"""),"'","""")&amp;SUBSTITUTE(TEXT(Overig!K189,""",""?00;"",""?-00;"",""?00;"", //"""),"'","""")</f>
        <v>044, 19200706, 24.00, 7580, 00, 7570, 00,  290, 00,  280, 00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//"""),"'","""")&amp;SUBSTITUTE(TEXT(IF(ISTEXT(Overig!H190),Overig!H190,10*Overig!H190),""",""????0;"",""???-0;"",""????0;"", ////"""),"'","""")&amp;SUBSTITUTE(TEXT(Overig!I190,""",""?00;"",""?-00;"",""?00;"", //"""),"'","""")&amp;SUBSTITUTE(TEXT(IF(ISTEXT(Overig!J190),Overig!J190,10*Overig!J190),""",""????0;"",""???-0;"",""????0;"", ////"""),"'","""")&amp;SUBSTITUTE(TEXT(Overig!K190,""",""?00;"",""?-00;"",""?00;"", //"""),"'","""")</f>
        <v>044, 19200707, 24.00, 7570, 00, 7560, 00,  290, 00,  270, 00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//"""),"'","""")&amp;SUBSTITUTE(TEXT(IF(ISTEXT(Overig!H191),Overig!H191,10*Overig!H191),""",""????0;"",""???-0;"",""????0;"", ////"""),"'","""")&amp;SUBSTITUTE(TEXT(Overig!I191,""",""?00;"",""?-00;"",""?00;"", //"""),"'","""")&amp;SUBSTITUTE(TEXT(IF(ISTEXT(Overig!J191),Overig!J191,10*Overig!J191),""",""????0;"",""???-0;"",""????0;"", ////"""),"'","""")&amp;SUBSTITUTE(TEXT(Overig!K191,""",""?00;"",""?-00;"",""?00;"", //"""),"'","""")</f>
        <v>044, 19200708, 24.00, 7580, 00, 7560, 00,  295, 00,  280, 00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//"""),"'","""")&amp;SUBSTITUTE(TEXT(IF(ISTEXT(Overig!H192),Overig!H192,10*Overig!H192),""",""????0;"",""???-0;"",""????0;"", ////"""),"'","""")&amp;SUBSTITUTE(TEXT(Overig!I192,""",""?00;"",""?-00;"",""?00;"", //"""),"'","""")&amp;SUBSTITUTE(TEXT(IF(ISTEXT(Overig!J192),Overig!J192,10*Overig!J192),""",""????0;"",""???-0;"",""????0;"", ////"""),"'","""")&amp;SUBSTITUTE(TEXT(Overig!K192,""",""?00;"",""?-00;"",""?00;"", //"""),"'","""")</f>
        <v>044, 19200709, 24.00, 7590, 00, 7560, 00,  290, 00,  285, 00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//"""),"'","""")&amp;SUBSTITUTE(TEXT(IF(ISTEXT(Overig!H193),Overig!H193,10*Overig!H193),""",""????0;"",""???-0;"",""????0;"", ////"""),"'","""")&amp;SUBSTITUTE(TEXT(Overig!I193,""",""?00;"",""?-00;"",""?00;"", //"""),"'","""")&amp;SUBSTITUTE(TEXT(IF(ISTEXT(Overig!J193),Overig!J193,10*Overig!J193),""",""????0;"",""???-0;"",""????0;"", ////"""),"'","""")&amp;SUBSTITUTE(TEXT(Overig!K193,""",""?00;"",""?-00;"",""?00;"", //"""),"'","""")</f>
        <v>044, 19200710, 24.00, 7570, 00, 7550, 00,  300, 00,  285, 00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//"""),"'","""")&amp;SUBSTITUTE(TEXT(IF(ISTEXT(Overig!H194),Overig!H194,10*Overig!H194),""",""????0;"",""???-0;"",""????0;"", ////"""),"'","""")&amp;SUBSTITUTE(TEXT(Overig!I194,""",""?00;"",""?-00;"",""?00;"", //"""),"'","""")&amp;SUBSTITUTE(TEXT(IF(ISTEXT(Overig!J194),Overig!J194,10*Overig!J194),""",""????0;"",""???-0;"",""????0;"", ////"""),"'","""")&amp;SUBSTITUTE(TEXT(Overig!K194,""",""?00;"",""?-00;"",""?00;"", //"""),"'","""")</f>
        <v>044, 19200711, 24.00, 7570, 00, 7550, 00,  300, 00,  285, 00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//"""),"'","""")&amp;SUBSTITUTE(TEXT(IF(ISTEXT(Overig!H195),Overig!H195,10*Overig!H195),""",""????0;"",""???-0;"",""????0;"", ////"""),"'","""")&amp;SUBSTITUTE(TEXT(Overig!I195,""",""?00;"",""?-00;"",""?00;"", //"""),"'","""")&amp;SUBSTITUTE(TEXT(IF(ISTEXT(Overig!J195),Overig!J195,10*Overig!J195),""",""????0;"",""???-0;"",""????0;"", ////"""),"'","""")&amp;SUBSTITUTE(TEXT(Overig!K195,""",""?00;"",""?-00;"",""?00;"", //"""),"'","""")</f>
        <v>044, 19200712, 24.00, 7590, 00, 7575, 00,  290, 00,  270, 00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//"""),"'","""")&amp;SUBSTITUTE(TEXT(IF(ISTEXT(Overig!H196),Overig!H196,10*Overig!H196),""",""????0;"",""???-0;"",""????0;"", ////"""),"'","""")&amp;SUBSTITUTE(TEXT(Overig!I196,""",""?00;"",""?-00;"",""?00;"", //"""),"'","""")&amp;SUBSTITUTE(TEXT(IF(ISTEXT(Overig!J196),Overig!J196,10*Overig!J196),""",""????0;"",""???-0;"",""????0;"", ////"""),"'","""")&amp;SUBSTITUTE(TEXT(Overig!K196,""",""?00;"",""?-00;"",""?00;"", //"""),"'","""")</f>
        <v>044, 19200713, 24.00, 7590, 00, 7575, 00,  290, 00,  270, 00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//"""),"'","""")&amp;SUBSTITUTE(TEXT(IF(ISTEXT(Overig!H197),Overig!H197,10*Overig!H197),""",""????0;"",""???-0;"",""????0;"", ////"""),"'","""")&amp;SUBSTITUTE(TEXT(Overig!I197,""",""?00;"",""?-00;"",""?00;"", //"""),"'","""")&amp;SUBSTITUTE(TEXT(IF(ISTEXT(Overig!J197),Overig!J197,10*Overig!J197),""",""????0;"",""???-0;"",""????0;"", ////"""),"'","""")&amp;SUBSTITUTE(TEXT(Overig!K197,""",""?00;"",""?-00;"",""?00;"", //"""),"'","""")</f>
        <v>044, 19200714, 24.00, 7590, 00, 7585, 00,  290, 00,  270, 00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//"""),"'","""")&amp;SUBSTITUTE(TEXT(IF(ISTEXT(Overig!H198),Overig!H198,10*Overig!H198),""",""????0;"",""???-0;"",""????0;"", ////"""),"'","""")&amp;SUBSTITUTE(TEXT(Overig!I198,""",""?00;"",""?-00;"",""?00;"", //"""),"'","""")&amp;SUBSTITUTE(TEXT(IF(ISTEXT(Overig!J198),Overig!J198,10*Overig!J198),""",""????0;"",""???-0;"",""????0;"", ////"""),"'","""")&amp;SUBSTITUTE(TEXT(Overig!K198,""",""?00;"",""?-00;"",""?00;"", //"""),"'","""")</f>
        <v>044, 19200715, 24.00, 7570, 00, 7550, 00,  290, 00,  280, 00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//"""),"'","""")&amp;SUBSTITUTE(TEXT(IF(ISTEXT(Overig!H199),Overig!H199,10*Overig!H199),""",""????0;"",""???-0;"",""????0;"", ////"""),"'","""")&amp;SUBSTITUTE(TEXT(Overig!I199,""",""?00;"",""?-00;"",""?00;"", //"""),"'","""")&amp;SUBSTITUTE(TEXT(IF(ISTEXT(Overig!J199),Overig!J199,10*Overig!J199),""",""????0;"",""???-0;"",""????0;"", ////"""),"'","""")&amp;SUBSTITUTE(TEXT(Overig!K199,""",""?00;"",""?-00;"",""?00;"", //"""),"'","""")</f>
        <v>044, 19200716, 24.00, 7590, 00, 7575, 00,  300, 00,  290, 00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//"""),"'","""")&amp;SUBSTITUTE(TEXT(IF(ISTEXT(Overig!H200),Overig!H200,10*Overig!H200),""",""????0;"",""???-0;"",""????0;"", ////"""),"'","""")&amp;SUBSTITUTE(TEXT(Overig!I200,""",""?00;"",""?-00;"",""?00;"", //"""),"'","""")&amp;SUBSTITUTE(TEXT(IF(ISTEXT(Overig!J200),Overig!J200,10*Overig!J200),""",""????0;"",""???-0;"",""????0;"", ////"""),"'","""")&amp;SUBSTITUTE(TEXT(Overig!K200,""",""?00;"",""?-00;"",""?00;"", //"""),"'","""")</f>
        <v>044, 19200717, 24.00, 7590, 00, 7580, 00,  290, 00,  280, 00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//"""),"'","""")&amp;SUBSTITUTE(TEXT(IF(ISTEXT(Overig!H201),Overig!H201,10*Overig!H201),""",""????0;"",""???-0;"",""????0;"", ////"""),"'","""")&amp;SUBSTITUTE(TEXT(Overig!I201,""",""?00;"",""?-00;"",""?00;"", //"""),"'","""")&amp;SUBSTITUTE(TEXT(IF(ISTEXT(Overig!J201),Overig!J201,10*Overig!J201),""",""????0;"",""???-0;"",""????0;"", ////"""),"'","""")&amp;SUBSTITUTE(TEXT(Overig!K201,""",""?00;"",""?-00;"",""?00;"", //"""),"'","""")</f>
        <v>044, 19200718, 24.00, 7590, 00, 7580, 00,  290, 00,  280, 00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//"""),"'","""")&amp;SUBSTITUTE(TEXT(IF(ISTEXT(Overig!H202),Overig!H202,10*Overig!H202),""",""????0;"",""???-0;"",""????0;"", ////"""),"'","""")&amp;SUBSTITUTE(TEXT(Overig!I202,""",""?00;"",""?-00;"",""?00;"", //"""),"'","""")&amp;SUBSTITUTE(TEXT(IF(ISTEXT(Overig!J202),Overig!J202,10*Overig!J202),""",""????0;"",""???-0;"",""????0;"", ////"""),"'","""")&amp;SUBSTITUTE(TEXT(Overig!K202,""",""?00;"",""?-00;"",""?00;"", //"""),"'","""")</f>
        <v>044, 19200719, 24.00, 7590, 00, 7570, 00,  290, 00,  280, 00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//"""),"'","""")&amp;SUBSTITUTE(TEXT(IF(ISTEXT(Overig!H203),Overig!H203,10*Overig!H203),""",""????0;"",""???-0;"",""????0;"", ////"""),"'","""")&amp;SUBSTITUTE(TEXT(Overig!I203,""",""?00;"",""?-00;"",""?00;"", //"""),"'","""")&amp;SUBSTITUTE(TEXT(IF(ISTEXT(Overig!J203),Overig!J203,10*Overig!J203),""",""????0;"",""???-0;"",""????0;"", ////"""),"'","""")&amp;SUBSTITUTE(TEXT(Overig!K203,""",""?00;"",""?-00;"",""?00;"", //"""),"'","""")</f>
        <v>044, 19200720, 24.00, 7580, 00, 7550, 00,  300, 00,  290, 00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//"""),"'","""")&amp;SUBSTITUTE(TEXT(IF(ISTEXT(Overig!H204),Overig!H204,10*Overig!H204),""",""????0;"",""???-0;"",""????0;"", ////"""),"'","""")&amp;SUBSTITUTE(TEXT(Overig!I204,""",""?00;"",""?-00;"",""?00;"", //"""),"'","""")&amp;SUBSTITUTE(TEXT(IF(ISTEXT(Overig!J204),Overig!J204,10*Overig!J204),""",""????0;"",""???-0;"",""????0;"", ////"""),"'","""")&amp;SUBSTITUTE(TEXT(Overig!K204,""",""?00;"",""?-00;"",""?00;"", //"""),"'","""")</f>
        <v>044, 19200721, 24.00, 7585, 00, 7580, 00,  290, 00,  280, 00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//"""),"'","""")&amp;SUBSTITUTE(TEXT(IF(ISTEXT(Overig!H205),Overig!H205,10*Overig!H205),""",""????0;"",""???-0;"",""????0;"", ////"""),"'","""")&amp;SUBSTITUTE(TEXT(Overig!I205,""",""?00;"",""?-00;"",""?00;"", //"""),"'","""")&amp;SUBSTITUTE(TEXT(IF(ISTEXT(Overig!J205),Overig!J205,10*Overig!J205),""",""????0;"",""???-0;"",""????0;"", ////"""),"'","""")&amp;SUBSTITUTE(TEXT(Overig!K205,""",""?00;"",""?-00;"",""?00;"", //"""),"'","""")</f>
        <v>044, 19200722, 24.00, 7590, 00, 7575, 00,  300, 00,  290, 00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//"""),"'","""")&amp;SUBSTITUTE(TEXT(IF(ISTEXT(Overig!H206),Overig!H206,10*Overig!H206),""",""????0;"",""???-0;"",""????0;"", ////"""),"'","""")&amp;SUBSTITUTE(TEXT(Overig!I206,""",""?00;"",""?-00;"",""?00;"", //"""),"'","""")&amp;SUBSTITUTE(TEXT(IF(ISTEXT(Overig!J206),Overig!J206,10*Overig!J206),""",""????0;"",""???-0;"",""????0;"", ////"""),"'","""")&amp;SUBSTITUTE(TEXT(Overig!K206,""",""?00;"",""?-00;"",""?00;"", //"""),"'","""")</f>
        <v>044, 19200723, 24.00, 7580, 00, 7575, 00,  300, 00,  280, 00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//"""),"'","""")&amp;SUBSTITUTE(TEXT(IF(ISTEXT(Overig!H207),Overig!H207,10*Overig!H207),""",""????0;"",""???-0;"",""????0;"", ////"""),"'","""")&amp;SUBSTITUTE(TEXT(Overig!I207,""",""?00;"",""?-00;"",""?00;"", //"""),"'","""")&amp;SUBSTITUTE(TEXT(IF(ISTEXT(Overig!J207),Overig!J207,10*Overig!J207),""",""????0;"",""???-0;"",""????0;"", ////"""),"'","""")&amp;SUBSTITUTE(TEXT(Overig!K207,""",""?00;"",""?-00;"",""?00;"", //"""),"'","""")</f>
        <v>044, 19200724, 24.00, 7580, 00, 7565, 00,  290, 00,  280, 00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//"""),"'","""")&amp;SUBSTITUTE(TEXT(IF(ISTEXT(Overig!H208),Overig!H208,10*Overig!H208),""",""????0;"",""???-0;"",""????0;"", ////"""),"'","""")&amp;SUBSTITUTE(TEXT(Overig!I208,""",""?00;"",""?-00;"",""?00;"", //"""),"'","""")&amp;SUBSTITUTE(TEXT(IF(ISTEXT(Overig!J208),Overig!J208,10*Overig!J208),""",""????0;"",""???-0;"",""????0;"", ////"""),"'","""")&amp;SUBSTITUTE(TEXT(Overig!K208,""",""?00;"",""?-00;"",""?00;"", //"""),"'","""")</f>
        <v>044, 19200725, 24.00, 7580, 00, 7565, 00,  300, 00,  280, 00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//"""),"'","""")&amp;SUBSTITUTE(TEXT(IF(ISTEXT(Overig!H209),Overig!H209,10*Overig!H209),""",""????0;"",""???-0;"",""????0;"", ////"""),"'","""")&amp;SUBSTITUTE(TEXT(Overig!I209,""",""?00;"",""?-00;"",""?00;"", //"""),"'","""")&amp;SUBSTITUTE(TEXT(IF(ISTEXT(Overig!J209),Overig!J209,10*Overig!J209),""",""????0;"",""???-0;"",""????0;"", ////"""),"'","""")&amp;SUBSTITUTE(TEXT(Overig!K209,""",""?00;"",""?-00;"",""?00;"", //"""),"'","""")</f>
        <v>044, 19200726, 24.00, 7575, 00, 7560, 00,  300, 00,  280, 00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//"""),"'","""")&amp;SUBSTITUTE(TEXT(IF(ISTEXT(Overig!H210),Overig!H210,10*Overig!H210),""",""????0;"",""???-0;"",""????0;"", ////"""),"'","""")&amp;SUBSTITUTE(TEXT(Overig!I210,""",""?00;"",""?-00;"",""?00;"", //"""),"'","""")&amp;SUBSTITUTE(TEXT(IF(ISTEXT(Overig!J210),Overig!J210,10*Overig!J210),""",""????0;"",""???-0;"",""????0;"", ////"""),"'","""")&amp;SUBSTITUTE(TEXT(Overig!K210,""",""?00;"",""?-00;"",""?00;"", //"""),"'","""")</f>
        <v>044, 19200727, 24.00, 7580, 00, 7560, 00,  300, 00,  290, 00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//"""),"'","""")&amp;SUBSTITUTE(TEXT(IF(ISTEXT(Overig!H211),Overig!H211,10*Overig!H211),""",""????0;"",""???-0;"",""????0;"", ////"""),"'","""")&amp;SUBSTITUTE(TEXT(Overig!I211,""",""?00;"",""?-00;"",""?00;"", //"""),"'","""")&amp;SUBSTITUTE(TEXT(IF(ISTEXT(Overig!J211),Overig!J211,10*Overig!J211),""",""????0;"",""???-0;"",""????0;"", ////"""),"'","""")&amp;SUBSTITUTE(TEXT(Overig!K211,""",""?00;"",""?-00;"",""?00;"", //"""),"'","""")</f>
        <v>044, 19200728, 24.00, 7580, 00, 7560, 00,  300, 00,  290, 00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//"""),"'","""")&amp;SUBSTITUTE(TEXT(IF(ISTEXT(Overig!H212),Overig!H212,10*Overig!H212),""",""????0;"",""???-0;"",""????0;"", ////"""),"'","""")&amp;SUBSTITUTE(TEXT(Overig!I212,""",""?00;"",""?-00;"",""?00;"", //"""),"'","""")&amp;SUBSTITUTE(TEXT(IF(ISTEXT(Overig!J212),Overig!J212,10*Overig!J212),""",""????0;"",""???-0;"",""????0;"", ////"""),"'","""")&amp;SUBSTITUTE(TEXT(Overig!K212,""",""?00;"",""?-00;"",""?00;"", //"""),"'","""")</f>
        <v>044, 19200729, 24.00, 7585, 00, 7565, 00,  290, 00,  290, 00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//"""),"'","""")&amp;SUBSTITUTE(TEXT(IF(ISTEXT(Overig!H213),Overig!H213,10*Overig!H213),""",""????0;"",""???-0;"",""????0;"", ////"""),"'","""")&amp;SUBSTITUTE(TEXT(Overig!I213,""",""?00;"",""?-00;"",""?00;"", //"""),"'","""")&amp;SUBSTITUTE(TEXT(IF(ISTEXT(Overig!J213),Overig!J213,10*Overig!J213),""",""????0;"",""???-0;"",""????0;"", ////"""),"'","""")&amp;SUBSTITUTE(TEXT(Overig!K213,""",""?00;"",""?-00;"",""?00;"", //"""),"'","""")</f>
        <v>044, 19200730, 24.00, 7565, 00, 7550, 00,  300, 00,  290, 00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//"""),"'","""")&amp;SUBSTITUTE(TEXT(IF(ISTEXT(Overig!H214),Overig!H214,10*Overig!H214),""",""????0;"",""???-0;"",""????0;"", ////"""),"'","""")&amp;SUBSTITUTE(TEXT(Overig!I214,""",""?00;"",""?-00;"",""?00;"", //"""),"'","""")&amp;SUBSTITUTE(TEXT(IF(ISTEXT(Overig!J214),Overig!J214,10*Overig!J214),""",""????0;"",""???-0;"",""????0;"", ////"""),"'","""")&amp;SUBSTITUTE(TEXT(Overig!K214,""",""?00;"",""?-00;"",""?00;"", //"""),"'","""")</f>
        <v>044, 19200731, 24.00, 7580, 00, 7565, 00,  300, 00,  280, 00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//"""),"'","""")&amp;SUBSTITUTE(TEXT(IF(ISTEXT(Overig!H215),Overig!H215,10*Overig!H215),""",""????0;"",""???-0;"",""????0;"", ////"""),"'","""")&amp;SUBSTITUTE(TEXT(Overig!I215,""",""?00;"",""?-00;"",""?00;"", //"""),"'","""")&amp;SUBSTITUTE(TEXT(IF(ISTEXT(Overig!J215),Overig!J215,10*Overig!J215),""",""????0;"",""???-0;"",""????0;"", ////"""),"'","""")&amp;SUBSTITUTE(TEXT(Overig!K215,""",""?00;"",""?-00;"",""?00;"", //"""),"'","""")</f>
        <v>044, 19200801, 24.00, 7570, 00, 7550, 00,  300, 00,  290, 00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//"""),"'","""")&amp;SUBSTITUTE(TEXT(IF(ISTEXT(Overig!H216),Overig!H216,10*Overig!H216),""",""????0;"",""???-0;"",""????0;"", ////"""),"'","""")&amp;SUBSTITUTE(TEXT(Overig!I216,""",""?00;"",""?-00;"",""?00;"", //"""),"'","""")&amp;SUBSTITUTE(TEXT(IF(ISTEXT(Overig!J216),Overig!J216,10*Overig!J216),""",""????0;"",""???-0;"",""????0;"", ////"""),"'","""")&amp;SUBSTITUTE(TEXT(Overig!K216,""",""?00;"",""?-00;"",""?00;"", //"""),"'","""")</f>
        <v>044, 19200802, 24.00, 7580, 00, 7560, 00,  280, 00,  270, 00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//"""),"'","""")&amp;SUBSTITUTE(TEXT(IF(ISTEXT(Overig!H217),Overig!H217,10*Overig!H217),""",""????0;"",""???-0;"",""????0;"", ////"""),"'","""")&amp;SUBSTITUTE(TEXT(Overig!I217,""",""?00;"",""?-00;"",""?00;"", //"""),"'","""")&amp;SUBSTITUTE(TEXT(IF(ISTEXT(Overig!J217),Overig!J217,10*Overig!J217),""",""????0;"",""???-0;"",""????0;"", ////"""),"'","""")&amp;SUBSTITUTE(TEXT(Overig!K217,""",""?00;"",""?-00;"",""?00;"", //"""),"'","""")</f>
        <v>044, 19200803, 24.00, 7560, 00, 7560, 00,  300, 00,  280, 00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//"""),"'","""")&amp;SUBSTITUTE(TEXT(IF(ISTEXT(Overig!H218),Overig!H218,10*Overig!H218),""",""????0;"",""???-0;"",""????0;"", ////"""),"'","""")&amp;SUBSTITUTE(TEXT(Overig!I218,""",""?00;"",""?-00;"",""?00;"", //"""),"'","""")&amp;SUBSTITUTE(TEXT(IF(ISTEXT(Overig!J218),Overig!J218,10*Overig!J218),""",""????0;"",""???-0;"",""????0;"", ////"""),"'","""")&amp;SUBSTITUTE(TEXT(Overig!K218,""",""?00;"",""?-00;"",""?00;"", //"""),"'","""")</f>
        <v>044, 19200804, 24.00, 7575, 00, 7560, 00,  300, 00,  295, 00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//"""),"'","""")&amp;SUBSTITUTE(TEXT(IF(ISTEXT(Overig!H219),Overig!H219,10*Overig!H219),""",""????0;"",""???-0;"",""????0;"", ////"""),"'","""")&amp;SUBSTITUTE(TEXT(Overig!I219,""",""?00;"",""?-00;"",""?00;"", //"""),"'","""")&amp;SUBSTITUTE(TEXT(IF(ISTEXT(Overig!J219),Overig!J219,10*Overig!J219),""",""????0;"",""???-0;"",""????0;"", ////"""),"'","""")&amp;SUBSTITUTE(TEXT(Overig!K219,""",""?00;"",""?-00;"",""?00;"", //"""),"'","""")</f>
        <v>044, 19200805, 24.00, 7570, 00, 7560, 00,  300, 00,  290, 00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//"""),"'","""")&amp;SUBSTITUTE(TEXT(IF(ISTEXT(Overig!H220),Overig!H220,10*Overig!H220),""",""????0;"",""???-0;"",""????0;"", ////"""),"'","""")&amp;SUBSTITUTE(TEXT(Overig!I220,""",""?00;"",""?-00;"",""?00;"", //"""),"'","""")&amp;SUBSTITUTE(TEXT(IF(ISTEXT(Overig!J220),Overig!J220,10*Overig!J220),""",""????0;"",""???-0;"",""????0;"", ////"""),"'","""")&amp;SUBSTITUTE(TEXT(Overig!K220,""",""?00;"",""?-00;"",""?00;"", //"""),"'","""")</f>
        <v>044, 19200806, 24.00, 7570, 00, 7555, 00,  300, 00,  290, 00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//"""),"'","""")&amp;SUBSTITUTE(TEXT(IF(ISTEXT(Overig!H221),Overig!H221,10*Overig!H221),""",""????0;"",""???-0;"",""????0;"", ////"""),"'","""")&amp;SUBSTITUTE(TEXT(Overig!I221,""",""?00;"",""?-00;"",""?00;"", //"""),"'","""")&amp;SUBSTITUTE(TEXT(IF(ISTEXT(Overig!J221),Overig!J221,10*Overig!J221),""",""????0;"",""???-0;"",""????0;"", ////"""),"'","""")&amp;SUBSTITUTE(TEXT(Overig!K221,""",""?00;"",""?-00;"",""?00;"", //"""),"'","""")</f>
        <v>044, 19200807, 24.00, 7570, 00, 7560, 00,  300, 00,  290, 00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//"""),"'","""")&amp;SUBSTITUTE(TEXT(IF(ISTEXT(Overig!H222),Overig!H222,10*Overig!H222),""",""????0;"",""???-0;"",""????0;"", ////"""),"'","""")&amp;SUBSTITUTE(TEXT(Overig!I222,""",""?00;"",""?-00;"",""?00;"", //"""),"'","""")&amp;SUBSTITUTE(TEXT(IF(ISTEXT(Overig!J222),Overig!J222,10*Overig!J222),""",""????0;"",""???-0;"",""????0;"", ////"""),"'","""")&amp;SUBSTITUTE(TEXT(Overig!K222,""",""?00;"",""?-00;"",""?00;"", //"""),"'","""")</f>
        <v>044, 19200808, 24.00, 7580, 00, 7570, 00,  290, 00,  280, 00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//"""),"'","""")&amp;SUBSTITUTE(TEXT(IF(ISTEXT(Overig!H223),Overig!H223,10*Overig!H223),""",""????0;"",""???-0;"",""????0;"", ////"""),"'","""")&amp;SUBSTITUTE(TEXT(Overig!I223,""",""?00;"",""?-00;"",""?00;"", //"""),"'","""")&amp;SUBSTITUTE(TEXT(IF(ISTEXT(Overig!J223),Overig!J223,10*Overig!J223),""",""????0;"",""???-0;"",""????0;"", ////"""),"'","""")&amp;SUBSTITUTE(TEXT(Overig!K223,""",""?00;"",""?-00;"",""?00;"", //"""),"'","""")</f>
        <v>044, 19200809, 24.00, 7560, 00, 7550, 00,  300, 00,  280, 00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//"""),"'","""")&amp;SUBSTITUTE(TEXT(IF(ISTEXT(Overig!H224),Overig!H224,10*Overig!H224),""",""????0;"",""???-0;"",""????0;"", ////"""),"'","""")&amp;SUBSTITUTE(TEXT(Overig!I224,""",""?00;"",""?-00;"",""?00;"", //"""),"'","""")&amp;SUBSTITUTE(TEXT(IF(ISTEXT(Overig!J224),Overig!J224,10*Overig!J224),""",""????0;"",""???-0;"",""????0;"", ////"""),"'","""")&amp;SUBSTITUTE(TEXT(Overig!K224,""",""?00;"",""?-00;"",""?00;"", //"""),"'","""")</f>
        <v>044, 19200810, 24.00, 7560, 00, 7550, 00,  290, 00,  270, 00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//"""),"'","""")&amp;SUBSTITUTE(TEXT(IF(ISTEXT(Overig!H225),Overig!H225,10*Overig!H225),""",""????0;"",""???-0;"",""????0;"", ////"""),"'","""")&amp;SUBSTITUTE(TEXT(Overig!I225,""",""?00;"",""?-00;"",""?00;"", //"""),"'","""")&amp;SUBSTITUTE(TEXT(IF(ISTEXT(Overig!J225),Overig!J225,10*Overig!J225),""",""????0;"",""???-0;"",""????0;"", ////"""),"'","""")&amp;SUBSTITUTE(TEXT(Overig!K225,""",""?00;"",""?-00;"",""?00;"", //"""),"'","""")</f>
        <v>044, 19200811, 24.00, 7570, 00, 7550, 00,  290, 00,  270, 00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//"""),"'","""")&amp;SUBSTITUTE(TEXT(IF(ISTEXT(Overig!H226),Overig!H226,10*Overig!H226),""",""????0;"",""???-0;"",""????0;"", ////"""),"'","""")&amp;SUBSTITUTE(TEXT(Overig!I226,""",""?00;"",""?-00;"",""?00;"", //"""),"'","""")&amp;SUBSTITUTE(TEXT(IF(ISTEXT(Overig!J226),Overig!J226,10*Overig!J226),""",""????0;"",""???-0;"",""????0;"", ////"""),"'","""")&amp;SUBSTITUTE(TEXT(Overig!K226,""",""?00;"",""?-00;"",""?00;"", //"""),"'","""")</f>
        <v>044, 19200812, 24.00, 7560, 00, 7550, 00,  290, 00,  280, 00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//"""),"'","""")&amp;SUBSTITUTE(TEXT(IF(ISTEXT(Overig!H227),Overig!H227,10*Overig!H227),""",""????0;"",""???-0;"",""????0;"", ////"""),"'","""")&amp;SUBSTITUTE(TEXT(Overig!I227,""",""?00;"",""?-00;"",""?00;"", //"""),"'","""")&amp;SUBSTITUTE(TEXT(IF(ISTEXT(Overig!J227),Overig!J227,10*Overig!J227),""",""????0;"",""???-0;"",""????0;"", ////"""),"'","""")&amp;SUBSTITUTE(TEXT(Overig!K227,""",""?00;"",""?-00;"",""?00;"", //"""),"'","""")</f>
        <v>044, 19200813, 24.00, 7560, 00, 7545, 00,  300, 00,  270, 00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//"""),"'","""")&amp;SUBSTITUTE(TEXT(IF(ISTEXT(Overig!H228),Overig!H228,10*Overig!H228),""",""????0;"",""???-0;"",""????0;"", ////"""),"'","""")&amp;SUBSTITUTE(TEXT(Overig!I228,""",""?00;"",""?-00;"",""?00;"", //"""),"'","""")&amp;SUBSTITUTE(TEXT(IF(ISTEXT(Overig!J228),Overig!J228,10*Overig!J228),""",""????0;"",""???-0;"",""????0;"", ////"""),"'","""")&amp;SUBSTITUTE(TEXT(Overig!K228,""",""?00;"",""?-00;"",""?00;"", //"""),"'","""")</f>
        <v>044, 19200814, 24.00, 7570, 00, 7550, 00,  300, 00,  290, 00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//"""),"'","""")&amp;SUBSTITUTE(TEXT(IF(ISTEXT(Overig!H229),Overig!H229,10*Overig!H229),""",""????0;"",""???-0;"",""????0;"", ////"""),"'","""")&amp;SUBSTITUTE(TEXT(Overig!I229,""",""?00;"",""?-00;"",""?00;"", //"""),"'","""")&amp;SUBSTITUTE(TEXT(IF(ISTEXT(Overig!J229),Overig!J229,10*Overig!J229),""",""????0;"",""???-0;"",""????0;"", ////"""),"'","""")&amp;SUBSTITUTE(TEXT(Overig!K229,""",""?00;"",""?-00;"",""?00;"", //"""),"'","""")</f>
        <v>044, 19200815, 24.00, 7570, 00, 7550, 00,  300, 00,  290, 00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//"""),"'","""")&amp;SUBSTITUTE(TEXT(IF(ISTEXT(Overig!H230),Overig!H230,10*Overig!H230),""",""????0;"",""???-0;"",""????0;"", ////"""),"'","""")&amp;SUBSTITUTE(TEXT(Overig!I230,""",""?00;"",""?-00;"",""?00;"", //"""),"'","""")&amp;SUBSTITUTE(TEXT(IF(ISTEXT(Overig!J230),Overig!J230,10*Overig!J230),""",""????0;"",""???-0;"",""????0;"", ////"""),"'","""")&amp;SUBSTITUTE(TEXT(Overig!K230,""",""?00;"",""?-00;"",""?00;"", //"""),"'","""")</f>
        <v>044, 19200816, 24.00, 7565, 00, 7550, 00,  290, 00,  280, 00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//"""),"'","""")&amp;SUBSTITUTE(TEXT(IF(ISTEXT(Overig!H231),Overig!H231,10*Overig!H231),""",""????0;"",""???-0;"",""????0;"", ////"""),"'","""")&amp;SUBSTITUTE(TEXT(Overig!I231,""",""?00;"",""?-00;"",""?00;"", //"""),"'","""")&amp;SUBSTITUTE(TEXT(IF(ISTEXT(Overig!J231),Overig!J231,10*Overig!J231),""",""????0;"",""???-0;"",""????0;"", ////"""),"'","""")&amp;SUBSTITUTE(TEXT(Overig!K231,""",""?00;"",""?-00;"",""?00;"", //"""),"'","""")</f>
        <v>044, 19200817, 24.00, 7560, 00, 7550, 00,  300, 00,  290, 00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//"""),"'","""")&amp;SUBSTITUTE(TEXT(IF(ISTEXT(Overig!H232),Overig!H232,10*Overig!H232),""",""????0;"",""???-0;"",""????0;"", ////"""),"'","""")&amp;SUBSTITUTE(TEXT(Overig!I232,""",""?00;"",""?-00;"",""?00;"", //"""),"'","""")&amp;SUBSTITUTE(TEXT(IF(ISTEXT(Overig!J232),Overig!J232,10*Overig!J232),""",""????0;"",""???-0;"",""????0;"", ////"""),"'","""")&amp;SUBSTITUTE(TEXT(Overig!K232,""",""?00;"",""?-00;"",""?00;"", //"""),"'","""")</f>
        <v>044, 19200818, 24.00, 7575, 00, 7565, 00,  290, 00,  290, 00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//"""),"'","""")&amp;SUBSTITUTE(TEXT(IF(ISTEXT(Overig!H233),Overig!H233,10*Overig!H233),""",""????0;"",""???-0;"",""????0;"", ////"""),"'","""")&amp;SUBSTITUTE(TEXT(Overig!I233,""",""?00;"",""?-00;"",""?00;"", //"""),"'","""")&amp;SUBSTITUTE(TEXT(IF(ISTEXT(Overig!J233),Overig!J233,10*Overig!J233),""",""????0;"",""???-0;"",""????0;"", ////"""),"'","""")&amp;SUBSTITUTE(TEXT(Overig!K233,""",""?00;"",""?-00;"",""?00;"", //"""),"'","""")</f>
        <v>044, 19200819, 24.00, 7580, 00, 7565, 00,  300, 00,  280, 00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//"""),"'","""")&amp;SUBSTITUTE(TEXT(IF(ISTEXT(Overig!H234),Overig!H234,10*Overig!H234),""",""????0;"",""???-0;"",""????0;"", ////"""),"'","""")&amp;SUBSTITUTE(TEXT(Overig!I234,""",""?00;"",""?-00;"",""?00;"", //"""),"'","""")&amp;SUBSTITUTE(TEXT(IF(ISTEXT(Overig!J234),Overig!J234,10*Overig!J234),""",""????0;"",""???-0;"",""????0;"", ////"""),"'","""")&amp;SUBSTITUTE(TEXT(Overig!K234,""",""?00;"",""?-00;"",""?00;"", //"""),"'","""")</f>
        <v>044, 19200820, 24.00, 7575, 00, 7555, 00,  300, 00,  300, 00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//"""),"'","""")&amp;SUBSTITUTE(TEXT(IF(ISTEXT(Overig!H235),Overig!H235,10*Overig!H235),""",""????0;"",""???-0;"",""????0;"", ////"""),"'","""")&amp;SUBSTITUTE(TEXT(Overig!I235,""",""?00;"",""?-00;"",""?00;"", //"""),"'","""")&amp;SUBSTITUTE(TEXT(IF(ISTEXT(Overig!J235),Overig!J235,10*Overig!J235),""",""????0;"",""???-0;"",""????0;"", ////"""),"'","""")&amp;SUBSTITUTE(TEXT(Overig!K235,""",""?00;"",""?-00;"",""?00;"", //"""),"'","""")</f>
        <v>044, 19200821, 24.00, 7575, 00, 7550, 00,  300, 00,  290, 00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//"""),"'","""")&amp;SUBSTITUTE(TEXT(IF(ISTEXT(Overig!H236),Overig!H236,10*Overig!H236),""",""????0;"",""???-0;"",""????0;"", ////"""),"'","""")&amp;SUBSTITUTE(TEXT(Overig!I236,""",""?00;"",""?-00;"",""?00;"", //"""),"'","""")&amp;SUBSTITUTE(TEXT(IF(ISTEXT(Overig!J236),Overig!J236,10*Overig!J236),""",""????0;"",""???-0;"",""????0;"", ////"""),"'","""")&amp;SUBSTITUTE(TEXT(Overig!K236,""",""?00;"",""?-00;"",""?00;"", //"""),"'","""")</f>
        <v>044, 19200822, 24.00, 7570, 00, 7560, 00,  300, 00,  290, 00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//"""),"'","""")&amp;SUBSTITUTE(TEXT(IF(ISTEXT(Overig!H237),Overig!H237,10*Overig!H237),""",""????0;"",""???-0;"",""????0;"", ////"""),"'","""")&amp;SUBSTITUTE(TEXT(Overig!I237,""",""?00;"",""?-00;"",""?00;"", //"""),"'","""")&amp;SUBSTITUTE(TEXT(IF(ISTEXT(Overig!J237),Overig!J237,10*Overig!J237),""",""????0;"",""???-0;"",""????0;"", ////"""),"'","""")&amp;SUBSTITUTE(TEXT(Overig!K237,""",""?00;"",""?-00;"",""?00;"", //"""),"'","""")</f>
        <v>044, 19200823, 24.00, 7570, 00, 7560, 00,  305, 00,  300, 00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//"""),"'","""")&amp;SUBSTITUTE(TEXT(IF(ISTEXT(Overig!H238),Overig!H238,10*Overig!H238),""",""????0;"",""???-0;"",""????0;"", ////"""),"'","""")&amp;SUBSTITUTE(TEXT(Overig!I238,""",""?00;"",""?-00;"",""?00;"", //"""),"'","""")&amp;SUBSTITUTE(TEXT(IF(ISTEXT(Overig!J238),Overig!J238,10*Overig!J238),""",""????0;"",""???-0;"",""????0;"", ////"""),"'","""")&amp;SUBSTITUTE(TEXT(Overig!K238,""",""?00;"",""?-00;"",""?00;"", //"""),"'","""")</f>
        <v>044, 19200824, 24.00, 7565, 00, 7560, 00,  290, 00,  290, 00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//"""),"'","""")&amp;SUBSTITUTE(TEXT(IF(ISTEXT(Overig!H239),Overig!H239,10*Overig!H239),""",""????0;"",""???-0;"",""????0;"", ////"""),"'","""")&amp;SUBSTITUTE(TEXT(Overig!I239,""",""?00;"",""?-00;"",""?00;"", //"""),"'","""")&amp;SUBSTITUTE(TEXT(IF(ISTEXT(Overig!J239),Overig!J239,10*Overig!J239),""",""????0;"",""???-0;"",""????0;"", ////"""),"'","""")&amp;SUBSTITUTE(TEXT(Overig!K239,""",""?00;"",""?-00;"",""?00;"", //"""),"'","""")</f>
        <v>044, 19200825, 24.00, 7570, 00, 7560, 00,  300, 00,  290, 00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//"""),"'","""")&amp;SUBSTITUTE(TEXT(IF(ISTEXT(Overig!H240),Overig!H240,10*Overig!H240),""",""????0;"",""???-0;"",""????0;"", ////"""),"'","""")&amp;SUBSTITUTE(TEXT(Overig!I240,""",""?00;"",""?-00;"",""?00;"", //"""),"'","""")&amp;SUBSTITUTE(TEXT(IF(ISTEXT(Overig!J240),Overig!J240,10*Overig!J240),""",""????0;"",""???-0;"",""????0;"", ////"""),"'","""")&amp;SUBSTITUTE(TEXT(Overig!K240,""",""?00;"",""?-00;"",""?00;"", //"""),"'","""")</f>
        <v>044, 19200826, 24.00, 7570, 00, 7560, 00,  300, 00,  290, 00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//"""),"'","""")&amp;SUBSTITUTE(TEXT(IF(ISTEXT(Overig!H241),Overig!H241,10*Overig!H241),""",""????0;"",""???-0;"",""????0;"", ////"""),"'","""")&amp;SUBSTITUTE(TEXT(Overig!I241,""",""?00;"",""?-00;"",""?00;"", //"""),"'","""")&amp;SUBSTITUTE(TEXT(IF(ISTEXT(Overig!J241),Overig!J241,10*Overig!J241),""",""????0;"",""???-0;"",""????0;"", ////"""),"'","""")&amp;SUBSTITUTE(TEXT(Overig!K241,""",""?00;"",""?-00;"",""?00;"", //"""),"'","""")</f>
        <v>044, 19200827, 24.00, 7565, 00, 7560, 00,  290, 00,  290, 00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//"""),"'","""")&amp;SUBSTITUTE(TEXT(IF(ISTEXT(Overig!H242),Overig!H242,10*Overig!H242),""",""????0;"",""???-0;"",""????0;"", ////"""),"'","""")&amp;SUBSTITUTE(TEXT(Overig!I242,""",""?00;"",""?-00;"",""?00;"", //"""),"'","""")&amp;SUBSTITUTE(TEXT(IF(ISTEXT(Overig!J242),Overig!J242,10*Overig!J242),""",""????0;"",""???-0;"",""????0;"", ////"""),"'","""")&amp;SUBSTITUTE(TEXT(Overig!K242,""",""?00;"",""?-00;"",""?00;"", //"""),"'","""")</f>
        <v>044, 19200828, 24.00, 7570, 00, 7560, 00,  300, 00,  290, 00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//"""),"'","""")&amp;SUBSTITUTE(TEXT(IF(ISTEXT(Overig!H243),Overig!H243,10*Overig!H243),""",""????0;"",""???-0;"",""????0;"", ////"""),"'","""")&amp;SUBSTITUTE(TEXT(Overig!I243,""",""?00;"",""?-00;"",""?00;"", //"""),"'","""")&amp;SUBSTITUTE(TEXT(IF(ISTEXT(Overig!J243),Overig!J243,10*Overig!J243),""",""????0;"",""???-0;"",""????0;"", ////"""),"'","""")&amp;SUBSTITUTE(TEXT(Overig!K243,""",""?00;"",""?-00;"",""?00;"", //"""),"'","""")</f>
        <v>044, 19200829, 24.00, 7580, 00, 7570, 00,  300, 00,  290, 00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//"""),"'","""")&amp;SUBSTITUTE(TEXT(IF(ISTEXT(Overig!H244),Overig!H244,10*Overig!H244),""",""????0;"",""???-0;"",""????0;"", ////"""),"'","""")&amp;SUBSTITUTE(TEXT(Overig!I244,""",""?00;"",""?-00;"",""?00;"", //"""),"'","""")&amp;SUBSTITUTE(TEXT(IF(ISTEXT(Overig!J244),Overig!J244,10*Overig!J244),""",""????0;"",""???-0;"",""????0;"", ////"""),"'","""")&amp;SUBSTITUTE(TEXT(Overig!K244,""",""?00;"",""?-00;"",""?00;"", //"""),"'","""")</f>
        <v>044, 19200830, 24.00, 7570, 00, 7560, 00,  300, 00,  290, 00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//"""),"'","""")&amp;SUBSTITUTE(TEXT(IF(ISTEXT(Overig!H245),Overig!H245,10*Overig!H245),""",""????0;"",""???-0;"",""????0;"", ////"""),"'","""")&amp;SUBSTITUTE(TEXT(Overig!I245,""",""?00;"",""?-00;"",""?00;"", //"""),"'","""")&amp;SUBSTITUTE(TEXT(IF(ISTEXT(Overig!J245),Overig!J245,10*Overig!J245),""",""????0;"",""???-0;"",""????0;"", ////"""),"'","""")&amp;SUBSTITUTE(TEXT(Overig!K245,""",""?00;"",""?-00;"",""?00;"", //"""),"'","""")</f>
        <v>044, 19200831, 24.00, 7565, 00, 7560, 00,  300, 00,  290, 00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//"""),"'","""")&amp;SUBSTITUTE(TEXT(IF(ISTEXT(Overig!H246),Overig!H246,10*Overig!H246),""",""????0;"",""???-0;"",""????0;"", ////"""),"'","""")&amp;SUBSTITUTE(TEXT(Overig!I246,""",""?00;"",""?-00;"",""?00;"", //"""),"'","""")&amp;SUBSTITUTE(TEXT(IF(ISTEXT(Overig!J246),Overig!J246,10*Overig!J246),""",""????0;"",""???-0;"",""????0;"", ////"""),"'","""")&amp;SUBSTITUTE(TEXT(Overig!K246,""",""?00;"",""?-00;"",""?00;"", //"""),"'","""")</f>
        <v>044, 19200901, 24.00, 7570, 00, 7560, 00,  300, 00,  290, 00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//"""),"'","""")&amp;SUBSTITUTE(TEXT(IF(ISTEXT(Overig!H247),Overig!H247,10*Overig!H247),""",""????0;"",""???-0;"",""????0;"", ////"""),"'","""")&amp;SUBSTITUTE(TEXT(Overig!I247,""",""?00;"",""?-00;"",""?00;"", //"""),"'","""")&amp;SUBSTITUTE(TEXT(IF(ISTEXT(Overig!J247),Overig!J247,10*Overig!J247),""",""????0;"",""???-0;"",""????0;"", ////"""),"'","""")&amp;SUBSTITUTE(TEXT(Overig!K247,""",""?00;"",""?-00;"",""?00;"", //"""),"'","""")</f>
        <v>044, 19200902, 24.00, 7560, 00, 7555, 00,  305, 00,  300, 00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//"""),"'","""")&amp;SUBSTITUTE(TEXT(IF(ISTEXT(Overig!H248),Overig!H248,10*Overig!H248),""",""????0;"",""???-0;"",""????0;"", ////"""),"'","""")&amp;SUBSTITUTE(TEXT(Overig!I248,""",""?00;"",""?-00;"",""?00;"", //"""),"'","""")&amp;SUBSTITUTE(TEXT(IF(ISTEXT(Overig!J248),Overig!J248,10*Overig!J248),""",""????0;"",""???-0;"",""????0;"", ////"""),"'","""")&amp;SUBSTITUTE(TEXT(Overig!K248,""",""?00;"",""?-00;"",""?00;"", //"""),"'","""")</f>
        <v>044, 19200903, 24.00, 7570, 00, 7550, 00,  305, 00,  300, 00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//"""),"'","""")&amp;SUBSTITUTE(TEXT(IF(ISTEXT(Overig!H249),Overig!H249,10*Overig!H249),""",""????0;"",""???-0;"",""????0;"", ////"""),"'","""")&amp;SUBSTITUTE(TEXT(Overig!I249,""",""?00;"",""?-00;"",""?00;"", //"""),"'","""")&amp;SUBSTITUTE(TEXT(IF(ISTEXT(Overig!J249),Overig!J249,10*Overig!J249),""",""????0;"",""???-0;"",""????0;"", ////"""),"'","""")&amp;SUBSTITUTE(TEXT(Overig!K249,""",""?00;"",""?-00;"",""?00;"", //"""),"'","""")</f>
        <v>044, 19200904, 24.00, 7570, 00, 7560, 00,  300, 00,  290, 00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//"""),"'","""")&amp;SUBSTITUTE(TEXT(IF(ISTEXT(Overig!H250),Overig!H250,10*Overig!H250),""",""????0;"",""???-0;"",""????0;"", ////"""),"'","""")&amp;SUBSTITUTE(TEXT(Overig!I250,""",""?00;"",""?-00;"",""?00;"", //"""),"'","""")&amp;SUBSTITUTE(TEXT(IF(ISTEXT(Overig!J250),Overig!J250,10*Overig!J250),""",""????0;"",""???-0;"",""????0;"", ////"""),"'","""")&amp;SUBSTITUTE(TEXT(Overig!K250,""",""?00;"",""?-00;"",""?00;"", //"""),"'","""")</f>
        <v>044, 19200905, 24.00, 7570, 00, 7560, 00,  300, 00,  290, 00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//"""),"'","""")&amp;SUBSTITUTE(TEXT(IF(ISTEXT(Overig!H251),Overig!H251,10*Overig!H251),""",""????0;"",""???-0;"",""????0;"", ////"""),"'","""")&amp;SUBSTITUTE(TEXT(Overig!I251,""",""?00;"",""?-00;"",""?00;"", //"""),"'","""")&amp;SUBSTITUTE(TEXT(IF(ISTEXT(Overig!J251),Overig!J251,10*Overig!J251),""",""????0;"",""???-0;"",""????0;"", ////"""),"'","""")&amp;SUBSTITUTE(TEXT(Overig!K251,""",""?00;"",""?-00;"",""?00;"", //"""),"'","""")</f>
        <v>044, 19200906, 24.00, 7575, 00, 7560, 00,  305, 00,  300, 00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//"""),"'","""")&amp;SUBSTITUTE(TEXT(IF(ISTEXT(Overig!H252),Overig!H252,10*Overig!H252),""",""????0;"",""???-0;"",""????0;"", ////"""),"'","""")&amp;SUBSTITUTE(TEXT(Overig!I252,""",""?00;"",""?-00;"",""?00;"", //"""),"'","""")&amp;SUBSTITUTE(TEXT(IF(ISTEXT(Overig!J252),Overig!J252,10*Overig!J252),""",""????0;"",""???-0;"",""????0;"", ////"""),"'","""")&amp;SUBSTITUTE(TEXT(Overig!K252,""",""?00;"",""?-00;"",""?00;"", //"""),"'","""")</f>
        <v>044, 19200907, 24.00, 7575, 00, 7550, 00,  310, 00,  305, 00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//"""),"'","""")&amp;SUBSTITUTE(TEXT(IF(ISTEXT(Overig!H253),Overig!H253,10*Overig!H253),""",""????0;"",""???-0;"",""????0;"", ////"""),"'","""")&amp;SUBSTITUTE(TEXT(Overig!I253,""",""?00;"",""?-00;"",""?00;"", //"""),"'","""")&amp;SUBSTITUTE(TEXT(IF(ISTEXT(Overig!J253),Overig!J253,10*Overig!J253),""",""????0;"",""???-0;"",""????0;"", ////"""),"'","""")&amp;SUBSTITUTE(TEXT(Overig!K253,""",""?00;"",""?-00;"",""?00;"", //"""),"'","""")</f>
        <v>044, 19200908, 24.00, 7550, 00, 7545, 00,  305, 00,  300, 00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//"""),"'","""")&amp;SUBSTITUTE(TEXT(IF(ISTEXT(Overig!H254),Overig!H254,10*Overig!H254),""",""????0;"",""???-0;"",""????0;"", ////"""),"'","""")&amp;SUBSTITUTE(TEXT(Overig!I254,""",""?00;"",""?-00;"",""?00;"", //"""),"'","""")&amp;SUBSTITUTE(TEXT(IF(ISTEXT(Overig!J254),Overig!J254,10*Overig!J254),""",""????0;"",""???-0;"",""????0;"", ////"""),"'","""")&amp;SUBSTITUTE(TEXT(Overig!K254,""",""?00;"",""?-00;"",""?00;"", //"""),"'","""")</f>
        <v>044, 19200909, 24.00, 7550, 00, 7540, 00,  310, 00,  300, 00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//"""),"'","""")&amp;SUBSTITUTE(TEXT(IF(ISTEXT(Overig!H255),Overig!H255,10*Overig!H255),""",""????0;"",""???-0;"",""????0;"", ////"""),"'","""")&amp;SUBSTITUTE(TEXT(Overig!I255,""",""?00;"",""?-00;"",""?00;"", //"""),"'","""")&amp;SUBSTITUTE(TEXT(IF(ISTEXT(Overig!J255),Overig!J255,10*Overig!J255),""",""????0;"",""???-0;"",""????0;"", ////"""),"'","""")&amp;SUBSTITUTE(TEXT(Overig!K255,""",""?00;"",""?-00;"",""?00;"", //"""),"'","""")</f>
        <v>044, 19200910, 24.00, 7575, 00, 7555, 00,  305, 00,  300, 00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//"""),"'","""")&amp;SUBSTITUTE(TEXT(IF(ISTEXT(Overig!H256),Overig!H256,10*Overig!H256),""",""????0;"",""???-0;"",""????0;"", ////"""),"'","""")&amp;SUBSTITUTE(TEXT(Overig!I256,""",""?00;"",""?-00;"",""?00;"", //"""),"'","""")&amp;SUBSTITUTE(TEXT(IF(ISTEXT(Overig!J256),Overig!J256,10*Overig!J256),""",""????0;"",""???-0;"",""????0;"", ////"""),"'","""")&amp;SUBSTITUTE(TEXT(Overig!K256,""",""?00;"",""?-00;"",""?00;"", //"""),"'","""")</f>
        <v>044, 19200911, 24.00, 7560, 00, 7555, 00,  305, 00,  300, 00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//"""),"'","""")&amp;SUBSTITUTE(TEXT(IF(ISTEXT(Overig!H257),Overig!H257,10*Overig!H257),""",""????0;"",""???-0;"",""????0;"", ////"""),"'","""")&amp;SUBSTITUTE(TEXT(Overig!I257,""",""?00;"",""?-00;"",""?00;"", //"""),"'","""")&amp;SUBSTITUTE(TEXT(IF(ISTEXT(Overig!J257),Overig!J257,10*Overig!J257),""",""????0;"",""???-0;"",""????0;"", ////"""),"'","""")&amp;SUBSTITUTE(TEXT(Overig!K257,""",""?00;"",""?-00;"",""?00;"", //"""),"'","""")</f>
        <v>044, 19200912, 24.00, 7560, 00, 7555, 00,  305, 00,  300, 00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//"""),"'","""")&amp;SUBSTITUTE(TEXT(IF(ISTEXT(Overig!H258),Overig!H258,10*Overig!H258),""",""????0;"",""???-0;"",""????0;"", ////"""),"'","""")&amp;SUBSTITUTE(TEXT(Overig!I258,""",""?00;"",""?-00;"",""?00;"", //"""),"'","""")&amp;SUBSTITUTE(TEXT(IF(ISTEXT(Overig!J258),Overig!J258,10*Overig!J258),""",""????0;"",""???-0;"",""????0;"", ////"""),"'","""")&amp;SUBSTITUTE(TEXT(Overig!K258,""",""?00;"",""?-00;"",""?00;"", //"""),"'","""")</f>
        <v>044, 19200913, 24.00, 7560, 00, 7540, 00,  310, 00,  310, 00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//"""),"'","""")&amp;SUBSTITUTE(TEXT(IF(ISTEXT(Overig!H259),Overig!H259,10*Overig!H259),""",""????0;"",""???-0;"",""????0;"", ////"""),"'","""")&amp;SUBSTITUTE(TEXT(Overig!I259,""",""?00;"",""?-00;"",""?00;"", //"""),"'","""")&amp;SUBSTITUTE(TEXT(IF(ISTEXT(Overig!J259),Overig!J259,10*Overig!J259),""",""????0;"",""???-0;"",""????0;"", ////"""),"'","""")&amp;SUBSTITUTE(TEXT(Overig!K259,""",""?00;"",""?-00;"",""?00;"", //"""),"'","""")</f>
        <v>044, 19200914, 24.00, 7560, 00, 7535, 00,  295, 00,  290, 00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//"""),"'","""")&amp;SUBSTITUTE(TEXT(IF(ISTEXT(Overig!H260),Overig!H260,10*Overig!H260),""",""????0;"",""???-0;"",""????0;"", ////"""),"'","""")&amp;SUBSTITUTE(TEXT(Overig!I260,""",""?00;"",""?-00;"",""?00;"", //"""),"'","""")&amp;SUBSTITUTE(TEXT(IF(ISTEXT(Overig!J260),Overig!J260,10*Overig!J260),""",""????0;"",""???-0;"",""????0;"", ////"""),"'","""")&amp;SUBSTITUTE(TEXT(Overig!K260,""",""?00;"",""?-00;"",""?00;"", //"""),"'","""")</f>
        <v>044, 19200915, 24.00, 7565, 00, 7545, 00,  300, 00,  300, 00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//"""),"'","""")&amp;SUBSTITUTE(TEXT(IF(ISTEXT(Overig!H261),Overig!H261,10*Overig!H261),""",""????0;"",""???-0;"",""????0;"", ////"""),"'","""")&amp;SUBSTITUTE(TEXT(Overig!I261,""",""?00;"",""?-00;"",""?00;"", //"""),"'","""")&amp;SUBSTITUTE(TEXT(IF(ISTEXT(Overig!J261),Overig!J261,10*Overig!J261),""",""????0;"",""???-0;"",""????0;"", ////"""),"'","""")&amp;SUBSTITUTE(TEXT(Overig!K261,""",""?00;"",""?-00;"",""?00;"", //"""),"'","""")</f>
        <v>044, 19200916, 24.00, 7560, 00, 7550, 00,  300, 00,  300, 00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//"""),"'","""")&amp;SUBSTITUTE(TEXT(IF(ISTEXT(Overig!H262),Overig!H262,10*Overig!H262),""",""????0;"",""???-0;"",""????0;"", ////"""),"'","""")&amp;SUBSTITUTE(TEXT(Overig!I262,""",""?00;"",""?-00;"",""?00;"", //"""),"'","""")&amp;SUBSTITUTE(TEXT(IF(ISTEXT(Overig!J262),Overig!J262,10*Overig!J262),""",""????0;"",""???-0;"",""????0;"", ////"""),"'","""")&amp;SUBSTITUTE(TEXT(Overig!K262,""",""?00;"",""?-00;"",""?00;"", //"""),"'","""")</f>
        <v>044, 19200917, 24.00, 7560, 00, 7535, 00,  305, 00,  300, 00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//"""),"'","""")&amp;SUBSTITUTE(TEXT(IF(ISTEXT(Overig!H263),Overig!H263,10*Overig!H263),""",""????0;"",""???-0;"",""????0;"", ////"""),"'","""")&amp;SUBSTITUTE(TEXT(Overig!I263,""",""?00;"",""?-00;"",""?00;"", //"""),"'","""")&amp;SUBSTITUTE(TEXT(IF(ISTEXT(Overig!J263),Overig!J263,10*Overig!J263),""",""????0;"",""???-0;"",""????0;"", ////"""),"'","""")&amp;SUBSTITUTE(TEXT(Overig!K263,""",""?00;"",""?-00;"",""?00;"", //"""),"'","""")</f>
        <v>044, 19200918, 24.00, 7565, 00, 7540, 00,  300, 00,  300, 00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//"""),"'","""")&amp;SUBSTITUTE(TEXT(IF(ISTEXT(Overig!H264),Overig!H264,10*Overig!H264),""",""????0;"",""???-0;"",""????0;"", ////"""),"'","""")&amp;SUBSTITUTE(TEXT(Overig!I264,""",""?00;"",""?-00;"",""?00;"", //"""),"'","""")&amp;SUBSTITUTE(TEXT(IF(ISTEXT(Overig!J264),Overig!J264,10*Overig!J264),""",""????0;"",""???-0;"",""????0;"", ////"""),"'","""")&amp;SUBSTITUTE(TEXT(Overig!K264,""",""?00;"",""?-00;"",""?00;"", //"""),"'","""")</f>
        <v>044, 19200919, 24.00, 7565, 00, 7540, 00,  300, 00,  300, 00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//"""),"'","""")&amp;SUBSTITUTE(TEXT(IF(ISTEXT(Overig!H265),Overig!H265,10*Overig!H265),""",""????0;"",""???-0;"",""????0;"", ////"""),"'","""")&amp;SUBSTITUTE(TEXT(Overig!I265,""",""?00;"",""?-00;"",""?00;"", //"""),"'","""")&amp;SUBSTITUTE(TEXT(IF(ISTEXT(Overig!J265),Overig!J265,10*Overig!J265),""",""????0;"",""???-0;"",""????0;"", ////"""),"'","""")&amp;SUBSTITUTE(TEXT(Overig!K265,""",""?00;"",""?-00;"",""?00;"", //"""),"'","""")</f>
        <v>044, 19200920, 24.00, 7560, 00, 7555, 00,  310, 00,  300, 00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//"""),"'","""")&amp;SUBSTITUTE(TEXT(IF(ISTEXT(Overig!H266),Overig!H266,10*Overig!H266),""",""????0;"",""???-0;"",""????0;"", ////"""),"'","""")&amp;SUBSTITUTE(TEXT(Overig!I266,""",""?00;"",""?-00;"",""?00;"", //"""),"'","""")&amp;SUBSTITUTE(TEXT(IF(ISTEXT(Overig!J266),Overig!J266,10*Overig!J266),""",""????0;"",""???-0;"",""????0;"", ////"""),"'","""")&amp;SUBSTITUTE(TEXT(Overig!K266,""",""?00;"",""?-00;"",""?00;"", //"""),"'","""")</f>
        <v>044, 19200921, 24.00, 7550, 00, 7540, 00,  300, 00,  300, 00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//"""),"'","""")&amp;SUBSTITUTE(TEXT(IF(ISTEXT(Overig!H267),Overig!H267,10*Overig!H267),""",""????0;"",""???-0;"",""????0;"", ////"""),"'","""")&amp;SUBSTITUTE(TEXT(Overig!I267,""",""?00;"",""?-00;"",""?00;"", //"""),"'","""")&amp;SUBSTITUTE(TEXT(IF(ISTEXT(Overig!J267),Overig!J267,10*Overig!J267),""",""????0;"",""???-0;"",""????0;"", ////"""),"'","""")&amp;SUBSTITUTE(TEXT(Overig!K267,""",""?00;"",""?-00;"",""?00;"", //"""),"'","""")</f>
        <v>044, 19200922, 24.00, 7565, 00, 7560, 00,  300, 00,  295, 00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//"""),"'","""")&amp;SUBSTITUTE(TEXT(IF(ISTEXT(Overig!H268),Overig!H268,10*Overig!H268),""",""????0;"",""???-0;"",""????0;"", ////"""),"'","""")&amp;SUBSTITUTE(TEXT(Overig!I268,""",""?00;"",""?-00;"",""?00;"", //"""),"'","""")&amp;SUBSTITUTE(TEXT(IF(ISTEXT(Overig!J268),Overig!J268,10*Overig!J268),""",""????0;"",""???-0;"",""????0;"", ////"""),"'","""")&amp;SUBSTITUTE(TEXT(Overig!K268,""",""?00;"",""?-00;"",""?00;"", //"""),"'","""")</f>
        <v>044, 19200923, 24.00, 7570, 00, 7560, 00,  300, 00,  300, 00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//"""),"'","""")&amp;SUBSTITUTE(TEXT(IF(ISTEXT(Overig!H269),Overig!H269,10*Overig!H269),""",""????0;"",""???-0;"",""????0;"", ////"""),"'","""")&amp;SUBSTITUTE(TEXT(Overig!I269,""",""?00;"",""?-00;"",""?00;"", //"""),"'","""")&amp;SUBSTITUTE(TEXT(IF(ISTEXT(Overig!J269),Overig!J269,10*Overig!J269),""",""????0;"",""???-0;"",""????0;"", ////"""),"'","""")&amp;SUBSTITUTE(TEXT(Overig!K269,""",""?00;"",""?-00;"",""?00;"", //"""),"'","""")</f>
        <v>044, 19200924, 24.00, 7555, 00, 7535, 00,  310, 00,  305, 00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//"""),"'","""")&amp;SUBSTITUTE(TEXT(IF(ISTEXT(Overig!H270),Overig!H270,10*Overig!H270),""",""????0;"",""???-0;"",""????0;"", ////"""),"'","""")&amp;SUBSTITUTE(TEXT(Overig!I270,""",""?00;"",""?-00;"",""?00;"", //"""),"'","""")&amp;SUBSTITUTE(TEXT(IF(ISTEXT(Overig!J270),Overig!J270,10*Overig!J270),""",""????0;"",""???-0;"",""????0;"", ////"""),"'","""")&amp;SUBSTITUTE(TEXT(Overig!K270,""",""?00;"",""?-00;"",""?00;"", //"""),"'","""")</f>
        <v>044, 19200925, 24.00, 7540, 00, 7535, 00,  305, 00,  300, 00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//"""),"'","""")&amp;SUBSTITUTE(TEXT(IF(ISTEXT(Overig!H271),Overig!H271,10*Overig!H271),""",""????0;"",""???-0;"",""????0;"", ////"""),"'","""")&amp;SUBSTITUTE(TEXT(Overig!I271,""",""?00;"",""?-00;"",""?00;"", //"""),"'","""")&amp;SUBSTITUTE(TEXT(IF(ISTEXT(Overig!J271),Overig!J271,10*Overig!J271),""",""????0;"",""???-0;"",""????0;"", ////"""),"'","""")&amp;SUBSTITUTE(TEXT(Overig!K271,""",""?00;"",""?-00;"",""?00;"", //"""),"'","""")</f>
        <v>044, 19200926, 24.00, 7540, 00, 7535, 00,  300, 00,  295, 00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//"""),"'","""")&amp;SUBSTITUTE(TEXT(IF(ISTEXT(Overig!H272),Overig!H272,10*Overig!H272),""",""????0;"",""???-0;"",""????0;"", ////"""),"'","""")&amp;SUBSTITUTE(TEXT(Overig!I272,""",""?00;"",""?-00;"",""?00;"", //"""),"'","""")&amp;SUBSTITUTE(TEXT(IF(ISTEXT(Overig!J272),Overig!J272,10*Overig!J272),""",""????0;"",""???-0;"",""????0;"", ////"""),"'","""")&amp;SUBSTITUTE(TEXT(Overig!K272,""",""?00;"",""?-00;"",""?00;"", //"""),"'","""")</f>
        <v>044, 19200927, 24.00, 7560, 00, 7540, 00,  305, 00,  300, 00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//"""),"'","""")&amp;SUBSTITUTE(TEXT(IF(ISTEXT(Overig!H273),Overig!H273,10*Overig!H273),""",""????0;"",""???-0;"",""????0;"", ////"""),"'","""")&amp;SUBSTITUTE(TEXT(Overig!I273,""",""?00;"",""?-00;"",""?00;"", //"""),"'","""")&amp;SUBSTITUTE(TEXT(IF(ISTEXT(Overig!J273),Overig!J273,10*Overig!J273),""",""????0;"",""???-0;"",""????0;"", ////"""),"'","""")&amp;SUBSTITUTE(TEXT(Overig!K273,""",""?00;"",""?-00;"",""?00;"", //"""),"'","""")</f>
        <v>044, 19200928, 24.00, 7550, 00, 7540, 00,  315, 00,  300, 00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//"""),"'","""")&amp;SUBSTITUTE(TEXT(IF(ISTEXT(Overig!H274),Overig!H274,10*Overig!H274),""",""????0;"",""???-0;"",""????0;"", ////"""),"'","""")&amp;SUBSTITUTE(TEXT(Overig!I274,""",""?00;"",""?-00;"",""?00;"", //"""),"'","""")&amp;SUBSTITUTE(TEXT(IF(ISTEXT(Overig!J274),Overig!J274,10*Overig!J274),""",""????0;"",""???-0;"",""????0;"", ////"""),"'","""")&amp;SUBSTITUTE(TEXT(Overig!K274,""",""?00;"",""?-00;"",""?00;"", //"""),"'","""")</f>
        <v>044, 19200929, 24.00, 7570, 00, 7550, 00,  305, 00,  300, 00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//"""),"'","""")&amp;SUBSTITUTE(TEXT(IF(ISTEXT(Overig!H275),Overig!H275,10*Overig!H275),""",""????0;"",""???-0;"",""????0;"", ////"""),"'","""")&amp;SUBSTITUTE(TEXT(Overig!I275,""",""?00;"",""?-00;"",""?00;"", //"""),"'","""")&amp;SUBSTITUTE(TEXT(IF(ISTEXT(Overig!J275),Overig!J275,10*Overig!J275),""",""????0;"",""???-0;"",""????0;"", ////"""),"'","""")&amp;SUBSTITUTE(TEXT(Overig!K275,""",""?00;"",""?-00;"",""?00;"", //"""),"'","""")</f>
        <v>044, 19200930, 24.00, 7575, 00, 7560, 00,  305, 00,  300, 00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//"""),"'","""")&amp;SUBSTITUTE(TEXT(IF(ISTEXT(Overig!H276),Overig!H276,10*Overig!H276),""",""????0;"",""???-0;"",""????0;"", ////"""),"'","""")&amp;SUBSTITUTE(TEXT(Overig!I276,""",""?00;"",""?-00;"",""?00;"", //"""),"'","""")&amp;SUBSTITUTE(TEXT(IF(ISTEXT(Overig!J276),Overig!J276,10*Overig!J276),""",""????0;"",""???-0;"",""????0;"", ////"""),"'","""")&amp;SUBSTITUTE(TEXT(Overig!K276,""",""?00;"",""?-00;"",""?00;"", //"""),"'","""")</f>
        <v>044, 19201001, 24.00, 7570, 00, 7550, 00,  310, 00,  300, 00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//"""),"'","""")&amp;SUBSTITUTE(TEXT(IF(ISTEXT(Overig!H277),Overig!H277,10*Overig!H277),""",""????0;"",""???-0;"",""????0;"", ////"""),"'","""")&amp;SUBSTITUTE(TEXT(Overig!I277,""",""?00;"",""?-00;"",""?00;"", //"""),"'","""")&amp;SUBSTITUTE(TEXT(IF(ISTEXT(Overig!J277),Overig!J277,10*Overig!J277),""",""????0;"",""???-0;"",""????0;"", ////"""),"'","""")&amp;SUBSTITUTE(TEXT(Overig!K277,""",""?00;"",""?-00;"",""?00;"", //"""),"'","""")</f>
        <v>044, 19201002, 24.00, 7575, 00, 7545, 00,  300, 00,  290, 00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//"""),"'","""")&amp;SUBSTITUTE(TEXT(IF(ISTEXT(Overig!H278),Overig!H278,10*Overig!H278),""",""????0;"",""???-0;"",""????0;"", ////"""),"'","""")&amp;SUBSTITUTE(TEXT(Overig!I278,""",""?00;"",""?-00;"",""?00;"", //"""),"'","""")&amp;SUBSTITUTE(TEXT(IF(ISTEXT(Overig!J278),Overig!J278,10*Overig!J278),""",""????0;"",""???-0;"",""????0;"", ////"""),"'","""")&amp;SUBSTITUTE(TEXT(Overig!K278,""",""?00;"",""?-00;"",""?00;"", //"""),"'","""")</f>
        <v>044, 19201003, 24.00, 7575, 00, 7545, 00,  300, 00,  290, 00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//"""),"'","""")&amp;SUBSTITUTE(TEXT(IF(ISTEXT(Overig!H279),Overig!H279,10*Overig!H279),""",""????0;"",""???-0;"",""????0;"", ////"""),"'","""")&amp;SUBSTITUTE(TEXT(Overig!I279,""",""?00;"",""?-00;"",""?00;"", //"""),"'","""")&amp;SUBSTITUTE(TEXT(IF(ISTEXT(Overig!J279),Overig!J279,10*Overig!J279),""",""????0;"",""???-0;"",""????0;"", ////"""),"'","""")&amp;SUBSTITUTE(TEXT(Overig!K279,""",""?00;"",""?-00;"",""?00;"", //"""),"'","""")</f>
        <v>044, 19201004, 24.00, 7570, 00, 7550, 00,  300, 00,  290, 00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//"""),"'","""")&amp;SUBSTITUTE(TEXT(IF(ISTEXT(Overig!H280),Overig!H280,10*Overig!H280),""",""????0;"",""???-0;"",""????0;"", ////"""),"'","""")&amp;SUBSTITUTE(TEXT(Overig!I280,""",""?00;"",""?-00;"",""?00;"", //"""),"'","""")&amp;SUBSTITUTE(TEXT(IF(ISTEXT(Overig!J280),Overig!J280,10*Overig!J280),""",""????0;"",""???-0;"",""????0;"", ////"""),"'","""")&amp;SUBSTITUTE(TEXT(Overig!K280,""",""?00;"",""?-00;"",""?00;"", //"""),"'","""")</f>
        <v>044, 19201005, 24.00, 7575, 00, 7560, 00,  300, 00,  290, 00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//"""),"'","""")&amp;SUBSTITUTE(TEXT(IF(ISTEXT(Overig!H281),Overig!H281,10*Overig!H281),""",""????0;"",""???-0;"",""????0;"", ////"""),"'","""")&amp;SUBSTITUTE(TEXT(Overig!I281,""",""?00;"",""?-00;"",""?00;"", //"""),"'","""")&amp;SUBSTITUTE(TEXT(IF(ISTEXT(Overig!J281),Overig!J281,10*Overig!J281),""",""????0;"",""???-0;"",""????0;"", ////"""),"'","""")&amp;SUBSTITUTE(TEXT(Overig!K281,""",""?00;"",""?-00;"",""?00;"", //"""),"'","""")</f>
        <v>044, 19201006, 24.00, 7575, 00, 7545, 00,  305, 00,  300, 00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//"""),"'","""")&amp;SUBSTITUTE(TEXT(IF(ISTEXT(Overig!H282),Overig!H282,10*Overig!H282),""",""????0;"",""???-0;"",""????0;"", ////"""),"'","""")&amp;SUBSTITUTE(TEXT(Overig!I282,""",""?00;"",""?-00;"",""?00;"", //"""),"'","""")&amp;SUBSTITUTE(TEXT(IF(ISTEXT(Overig!J282),Overig!J282,10*Overig!J282),""",""????0;"",""???-0;"",""????0;"", ////"""),"'","""")&amp;SUBSTITUTE(TEXT(Overig!K282,""",""?00;"",""?-00;"",""?00;"", //"""),"'","""")</f>
        <v>044, 19201007, 24.00, 7560, 00, 7535, 00,  300, 00,  290, 00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//"""),"'","""")&amp;SUBSTITUTE(TEXT(IF(ISTEXT(Overig!H283),Overig!H283,10*Overig!H283),""",""????0;"",""???-0;"",""????0;"", ////"""),"'","""")&amp;SUBSTITUTE(TEXT(Overig!I283,""",""?00;"",""?-00;"",""?00;"", //"""),"'","""")&amp;SUBSTITUTE(TEXT(IF(ISTEXT(Overig!J283),Overig!J283,10*Overig!J283),""",""????0;"",""???-0;"",""????0;"", ////"""),"'","""")&amp;SUBSTITUTE(TEXT(Overig!K283,""",""?00;"",""?-00;"",""?00;"", //"""),"'","""")</f>
        <v>044, 19201008, 24.00, 7565, 00, 7540, 00,  300, 00,  290, 00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//"""),"'","""")&amp;SUBSTITUTE(TEXT(IF(ISTEXT(Overig!H284),Overig!H284,10*Overig!H284),""",""????0;"",""???-0;"",""????0;"", ////"""),"'","""")&amp;SUBSTITUTE(TEXT(Overig!I284,""",""?00;"",""?-00;"",""?00;"", //"""),"'","""")&amp;SUBSTITUTE(TEXT(IF(ISTEXT(Overig!J284),Overig!J284,10*Overig!J284),""",""????0;"",""???-0;"",""????0;"", ////"""),"'","""")&amp;SUBSTITUTE(TEXT(Overig!K284,""",""?00;"",""?-00;"",""?00;"", //"""),"'","""")</f>
        <v>044, 19201009, 24.00, 7570, 00, 7550, 00,  300, 00,  290, 00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//"""),"'","""")&amp;SUBSTITUTE(TEXT(IF(ISTEXT(Overig!H285),Overig!H285,10*Overig!H285),""",""????0;"",""???-0;"",""????0;"", ////"""),"'","""")&amp;SUBSTITUTE(TEXT(Overig!I285,""",""?00;"",""?-00;"",""?00;"", //"""),"'","""")&amp;SUBSTITUTE(TEXT(IF(ISTEXT(Overig!J285),Overig!J285,10*Overig!J285),""",""????0;"",""???-0;"",""????0;"", ////"""),"'","""")&amp;SUBSTITUTE(TEXT(Overig!K285,""",""?00;"",""?-00;"",""?00;"", //"""),"'","""")</f>
        <v>044, 19201010, 24.00, 7570, 00, 7550, 00,  300, 00,  290, 00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//"""),"'","""")&amp;SUBSTITUTE(TEXT(IF(ISTEXT(Overig!H286),Overig!H286,10*Overig!H286),""",""????0;"",""???-0;"",""????0;"", ////"""),"'","""")&amp;SUBSTITUTE(TEXT(Overig!I286,""",""?00;"",""?-00;"",""?00;"", //"""),"'","""")&amp;SUBSTITUTE(TEXT(IF(ISTEXT(Overig!J286),Overig!J286,10*Overig!J286),""",""????0;"",""???-0;"",""????0;"", ////"""),"'","""")&amp;SUBSTITUTE(TEXT(Overig!K286,""",""?00;"",""?-00;"",""?00;"", //"""),"'","""")</f>
        <v>044, 19201011, 24.00, 7570, 00, 7550, 00,  300, 00,  300, 00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//"""),"'","""")&amp;SUBSTITUTE(TEXT(IF(ISTEXT(Overig!H287),Overig!H287,10*Overig!H287),""",""????0;"",""???-0;"",""????0;"", ////"""),"'","""")&amp;SUBSTITUTE(TEXT(Overig!I287,""",""?00;"",""?-00;"",""?00;"", //"""),"'","""")&amp;SUBSTITUTE(TEXT(IF(ISTEXT(Overig!J287),Overig!J287,10*Overig!J287),""",""????0;"",""???-0;"",""????0;"", ////"""),"'","""")&amp;SUBSTITUTE(TEXT(Overig!K287,""",""?00;"",""?-00;"",""?00;"", //"""),"'","""")</f>
        <v>044, 19201012, 24.00, 7565, 00, 7550, 00,  300, 00,  290, 00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//"""),"'","""")&amp;SUBSTITUTE(TEXT(IF(ISTEXT(Overig!H288),Overig!H288,10*Overig!H288),""",""????0;"",""???-0;"",""????0;"", ////"""),"'","""")&amp;SUBSTITUTE(TEXT(Overig!I288,""",""?00;"",""?-00;"",""?00;"", //"""),"'","""")&amp;SUBSTITUTE(TEXT(IF(ISTEXT(Overig!J288),Overig!J288,10*Overig!J288),""",""????0;"",""???-0;"",""????0;"", ////"""),"'","""")&amp;SUBSTITUTE(TEXT(Overig!K288,""",""?00;"",""?-00;"",""?00;"", //"""),"'","""")</f>
        <v>044, 19201013, 24.00, 7560, 00, 7550, 00,  300, 00,  290, 00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//"""),"'","""")&amp;SUBSTITUTE(TEXT(IF(ISTEXT(Overig!H289),Overig!H289,10*Overig!H289),""",""????0;"",""???-0;"",""????0;"", ////"""),"'","""")&amp;SUBSTITUTE(TEXT(Overig!I289,""",""?00;"",""?-00;"",""?00;"", //"""),"'","""")&amp;SUBSTITUTE(TEXT(IF(ISTEXT(Overig!J289),Overig!J289,10*Overig!J289),""",""????0;"",""???-0;"",""????0;"", ////"""),"'","""")&amp;SUBSTITUTE(TEXT(Overig!K289,""",""?00;"",""?-00;"",""?00;"", //"""),"'","""")</f>
        <v>044, 19201014, 24.00, 7540, 00, 7520, 00,  310, 00,  300, 00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//"""),"'","""")&amp;SUBSTITUTE(TEXT(IF(ISTEXT(Overig!H290),Overig!H290,10*Overig!H290),""",""????0;"",""???-0;"",""????0;"", ////"""),"'","""")&amp;SUBSTITUTE(TEXT(Overig!I290,""",""?00;"",""?-00;"",""?00;"", //"""),"'","""")&amp;SUBSTITUTE(TEXT(IF(ISTEXT(Overig!J290),Overig!J290,10*Overig!J290),""",""????0;"",""???-0;"",""????0;"", ////"""),"'","""")&amp;SUBSTITUTE(TEXT(Overig!K290,""",""?00;"",""?-00;"",""?00;"", //"""),"'","""")</f>
        <v>044, 19201015, 24.00, 7565, 00, 7540, 00,  310, 00,  290, 00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//"""),"'","""")&amp;SUBSTITUTE(TEXT(IF(ISTEXT(Overig!H291),Overig!H291,10*Overig!H291),""",""????0;"",""???-0;"",""????0;"", ////"""),"'","""")&amp;SUBSTITUTE(TEXT(Overig!I291,""",""?00;"",""?-00;"",""?00;"", //"""),"'","""")&amp;SUBSTITUTE(TEXT(IF(ISTEXT(Overig!J291),Overig!J291,10*Overig!J291),""",""????0;"",""???-0;"",""????0;"", ////"""),"'","""")&amp;SUBSTITUTE(TEXT(Overig!K291,""",""?00;"",""?-00;"",""?00;"", //"""),"'","""")</f>
        <v>044, 19201016, 24.00, 7565, 00, 7530, 00,  300, 00,  290, 00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//"""),"'","""")&amp;SUBSTITUTE(TEXT(IF(ISTEXT(Overig!H292),Overig!H292,10*Overig!H292),""",""????0;"",""???-0;"",""????0;"", ////"""),"'","""")&amp;SUBSTITUTE(TEXT(Overig!I292,""",""?00;"",""?-00;"",""?00;"", //"""),"'","""")&amp;SUBSTITUTE(TEXT(IF(ISTEXT(Overig!J292),Overig!J292,10*Overig!J292),""",""????0;"",""???-0;"",""????0;"", ////"""),"'","""")&amp;SUBSTITUTE(TEXT(Overig!K292,""",""?00;"",""?-00;"",""?00;"", //"""),"'","""")</f>
        <v>044, 19201017, 24.00, 7565, 00, 7530, 00,  300, 00,  290, 00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//"""),"'","""")&amp;SUBSTITUTE(TEXT(IF(ISTEXT(Overig!H293),Overig!H293,10*Overig!H293),""",""????0;"",""???-0;"",""????0;"", ////"""),"'","""")&amp;SUBSTITUTE(TEXT(Overig!I293,""",""?00;"",""?-00;"",""?00;"", //"""),"'","""")&amp;SUBSTITUTE(TEXT(IF(ISTEXT(Overig!J293),Overig!J293,10*Overig!J293),""",""????0;"",""???-0;"",""????0;"", ////"""),"'","""")&amp;SUBSTITUTE(TEXT(Overig!K293,""",""?00;"",""?-00;"",""?00;"", //"""),"'","""")</f>
        <v>044, 19201018, 24.00, 7555, 00, 7535, 00,  310, 00,  300, 00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//"""),"'","""")&amp;SUBSTITUTE(TEXT(IF(ISTEXT(Overig!H294),Overig!H294,10*Overig!H294),""",""????0;"",""???-0;"",""????0;"", ////"""),"'","""")&amp;SUBSTITUTE(TEXT(Overig!I294,""",""?00;"",""?-00;"",""?00;"", //"""),"'","""")&amp;SUBSTITUTE(TEXT(IF(ISTEXT(Overig!J294),Overig!J294,10*Overig!J294),""",""????0;"",""???-0;"",""????0;"", ////"""),"'","""")&amp;SUBSTITUTE(TEXT(Overig!K294,""",""?00;"",""?-00;"",""?00;"", //"""),"'","""")</f>
        <v>044, 19201019, 24.00, 7550, 00, 7535, 00,  300, 00,  300, 00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//"""),"'","""")&amp;SUBSTITUTE(TEXT(IF(ISTEXT(Overig!H295),Overig!H295,10*Overig!H295),""",""????0;"",""???-0;"",""????0;"", ////"""),"'","""")&amp;SUBSTITUTE(TEXT(Overig!I295,""",""?00;"",""?-00;"",""?00;"", //"""),"'","""")&amp;SUBSTITUTE(TEXT(IF(ISTEXT(Overig!J295),Overig!J295,10*Overig!J295),""",""????0;"",""???-0;"",""????0;"", ////"""),"'","""")&amp;SUBSTITUTE(TEXT(Overig!K295,""",""?00;"",""?-00;"",""?00;"", //"""),"'","""")</f>
        <v>044, 19201020, 24.00, 7530, 00, 7530, 00,  300, 00,  295, 00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//"""),"'","""")&amp;SUBSTITUTE(TEXT(IF(ISTEXT(Overig!H296),Overig!H296,10*Overig!H296),""",""????0;"",""???-0;"",""????0;"", ////"""),"'","""")&amp;SUBSTITUTE(TEXT(Overig!I296,""",""?00;"",""?-00;"",""?00;"", //"""),"'","""")&amp;SUBSTITUTE(TEXT(IF(ISTEXT(Overig!J296),Overig!J296,10*Overig!J296),""",""????0;"",""???-0;"",""????0;"", ////"""),"'","""")&amp;SUBSTITUTE(TEXT(Overig!K296,""",""?00;"",""?-00;"",""?00;"", //"""),"'","""")</f>
        <v>044, 19201021, 24.00, 7560, 00, 7535, 00,  300, 00,  290, 00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//"""),"'","""")&amp;SUBSTITUTE(TEXT(IF(ISTEXT(Overig!H297),Overig!H297,10*Overig!H297),""",""????0;"",""???-0;"",""????0;"", ////"""),"'","""")&amp;SUBSTITUTE(TEXT(Overig!I297,""",""?00;"",""?-00;"",""?00;"", //"""),"'","""")&amp;SUBSTITUTE(TEXT(IF(ISTEXT(Overig!J297),Overig!J297,10*Overig!J297),""",""????0;"",""???-0;"",""????0;"", ////"""),"'","""")&amp;SUBSTITUTE(TEXT(Overig!K297,""",""?00;"",""?-00;"",""?00;"", //"""),"'","""")</f>
        <v>044, 19201022, 24.00, 7550, 00, 7520, 00,  300, 00,  290, 00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//"""),"'","""")&amp;SUBSTITUTE(TEXT(IF(ISTEXT(Overig!H298),Overig!H298,10*Overig!H298),""",""????0;"",""???-0;"",""????0;"", ////"""),"'","""")&amp;SUBSTITUTE(TEXT(Overig!I298,""",""?00;"",""?-00;"",""?00;"", //"""),"'","""")&amp;SUBSTITUTE(TEXT(IF(ISTEXT(Overig!J298),Overig!J298,10*Overig!J298),""",""????0;"",""???-0;"",""????0;"", ////"""),"'","""")&amp;SUBSTITUTE(TEXT(Overig!K298,""",""?00;"",""?-00;"",""?00;"", //"""),"'","""")</f>
        <v>044, 19201023, 24.00, 7550, 00, 7530, 00,  300, 00,  290, 00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//"""),"'","""")&amp;SUBSTITUTE(TEXT(IF(ISTEXT(Overig!H299),Overig!H299,10*Overig!H299),""",""????0;"",""???-0;"",""????0;"", ////"""),"'","""")&amp;SUBSTITUTE(TEXT(Overig!I299,""",""?00;"",""?-00;"",""?00;"", //"""),"'","""")&amp;SUBSTITUTE(TEXT(IF(ISTEXT(Overig!J299),Overig!J299,10*Overig!J299),""",""????0;"",""???-0;"",""????0;"", ////"""),"'","""")&amp;SUBSTITUTE(TEXT(Overig!K299,""",""?00;"",""?-00;"",""?00;"", //"""),"'","""")</f>
        <v>044, 19201024, 24.00, 7550, 00, 7530, 00,  300, 00,  290, 00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//"""),"'","""")&amp;SUBSTITUTE(TEXT(IF(ISTEXT(Overig!H300),Overig!H300,10*Overig!H300),""",""????0;"",""???-0;"",""????0;"", ////"""),"'","""")&amp;SUBSTITUTE(TEXT(Overig!I300,""",""?00;"",""?-00;"",""?00;"", //"""),"'","""")&amp;SUBSTITUTE(TEXT(IF(ISTEXT(Overig!J300),Overig!J300,10*Overig!J300),""",""????0;"",""???-0;"",""????0;"", ////"""),"'","""")&amp;SUBSTITUTE(TEXT(Overig!K300,""",""?00;"",""?-00;"",""?00;"", //"""),"'","""")</f>
        <v>044, 19201025, 24.00, 7555, 00, 7530, 00,  290, 00,  280, 00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//"""),"'","""")&amp;SUBSTITUTE(TEXT(IF(ISTEXT(Overig!H301),Overig!H301,10*Overig!H301),""",""????0;"",""???-0;"",""????0;"", ////"""),"'","""")&amp;SUBSTITUTE(TEXT(Overig!I301,""",""?00;"",""?-00;"",""?00;"", //"""),"'","""")&amp;SUBSTITUTE(TEXT(IF(ISTEXT(Overig!J301),Overig!J301,10*Overig!J301),""",""????0;"",""???-0;"",""????0;"", ////"""),"'","""")&amp;SUBSTITUTE(TEXT(Overig!K301,""",""?00;"",""?-00;"",""?00;"", //"""),"'","""")</f>
        <v>044, 19201026, 24.00, 7540, 00, 7520, 00,  290, 00,  280, 00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//"""),"'","""")&amp;SUBSTITUTE(TEXT(IF(ISTEXT(Overig!H302),Overig!H302,10*Overig!H302),""",""????0;"",""???-0;"",""????0;"", ////"""),"'","""")&amp;SUBSTITUTE(TEXT(Overig!I302,""",""?00;"",""?-00;"",""?00;"", //"""),"'","""")&amp;SUBSTITUTE(TEXT(IF(ISTEXT(Overig!J302),Overig!J302,10*Overig!J302),""",""????0;"",""???-0;"",""????0;"", ////"""),"'","""")&amp;SUBSTITUTE(TEXT(Overig!K302,""",""?00;"",""?-00;"",""?00;"", //"""),"'","""")</f>
        <v>044, 19201027, 24.00, 7550, 00, 7530, 00,  310, 00,  300, 00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//"""),"'","""")&amp;SUBSTITUTE(TEXT(IF(ISTEXT(Overig!H303),Overig!H303,10*Overig!H303),""",""????0;"",""???-0;"",""????0;"", ////"""),"'","""")&amp;SUBSTITUTE(TEXT(Overig!I303,""",""?00;"",""?-00;"",""?00;"", //"""),"'","""")&amp;SUBSTITUTE(TEXT(IF(ISTEXT(Overig!J303),Overig!J303,10*Overig!J303),""",""????0;"",""???-0;"",""????0;"", ////"""),"'","""")&amp;SUBSTITUTE(TEXT(Overig!K303,""",""?00;"",""?-00;"",""?00;"", //"""),"'","""")</f>
        <v>044, 19201028, 24.00, 7550, 00, 7515, 00,  310, 00,  300, 00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//"""),"'","""")&amp;SUBSTITUTE(TEXT(IF(ISTEXT(Overig!H304),Overig!H304,10*Overig!H304),""",""????0;"",""???-0;"",""????0;"", ////"""),"'","""")&amp;SUBSTITUTE(TEXT(Overig!I304,""",""?00;"",""?-00;"",""?00;"", //"""),"'","""")&amp;SUBSTITUTE(TEXT(IF(ISTEXT(Overig!J304),Overig!J304,10*Overig!J304),""",""????0;"",""???-0;"",""????0;"", ////"""),"'","""")&amp;SUBSTITUTE(TEXT(Overig!K304,""",""?00;"",""?-00;"",""?00;"", //"""),"'","""")</f>
        <v>044, 19201029, 24.00, 7550, 00, 7545, 00,  300, 00,  295, 00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//"""),"'","""")&amp;SUBSTITUTE(TEXT(IF(ISTEXT(Overig!H305),Overig!H305,10*Overig!H305),""",""????0;"",""???-0;"",""????0;"", ////"""),"'","""")&amp;SUBSTITUTE(TEXT(Overig!I305,""",""?00;"",""?-00;"",""?00;"", //"""),"'","""")&amp;SUBSTITUTE(TEXT(IF(ISTEXT(Overig!J305),Overig!J305,10*Overig!J305),""",""????0;"",""???-0;"",""????0;"", ////"""),"'","""")&amp;SUBSTITUTE(TEXT(Overig!K305,""",""?00;"",""?-00;"",""?00;"", //"""),"'","""")</f>
        <v>044, 19201030, 24.00, 7555, 00, 7535, 00,  305, 00,  300, 00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//"""),"'","""")&amp;SUBSTITUTE(TEXT(IF(ISTEXT(Overig!H306),Overig!H306,10*Overig!H306),""",""????0;"",""???-0;"",""????0;"", ////"""),"'","""")&amp;SUBSTITUTE(TEXT(Overig!I306,""",""?00;"",""?-00;"",""?00;"", //"""),"'","""")&amp;SUBSTITUTE(TEXT(IF(ISTEXT(Overig!J306),Overig!J306,10*Overig!J306),""",""????0;"",""???-0;"",""????0;"", ////"""),"'","""")&amp;SUBSTITUTE(TEXT(Overig!K306,""",""?00;"",""?-00;"",""?00;"", //"""),"'","""")</f>
        <v>044, 19201031, 24.00, 7555, 00, 7535, 00,  305, 00,  300, 00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//"""),"'","""")&amp;SUBSTITUTE(TEXT(IF(ISTEXT(Overig!H307),Overig!H307,10*Overig!H307),""",""????0;"",""???-0;"",""????0;"", ////"""),"'","""")&amp;SUBSTITUTE(TEXT(Overig!I307,""",""?00;"",""?-00;"",""?00;"", //"""),"'","""")&amp;SUBSTITUTE(TEXT(IF(ISTEXT(Overig!J307),Overig!J307,10*Overig!J307),""",""????0;"",""???-0;"",""????0;"", ////"""),"'","""")&amp;SUBSTITUTE(TEXT(Overig!K307,""",""?00;"",""?-00;"",""?00;"", //"""),"'","""")</f>
        <v>044, 19201101, 24.00, 7555, 00, 7530, 00,  300, 00,  290, 00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//"""),"'","""")&amp;SUBSTITUTE(TEXT(IF(ISTEXT(Overig!H308),Overig!H308,10*Overig!H308),""",""????0;"",""???-0;"",""????0;"", ////"""),"'","""")&amp;SUBSTITUTE(TEXT(Overig!I308,""",""?00;"",""?-00;"",""?00;"", //"""),"'","""")&amp;SUBSTITUTE(TEXT(IF(ISTEXT(Overig!J308),Overig!J308,10*Overig!J308),""",""????0;"",""???-0;"",""????0;"", ////"""),"'","""")&amp;SUBSTITUTE(TEXT(Overig!K308,""",""?00;"",""?-00;"",""?00;"", //"""),"'","""")</f>
        <v>044, 19201102, 24.00, 7555, 00, 7535, 00,  290, 00,  280, 00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//"""),"'","""")&amp;SUBSTITUTE(TEXT(IF(ISTEXT(Overig!H309),Overig!H309,10*Overig!H309),""",""????0;"",""???-0;"",""????0;"", ////"""),"'","""")&amp;SUBSTITUTE(TEXT(Overig!I309,""",""?00;"",""?-00;"",""?00;"", //"""),"'","""")&amp;SUBSTITUTE(TEXT(IF(ISTEXT(Overig!J309),Overig!J309,10*Overig!J309),""",""????0;"",""???-0;"",""????0;"", ////"""),"'","""")&amp;SUBSTITUTE(TEXT(Overig!K309,""",""?00;"",""?-00;"",""?00;"", //"""),"'","""")</f>
        <v>044, 19201103, 24.00, 7555, 00, 7530, 00,  290, 00,  280, 00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//"""),"'","""")&amp;SUBSTITUTE(TEXT(IF(ISTEXT(Overig!H310),Overig!H310,10*Overig!H310),""",""????0;"",""???-0;"",""????0;"", ////"""),"'","""")&amp;SUBSTITUTE(TEXT(Overig!I310,""",""?00;"",""?-00;"",""?00;"", //"""),"'","""")&amp;SUBSTITUTE(TEXT(IF(ISTEXT(Overig!J310),Overig!J310,10*Overig!J310),""",""????0;"",""???-0;"",""????0;"", ////"""),"'","""")&amp;SUBSTITUTE(TEXT(Overig!K310,""",""?00;"",""?-00;"",""?00;"", //"""),"'","""")</f>
        <v>044, 19201104, 24.00, 7550, 00, 7525, 00,  300, 00,  290, 00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//"""),"'","""")&amp;SUBSTITUTE(TEXT(IF(ISTEXT(Overig!H311),Overig!H311,10*Overig!H311),""",""????0;"",""???-0;"",""????0;"", ////"""),"'","""")&amp;SUBSTITUTE(TEXT(Overig!I311,""",""?00;"",""?-00;"",""?00;"", //"""),"'","""")&amp;SUBSTITUTE(TEXT(IF(ISTEXT(Overig!J311),Overig!J311,10*Overig!J311),""",""????0;"",""???-0;"",""????0;"", ////"""),"'","""")&amp;SUBSTITUTE(TEXT(Overig!K311,""",""?00;"",""?-00;"",""?00;"", //"""),"'","""")</f>
        <v>044, 19201105, 24.00, 7550, 00, 7535, 00,  300, 00,  300, 00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//"""),"'","""")&amp;SUBSTITUTE(TEXT(IF(ISTEXT(Overig!H312),Overig!H312,10*Overig!H312),""",""????0;"",""???-0;"",""????0;"", ////"""),"'","""")&amp;SUBSTITUTE(TEXT(Overig!I312,""",""?00;"",""?-00;"",""?00;"", //"""),"'","""")&amp;SUBSTITUTE(TEXT(IF(ISTEXT(Overig!J312),Overig!J312,10*Overig!J312),""",""????0;"",""???-0;"",""????0;"", ////"""),"'","""")&amp;SUBSTITUTE(TEXT(Overig!K312,""",""?00;"",""?-00;"",""?00;"", //"""),"'","""")</f>
        <v>044, 19201106, 24.00, 7550, 00, 7525, 00,  300, 00,  290, 00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//"""),"'","""")&amp;SUBSTITUTE(TEXT(IF(ISTEXT(Overig!H313),Overig!H313,10*Overig!H313),""",""????0;"",""???-0;"",""????0;"", ////"""),"'","""")&amp;SUBSTITUTE(TEXT(Overig!I313,""",""?00;"",""?-00;"",""?00;"", //"""),"'","""")&amp;SUBSTITUTE(TEXT(IF(ISTEXT(Overig!J313),Overig!J313,10*Overig!J313),""",""????0;"",""???-0;"",""????0;"", ////"""),"'","""")&amp;SUBSTITUTE(TEXT(Overig!K313,""",""?00;"",""?-00;"",""?00;"", //"""),"'","""")</f>
        <v>044, 19201107, 24.00, 7550, 00, 7525, 00,  300, 00,  290, 00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//"""),"'","""")&amp;SUBSTITUTE(TEXT(IF(ISTEXT(Overig!H314),Overig!H314,10*Overig!H314),""",""????0;"",""???-0;"",""????0;"", ////"""),"'","""")&amp;SUBSTITUTE(TEXT(Overig!I314,""",""?00;"",""?-00;"",""?00;"", //"""),"'","""")&amp;SUBSTITUTE(TEXT(IF(ISTEXT(Overig!J314),Overig!J314,10*Overig!J314),""",""????0;"",""???-0;"",""????0;"", ////"""),"'","""")&amp;SUBSTITUTE(TEXT(Overig!K314,""",""?00;"",""?-00;"",""?00;"", //"""),"'","""")</f>
        <v>044, 19201108, 24.00, 7545, 00, 7525, 00,  300, 00,  290, 00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//"""),"'","""")&amp;SUBSTITUTE(TEXT(IF(ISTEXT(Overig!H315),Overig!H315,10*Overig!H315),""",""????0;"",""???-0;"",""????0;"", ////"""),"'","""")&amp;SUBSTITUTE(TEXT(Overig!I315,""",""?00;"",""?-00;"",""?00;"", //"""),"'","""")&amp;SUBSTITUTE(TEXT(IF(ISTEXT(Overig!J315),Overig!J315,10*Overig!J315),""",""????0;"",""???-0;"",""????0;"", ////"""),"'","""")&amp;SUBSTITUTE(TEXT(Overig!K315,""",""?00;"",""?-00;"",""?00;"", //"""),"'","""")</f>
        <v>044, 19201109, 24.00, 7565, 00, 7545, 00,  300, 00,  290, 00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//"""),"'","""")&amp;SUBSTITUTE(TEXT(IF(ISTEXT(Overig!H316),Overig!H316,10*Overig!H316),""",""????0;"",""???-0;"",""????0;"", ////"""),"'","""")&amp;SUBSTITUTE(TEXT(Overig!I316,""",""?00;"",""?-00;"",""?00;"", //"""),"'","""")&amp;SUBSTITUTE(TEXT(IF(ISTEXT(Overig!J316),Overig!J316,10*Overig!J316),""",""????0;"",""???-0;"",""????0;"", ////"""),"'","""")&amp;SUBSTITUTE(TEXT(Overig!K316,""",""?00;"",""?-00;"",""?00;"", //"""),"'","""")</f>
        <v>044, 19201110, 24.00, 7560, 00, 7550, 00,  300, 00,  290, 00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//"""),"'","""")&amp;SUBSTITUTE(TEXT(IF(ISTEXT(Overig!H317),Overig!H317,10*Overig!H317),""",""????0;"",""???-0;"",""????0;"", ////"""),"'","""")&amp;SUBSTITUTE(TEXT(Overig!I317,""",""?00;"",""?-00;"",""?00;"", //"""),"'","""")&amp;SUBSTITUTE(TEXT(IF(ISTEXT(Overig!J317),Overig!J317,10*Overig!J317),""",""????0;"",""???-0;"",""????0;"", ////"""),"'","""")&amp;SUBSTITUTE(TEXT(Overig!K317,""",""?00;"",""?-00;"",""?00;"", //"""),"'","""")</f>
        <v>044, 19201111, 24.00, 7550, 00, 7520, 00,  300, 00,  295, 00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//"""),"'","""")&amp;SUBSTITUTE(TEXT(IF(ISTEXT(Overig!H318),Overig!H318,10*Overig!H318),""",""????0;"",""???-0;"",""????0;"", ////"""),"'","""")&amp;SUBSTITUTE(TEXT(Overig!I318,""",""?00;"",""?-00;"",""?00;"", //"""),"'","""")&amp;SUBSTITUTE(TEXT(IF(ISTEXT(Overig!J318),Overig!J318,10*Overig!J318),""",""????0;"",""???-0;"",""????0;"", ////"""),"'","""")&amp;SUBSTITUTE(TEXT(Overig!K318,""",""?00;"",""?-00;"",""?00;"", //"""),"'","""")</f>
        <v>044, 19201112, 24.00, 7560, 00, 7545, 00,  300, 00,  290, 00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//"""),"'","""")&amp;SUBSTITUTE(TEXT(IF(ISTEXT(Overig!H319),Overig!H319,10*Overig!H319),""",""????0;"",""???-0;"",""????0;"", ////"""),"'","""")&amp;SUBSTITUTE(TEXT(Overig!I319,""",""?00;"",""?-00;"",""?00;"", //"""),"'","""")&amp;SUBSTITUTE(TEXT(IF(ISTEXT(Overig!J319),Overig!J319,10*Overig!J319),""",""????0;"",""???-0;"",""????0;"", ////"""),"'","""")&amp;SUBSTITUTE(TEXT(Overig!K319,""",""?00;"",""?-00;"",""?00;"", //"""),"'","""")</f>
        <v>044, 19201113, 24.00, 7565, 00, 7550, 00,  290, 00,  290, 00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//"""),"'","""")&amp;SUBSTITUTE(TEXT(IF(ISTEXT(Overig!H320),Overig!H320,10*Overig!H320),""",""????0;"",""???-0;"",""????0;"", ////"""),"'","""")&amp;SUBSTITUTE(TEXT(Overig!I320,""",""?00;"",""?-00;"",""?00;"", //"""),"'","""")&amp;SUBSTITUTE(TEXT(IF(ISTEXT(Overig!J320),Overig!J320,10*Overig!J320),""",""????0;"",""???-0;"",""????0;"", ////"""),"'","""")&amp;SUBSTITUTE(TEXT(Overig!K320,""",""?00;"",""?-00;"",""?00;"", //"""),"'","""")</f>
        <v>044, 19201114, 24.00, 7565, 00, 7550, 00,  290, 00,  290, 00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//"""),"'","""")&amp;SUBSTITUTE(TEXT(IF(ISTEXT(Overig!H321),Overig!H321,10*Overig!H321),""",""????0;"",""???-0;"",""????0;"", ////"""),"'","""")&amp;SUBSTITUTE(TEXT(Overig!I321,""",""?00;"",""?-00;"",""?00;"", //"""),"'","""")&amp;SUBSTITUTE(TEXT(IF(ISTEXT(Overig!J321),Overig!J321,10*Overig!J321),""",""????0;"",""???-0;"",""????0;"", ////"""),"'","""")&amp;SUBSTITUTE(TEXT(Overig!K321,""",""?00;"",""?-00;"",""?00;"", //"""),"'","""")</f>
        <v>044, 19201115, 24.00, 7575, 00, 7545, 00,  280, 00,  270, 00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//"""),"'","""")&amp;SUBSTITUTE(TEXT(IF(ISTEXT(Overig!H322),Overig!H322,10*Overig!H322),""",""????0;"",""???-0;"",""????0;"", ////"""),"'","""")&amp;SUBSTITUTE(TEXT(Overig!I322,""",""?00;"",""?-00;"",""?00;"", //"""),"'","""")&amp;SUBSTITUTE(TEXT(IF(ISTEXT(Overig!J322),Overig!J322,10*Overig!J322),""",""????0;"",""???-0;"",""????0;"", ////"""),"'","""")&amp;SUBSTITUTE(TEXT(Overig!K322,""",""?00;"",""?-00;"",""?00;"", //"""),"'","""")</f>
        <v>044, 19201116, 24.00, 7565, 00, 7545, 00,  280, 00,  270, 00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//"""),"'","""")&amp;SUBSTITUTE(TEXT(IF(ISTEXT(Overig!H323),Overig!H323,10*Overig!H323),""",""????0;"",""???-0;"",""????0;"", ////"""),"'","""")&amp;SUBSTITUTE(TEXT(Overig!I323,""",""?00;"",""?-00;"",""?00;"", //"""),"'","""")&amp;SUBSTITUTE(TEXT(IF(ISTEXT(Overig!J323),Overig!J323,10*Overig!J323),""",""????0;"",""???-0;"",""????0;"", ////"""),"'","""")&amp;SUBSTITUTE(TEXT(Overig!K323,""",""?00;"",""?-00;"",""?00;"", //"""),"'","""")</f>
        <v>044, 19201117, 24.00, 7570, 00, 7550, 00,  290, 00,  280, 00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//"""),"'","""")&amp;SUBSTITUTE(TEXT(IF(ISTEXT(Overig!H324),Overig!H324,10*Overig!H324),""",""????0;"",""???-0;"",""????0;"", ////"""),"'","""")&amp;SUBSTITUTE(TEXT(Overig!I324,""",""?00;"",""?-00;"",""?00;"", //"""),"'","""")&amp;SUBSTITUTE(TEXT(IF(ISTEXT(Overig!J324),Overig!J324,10*Overig!J324),""",""????0;"",""???-0;"",""????0;"", ////"""),"'","""")&amp;SUBSTITUTE(TEXT(Overig!K324,""",""?00;"",""?-00;"",""?00;"", //"""),"'","""")</f>
        <v>044, 19201118, 24.00, 7570, 00, 7550, 00,  290, 00,  280, 00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//"""),"'","""")&amp;SUBSTITUTE(TEXT(IF(ISTEXT(Overig!H325),Overig!H325,10*Overig!H325),""",""????0;"",""???-0;"",""????0;"", ////"""),"'","""")&amp;SUBSTITUTE(TEXT(Overig!I325,""",""?00;"",""?-00;"",""?00;"", //"""),"'","""")&amp;SUBSTITUTE(TEXT(IF(ISTEXT(Overig!J325),Overig!J325,10*Overig!J325),""",""????0;"",""???-0;"",""????0;"", ////"""),"'","""")&amp;SUBSTITUTE(TEXT(Overig!K325,""",""?00;"",""?-00;"",""?00;"", //"""),"'","""")</f>
        <v>044, 19201119, 24.00, 7565, 00, 7560, 00,  290, 00,  280, 00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//"""),"'","""")&amp;SUBSTITUTE(TEXT(IF(ISTEXT(Overig!H326),Overig!H326,10*Overig!H326),""",""????0;"",""???-0;"",""????0;"", ////"""),"'","""")&amp;SUBSTITUTE(TEXT(Overig!I326,""",""?00;"",""?-00;"",""?00;"", //"""),"'","""")&amp;SUBSTITUTE(TEXT(IF(ISTEXT(Overig!J326),Overig!J326,10*Overig!J326),""",""????0;"",""???-0;"",""????0;"", ////"""),"'","""")&amp;SUBSTITUTE(TEXT(Overig!K326,""",""?00;"",""?-00;"",""?00;"", //"""),"'","""")</f>
        <v>044, 19201120, 24.00, 7550, 00, 7545, 00,  290, 00,  280, 00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//"""),"'","""")&amp;SUBSTITUTE(TEXT(IF(ISTEXT(Overig!H327),Overig!H327,10*Overig!H327),""",""????0;"",""???-0;"",""????0;"", ////"""),"'","""")&amp;SUBSTITUTE(TEXT(Overig!I327,""",""?00;"",""?-00;"",""?00;"", //"""),"'","""")&amp;SUBSTITUTE(TEXT(IF(ISTEXT(Overig!J327),Overig!J327,10*Overig!J327),""",""????0;"",""???-0;"",""????0;"", ////"""),"'","""")&amp;SUBSTITUTE(TEXT(Overig!K327,""",""?00;"",""?-00;"",""?00;"", //"""),"'","""")</f>
        <v>044, 19201121, 24.00, 7560, 00, 7545, 00,  290, 00,  280, 00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//"""),"'","""")&amp;SUBSTITUTE(TEXT(IF(ISTEXT(Overig!H328),Overig!H328,10*Overig!H328),""",""????0;"",""???-0;"",""????0;"", ////"""),"'","""")&amp;SUBSTITUTE(TEXT(Overig!I328,""",""?00;"",""?-00;"",""?00;"", //"""),"'","""")&amp;SUBSTITUTE(TEXT(IF(ISTEXT(Overig!J328),Overig!J328,10*Overig!J328),""",""????0;"",""???-0;"",""????0;"", ////"""),"'","""")&amp;SUBSTITUTE(TEXT(Overig!K328,""",""?00;"",""?-00;"",""?00;"", //"""),"'","""")</f>
        <v>044, 19201122, 24.00, 7560, 00, 7550, 00,  290, 00,  280, 00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//"""),"'","""")&amp;SUBSTITUTE(TEXT(IF(ISTEXT(Overig!H329),Overig!H329,10*Overig!H329),""",""????0;"",""???-0;"",""????0;"", ////"""),"'","""")&amp;SUBSTITUTE(TEXT(Overig!I329,""",""?00;"",""?-00;"",""?00;"", //"""),"'","""")&amp;SUBSTITUTE(TEXT(IF(ISTEXT(Overig!J329),Overig!J329,10*Overig!J329),""",""????0;"",""???-0;"",""????0;"", ////"""),"'","""")&amp;SUBSTITUTE(TEXT(Overig!K329,""",""?00;"",""?-00;"",""?00;"", //"""),"'","""")</f>
        <v>044, 19201123, 24.00, 7570, 00, 7545, 00,  290, 00,  270, 00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//"""),"'","""")&amp;SUBSTITUTE(TEXT(IF(ISTEXT(Overig!H330),Overig!H330,10*Overig!H330),""",""????0;"",""???-0;"",""????0;"", ////"""),"'","""")&amp;SUBSTITUTE(TEXT(Overig!I330,""",""?00;"",""?-00;"",""?00;"", //"""),"'","""")&amp;SUBSTITUTE(TEXT(IF(ISTEXT(Overig!J330),Overig!J330,10*Overig!J330),""",""????0;"",""???-0;"",""????0;"", ////"""),"'","""")&amp;SUBSTITUTE(TEXT(Overig!K330,""",""?00;"",""?-00;"",""?00;"", //"""),"'","""")</f>
        <v>044, 19201124, 24.00, 7570, 00, 7545, 00,  290, 00,  270, 00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//"""),"'","""")&amp;SUBSTITUTE(TEXT(IF(ISTEXT(Overig!H331),Overig!H331,10*Overig!H331),""",""????0;"",""???-0;"",""????0;"", ////"""),"'","""")&amp;SUBSTITUTE(TEXT(Overig!I331,""",""?00;"",""?-00;"",""?00;"", //"""),"'","""")&amp;SUBSTITUTE(TEXT(IF(ISTEXT(Overig!J331),Overig!J331,10*Overig!J331),""",""????0;"",""???-0;"",""????0;"", ////"""),"'","""")&amp;SUBSTITUTE(TEXT(Overig!K331,""",""?00;"",""?-00;"",""?00;"", //"""),"'","""")</f>
        <v>044, 19201125, 24.00, 7565, 00, 7540, 00,  290, 00,  280, 00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//"""),"'","""")&amp;SUBSTITUTE(TEXT(IF(ISTEXT(Overig!H332),Overig!H332,10*Overig!H332),""",""????0;"",""???-0;"",""????0;"", ////"""),"'","""")&amp;SUBSTITUTE(TEXT(Overig!I332,""",""?00;"",""?-00;"",""?00;"", //"""),"'","""")&amp;SUBSTITUTE(TEXT(IF(ISTEXT(Overig!J332),Overig!J332,10*Overig!J332),""",""????0;"",""???-0;"",""????0;"", ////"""),"'","""")&amp;SUBSTITUTE(TEXT(Overig!K332,""",""?00;"",""?-00;"",""?00;"", //"""),"'","""")</f>
        <v>044, 19201126, 24.00, 7560, 00, 7540, 00,  290, 00,  290, 00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//"""),"'","""")&amp;SUBSTITUTE(TEXT(IF(ISTEXT(Overig!H333),Overig!H333,10*Overig!H333),""",""????0;"",""???-0;"",""????0;"", ////"""),"'","""")&amp;SUBSTITUTE(TEXT(Overig!I333,""",""?00;"",""?-00;"",""?00;"", //"""),"'","""")&amp;SUBSTITUTE(TEXT(IF(ISTEXT(Overig!J333),Overig!J333,10*Overig!J333),""",""????0;"",""???-0;"",""????0;"", ////"""),"'","""")&amp;SUBSTITUTE(TEXT(Overig!K333,""",""?00;"",""?-00;"",""?00;"", //"""),"'","""")</f>
        <v>044, 19201127, 24.00, 7565, 00, 7550, 00,  290, 00,  290, 00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//"""),"'","""")&amp;SUBSTITUTE(TEXT(IF(ISTEXT(Overig!H334),Overig!H334,10*Overig!H334),""",""????0;"",""???-0;"",""????0;"", ////"""),"'","""")&amp;SUBSTITUTE(TEXT(Overig!I334,""",""?00;"",""?-00;"",""?00;"", //"""),"'","""")&amp;SUBSTITUTE(TEXT(IF(ISTEXT(Overig!J334),Overig!J334,10*Overig!J334),""",""????0;"",""???-0;"",""????0;"", ////"""),"'","""")&amp;SUBSTITUTE(TEXT(Overig!K334,""",""?00;"",""?-00;"",""?00;"", //"""),"'","""")</f>
        <v>044, 19201128, 24.00, 7565, 00, 7550, 00,  290, 00,  290, 00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//"""),"'","""")&amp;SUBSTITUTE(TEXT(IF(ISTEXT(Overig!H335),Overig!H335,10*Overig!H335),""",""????0;"",""???-0;"",""????0;"", ////"""),"'","""")&amp;SUBSTITUTE(TEXT(Overig!I335,""",""?00;"",""?-00;"",""?00;"", //"""),"'","""")&amp;SUBSTITUTE(TEXT(IF(ISTEXT(Overig!J335),Overig!J335,10*Overig!J335),""",""????0;"",""???-0;"",""????0;"", ////"""),"'","""")&amp;SUBSTITUTE(TEXT(Overig!K335,""",""?00;"",""?-00;"",""?00;"", //"""),"'","""")</f>
        <v>044, 19201129, 24.00, 7575, 00, 7555, 00,  290, 00,  290, 00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//"""),"'","""")&amp;SUBSTITUTE(TEXT(IF(ISTEXT(Overig!H336),Overig!H336,10*Overig!H336),""",""????0;"",""???-0;"",""????0;"", ////"""),"'","""")&amp;SUBSTITUTE(TEXT(Overig!I336,""",""?00;"",""?-00;"",""?00;"", //"""),"'","""")&amp;SUBSTITUTE(TEXT(IF(ISTEXT(Overig!J336),Overig!J336,10*Overig!J336),""",""????0;"",""???-0;"",""????0;"", ////"""),"'","""")&amp;SUBSTITUTE(TEXT(Overig!K336,""",""?00;"",""?-00;"",""?00;"", //"""),"'","""")</f>
        <v>044, 19201130, 24.00, 7575, 00, 7550, 00,  290, 00,  290, 00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//"""),"'","""")&amp;SUBSTITUTE(TEXT(IF(ISTEXT(Overig!H337),Overig!H337,10*Overig!H337),""",""????0;"",""???-0;"",""????0;"", ////"""),"'","""")&amp;SUBSTITUTE(TEXT(Overig!I337,""",""?00;"",""?-00;"",""?00;"", //"""),"'","""")&amp;SUBSTITUTE(TEXT(IF(ISTEXT(Overig!J337),Overig!J337,10*Overig!J337),""",""????0;"",""???-0;"",""????0;"", ////"""),"'","""")&amp;SUBSTITUTE(TEXT(Overig!K337,""",""?00;"",""?-00;"",""?00;"", //"""),"'","""")</f>
        <v>044, 19201201, 24.00, 7575, 00, 7560, 00,  290, 00,  280, 00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//"""),"'","""")&amp;SUBSTITUTE(TEXT(IF(ISTEXT(Overig!H338),Overig!H338,10*Overig!H338),""",""????0;"",""???-0;"",""????0;"", ////"""),"'","""")&amp;SUBSTITUTE(TEXT(Overig!I338,""",""?00;"",""?-00;"",""?00;"", //"""),"'","""")&amp;SUBSTITUTE(TEXT(IF(ISTEXT(Overig!J338),Overig!J338,10*Overig!J338),""",""????0;"",""???-0;"",""????0;"", ////"""),"'","""")&amp;SUBSTITUTE(TEXT(Overig!K338,""",""?00;"",""?-00;"",""?00;"", //"""),"'","""")</f>
        <v>044, 19201202, 24.00, 7575, 00, 7550, 00,  290, 00,  280, 00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//"""),"'","""")&amp;SUBSTITUTE(TEXT(IF(ISTEXT(Overig!H339),Overig!H339,10*Overig!H339),""",""????0;"",""???-0;"",""????0;"", ////"""),"'","""")&amp;SUBSTITUTE(TEXT(Overig!I339,""",""?00;"",""?-00;"",""?00;"", //"""),"'","""")&amp;SUBSTITUTE(TEXT(IF(ISTEXT(Overig!J339),Overig!J339,10*Overig!J339),""",""????0;"",""???-0;"",""????0;"", ////"""),"'","""")&amp;SUBSTITUTE(TEXT(Overig!K339,""",""?00;"",""?-00;"",""?00;"", //"""),"'","""")</f>
        <v>044, 19201203, 24.00, 7575, 00, 7550, 00,  290, 00,  280, 00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//"""),"'","""")&amp;SUBSTITUTE(TEXT(IF(ISTEXT(Overig!H340),Overig!H340,10*Overig!H340),""",""????0;"",""???-0;"",""????0;"", ////"""),"'","""")&amp;SUBSTITUTE(TEXT(Overig!I340,""",""?00;"",""?-00;"",""?00;"", //"""),"'","""")&amp;SUBSTITUTE(TEXT(IF(ISTEXT(Overig!J340),Overig!J340,10*Overig!J340),""",""????0;"",""???-0;"",""????0;"", ////"""),"'","""")&amp;SUBSTITUTE(TEXT(Overig!K340,""",""?00;"",""?-00;"",""?00;"", //"""),"'","""")</f>
        <v>044, 19201204, 24.00, 7570, 00, 7550, 00,  290, 00,  280, 00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//"""),"'","""")&amp;SUBSTITUTE(TEXT(IF(ISTEXT(Overig!H341),Overig!H341,10*Overig!H341),""",""????0;"",""???-0;"",""????0;"", ////"""),"'","""")&amp;SUBSTITUTE(TEXT(Overig!I341,""",""?00;"",""?-00;"",""?00;"", //"""),"'","""")&amp;SUBSTITUTE(TEXT(IF(ISTEXT(Overig!J341),Overig!J341,10*Overig!J341),""",""????0;"",""???-0;"",""????0;"", ////"""),"'","""")&amp;SUBSTITUTE(TEXT(Overig!K341,""",""?00;"",""?-00;"",""?00;"", //"""),"'","""")</f>
        <v>044, 19201205, 24.00, 7570, 00, 7550, 00,  290, 00,  280, 00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//"""),"'","""")&amp;SUBSTITUTE(TEXT(IF(ISTEXT(Overig!H342),Overig!H342,10*Overig!H342),""",""????0;"",""???-0;"",""????0;"", ////"""),"'","""")&amp;SUBSTITUTE(TEXT(Overig!I342,""",""?00;"",""?-00;"",""?00;"", //"""),"'","""")&amp;SUBSTITUTE(TEXT(IF(ISTEXT(Overig!J342),Overig!J342,10*Overig!J342),""",""????0;"",""???-0;"",""????0;"", ////"""),"'","""")&amp;SUBSTITUTE(TEXT(Overig!K342,""",""?00;"",""?-00;"",""?00;"", //"""),"'","""")</f>
        <v>044, 19201206, 24.00, 7560, 00, 7535, 00,  280, 00,  270, 00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//"""),"'","""")&amp;SUBSTITUTE(TEXT(IF(ISTEXT(Overig!H343),Overig!H343,10*Overig!H343),""",""????0;"",""???-0;"",""????0;"", ////"""),"'","""")&amp;SUBSTITUTE(TEXT(Overig!I343,""",""?00;"",""?-00;"",""?00;"", //"""),"'","""")&amp;SUBSTITUTE(TEXT(IF(ISTEXT(Overig!J343),Overig!J343,10*Overig!J343),""",""????0;"",""???-0;"",""????0;"", ////"""),"'","""")&amp;SUBSTITUTE(TEXT(Overig!K343,""",""?00;"",""?-00;"",""?00;"", //"""),"'","""")</f>
        <v>044, 19201207, 24.00, 7550, 00, 7535, 00,  285, 00,  280, 00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//"""),"'","""")&amp;SUBSTITUTE(TEXT(IF(ISTEXT(Overig!H344),Overig!H344,10*Overig!H344),""",""????0;"",""???-0;"",""????0;"", ////"""),"'","""")&amp;SUBSTITUTE(TEXT(Overig!I344,""",""?00;"",""?-00;"",""?00;"", //"""),"'","""")&amp;SUBSTITUTE(TEXT(IF(ISTEXT(Overig!J344),Overig!J344,10*Overig!J344),""",""????0;"",""???-0;"",""????0;"", ////"""),"'","""")&amp;SUBSTITUTE(TEXT(Overig!K344,""",""?00;"",""?-00;"",""?00;"", //"""),"'","""")</f>
        <v>044, 19201208, 24.00, 7570, 00, 7550, 00,  280, 00,  280, 00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//"""),"'","""")&amp;SUBSTITUTE(TEXT(IF(ISTEXT(Overig!H345),Overig!H345,10*Overig!H345),""",""????0;"",""???-0;"",""????0;"", ////"""),"'","""")&amp;SUBSTITUTE(TEXT(Overig!I345,""",""?00;"",""?-00;"",""?00;"", //"""),"'","""")&amp;SUBSTITUTE(TEXT(IF(ISTEXT(Overig!J345),Overig!J345,10*Overig!J345),""",""????0;"",""???-0;"",""????0;"", ////"""),"'","""")&amp;SUBSTITUTE(TEXT(Overig!K345,""",""?00;"",""?-00;"",""?00;"", //"""),"'","""")</f>
        <v>044, 19201209, 24.00, 7575, 00, 7560, 00,  280, 00,  270, 00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//"""),"'","""")&amp;SUBSTITUTE(TEXT(IF(ISTEXT(Overig!H346),Overig!H346,10*Overig!H346),""",""????0;"",""???-0;"",""????0;"", ////"""),"'","""")&amp;SUBSTITUTE(TEXT(Overig!I346,""",""?00;"",""?-00;"",""?00;"", //"""),"'","""")&amp;SUBSTITUTE(TEXT(IF(ISTEXT(Overig!J346),Overig!J346,10*Overig!J346),""",""????0;"",""???-0;"",""????0;"", ////"""),"'","""")&amp;SUBSTITUTE(TEXT(Overig!K346,""",""?00;"",""?-00;"",""?00;"", //"""),"'","""")</f>
        <v>044, 19201210, 24.00, 7550, 00, 7550, 00,  270, 00,  260, 00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//"""),"'","""")&amp;SUBSTITUTE(TEXT(IF(ISTEXT(Overig!H347),Overig!H347,10*Overig!H347),""",""????0;"",""???-0;"",""????0;"", ////"""),"'","""")&amp;SUBSTITUTE(TEXT(Overig!I347,""",""?00;"",""?-00;"",""?00;"", //"""),"'","""")&amp;SUBSTITUTE(TEXT(IF(ISTEXT(Overig!J347),Overig!J347,10*Overig!J347),""",""????0;"",""???-0;"",""????0;"", ////"""),"'","""")&amp;SUBSTITUTE(TEXT(Overig!K347,""",""?00;"",""?-00;"",""?00;"", //"""),"'","""")</f>
        <v>044, 19201211, 24.00, 7575, 00, 7550, 00,  275, 00,  275, 00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//"""),"'","""")&amp;SUBSTITUTE(TEXT(IF(ISTEXT(Overig!H348),Overig!H348,10*Overig!H348),""",""????0;"",""???-0;"",""????0;"", ////"""),"'","""")&amp;SUBSTITUTE(TEXT(Overig!I348,""",""?00;"",""?-00;"",""?00;"", //"""),"'","""")&amp;SUBSTITUTE(TEXT(IF(ISTEXT(Overig!J348),Overig!J348,10*Overig!J348),""",""????0;"",""???-0;"",""????0;"", ////"""),"'","""")&amp;SUBSTITUTE(TEXT(Overig!K348,""",""?00;"",""?-00;"",""?00;"", //"""),"'","""")</f>
        <v>044, 19201212, 24.00, 7570, 00, 7550, 00,  270, 00,  270, 00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//"""),"'","""")&amp;SUBSTITUTE(TEXT(IF(ISTEXT(Overig!H349),Overig!H349,10*Overig!H349),""",""????0;"",""???-0;"",""????0;"", ////"""),"'","""")&amp;SUBSTITUTE(TEXT(Overig!I349,""",""?00;"",""?-00;"",""?00;"", //"""),"'","""")&amp;SUBSTITUTE(TEXT(IF(ISTEXT(Overig!J349),Overig!J349,10*Overig!J349),""",""????0;"",""???-0;"",""????0;"", ////"""),"'","""")&amp;SUBSTITUTE(TEXT(Overig!K349,""",""?00;"",""?-00;"",""?00;"", //"""),"'","""")</f>
        <v>044, 19201213, 24.00, 7565, 00, 7545, 00,  280, 00,  270, 00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//"""),"'","""")&amp;SUBSTITUTE(TEXT(IF(ISTEXT(Overig!H350),Overig!H350,10*Overig!H350),""",""????0;"",""???-0;"",""????0;"", ////"""),"'","""")&amp;SUBSTITUTE(TEXT(Overig!I350,""",""?00;"",""?-00;"",""?00;"", //"""),"'","""")&amp;SUBSTITUTE(TEXT(IF(ISTEXT(Overig!J350),Overig!J350,10*Overig!J350),""",""????0;"",""???-0;"",""????0;"", ////"""),"'","""")&amp;SUBSTITUTE(TEXT(Overig!K350,""",""?00;"",""?-00;"",""?00;"", //"""),"'","""")</f>
        <v>044, 19201214, 24.00, 7565, 00, 7545, 00,  280, 00,  290, 00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//"""),"'","""")&amp;SUBSTITUTE(TEXT(IF(ISTEXT(Overig!H351),Overig!H351,10*Overig!H351),""",""????0;"",""???-0;"",""????0;"", ////"""),"'","""")&amp;SUBSTITUTE(TEXT(Overig!I351,""",""?00;"",""?-00;"",""?00;"", //"""),"'","""")&amp;SUBSTITUTE(TEXT(IF(ISTEXT(Overig!J351),Overig!J351,10*Overig!J351),""",""????0;"",""???-0;"",""????0;"", ////"""),"'","""")&amp;SUBSTITUTE(TEXT(Overig!K351,""",""?00;"",""?-00;"",""?00;"", //"""),"'","""")</f>
        <v>044, 19201215, 24.00, 7580, 00, 7560, 00,  290, 00,  270, 00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//"""),"'","""")&amp;SUBSTITUTE(TEXT(IF(ISTEXT(Overig!H352),Overig!H352,10*Overig!H352),""",""????0;"",""???-0;"",""????0;"", ////"""),"'","""")&amp;SUBSTITUTE(TEXT(Overig!I352,""",""?00;"",""?-00;"",""?00;"", //"""),"'","""")&amp;SUBSTITUTE(TEXT(IF(ISTEXT(Overig!J352),Overig!J352,10*Overig!J352),""",""????0;"",""???-0;"",""????0;"", ////"""),"'","""")&amp;SUBSTITUTE(TEXT(Overig!K352,""",""?00;"",""?-00;"",""?00;"", //"""),"'","""")</f>
        <v>044, 19201216, 24.00, 7570, 00, 7545, 00,  285, 00,  280, 00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//"""),"'","""")&amp;SUBSTITUTE(TEXT(IF(ISTEXT(Overig!H353),Overig!H353,10*Overig!H353),""",""????0;"",""???-0;"",""????0;"", ////"""),"'","""")&amp;SUBSTITUTE(TEXT(Overig!I353,""",""?00;"",""?-00;"",""?00;"", //"""),"'","""")&amp;SUBSTITUTE(TEXT(IF(ISTEXT(Overig!J353),Overig!J353,10*Overig!J353),""",""????0;"",""???-0;"",""????0;"", ////"""),"'","""")&amp;SUBSTITUTE(TEXT(Overig!K353,""",""?00;"",""?-00;"",""?00;"", //"""),"'","""")</f>
        <v>044, 19201217, 24.00, 7565, 00, 7540, 00,  290, 00,  280, 00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//"""),"'","""")&amp;SUBSTITUTE(TEXT(IF(ISTEXT(Overig!H354),Overig!H354,10*Overig!H354),""",""????0;"",""???-0;"",""????0;"", ////"""),"'","""")&amp;SUBSTITUTE(TEXT(Overig!I354,""",""?00;"",""?-00;"",""?00;"", //"""),"'","""")&amp;SUBSTITUTE(TEXT(IF(ISTEXT(Overig!J354),Overig!J354,10*Overig!J354),""",""????0;"",""???-0;"",""????0;"", ////"""),"'","""")&amp;SUBSTITUTE(TEXT(Overig!K354,""",""?00;"",""?-00;"",""?00;"", //"""),"'","""")</f>
        <v>044, 19201218, 24.00, 7570, 00, 7545, 00,  290, 00,  280, 00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//"""),"'","""")&amp;SUBSTITUTE(TEXT(IF(ISTEXT(Overig!H355),Overig!H355,10*Overig!H355),""",""????0;"",""???-0;"",""????0;"", ////"""),"'","""")&amp;SUBSTITUTE(TEXT(Overig!I355,""",""?00;"",""?-00;"",""?00;"", //"""),"'","""")&amp;SUBSTITUTE(TEXT(IF(ISTEXT(Overig!J355),Overig!J355,10*Overig!J355),""",""????0;"",""???-0;"",""????0;"", ////"""),"'","""")&amp;SUBSTITUTE(TEXT(Overig!K355,""",""?00;"",""?-00;"",""?00;"", //"""),"'","""")</f>
        <v>044, 19201219, 24.00, 7570, 00, 7545, 00,  290, 00,  280, 00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//"""),"'","""")&amp;SUBSTITUTE(TEXT(IF(ISTEXT(Overig!H356),Overig!H356,10*Overig!H356),""",""????0;"",""???-0;"",""????0;"", ////"""),"'","""")&amp;SUBSTITUTE(TEXT(Overig!I356,""",""?00;"",""?-00;"",""?00;"", //"""),"'","""")&amp;SUBSTITUTE(TEXT(IF(ISTEXT(Overig!J356),Overig!J356,10*Overig!J356),""",""????0;"",""???-0;"",""????0;"", ////"""),"'","""")&amp;SUBSTITUTE(TEXT(Overig!K356,""",""?00;"",""?-00;"",""?00;"", //"""),"'","""")</f>
        <v>044, 19201220, 24.00, 7560, 00, 7555, 00,  290, 00,  280, 00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//"""),"'","""")&amp;SUBSTITUTE(TEXT(IF(ISTEXT(Overig!H357),Overig!H357,10*Overig!H357),""",""????0;"",""???-0;"",""????0;"", ////"""),"'","""")&amp;SUBSTITUTE(TEXT(Overig!I357,""",""?00;"",""?-00;"",""?00;"", //"""),"'","""")&amp;SUBSTITUTE(TEXT(IF(ISTEXT(Overig!J357),Overig!J357,10*Overig!J357),""",""????0;"",""???-0;"",""????0;"", ////"""),"'","""")&amp;SUBSTITUTE(TEXT(Overig!K357,""",""?00;"",""?-00;"",""?00;"", //"""),"'","""")</f>
        <v>044, 19201221, 24.00, 7565, 00, 7545, 00,  280, 00,  280, 00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//"""),"'","""")&amp;SUBSTITUTE(TEXT(IF(ISTEXT(Overig!H358),Overig!H358,10*Overig!H358),""",""????0;"",""???-0;"",""????0;"", ////"""),"'","""")&amp;SUBSTITUTE(TEXT(Overig!I358,""",""?00;"",""?-00;"",""?00;"", //"""),"'","""")&amp;SUBSTITUTE(TEXT(IF(ISTEXT(Overig!J358),Overig!J358,10*Overig!J358),""",""????0;"",""???-0;"",""????0;"", ////"""),"'","""")&amp;SUBSTITUTE(TEXT(Overig!K358,""",""?00;"",""?-00;"",""?00;"", //"""),"'","""")</f>
        <v>044, 19201222, 24.00, 7575, 00, 7555, 00,  290, 00,  280, 00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//"""),"'","""")&amp;SUBSTITUTE(TEXT(IF(ISTEXT(Overig!H359),Overig!H359,10*Overig!H359),""",""????0;"",""???-0;"",""????0;"", ////"""),"'","""")&amp;SUBSTITUTE(TEXT(Overig!I359,""",""?00;"",""?-00;"",""?00;"", //"""),"'","""")&amp;SUBSTITUTE(TEXT(IF(ISTEXT(Overig!J359),Overig!J359,10*Overig!J359),""",""????0;"",""???-0;"",""????0;"", ////"""),"'","""")&amp;SUBSTITUTE(TEXT(Overig!K359,""",""?00;"",""?-00;"",""?00;"", //"""),"'","""")</f>
        <v>044, 19201223, 24.00, 7575, 00, 7565, 00,  290, 00,  280, 00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//"""),"'","""")&amp;SUBSTITUTE(TEXT(IF(ISTEXT(Overig!H360),Overig!H360,10*Overig!H360),""",""????0;"",""???-0;"",""????0;"", ////"""),"'","""")&amp;SUBSTITUTE(TEXT(Overig!I360,""",""?00;"",""?-00;"",""?00;"", //"""),"'","""")&amp;SUBSTITUTE(TEXT(IF(ISTEXT(Overig!J360),Overig!J360,10*Overig!J360),""",""????0;"",""???-0;"",""????0;"", ////"""),"'","""")&amp;SUBSTITUTE(TEXT(Overig!K360,""",""?00;"",""?-00;"",""?00;"", //"""),"'","""")</f>
        <v>044, 19201224, 24.00, 7575, 00, 7565, 00,  285, 00,  270, 00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//"""),"'","""")&amp;SUBSTITUTE(TEXT(IF(ISTEXT(Overig!H361),Overig!H361,10*Overig!H361),""",""????0;"",""???-0;"",""????0;"", ////"""),"'","""")&amp;SUBSTITUTE(TEXT(Overig!I361,""",""?00;"",""?-00;"",""?00;"", //"""),"'","""")&amp;SUBSTITUTE(TEXT(IF(ISTEXT(Overig!J361),Overig!J361,10*Overig!J361),""",""????0;"",""???-0;"",""????0;"", ////"""),"'","""")&amp;SUBSTITUTE(TEXT(Overig!K361,""",""?00;"",""?-00;"",""?00;"", //"""),"'","""")</f>
        <v>044, 19201225, 24.00, 7575, 00, 7565, 00,  280, 00,  270, 00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//"""),"'","""")&amp;SUBSTITUTE(TEXT(IF(ISTEXT(Overig!H362),Overig!H362,10*Overig!H362),""",""????0;"",""???-0;"",""????0;"", ////"""),"'","""")&amp;SUBSTITUTE(TEXT(Overig!I362,""",""?00;"",""?-00;"",""?00;"", //"""),"'","""")&amp;SUBSTITUTE(TEXT(IF(ISTEXT(Overig!J362),Overig!J362,10*Overig!J362),""",""????0;"",""???-0;"",""????0;"", ////"""),"'","""")&amp;SUBSTITUTE(TEXT(Overig!K362,""",""?00;"",""?-00;"",""?00;"", //"""),"'","""")</f>
        <v>044, 19201226, 24.00, 7570, 00, 7560, 00,  280, 00,  270, 00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//"""),"'","""")&amp;SUBSTITUTE(TEXT(IF(ISTEXT(Overig!H363),Overig!H363,10*Overig!H363),""",""????0;"",""???-0;"",""????0;"", ////"""),"'","""")&amp;SUBSTITUTE(TEXT(Overig!I363,""",""?00;"",""?-00;"",""?00;"", //"""),"'","""")&amp;SUBSTITUTE(TEXT(IF(ISTEXT(Overig!J363),Overig!J363,10*Overig!J363),""",""????0;"",""???-0;"",""????0;"", ////"""),"'","""")&amp;SUBSTITUTE(TEXT(Overig!K363,""",""?00;"",""?-00;"",""?00;"", //"""),"'","""")</f>
        <v>044, 19201227, 24.00, 7575, 00, 7560, 00,  280, 00,  280, 00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//"""),"'","""")&amp;SUBSTITUTE(TEXT(IF(ISTEXT(Overig!H364),Overig!H364,10*Overig!H364),""",""????0;"",""???-0;"",""????0;"", ////"""),"'","""")&amp;SUBSTITUTE(TEXT(Overig!I364,""",""?00;"",""?-00;"",""?00;"", //"""),"'","""")&amp;SUBSTITUTE(TEXT(IF(ISTEXT(Overig!J364),Overig!J364,10*Overig!J364),""",""????0;"",""???-0;"",""????0;"", ////"""),"'","""")&amp;SUBSTITUTE(TEXT(Overig!K364,""",""?00;"",""?-00;"",""?00;"", //"""),"'","""")</f>
        <v>044, 19201228, 24.00, 7560, 00, 7550, 00,  280, 00,  270, 00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//"""),"'","""")&amp;SUBSTITUTE(TEXT(IF(ISTEXT(Overig!H365),Overig!H365,10*Overig!H365),""",""????0;"",""???-0;"",""????0;"", ////"""),"'","""")&amp;SUBSTITUTE(TEXT(Overig!I365,""",""?00;"",""?-00;"",""?00;"", //"""),"'","""")&amp;SUBSTITUTE(TEXT(IF(ISTEXT(Overig!J365),Overig!J365,10*Overig!J365),""",""????0;"",""???-0;"",""????0;"", ////"""),"'","""")&amp;SUBSTITUTE(TEXT(Overig!K365,""",""?00;"",""?-00;"",""?00;"", //"""),"'","""")</f>
        <v>044, 19201229, 24.00, 7575, 00, 7550, 00,  280, 00,  270, 00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//"""),"'","""")&amp;SUBSTITUTE(TEXT(IF(ISTEXT(Overig!H366),Overig!H366,10*Overig!H366),""",""????0;"",""???-0;"",""????0;"", ////"""),"'","""")&amp;SUBSTITUTE(TEXT(Overig!I366,""",""?00;"",""?-00;"",""?00;"", //"""),"'","""")&amp;SUBSTITUTE(TEXT(IF(ISTEXT(Overig!J366),Overig!J366,10*Overig!J366),""",""????0;"",""???-0;"",""????0;"", ////"""),"'","""")&amp;SUBSTITUTE(TEXT(Overig!K366,""",""?00;"",""?-00;"",""?00;"", //"""),"'","""")</f>
        <v>044, 19201230, 24.00, 7570, 00, 7550, 00,  290, 00,  270, 00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//"""),"'","""")&amp;SUBSTITUTE(TEXT(IF(ISTEXT(Overig!H367),Overig!H367,10*Overig!H367),""",""????0;"",""???-0;"",""????0;"", ////"""),"'","""")&amp;SUBSTITUTE(TEXT(Overig!I367,""",""?00;"",""?-00;"",""?00;"", //"""),"'","""")&amp;SUBSTITUTE(TEXT(IF(ISTEXT(Overig!J367),Overig!J367,10*Overig!J367),""",""????0;"",""???-0;"",""????0;"", ////"""),"'","""")&amp;SUBSTITUTE(TEXT(Overig!K367,""",""?00;"",""?-00;"",""?00;"", //"""),"'","""")</f>
        <v>044, 19201231, 24.00, 7570, 00, 7550, 00,  290, 00,  280, 00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2015-10-07T12:55:07Z</dcterms:modified>
</cp:coreProperties>
</file>