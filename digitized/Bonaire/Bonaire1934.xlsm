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Invoer!$A$2:$G$381</definedName>
    <definedName name="Catalogus">Info!$J$3:$Q$4</definedName>
    <definedName name="Data">Invoer!$A$3:$G$381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E381" i="1" l="1"/>
  <c r="D381" i="1"/>
  <c r="E349" i="1"/>
  <c r="D349" i="1"/>
  <c r="E318" i="1"/>
  <c r="D318" i="1"/>
  <c r="E286" i="1"/>
  <c r="D286" i="1"/>
  <c r="E255" i="1"/>
  <c r="D255" i="1"/>
  <c r="E223" i="1"/>
  <c r="D223" i="1"/>
  <c r="E191" i="1"/>
  <c r="D191" i="1"/>
  <c r="E160" i="1"/>
  <c r="D160" i="1"/>
  <c r="E128" i="1"/>
  <c r="D128" i="1"/>
  <c r="E97" i="1"/>
  <c r="D97" i="1"/>
  <c r="E65" i="1"/>
  <c r="D65" i="1"/>
  <c r="E36" i="1"/>
  <c r="D36" i="1"/>
  <c r="C381" i="1"/>
  <c r="B381" i="1"/>
  <c r="C349" i="1"/>
  <c r="B349" i="1"/>
  <c r="C318" i="1"/>
  <c r="B318" i="1"/>
  <c r="C286" i="1"/>
  <c r="B286" i="1"/>
  <c r="C255" i="1"/>
  <c r="B255" i="1"/>
  <c r="C223" i="1"/>
  <c r="B223" i="1"/>
  <c r="C191" i="1"/>
  <c r="B191" i="1"/>
  <c r="C160" i="1"/>
  <c r="B160" i="1"/>
  <c r="C128" i="1"/>
  <c r="B128" i="1"/>
  <c r="C97" i="1"/>
  <c r="B97" i="1"/>
  <c r="C65" i="1"/>
  <c r="B65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G381" i="1" l="1"/>
  <c r="F381" i="1"/>
  <c r="G349" i="1"/>
  <c r="F349" i="1"/>
  <c r="G318" i="1"/>
  <c r="F318" i="1"/>
  <c r="G286" i="1"/>
  <c r="F286" i="1"/>
  <c r="G255" i="1"/>
  <c r="F255" i="1"/>
  <c r="G223" i="1"/>
  <c r="F223" i="1"/>
  <c r="G191" i="1"/>
  <c r="F191" i="1"/>
  <c r="G160" i="1"/>
  <c r="F160" i="1"/>
  <c r="G128" i="1"/>
  <c r="F128" i="1"/>
  <c r="G97" i="1"/>
  <c r="F97" i="1"/>
  <c r="G65" i="1"/>
  <c r="F65" i="1"/>
  <c r="G36" i="1"/>
  <c r="F36" i="1"/>
  <c r="A1" i="5" l="1"/>
  <c r="A5" i="1" l="1"/>
  <c r="B2" i="3" l="1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F5" i="3" l="1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E367" i="2"/>
  <c r="D367" i="2"/>
  <c r="D3" i="2"/>
  <c r="E3" i="2"/>
  <c r="E2" i="2"/>
  <c r="E368" i="2"/>
  <c r="D368" i="2"/>
  <c r="D2" i="2"/>
  <c r="A7" i="1"/>
  <c r="F7" i="3" l="1"/>
  <c r="F6" i="3"/>
  <c r="D6" i="3"/>
  <c r="D7" i="3"/>
  <c r="G6" i="3"/>
  <c r="E6" i="3"/>
  <c r="G7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369" i="5" l="1"/>
  <c r="F9" i="3"/>
  <c r="F8" i="3"/>
  <c r="D9" i="3"/>
  <c r="D8" i="3"/>
  <c r="A7" i="6"/>
  <c r="E8" i="3"/>
  <c r="A6" i="6"/>
  <c r="E9" i="3"/>
  <c r="G9" i="3"/>
  <c r="G8" i="3"/>
  <c r="A4" i="5"/>
  <c r="E5" i="2"/>
  <c r="D370" i="2"/>
  <c r="E370" i="2"/>
  <c r="D5" i="2"/>
  <c r="A9" i="1"/>
  <c r="E10" i="3" s="1"/>
  <c r="F10" i="3" l="1"/>
  <c r="F11" i="3"/>
  <c r="D10" i="3"/>
  <c r="D11" i="3"/>
  <c r="A8" i="6"/>
  <c r="A9" i="6"/>
  <c r="E11" i="3"/>
  <c r="G11" i="3"/>
  <c r="G10" i="3"/>
  <c r="A5" i="5"/>
  <c r="A370" i="5"/>
  <c r="E6" i="2"/>
  <c r="D371" i="2"/>
  <c r="D6" i="2"/>
  <c r="E371" i="2"/>
  <c r="A10" i="1"/>
  <c r="G13" i="3" l="1"/>
  <c r="A11" i="6"/>
  <c r="G12" i="3"/>
  <c r="E13" i="3"/>
  <c r="A10" i="6"/>
  <c r="E12" i="3"/>
  <c r="A6" i="5"/>
  <c r="A371" i="5"/>
  <c r="E372" i="2"/>
  <c r="D7" i="2"/>
  <c r="E7" i="2"/>
  <c r="D372" i="2"/>
  <c r="A11" i="1"/>
  <c r="A372" i="5" l="1"/>
  <c r="E14" i="3"/>
  <c r="G14" i="3"/>
  <c r="G15" i="3"/>
  <c r="E15" i="3"/>
  <c r="A7" i="5"/>
  <c r="A12" i="1"/>
  <c r="E17" i="3" s="1"/>
  <c r="E16" i="3" l="1"/>
  <c r="G16" i="3"/>
  <c r="G17" i="3"/>
  <c r="A13" i="1"/>
  <c r="E18" i="3" l="1"/>
  <c r="G18" i="3"/>
  <c r="E19" i="3"/>
  <c r="G19" i="3"/>
  <c r="A14" i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200" i="3" l="1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A14" i="6" s="1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A523" i="6" s="1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A676" i="5" s="1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D517" i="2"/>
  <c r="A517" i="5" s="1"/>
  <c r="D485" i="2"/>
  <c r="A485" i="5" s="1"/>
  <c r="D453" i="2"/>
  <c r="A453" i="5" s="1"/>
  <c r="D420" i="2"/>
  <c r="D388" i="2"/>
  <c r="A388" i="5" s="1"/>
  <c r="D354" i="2"/>
  <c r="A354" i="5" s="1"/>
  <c r="D322" i="2"/>
  <c r="A322" i="5" s="1"/>
  <c r="D290" i="2"/>
  <c r="D258" i="2"/>
  <c r="A258" i="5" s="1"/>
  <c r="E226" i="2"/>
  <c r="E194" i="2"/>
  <c r="D163" i="2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A309" i="5" s="1"/>
  <c r="D341" i="2"/>
  <c r="A341" i="5" s="1"/>
  <c r="D375" i="2"/>
  <c r="D407" i="2"/>
  <c r="D438" i="2"/>
  <c r="A438" i="5" s="1"/>
  <c r="D470" i="2"/>
  <c r="A470" i="5" s="1"/>
  <c r="D502" i="2"/>
  <c r="D534" i="2"/>
  <c r="D566" i="2"/>
  <c r="A566" i="5" s="1"/>
  <c r="D598" i="2"/>
  <c r="A598" i="5" s="1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A636" i="5" s="1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A240" i="5" s="1"/>
  <c r="D208" i="2"/>
  <c r="A208" i="5" s="1"/>
  <c r="D176" i="2"/>
  <c r="D145" i="2"/>
  <c r="D113" i="2"/>
  <c r="A113" i="5" s="1"/>
  <c r="D80" i="2"/>
  <c r="A80" i="5" s="1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D19" i="2"/>
  <c r="A19" i="5" s="1"/>
  <c r="D51" i="2"/>
  <c r="E83" i="2"/>
  <c r="D114" i="2"/>
  <c r="A114" i="5" s="1"/>
  <c r="D146" i="2"/>
  <c r="A146" i="5" s="1"/>
  <c r="D179" i="2"/>
  <c r="D211" i="2"/>
  <c r="D243" i="2"/>
  <c r="A243" i="5" s="1"/>
  <c r="E275" i="2"/>
  <c r="E307" i="2"/>
  <c r="E339" i="2"/>
  <c r="E377" i="2"/>
  <c r="E409" i="2"/>
  <c r="E440" i="2"/>
  <c r="E472" i="2"/>
  <c r="E504" i="2"/>
  <c r="E536" i="2"/>
  <c r="E568" i="2"/>
  <c r="E600" i="2"/>
  <c r="D631" i="2"/>
  <c r="A631" i="5" s="1"/>
  <c r="D663" i="2"/>
  <c r="A663" i="5" s="1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A725" i="5" s="1"/>
  <c r="D692" i="2"/>
  <c r="D660" i="2"/>
  <c r="D628" i="2"/>
  <c r="A628" i="5" s="1"/>
  <c r="E595" i="2"/>
  <c r="E563" i="2"/>
  <c r="E531" i="2"/>
  <c r="E499" i="2"/>
  <c r="E467" i="2"/>
  <c r="E435" i="2"/>
  <c r="E402" i="2"/>
  <c r="E360" i="2"/>
  <c r="E328" i="2"/>
  <c r="E296" i="2"/>
  <c r="E264" i="2"/>
  <c r="D232" i="2"/>
  <c r="A232" i="5" s="1"/>
  <c r="D200" i="2"/>
  <c r="A200" i="5" s="1"/>
  <c r="E169" i="2"/>
  <c r="D137" i="2"/>
  <c r="D105" i="2"/>
  <c r="A105" i="5" s="1"/>
  <c r="D72" i="2"/>
  <c r="A72" i="5" s="1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A57" i="5" s="1"/>
  <c r="E89" i="2"/>
  <c r="D120" i="2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D665" i="2"/>
  <c r="D696" i="2"/>
  <c r="A696" i="5" s="1"/>
  <c r="D728" i="2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D361" i="2"/>
  <c r="A361" i="5" s="1"/>
  <c r="D395" i="2"/>
  <c r="A395" i="5" s="1"/>
  <c r="D427" i="2"/>
  <c r="A427" i="5" s="1"/>
  <c r="D458" i="2"/>
  <c r="D490" i="2"/>
  <c r="A490" i="5" s="1"/>
  <c r="D522" i="2"/>
  <c r="A522" i="5" s="1"/>
  <c r="D554" i="2"/>
  <c r="A554" i="5" s="1"/>
  <c r="D586" i="2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D555" i="2"/>
  <c r="A555" i="5" s="1"/>
  <c r="D523" i="2"/>
  <c r="A523" i="5" s="1"/>
  <c r="D491" i="2"/>
  <c r="A491" i="5" s="1"/>
  <c r="D459" i="2"/>
  <c r="D426" i="2"/>
  <c r="A426" i="5" s="1"/>
  <c r="D394" i="2"/>
  <c r="A394" i="5" s="1"/>
  <c r="D352" i="2"/>
  <c r="A352" i="5" s="1"/>
  <c r="D320" i="2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D45" i="2"/>
  <c r="D108" i="2"/>
  <c r="E172" i="2"/>
  <c r="D237" i="2"/>
  <c r="E301" i="2"/>
  <c r="E365" i="2"/>
  <c r="E430" i="2"/>
  <c r="E494" i="2"/>
  <c r="E558" i="2"/>
  <c r="D621" i="2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A334" i="5" s="1"/>
  <c r="D392" i="2"/>
  <c r="D646" i="2"/>
  <c r="D715" i="2"/>
  <c r="D686" i="2"/>
  <c r="D707" i="2"/>
  <c r="D678" i="2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680" i="6" l="1"/>
  <c r="A317" i="6"/>
  <c r="A234" i="6"/>
  <c r="A674" i="5"/>
  <c r="A408" i="5"/>
  <c r="A278" i="5"/>
  <c r="A685" i="5"/>
  <c r="A45" i="5"/>
  <c r="A121" i="6"/>
  <c r="A715" i="5"/>
  <c r="A82" i="5"/>
  <c r="A338" i="5"/>
  <c r="A501" i="5"/>
  <c r="A508" i="5"/>
  <c r="A381" i="5"/>
  <c r="A149" i="5"/>
  <c r="A212" i="5"/>
  <c r="A664" i="5"/>
  <c r="A729" i="5"/>
  <c r="A194" i="6"/>
  <c r="A538" i="6"/>
  <c r="A475" i="6"/>
  <c r="A433" i="5"/>
  <c r="A731" i="5"/>
  <c r="A577" i="5"/>
  <c r="A42" i="5"/>
  <c r="A52" i="5"/>
  <c r="A180" i="5"/>
  <c r="A697" i="5"/>
  <c r="A13" i="5"/>
  <c r="A53" i="6"/>
  <c r="A12" i="6"/>
  <c r="A450" i="6"/>
  <c r="A441" i="5"/>
  <c r="A686" i="5"/>
  <c r="A306" i="5"/>
  <c r="A469" i="5"/>
  <c r="A597" i="5"/>
  <c r="A310" i="5"/>
  <c r="A320" i="5"/>
  <c r="A459" i="5"/>
  <c r="A587" i="5"/>
  <c r="A586" i="5"/>
  <c r="A458" i="5"/>
  <c r="A329" i="5"/>
  <c r="A728" i="5"/>
  <c r="A601" i="5"/>
  <c r="A217" i="5"/>
  <c r="A12" i="5"/>
  <c r="A163" i="5"/>
  <c r="A290" i="5"/>
  <c r="A420" i="5"/>
  <c r="A549" i="5"/>
  <c r="A465" i="6"/>
  <c r="A254" i="5"/>
  <c r="A610" i="5"/>
  <c r="A358" i="5"/>
  <c r="A476" i="5"/>
  <c r="A343" i="5"/>
  <c r="A87" i="5"/>
  <c r="A117" i="5"/>
  <c r="A244" i="5"/>
  <c r="A632" i="5"/>
  <c r="A707" i="5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621" i="5"/>
  <c r="A237" i="5"/>
  <c r="A108" i="5"/>
  <c r="A35" i="5"/>
  <c r="A220" i="5"/>
  <c r="A608" i="5"/>
  <c r="A672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" i="5"/>
  <c r="A677" i="5"/>
  <c r="A20" i="5"/>
  <c r="A594" i="5"/>
  <c r="A530" i="5"/>
  <c r="A466" i="5"/>
  <c r="A403" i="5"/>
  <c r="A321" i="5"/>
  <c r="A257" i="5"/>
  <c r="A704" i="5"/>
  <c r="A177" i="5"/>
  <c r="A49" i="5"/>
  <c r="A596" i="5"/>
  <c r="A468" i="5"/>
  <c r="A335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646" i="5"/>
  <c r="A606" i="5"/>
  <c r="A584" i="5"/>
  <c r="A456" i="5"/>
  <c r="A323" i="5"/>
  <c r="A60" i="5"/>
  <c r="A125" i="5"/>
  <c r="A188" i="5"/>
  <c r="A640" i="5"/>
  <c r="A705" i="5"/>
  <c r="A706" i="5"/>
  <c r="A643" i="5"/>
  <c r="A191" i="5"/>
  <c r="A126" i="5"/>
  <c r="A63" i="5"/>
  <c r="A708" i="5"/>
  <c r="A645" i="5"/>
  <c r="A651" i="6"/>
  <c r="A686" i="6"/>
  <c r="A535" i="6"/>
  <c r="A602" i="6"/>
  <c r="A251" i="6"/>
  <c r="A26" i="6"/>
  <c r="A655" i="5"/>
  <c r="A138" i="5"/>
  <c r="A11" i="5"/>
  <c r="A513" i="5"/>
  <c r="A478" i="5"/>
  <c r="A349" i="5"/>
  <c r="A93" i="5"/>
  <c r="A687" i="5"/>
  <c r="A623" i="5"/>
  <c r="A235" i="5"/>
  <c r="A106" i="5"/>
  <c r="A424" i="5"/>
  <c r="A694" i="5"/>
  <c r="A607" i="5"/>
  <c r="A219" i="5"/>
  <c r="A133" i="5"/>
  <c r="A648" i="5"/>
  <c r="A633" i="6"/>
  <c r="A444" i="6"/>
  <c r="A469" i="6"/>
  <c r="A682" i="5"/>
  <c r="A197" i="5"/>
  <c r="A132" i="5"/>
  <c r="A69" i="5"/>
  <c r="A562" i="5"/>
  <c r="A498" i="5"/>
  <c r="A434" i="5"/>
  <c r="A289" i="5"/>
  <c r="A160" i="5"/>
  <c r="A33" i="5"/>
  <c r="A30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716" i="5"/>
  <c r="A205" i="5"/>
  <c r="A77" i="5"/>
  <c r="A497" i="5"/>
  <c r="A561" i="5"/>
  <c r="A702" i="5"/>
  <c r="A639" i="5"/>
  <c r="A187" i="5"/>
  <c r="A122" i="5"/>
  <c r="A59" i="5"/>
  <c r="A218" i="5"/>
  <c r="A680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<sst xmlns="http://schemas.openxmlformats.org/spreadsheetml/2006/main" count="64" uniqueCount="43">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</sst>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8" t="s">
        <v>30</v>
      </c>
      <c r="B1" s="48"/>
      <c r="C1" s="48"/>
      <c r="D1" s="48"/>
      <c r="E1" s="48"/>
      <c r="F1" s="48"/>
      <c r="G1" s="48"/>
    </row>
    <row r="3" spans="1:7" x14ac:dyDescent="0.25">
      <c r="A3" s="46" t="s">
        <v>0</v>
      </c>
      <c r="B3" s="41" t="s">
        <v>31</v>
      </c>
      <c r="C3" s="43"/>
      <c r="D3" s="44" t="s">
        <v>1</v>
      </c>
      <c r="E3" s="45"/>
      <c r="F3" s="41" t="s">
        <v>2</v>
      </c>
      <c r="G3" s="42"/>
    </row>
    <row r="4" spans="1:7" x14ac:dyDescent="0.25">
      <c r="A4" s="47"/>
      <c r="B4" s="30" t="s">
        <v>32</v>
      </c>
      <c r="C4" s="31" t="s">
        <v>33</v>
      </c>
      <c r="D4" s="30" t="s">
        <v>32</v>
      </c>
      <c r="E4" s="31" t="s">
        <v>33</v>
      </c>
      <c r="F4" s="30" t="s">
        <v>34</v>
      </c>
      <c r="G4" s="40" t="s">
        <v>35</v>
      </c>
    </row>
    <row r="5" spans="1:7" x14ac:dyDescent="0.25">
      <c r="A5" s="1">
        <f ca="1">DATE(VALUE(MID(CELL("bestandsnaam"),FIND(".",CELL("bestandsnaam"))-4,4)),1,1)</f>
        <v>12420</v>
      </c>
      <c r="B5" s="32">
        <v>30008</v>
      </c>
      <c r="C5" s="33">
        <v>29925</v>
      </c>
      <c r="D5" s="2">
        <v>805</v>
      </c>
      <c r="E5" s="3">
        <v>820</v>
      </c>
      <c r="F5" s="4">
        <v>0</v>
      </c>
      <c r="G5" s="5">
        <v>30</v>
      </c>
    </row>
    <row r="6" spans="1:7" x14ac:dyDescent="0.25">
      <c r="A6" s="1">
        <f ca="1">IF(ISTEXT(A5),A4+1,IF(MONTH(A5+1)=MONTH(A5),A5+1,"Totaal"))</f>
        <v>12421</v>
      </c>
      <c r="B6" s="32">
        <v>29983</v>
      </c>
      <c r="C6" s="33">
        <v>29879</v>
      </c>
      <c r="D6" s="2">
        <v>790</v>
      </c>
      <c r="E6" s="3">
        <v>805</v>
      </c>
      <c r="F6" s="6">
        <v>0</v>
      </c>
      <c r="G6" s="5">
        <v>75</v>
      </c>
    </row>
    <row r="7" spans="1:7" x14ac:dyDescent="0.25">
      <c r="A7" s="1">
        <f t="shared" ref="A7:A70" ca="1" si="0">IF(ISTEXT(A6),A5+1,IF(MONTH(A6+1)=MONTH(A6),A6+1,"Totaal"))</f>
        <v>12422</v>
      </c>
      <c r="B7" s="32">
        <v>29956</v>
      </c>
      <c r="C7" s="33">
        <v>29889</v>
      </c>
      <c r="D7" s="7">
        <v>780</v>
      </c>
      <c r="E7" s="3">
        <v>805</v>
      </c>
      <c r="F7" s="8">
        <v>0</v>
      </c>
      <c r="G7" s="5">
        <v>0</v>
      </c>
    </row>
    <row r="8" spans="1:7" x14ac:dyDescent="0.25">
      <c r="A8" s="1">
        <f t="shared" ca="1" si="0"/>
        <v>12423</v>
      </c>
      <c r="B8" s="32">
        <v>29977</v>
      </c>
      <c r="C8" s="33">
        <v>29898</v>
      </c>
      <c r="D8" s="2">
        <v>775</v>
      </c>
      <c r="E8" s="3">
        <v>810</v>
      </c>
      <c r="F8" s="4">
        <v>0</v>
      </c>
      <c r="G8" s="5">
        <v>0</v>
      </c>
    </row>
    <row r="9" spans="1:7" x14ac:dyDescent="0.25">
      <c r="A9" s="1">
        <f t="shared" ca="1" si="0"/>
        <v>12424</v>
      </c>
      <c r="B9" s="32">
        <v>29967</v>
      </c>
      <c r="C9" s="33">
        <v>29899</v>
      </c>
      <c r="D9" s="2">
        <v>775</v>
      </c>
      <c r="E9" s="3">
        <v>805</v>
      </c>
      <c r="F9" s="4">
        <v>43</v>
      </c>
      <c r="G9" s="5">
        <v>0</v>
      </c>
    </row>
    <row r="10" spans="1:7" x14ac:dyDescent="0.25">
      <c r="A10" s="1">
        <f t="shared" ca="1" si="0"/>
        <v>12425</v>
      </c>
      <c r="B10" s="32">
        <v>29967</v>
      </c>
      <c r="C10" s="33">
        <v>29933</v>
      </c>
      <c r="D10" s="2">
        <v>775</v>
      </c>
      <c r="E10" s="3">
        <v>790</v>
      </c>
      <c r="F10" s="4">
        <v>152</v>
      </c>
      <c r="G10" s="5">
        <v>175</v>
      </c>
    </row>
    <row r="11" spans="1:7" x14ac:dyDescent="0.25">
      <c r="A11" s="1">
        <f t="shared" ca="1" si="0"/>
        <v>12426</v>
      </c>
      <c r="B11" s="32">
        <v>29981</v>
      </c>
      <c r="C11" s="33">
        <v>29911</v>
      </c>
      <c r="D11" s="2">
        <v>795</v>
      </c>
      <c r="E11" s="3">
        <v>800</v>
      </c>
      <c r="F11" s="4">
        <v>0</v>
      </c>
      <c r="G11" s="5">
        <v>0</v>
      </c>
    </row>
    <row r="12" spans="1:7" x14ac:dyDescent="0.25">
      <c r="A12" s="1">
        <f t="shared" ca="1" si="0"/>
        <v>12427</v>
      </c>
      <c r="B12" s="32">
        <v>29998</v>
      </c>
      <c r="C12" s="33">
        <v>29899</v>
      </c>
      <c r="D12" s="2">
        <v>770</v>
      </c>
      <c r="E12" s="3">
        <v>770</v>
      </c>
      <c r="F12" s="4">
        <v>740</v>
      </c>
      <c r="G12" s="5">
        <v>357</v>
      </c>
    </row>
    <row r="13" spans="1:7" x14ac:dyDescent="0.25">
      <c r="A13" s="1">
        <f t="shared" ca="1" si="0"/>
        <v>12428</v>
      </c>
      <c r="B13" s="32">
        <v>29949</v>
      </c>
      <c r="C13" s="33">
        <v>29866</v>
      </c>
      <c r="D13" s="2">
        <v>770</v>
      </c>
      <c r="E13" s="3">
        <v>780</v>
      </c>
      <c r="F13" s="4">
        <v>106</v>
      </c>
      <c r="G13" s="5">
        <v>184</v>
      </c>
    </row>
    <row r="14" spans="1:7" x14ac:dyDescent="0.25">
      <c r="A14" s="1">
        <f t="shared" ca="1" si="0"/>
        <v>12429</v>
      </c>
      <c r="B14" s="32">
        <v>29981</v>
      </c>
      <c r="C14" s="33">
        <v>29898</v>
      </c>
      <c r="D14" s="2">
        <v>760</v>
      </c>
      <c r="E14" s="3">
        <v>810</v>
      </c>
      <c r="F14" s="4">
        <v>124</v>
      </c>
      <c r="G14" s="5">
        <v>429</v>
      </c>
    </row>
    <row r="15" spans="1:7" x14ac:dyDescent="0.25">
      <c r="A15" s="1">
        <f t="shared" ca="1" si="0"/>
        <v>12430</v>
      </c>
      <c r="B15" s="32">
        <v>29985</v>
      </c>
      <c r="C15" s="33">
        <v>29931</v>
      </c>
      <c r="D15" s="2">
        <v>780</v>
      </c>
      <c r="E15" s="3">
        <v>800</v>
      </c>
      <c r="F15" s="4">
        <v>2</v>
      </c>
      <c r="G15" s="5">
        <v>0</v>
      </c>
    </row>
    <row r="16" spans="1:7" x14ac:dyDescent="0.25">
      <c r="A16" s="1">
        <f t="shared" ca="1" si="0"/>
        <v>12431</v>
      </c>
      <c r="B16" s="32">
        <v>30025</v>
      </c>
      <c r="C16" s="33">
        <v>29859</v>
      </c>
      <c r="D16" s="2">
        <v>780</v>
      </c>
      <c r="E16" s="3">
        <v>805</v>
      </c>
      <c r="F16" s="4">
        <v>0</v>
      </c>
      <c r="G16" s="5">
        <v>0</v>
      </c>
    </row>
    <row r="17" spans="1:7" x14ac:dyDescent="0.25">
      <c r="A17" s="1">
        <f t="shared" ca="1" si="0"/>
        <v>12432</v>
      </c>
      <c r="B17" s="32">
        <v>30029</v>
      </c>
      <c r="C17" s="33">
        <v>29943</v>
      </c>
      <c r="D17" s="2">
        <v>765</v>
      </c>
      <c r="E17" s="3">
        <v>790</v>
      </c>
      <c r="F17" s="4">
        <v>20</v>
      </c>
      <c r="G17" s="5">
        <v>70</v>
      </c>
    </row>
    <row r="18" spans="1:7" x14ac:dyDescent="0.25">
      <c r="A18" s="1">
        <f t="shared" ca="1" si="0"/>
        <v>12433</v>
      </c>
      <c r="B18" s="32">
        <v>29998</v>
      </c>
      <c r="C18" s="33">
        <v>29911</v>
      </c>
      <c r="D18" s="2">
        <v>770</v>
      </c>
      <c r="E18" s="3">
        <v>800</v>
      </c>
      <c r="F18" s="4">
        <v>38</v>
      </c>
      <c r="G18" s="5">
        <v>165</v>
      </c>
    </row>
    <row r="19" spans="1:7" x14ac:dyDescent="0.25">
      <c r="A19" s="1">
        <f t="shared" ca="1" si="0"/>
        <v>12434</v>
      </c>
      <c r="B19" s="32">
        <v>30015</v>
      </c>
      <c r="C19" s="33">
        <v>29941</v>
      </c>
      <c r="D19" s="2">
        <v>780</v>
      </c>
      <c r="E19" s="3">
        <v>800</v>
      </c>
      <c r="F19" s="4">
        <v>0</v>
      </c>
      <c r="G19" s="5">
        <v>66</v>
      </c>
    </row>
    <row r="20" spans="1:7" x14ac:dyDescent="0.25">
      <c r="A20" s="1">
        <f t="shared" ca="1" si="0"/>
        <v>12435</v>
      </c>
      <c r="B20" s="32">
        <v>30015</v>
      </c>
      <c r="C20" s="33">
        <v>29936</v>
      </c>
      <c r="D20" s="2">
        <v>780</v>
      </c>
      <c r="E20" s="3">
        <v>780</v>
      </c>
      <c r="F20" s="4">
        <v>100</v>
      </c>
      <c r="G20" s="5">
        <v>0</v>
      </c>
    </row>
    <row r="21" spans="1:7" x14ac:dyDescent="0.25">
      <c r="A21" s="1">
        <f t="shared" ca="1" si="0"/>
        <v>12436</v>
      </c>
      <c r="B21" s="32">
        <v>29987</v>
      </c>
      <c r="C21" s="33">
        <v>29921</v>
      </c>
      <c r="D21" s="2">
        <v>775</v>
      </c>
      <c r="E21" s="3">
        <v>800</v>
      </c>
      <c r="F21" s="4">
        <v>28</v>
      </c>
      <c r="G21" s="5">
        <v>82</v>
      </c>
    </row>
    <row r="22" spans="1:7" x14ac:dyDescent="0.25">
      <c r="A22" s="1">
        <f t="shared" ca="1" si="0"/>
        <v>12437</v>
      </c>
      <c r="B22" s="32">
        <v>29977</v>
      </c>
      <c r="C22" s="33">
        <v>29908</v>
      </c>
      <c r="D22" s="2">
        <v>775</v>
      </c>
      <c r="E22" s="3">
        <v>810</v>
      </c>
      <c r="F22" s="4">
        <v>0</v>
      </c>
      <c r="G22" s="5">
        <v>0</v>
      </c>
    </row>
    <row r="23" spans="1:7" x14ac:dyDescent="0.25">
      <c r="A23" s="1">
        <f t="shared" ca="1" si="0"/>
        <v>12438</v>
      </c>
      <c r="B23" s="32">
        <v>29993</v>
      </c>
      <c r="C23" s="33">
        <v>29918</v>
      </c>
      <c r="D23" s="2">
        <v>790</v>
      </c>
      <c r="E23" s="3">
        <v>810</v>
      </c>
      <c r="F23" s="4">
        <v>0</v>
      </c>
      <c r="G23" s="5">
        <v>0</v>
      </c>
    </row>
    <row r="24" spans="1:7" x14ac:dyDescent="0.25">
      <c r="A24" s="1">
        <f t="shared" ca="1" si="0"/>
        <v>12439</v>
      </c>
      <c r="B24" s="32">
        <v>29994</v>
      </c>
      <c r="C24" s="33">
        <v>29918</v>
      </c>
      <c r="D24" s="2">
        <v>785</v>
      </c>
      <c r="E24" s="3">
        <v>810</v>
      </c>
      <c r="F24" s="4">
        <v>0</v>
      </c>
      <c r="G24" s="5">
        <v>0</v>
      </c>
    </row>
    <row r="25" spans="1:7" x14ac:dyDescent="0.25">
      <c r="A25" s="1">
        <f t="shared" ca="1" si="0"/>
        <v>12440</v>
      </c>
      <c r="B25" s="32">
        <v>29977</v>
      </c>
      <c r="C25" s="33">
        <v>29911</v>
      </c>
      <c r="D25" s="2">
        <v>775</v>
      </c>
      <c r="E25" s="3">
        <v>800</v>
      </c>
      <c r="F25" s="4">
        <v>0</v>
      </c>
      <c r="G25" s="5">
        <v>0</v>
      </c>
    </row>
    <row r="26" spans="1:7" x14ac:dyDescent="0.25">
      <c r="A26" s="1">
        <f t="shared" ca="1" si="0"/>
        <v>12441</v>
      </c>
      <c r="B26" s="32">
        <v>29995</v>
      </c>
      <c r="C26" s="33">
        <v>29909</v>
      </c>
      <c r="D26" s="2">
        <v>780</v>
      </c>
      <c r="E26" s="3">
        <v>805</v>
      </c>
      <c r="F26" s="4">
        <v>0</v>
      </c>
      <c r="G26" s="5">
        <v>0</v>
      </c>
    </row>
    <row r="27" spans="1:7" x14ac:dyDescent="0.25">
      <c r="A27" s="1">
        <f t="shared" ca="1" si="0"/>
        <v>12442</v>
      </c>
      <c r="B27" s="32">
        <v>30015</v>
      </c>
      <c r="C27" s="33">
        <v>29928</v>
      </c>
      <c r="D27" s="2">
        <v>780</v>
      </c>
      <c r="E27" s="3">
        <v>810</v>
      </c>
      <c r="F27" s="4">
        <v>0</v>
      </c>
      <c r="G27" s="5">
        <v>0</v>
      </c>
    </row>
    <row r="28" spans="1:7" x14ac:dyDescent="0.25">
      <c r="A28" s="1">
        <f t="shared" ca="1" si="0"/>
        <v>12443</v>
      </c>
      <c r="B28" s="32">
        <v>30025</v>
      </c>
      <c r="C28" s="33">
        <v>29945</v>
      </c>
      <c r="D28" s="2">
        <v>780</v>
      </c>
      <c r="E28" s="3">
        <v>820</v>
      </c>
      <c r="F28" s="4">
        <v>0</v>
      </c>
      <c r="G28" s="5">
        <v>0</v>
      </c>
    </row>
    <row r="29" spans="1:7" x14ac:dyDescent="0.25">
      <c r="A29" s="1">
        <f t="shared" ca="1" si="0"/>
        <v>12444</v>
      </c>
      <c r="B29" s="32">
        <v>30045</v>
      </c>
      <c r="C29" s="33">
        <v>29962</v>
      </c>
      <c r="D29" s="2">
        <v>780</v>
      </c>
      <c r="E29" s="3">
        <v>795</v>
      </c>
      <c r="F29" s="4">
        <v>0</v>
      </c>
      <c r="G29" s="5">
        <v>0</v>
      </c>
    </row>
    <row r="30" spans="1:7" x14ac:dyDescent="0.25">
      <c r="A30" s="1">
        <f t="shared" ca="1" si="0"/>
        <v>12445</v>
      </c>
      <c r="B30" s="32">
        <v>30041</v>
      </c>
      <c r="C30" s="33">
        <v>29968</v>
      </c>
      <c r="D30" s="2">
        <v>760</v>
      </c>
      <c r="E30" s="3">
        <v>805</v>
      </c>
      <c r="F30" s="4">
        <v>52</v>
      </c>
      <c r="G30" s="5">
        <v>0</v>
      </c>
    </row>
    <row r="31" spans="1:7" x14ac:dyDescent="0.25">
      <c r="A31" s="1">
        <f t="shared" ca="1" si="0"/>
        <v>12446</v>
      </c>
      <c r="B31" s="32">
        <v>30059</v>
      </c>
      <c r="C31" s="33">
        <v>29980</v>
      </c>
      <c r="D31" s="2">
        <v>765</v>
      </c>
      <c r="E31" s="3">
        <v>800</v>
      </c>
      <c r="F31" s="4">
        <v>33</v>
      </c>
      <c r="G31" s="5">
        <v>40</v>
      </c>
    </row>
    <row r="32" spans="1:7" x14ac:dyDescent="0.25">
      <c r="A32" s="1">
        <f t="shared" ca="1" si="0"/>
        <v>12447</v>
      </c>
      <c r="B32" s="32">
        <v>30024</v>
      </c>
      <c r="C32" s="33">
        <v>29938</v>
      </c>
      <c r="D32" s="2">
        <v>785</v>
      </c>
      <c r="E32" s="3">
        <v>810</v>
      </c>
      <c r="F32" s="4">
        <v>0</v>
      </c>
      <c r="G32" s="5">
        <v>0</v>
      </c>
    </row>
    <row r="33" spans="1:7" x14ac:dyDescent="0.25">
      <c r="A33" s="1">
        <f t="shared" ca="1" si="0"/>
        <v>12448</v>
      </c>
      <c r="B33" s="32">
        <v>30007</v>
      </c>
      <c r="C33" s="33">
        <v>29931</v>
      </c>
      <c r="D33" s="2">
        <v>775</v>
      </c>
      <c r="E33" s="3">
        <v>800</v>
      </c>
      <c r="F33" s="4">
        <v>0</v>
      </c>
      <c r="G33" s="5">
        <v>0</v>
      </c>
    </row>
    <row r="34" spans="1:7" x14ac:dyDescent="0.25">
      <c r="A34" s="1">
        <f t="shared" ca="1" si="0"/>
        <v>12449</v>
      </c>
      <c r="B34" s="32">
        <v>30005</v>
      </c>
      <c r="C34" s="33">
        <v>29939</v>
      </c>
      <c r="D34" s="2">
        <v>780</v>
      </c>
      <c r="E34" s="3">
        <v>805</v>
      </c>
      <c r="F34" s="4">
        <v>0</v>
      </c>
      <c r="G34" s="5">
        <v>0</v>
      </c>
    </row>
    <row r="35" spans="1:7" x14ac:dyDescent="0.25">
      <c r="A35" s="1">
        <f t="shared" ca="1" si="0"/>
        <v>12450</v>
      </c>
      <c r="B35" s="32">
        <v>30043</v>
      </c>
      <c r="C35" s="33">
        <v>29967</v>
      </c>
      <c r="D35" s="2">
        <v>790</v>
      </c>
      <c r="E35" s="3">
        <v>810</v>
      </c>
      <c r="F35" s="4">
        <v>0</v>
      </c>
      <c r="G35" s="5">
        <v>0</v>
      </c>
    </row>
    <row r="36" spans="1:7" x14ac:dyDescent="0.25">
      <c r="A36" s="1" t="str">
        <f t="shared" ca="1" si="0"/>
        <v>Totaal</v>
      </c>
      <c r="B36" s="34">
        <f>IF(COUNT(B5:B35)&gt;0,AVERAGE(B5:B35)/1000,"")</f>
        <v>30.000677419354837</v>
      </c>
      <c r="C36" s="35">
        <f>IF(COUNT(C5:C35)&gt;0,AVERAGE(C5:C35)/1000,"")</f>
        <v>29.921322580645164</v>
      </c>
      <c r="D36" s="36">
        <f>IF(COUNT(D5:D35)&gt;0,AVERAGE(D5:D35)/10,"")</f>
        <v>77.822580645161295</v>
      </c>
      <c r="E36" s="37">
        <f>IF(COUNT(E5:E35)&gt;0,AVERAGE(E5:E35)/10,"")</f>
        <v>80.193548387096769</v>
      </c>
      <c r="F36" s="22">
        <f>SUM(F5:F35)/10</f>
        <v>143.80000000000001</v>
      </c>
      <c r="G36" s="23">
        <f>SUM(G5:G35)/10</f>
        <v>167.3</v>
      </c>
    </row>
    <row r="37" spans="1:7" x14ac:dyDescent="0.25">
      <c r="A37" s="1">
        <f t="shared" ca="1" si="0"/>
        <v>12451</v>
      </c>
      <c r="B37" s="32">
        <v>30025</v>
      </c>
      <c r="C37" s="33">
        <v>29967</v>
      </c>
      <c r="D37" s="2">
        <v>780</v>
      </c>
      <c r="E37" s="3">
        <v>810</v>
      </c>
      <c r="F37" s="4">
        <v>0</v>
      </c>
      <c r="G37" s="5">
        <v>0</v>
      </c>
    </row>
    <row r="38" spans="1:7" x14ac:dyDescent="0.25">
      <c r="A38" s="1">
        <f t="shared" ca="1" si="0"/>
        <v>12452</v>
      </c>
      <c r="B38" s="32">
        <v>30017</v>
      </c>
      <c r="C38" s="33">
        <v>29937</v>
      </c>
      <c r="D38" s="2">
        <v>775</v>
      </c>
      <c r="E38" s="3">
        <v>805</v>
      </c>
      <c r="F38" s="4">
        <v>0</v>
      </c>
      <c r="G38" s="5">
        <v>0</v>
      </c>
    </row>
    <row r="39" spans="1:7" x14ac:dyDescent="0.25">
      <c r="A39" s="1">
        <f t="shared" ca="1" si="0"/>
        <v>12453</v>
      </c>
      <c r="B39" s="32">
        <v>30015</v>
      </c>
      <c r="C39" s="33">
        <v>29958</v>
      </c>
      <c r="D39" s="2">
        <v>780</v>
      </c>
      <c r="E39" s="3">
        <v>810</v>
      </c>
      <c r="F39" s="4">
        <v>0</v>
      </c>
      <c r="G39" s="5">
        <v>0</v>
      </c>
    </row>
    <row r="40" spans="1:7" x14ac:dyDescent="0.25">
      <c r="A40" s="1">
        <f t="shared" ca="1" si="0"/>
        <v>12454</v>
      </c>
      <c r="B40" s="32">
        <v>30027</v>
      </c>
      <c r="C40" s="33">
        <v>29947</v>
      </c>
      <c r="D40" s="2">
        <v>775</v>
      </c>
      <c r="E40" s="3">
        <v>815</v>
      </c>
      <c r="F40" s="4">
        <v>0</v>
      </c>
      <c r="G40" s="5">
        <v>0</v>
      </c>
    </row>
    <row r="41" spans="1:7" x14ac:dyDescent="0.25">
      <c r="A41" s="1">
        <f t="shared" ca="1" si="0"/>
        <v>12455</v>
      </c>
      <c r="B41" s="32">
        <v>30038</v>
      </c>
      <c r="C41" s="33">
        <v>29942</v>
      </c>
      <c r="D41" s="2">
        <v>770</v>
      </c>
      <c r="E41" s="3">
        <v>795</v>
      </c>
      <c r="F41" s="4">
        <v>46</v>
      </c>
      <c r="G41" s="5">
        <v>0</v>
      </c>
    </row>
    <row r="42" spans="1:7" x14ac:dyDescent="0.25">
      <c r="A42" s="1">
        <f t="shared" ca="1" si="0"/>
        <v>12456</v>
      </c>
      <c r="B42" s="32">
        <v>30027</v>
      </c>
      <c r="C42" s="33">
        <v>29938</v>
      </c>
      <c r="D42" s="2">
        <v>775</v>
      </c>
      <c r="E42" s="3">
        <v>810</v>
      </c>
      <c r="F42" s="4">
        <v>0</v>
      </c>
      <c r="G42" s="5">
        <v>0</v>
      </c>
    </row>
    <row r="43" spans="1:7" x14ac:dyDescent="0.25">
      <c r="A43" s="1">
        <f t="shared" ca="1" si="0"/>
        <v>12457</v>
      </c>
      <c r="B43" s="32">
        <v>30035</v>
      </c>
      <c r="C43" s="33">
        <v>29967</v>
      </c>
      <c r="D43" s="2">
        <v>780</v>
      </c>
      <c r="E43" s="3">
        <v>810</v>
      </c>
      <c r="F43" s="4">
        <v>0</v>
      </c>
      <c r="G43" s="5">
        <v>0</v>
      </c>
    </row>
    <row r="44" spans="1:7" x14ac:dyDescent="0.25">
      <c r="A44" s="1">
        <f t="shared" ca="1" si="0"/>
        <v>12458</v>
      </c>
      <c r="B44" s="32">
        <v>30055</v>
      </c>
      <c r="C44" s="33">
        <v>29978</v>
      </c>
      <c r="D44" s="2">
        <v>780</v>
      </c>
      <c r="E44" s="3">
        <v>805</v>
      </c>
      <c r="F44" s="4">
        <v>0</v>
      </c>
      <c r="G44" s="5">
        <v>0</v>
      </c>
    </row>
    <row r="45" spans="1:7" x14ac:dyDescent="0.25">
      <c r="A45" s="1">
        <f t="shared" ca="1" si="0"/>
        <v>12459</v>
      </c>
      <c r="B45" s="32">
        <v>30054</v>
      </c>
      <c r="C45" s="33">
        <v>29962</v>
      </c>
      <c r="D45" s="2">
        <v>785</v>
      </c>
      <c r="E45" s="3">
        <v>795</v>
      </c>
      <c r="F45" s="4">
        <v>0</v>
      </c>
      <c r="G45" s="5">
        <v>0</v>
      </c>
    </row>
    <row r="46" spans="1:7" x14ac:dyDescent="0.25">
      <c r="A46" s="1">
        <f t="shared" ca="1" si="0"/>
        <v>12460</v>
      </c>
      <c r="B46" s="32">
        <v>30054</v>
      </c>
      <c r="C46" s="33">
        <v>29986</v>
      </c>
      <c r="D46" s="2">
        <v>785</v>
      </c>
      <c r="E46" s="3">
        <v>815</v>
      </c>
      <c r="F46" s="4">
        <v>0</v>
      </c>
      <c r="G46" s="5">
        <v>0</v>
      </c>
    </row>
    <row r="47" spans="1:7" x14ac:dyDescent="0.25">
      <c r="A47" s="1">
        <f t="shared" ca="1" si="0"/>
        <v>12461</v>
      </c>
      <c r="B47" s="32">
        <v>30045</v>
      </c>
      <c r="C47" s="33">
        <v>29967</v>
      </c>
      <c r="D47" s="2">
        <v>780</v>
      </c>
      <c r="E47" s="3">
        <v>810</v>
      </c>
      <c r="F47" s="4">
        <v>0</v>
      </c>
      <c r="G47" s="5">
        <v>0</v>
      </c>
    </row>
    <row r="48" spans="1:7" x14ac:dyDescent="0.25">
      <c r="A48" s="1">
        <f t="shared" ca="1" si="0"/>
        <v>12462</v>
      </c>
      <c r="B48" s="32">
        <v>30057</v>
      </c>
      <c r="C48" s="33">
        <v>29958</v>
      </c>
      <c r="D48" s="2">
        <v>775</v>
      </c>
      <c r="E48" s="3">
        <v>810</v>
      </c>
      <c r="F48" s="4">
        <v>0</v>
      </c>
      <c r="G48" s="5">
        <v>0</v>
      </c>
    </row>
    <row r="49" spans="1:7" x14ac:dyDescent="0.25">
      <c r="A49" s="1">
        <f t="shared" ca="1" si="0"/>
        <v>12463</v>
      </c>
      <c r="B49" s="32">
        <v>30044</v>
      </c>
      <c r="C49" s="33">
        <v>29957</v>
      </c>
      <c r="D49" s="2">
        <v>785</v>
      </c>
      <c r="E49" s="3">
        <v>815</v>
      </c>
      <c r="F49" s="4">
        <v>0</v>
      </c>
      <c r="G49" s="5">
        <v>0</v>
      </c>
    </row>
    <row r="50" spans="1:7" x14ac:dyDescent="0.25">
      <c r="A50" s="1">
        <f t="shared" ca="1" si="0"/>
        <v>12464</v>
      </c>
      <c r="B50" s="32">
        <v>30073</v>
      </c>
      <c r="C50" s="33">
        <v>29996</v>
      </c>
      <c r="D50" s="2">
        <v>790</v>
      </c>
      <c r="E50" s="3">
        <v>815</v>
      </c>
      <c r="F50" s="4">
        <v>0</v>
      </c>
      <c r="G50" s="5">
        <v>0</v>
      </c>
    </row>
    <row r="51" spans="1:7" x14ac:dyDescent="0.25">
      <c r="A51" s="1">
        <f t="shared" ca="1" si="0"/>
        <v>12465</v>
      </c>
      <c r="B51" s="32">
        <v>30064</v>
      </c>
      <c r="C51" s="33">
        <v>29966</v>
      </c>
      <c r="D51" s="2">
        <v>785</v>
      </c>
      <c r="E51" s="3">
        <v>815</v>
      </c>
      <c r="F51" s="4">
        <v>0</v>
      </c>
      <c r="G51" s="5">
        <v>0</v>
      </c>
    </row>
    <row r="52" spans="1:7" x14ac:dyDescent="0.25">
      <c r="A52" s="1">
        <f t="shared" ca="1" si="0"/>
        <v>12466</v>
      </c>
      <c r="B52" s="32">
        <v>30015</v>
      </c>
      <c r="C52" s="33">
        <v>29927</v>
      </c>
      <c r="D52" s="2">
        <v>780</v>
      </c>
      <c r="E52" s="3">
        <v>815</v>
      </c>
      <c r="F52" s="4">
        <v>0</v>
      </c>
      <c r="G52" s="5">
        <v>0</v>
      </c>
    </row>
    <row r="53" spans="1:7" x14ac:dyDescent="0.25">
      <c r="A53" s="1">
        <f t="shared" ca="1" si="0"/>
        <v>12467</v>
      </c>
      <c r="B53" s="32">
        <v>29995</v>
      </c>
      <c r="C53" s="33">
        <v>29908</v>
      </c>
      <c r="D53" s="2">
        <v>780</v>
      </c>
      <c r="E53" s="3">
        <v>810</v>
      </c>
      <c r="F53" s="4">
        <v>0</v>
      </c>
      <c r="G53" s="5">
        <v>0</v>
      </c>
    </row>
    <row r="54" spans="1:7" x14ac:dyDescent="0.25">
      <c r="A54" s="1">
        <f t="shared" ca="1" si="0"/>
        <v>12468</v>
      </c>
      <c r="B54" s="32">
        <v>30014</v>
      </c>
      <c r="C54" s="33">
        <v>29918</v>
      </c>
      <c r="D54" s="2">
        <v>785</v>
      </c>
      <c r="E54" s="3">
        <v>810</v>
      </c>
      <c r="F54" s="4">
        <v>0</v>
      </c>
      <c r="G54" s="5">
        <v>0</v>
      </c>
    </row>
    <row r="55" spans="1:7" x14ac:dyDescent="0.25">
      <c r="A55" s="1">
        <f t="shared" ca="1" si="0"/>
        <v>12469</v>
      </c>
      <c r="B55" s="32">
        <v>30025</v>
      </c>
      <c r="C55" s="33">
        <v>29909</v>
      </c>
      <c r="D55" s="2">
        <v>780</v>
      </c>
      <c r="E55" s="3">
        <v>805</v>
      </c>
      <c r="F55" s="4">
        <v>0</v>
      </c>
      <c r="G55" s="5">
        <v>0</v>
      </c>
    </row>
    <row r="56" spans="1:7" x14ac:dyDescent="0.25">
      <c r="A56" s="1">
        <f t="shared" ca="1" si="0"/>
        <v>12470</v>
      </c>
      <c r="B56" s="32">
        <v>30028</v>
      </c>
      <c r="C56" s="33">
        <v>29948</v>
      </c>
      <c r="D56" s="2">
        <v>770</v>
      </c>
      <c r="E56" s="3">
        <v>810</v>
      </c>
      <c r="F56" s="4">
        <v>0</v>
      </c>
      <c r="G56" s="5">
        <v>0</v>
      </c>
    </row>
    <row r="57" spans="1:7" x14ac:dyDescent="0.25">
      <c r="A57" s="1">
        <f t="shared" ca="1" si="0"/>
        <v>12471</v>
      </c>
      <c r="B57" s="32">
        <v>30043</v>
      </c>
      <c r="C57" s="33">
        <v>29967</v>
      </c>
      <c r="D57" s="2">
        <v>790</v>
      </c>
      <c r="E57" s="3">
        <v>810</v>
      </c>
      <c r="F57" s="4">
        <v>0</v>
      </c>
      <c r="G57" s="5">
        <v>0</v>
      </c>
    </row>
    <row r="58" spans="1:7" x14ac:dyDescent="0.25">
      <c r="A58" s="1">
        <f t="shared" ca="1" si="0"/>
        <v>12472</v>
      </c>
      <c r="B58" s="32">
        <v>30043</v>
      </c>
      <c r="C58" s="33">
        <v>29974</v>
      </c>
      <c r="D58" s="2">
        <v>790</v>
      </c>
      <c r="E58" s="3">
        <v>820</v>
      </c>
      <c r="F58" s="4">
        <v>0</v>
      </c>
      <c r="G58" s="5">
        <v>0</v>
      </c>
    </row>
    <row r="59" spans="1:7" x14ac:dyDescent="0.25">
      <c r="A59" s="1">
        <f t="shared" ca="1" si="0"/>
        <v>12473</v>
      </c>
      <c r="B59" s="32">
        <v>30050</v>
      </c>
      <c r="C59" s="33">
        <v>30007</v>
      </c>
      <c r="D59" s="2">
        <v>800</v>
      </c>
      <c r="E59" s="3">
        <v>810</v>
      </c>
      <c r="F59" s="4">
        <v>0</v>
      </c>
      <c r="G59" s="5">
        <v>0</v>
      </c>
    </row>
    <row r="60" spans="1:7" x14ac:dyDescent="0.25">
      <c r="A60" s="1">
        <f t="shared" ca="1" si="0"/>
        <v>12474</v>
      </c>
      <c r="B60" s="32">
        <v>30064</v>
      </c>
      <c r="C60" s="33">
        <v>29986</v>
      </c>
      <c r="D60" s="2">
        <v>785</v>
      </c>
      <c r="E60" s="3">
        <v>815</v>
      </c>
      <c r="F60" s="4">
        <v>0</v>
      </c>
      <c r="G60" s="5">
        <v>0</v>
      </c>
    </row>
    <row r="61" spans="1:7" x14ac:dyDescent="0.25">
      <c r="A61" s="1">
        <f t="shared" ca="1" si="0"/>
        <v>12475</v>
      </c>
      <c r="B61" s="32">
        <v>30041</v>
      </c>
      <c r="C61" s="33">
        <v>29967</v>
      </c>
      <c r="D61" s="2">
        <v>795</v>
      </c>
      <c r="E61" s="3">
        <v>810</v>
      </c>
      <c r="F61" s="4">
        <v>36</v>
      </c>
      <c r="G61" s="5">
        <v>0</v>
      </c>
    </row>
    <row r="62" spans="1:7" x14ac:dyDescent="0.25">
      <c r="A62" s="1">
        <f t="shared" ca="1" si="0"/>
        <v>12476</v>
      </c>
      <c r="B62" s="32">
        <v>30055</v>
      </c>
      <c r="C62" s="33">
        <v>30007</v>
      </c>
      <c r="D62" s="2">
        <v>780</v>
      </c>
      <c r="E62" s="3">
        <v>810</v>
      </c>
      <c r="F62" s="4">
        <v>46</v>
      </c>
      <c r="G62" s="5">
        <v>0</v>
      </c>
    </row>
    <row r="63" spans="1:7" x14ac:dyDescent="0.25">
      <c r="A63" s="1">
        <f t="shared" ca="1" si="0"/>
        <v>12477</v>
      </c>
      <c r="B63" s="32">
        <v>30117</v>
      </c>
      <c r="C63" s="33">
        <v>30046</v>
      </c>
      <c r="D63" s="2">
        <v>775</v>
      </c>
      <c r="E63" s="3">
        <v>815</v>
      </c>
      <c r="F63" s="4">
        <v>0</v>
      </c>
      <c r="G63" s="5">
        <v>43</v>
      </c>
    </row>
    <row r="64" spans="1:7" x14ac:dyDescent="0.25">
      <c r="A64" s="1">
        <f t="shared" ca="1" si="0"/>
        <v>12478</v>
      </c>
      <c r="B64" s="32">
        <v>30094</v>
      </c>
      <c r="C64" s="33">
        <v>30037</v>
      </c>
      <c r="D64" s="2">
        <v>785</v>
      </c>
      <c r="E64" s="3">
        <v>810</v>
      </c>
      <c r="F64" s="4">
        <v>0</v>
      </c>
      <c r="G64" s="5">
        <v>0</v>
      </c>
    </row>
    <row r="65" spans="1:7" x14ac:dyDescent="0.25">
      <c r="A65" s="1" t="str">
        <f t="shared" ca="1" si="0"/>
        <v>Totaal</v>
      </c>
      <c r="B65" s="34">
        <f>IF(COUNT(B37:B64)&gt;0,AVERAGE(B37:B64)/1000,"")</f>
        <v>30.04335714285714</v>
      </c>
      <c r="C65" s="35">
        <f>IF(COUNT(C37:C64)&gt;0,AVERAGE(C37:C64)/1000,"")</f>
        <v>29.965250000000001</v>
      </c>
      <c r="D65" s="36">
        <f>IF(COUNT(D37:D64)&gt;0,AVERAGE(D37:D64)/10,"")</f>
        <v>78.196428571428569</v>
      </c>
      <c r="E65" s="37">
        <f>IF(COUNT(E37:E64)&gt;0,AVERAGE(E37:E64)/10,"")</f>
        <v>81.017857142857139</v>
      </c>
      <c r="F65" s="22">
        <f>SUM(F37:F64)/10</f>
        <v>12.8</v>
      </c>
      <c r="G65" s="23">
        <f>SUM(G37:G64)/10</f>
        <v>4.3</v>
      </c>
    </row>
    <row r="66" spans="1:7" x14ac:dyDescent="0.25">
      <c r="A66" s="1">
        <f t="shared" ca="1" si="0"/>
        <v>12479</v>
      </c>
      <c r="B66" s="32">
        <v>30084</v>
      </c>
      <c r="C66" s="33">
        <v>30024</v>
      </c>
      <c r="D66" s="2">
        <v>785</v>
      </c>
      <c r="E66" s="3">
        <v>820</v>
      </c>
      <c r="F66" s="4">
        <v>0</v>
      </c>
      <c r="G66" s="5">
        <v>0</v>
      </c>
    </row>
    <row r="67" spans="1:7" x14ac:dyDescent="0.25">
      <c r="A67" s="1">
        <f t="shared" ca="1" si="0"/>
        <v>12480</v>
      </c>
      <c r="B67" s="32">
        <v>30077</v>
      </c>
      <c r="C67" s="33">
        <v>30007</v>
      </c>
      <c r="D67" s="2">
        <v>775</v>
      </c>
      <c r="E67" s="3">
        <v>810</v>
      </c>
      <c r="F67" s="4">
        <v>0</v>
      </c>
      <c r="G67" s="5">
        <v>0</v>
      </c>
    </row>
    <row r="68" spans="1:7" x14ac:dyDescent="0.25">
      <c r="A68" s="1">
        <f t="shared" ca="1" si="0"/>
        <v>12481</v>
      </c>
      <c r="B68" s="32">
        <v>30065</v>
      </c>
      <c r="C68" s="33">
        <v>30007</v>
      </c>
      <c r="D68" s="2">
        <v>780</v>
      </c>
      <c r="E68" s="3">
        <v>810</v>
      </c>
      <c r="F68" s="4">
        <v>0</v>
      </c>
      <c r="G68" s="5">
        <v>0</v>
      </c>
    </row>
    <row r="69" spans="1:7" x14ac:dyDescent="0.25">
      <c r="A69" s="1">
        <f t="shared" ca="1" si="0"/>
        <v>12482</v>
      </c>
      <c r="B69" s="32">
        <v>30077</v>
      </c>
      <c r="C69" s="33">
        <v>30016</v>
      </c>
      <c r="D69" s="2">
        <v>775</v>
      </c>
      <c r="E69" s="3">
        <v>815</v>
      </c>
      <c r="F69" s="4">
        <v>0</v>
      </c>
      <c r="G69" s="5">
        <v>0</v>
      </c>
    </row>
    <row r="70" spans="1:7" x14ac:dyDescent="0.25">
      <c r="A70" s="1">
        <f t="shared" ca="1" si="0"/>
        <v>12483</v>
      </c>
      <c r="B70" s="32">
        <v>30075</v>
      </c>
      <c r="C70" s="33">
        <v>30004</v>
      </c>
      <c r="D70" s="2">
        <v>780</v>
      </c>
      <c r="E70" s="3">
        <v>820</v>
      </c>
      <c r="F70" s="4">
        <v>0</v>
      </c>
      <c r="G70" s="5">
        <v>0</v>
      </c>
    </row>
    <row r="71" spans="1:7" x14ac:dyDescent="0.25">
      <c r="A71" s="1">
        <f t="shared" ref="A71:A134" ca="1" si="1">IF(ISTEXT(A70),A69+1,IF(MONTH(A70+1)=MONTH(A70),A70+1,"Totaal"))</f>
        <v>12484</v>
      </c>
      <c r="B71" s="32">
        <v>30074</v>
      </c>
      <c r="C71" s="33">
        <v>29988</v>
      </c>
      <c r="D71" s="2">
        <v>785</v>
      </c>
      <c r="E71" s="3">
        <v>805</v>
      </c>
      <c r="F71" s="4">
        <v>0</v>
      </c>
      <c r="G71" s="5">
        <v>0</v>
      </c>
    </row>
    <row r="72" spans="1:7" x14ac:dyDescent="0.25">
      <c r="A72" s="1">
        <f t="shared" ca="1" si="1"/>
        <v>12485</v>
      </c>
      <c r="B72" s="32">
        <v>30075</v>
      </c>
      <c r="C72" s="33">
        <v>29994</v>
      </c>
      <c r="D72" s="2">
        <v>780</v>
      </c>
      <c r="E72" s="3">
        <v>820</v>
      </c>
      <c r="F72" s="4">
        <v>0</v>
      </c>
      <c r="G72" s="5">
        <v>0</v>
      </c>
    </row>
    <row r="73" spans="1:7" x14ac:dyDescent="0.25">
      <c r="A73" s="1">
        <f t="shared" ca="1" si="1"/>
        <v>12486</v>
      </c>
      <c r="B73" s="32">
        <v>30085</v>
      </c>
      <c r="C73" s="33">
        <v>29984</v>
      </c>
      <c r="D73" s="2">
        <v>780</v>
      </c>
      <c r="E73" s="3">
        <v>820</v>
      </c>
      <c r="F73" s="4">
        <v>0</v>
      </c>
      <c r="G73" s="5">
        <v>0</v>
      </c>
    </row>
    <row r="74" spans="1:7" x14ac:dyDescent="0.25">
      <c r="A74" s="1">
        <f t="shared" ca="1" si="1"/>
        <v>12487</v>
      </c>
      <c r="B74" s="32">
        <v>30063</v>
      </c>
      <c r="C74" s="33">
        <v>29974</v>
      </c>
      <c r="D74" s="2">
        <v>790</v>
      </c>
      <c r="E74" s="3">
        <v>820</v>
      </c>
      <c r="F74" s="4">
        <v>0</v>
      </c>
      <c r="G74" s="5">
        <v>0</v>
      </c>
    </row>
    <row r="75" spans="1:7" x14ac:dyDescent="0.25">
      <c r="A75" s="1">
        <f t="shared" ca="1" si="1"/>
        <v>12488</v>
      </c>
      <c r="B75" s="32">
        <v>30011</v>
      </c>
      <c r="C75" s="33">
        <v>29925</v>
      </c>
      <c r="D75" s="2">
        <v>795</v>
      </c>
      <c r="E75" s="3">
        <v>820</v>
      </c>
      <c r="F75" s="4">
        <v>0</v>
      </c>
      <c r="G75" s="5">
        <v>0</v>
      </c>
    </row>
    <row r="76" spans="1:7" x14ac:dyDescent="0.25">
      <c r="A76" s="1">
        <f t="shared" ca="1" si="1"/>
        <v>12489</v>
      </c>
      <c r="B76" s="32">
        <v>30023</v>
      </c>
      <c r="C76" s="33">
        <v>29937</v>
      </c>
      <c r="D76" s="2">
        <v>790</v>
      </c>
      <c r="E76" s="3">
        <v>815</v>
      </c>
      <c r="F76" s="4">
        <v>0</v>
      </c>
      <c r="G76" s="5">
        <v>0</v>
      </c>
    </row>
    <row r="77" spans="1:7" x14ac:dyDescent="0.25">
      <c r="A77" s="1">
        <f t="shared" ca="1" si="1"/>
        <v>12490</v>
      </c>
      <c r="B77" s="32">
        <v>30013</v>
      </c>
      <c r="C77" s="33">
        <v>29945</v>
      </c>
      <c r="D77" s="2">
        <v>790</v>
      </c>
      <c r="E77" s="3">
        <v>820</v>
      </c>
      <c r="F77" s="4">
        <v>0</v>
      </c>
      <c r="G77" s="5">
        <v>0</v>
      </c>
    </row>
    <row r="78" spans="1:7" x14ac:dyDescent="0.25">
      <c r="A78" s="1">
        <f t="shared" ca="1" si="1"/>
        <v>12491</v>
      </c>
      <c r="B78" s="32">
        <v>30014</v>
      </c>
      <c r="C78" s="33">
        <v>29905</v>
      </c>
      <c r="D78" s="2">
        <v>785</v>
      </c>
      <c r="E78" s="3">
        <v>820</v>
      </c>
      <c r="F78" s="4">
        <v>0</v>
      </c>
      <c r="G78" s="5">
        <v>0</v>
      </c>
    </row>
    <row r="79" spans="1:7" x14ac:dyDescent="0.25">
      <c r="A79" s="1">
        <f t="shared" ca="1" si="1"/>
        <v>12492</v>
      </c>
      <c r="B79" s="32">
        <v>29961</v>
      </c>
      <c r="C79" s="33">
        <v>29855</v>
      </c>
      <c r="D79" s="2">
        <v>800</v>
      </c>
      <c r="E79" s="3">
        <v>820</v>
      </c>
      <c r="F79" s="4">
        <v>0</v>
      </c>
      <c r="G79" s="5">
        <v>0</v>
      </c>
    </row>
    <row r="80" spans="1:7" x14ac:dyDescent="0.25">
      <c r="A80" s="1">
        <f t="shared" ca="1" si="1"/>
        <v>12493</v>
      </c>
      <c r="B80" s="32">
        <v>29971</v>
      </c>
      <c r="C80" s="33">
        <v>29895</v>
      </c>
      <c r="D80" s="2">
        <v>795</v>
      </c>
      <c r="E80" s="3">
        <v>785</v>
      </c>
      <c r="F80" s="4">
        <v>0</v>
      </c>
      <c r="G80" s="5">
        <v>0</v>
      </c>
    </row>
    <row r="81" spans="1:7" x14ac:dyDescent="0.25">
      <c r="A81" s="1">
        <f t="shared" ca="1" si="1"/>
        <v>12494</v>
      </c>
      <c r="B81" s="32">
        <v>29963</v>
      </c>
      <c r="C81" s="33">
        <v>29921</v>
      </c>
      <c r="D81" s="2">
        <v>790</v>
      </c>
      <c r="E81" s="3">
        <v>835</v>
      </c>
      <c r="F81" s="4">
        <v>0</v>
      </c>
      <c r="G81" s="5">
        <v>0</v>
      </c>
    </row>
    <row r="82" spans="1:7" x14ac:dyDescent="0.25">
      <c r="A82" s="1">
        <f t="shared" ca="1" si="1"/>
        <v>12495</v>
      </c>
      <c r="B82" s="32">
        <v>30056</v>
      </c>
      <c r="C82" s="33">
        <v>29972</v>
      </c>
      <c r="D82" s="2">
        <v>815</v>
      </c>
      <c r="E82" s="3">
        <v>830</v>
      </c>
      <c r="F82" s="4">
        <v>0</v>
      </c>
      <c r="G82" s="5">
        <v>0</v>
      </c>
    </row>
    <row r="83" spans="1:7" x14ac:dyDescent="0.25">
      <c r="A83" s="1">
        <f t="shared" ca="1" si="1"/>
        <v>12496</v>
      </c>
      <c r="B83" s="32">
        <v>29970</v>
      </c>
      <c r="C83" s="33">
        <v>29887</v>
      </c>
      <c r="D83" s="2">
        <v>800</v>
      </c>
      <c r="E83" s="3">
        <v>815</v>
      </c>
      <c r="F83" s="4">
        <v>0</v>
      </c>
      <c r="G83" s="5">
        <v>60</v>
      </c>
    </row>
    <row r="84" spans="1:7" x14ac:dyDescent="0.25">
      <c r="A84" s="1">
        <f t="shared" ca="1" si="1"/>
        <v>12497</v>
      </c>
      <c r="B84" s="32">
        <v>29983</v>
      </c>
      <c r="C84" s="33">
        <v>29915</v>
      </c>
      <c r="D84" s="2">
        <v>790</v>
      </c>
      <c r="E84" s="3">
        <v>820</v>
      </c>
      <c r="F84" s="4">
        <v>0</v>
      </c>
      <c r="G84" s="5">
        <v>0</v>
      </c>
    </row>
    <row r="85" spans="1:7" x14ac:dyDescent="0.25">
      <c r="A85" s="1">
        <f t="shared" ca="1" si="1"/>
        <v>12498</v>
      </c>
      <c r="B85" s="32">
        <v>29993</v>
      </c>
      <c r="C85" s="33">
        <v>29923</v>
      </c>
      <c r="D85" s="2">
        <v>790</v>
      </c>
      <c r="E85" s="3">
        <v>830</v>
      </c>
      <c r="F85" s="4">
        <v>0</v>
      </c>
      <c r="G85" s="5">
        <v>0</v>
      </c>
    </row>
    <row r="86" spans="1:7" x14ac:dyDescent="0.25">
      <c r="A86" s="1">
        <f t="shared" ca="1" si="1"/>
        <v>12499</v>
      </c>
      <c r="B86" s="32">
        <v>30011</v>
      </c>
      <c r="C86" s="33">
        <v>29895</v>
      </c>
      <c r="D86" s="2">
        <v>795</v>
      </c>
      <c r="E86" s="3">
        <v>820</v>
      </c>
      <c r="F86" s="4">
        <v>0</v>
      </c>
      <c r="G86" s="5">
        <v>0</v>
      </c>
    </row>
    <row r="87" spans="1:7" x14ac:dyDescent="0.25">
      <c r="A87" s="1">
        <f t="shared" ca="1" si="1"/>
        <v>12500</v>
      </c>
      <c r="B87" s="32">
        <v>29981</v>
      </c>
      <c r="C87" s="33">
        <v>29887</v>
      </c>
      <c r="D87" s="2">
        <v>795</v>
      </c>
      <c r="E87" s="3">
        <v>815</v>
      </c>
      <c r="F87" s="4">
        <v>0</v>
      </c>
      <c r="G87" s="5">
        <v>0</v>
      </c>
    </row>
    <row r="88" spans="1:7" x14ac:dyDescent="0.25">
      <c r="A88" s="1">
        <f t="shared" ca="1" si="1"/>
        <v>12501</v>
      </c>
      <c r="B88" s="32">
        <v>29962</v>
      </c>
      <c r="C88" s="33">
        <v>29895</v>
      </c>
      <c r="D88" s="2">
        <v>795</v>
      </c>
      <c r="E88" s="3">
        <v>820</v>
      </c>
      <c r="F88" s="4">
        <v>0</v>
      </c>
      <c r="G88" s="5">
        <v>0</v>
      </c>
    </row>
    <row r="89" spans="1:7" x14ac:dyDescent="0.25">
      <c r="A89" s="1">
        <f t="shared" ca="1" si="1"/>
        <v>12502</v>
      </c>
      <c r="B89" s="32">
        <v>29951</v>
      </c>
      <c r="C89" s="33">
        <v>29874</v>
      </c>
      <c r="D89" s="2">
        <v>800</v>
      </c>
      <c r="E89" s="3">
        <v>825</v>
      </c>
      <c r="F89" s="4">
        <v>0</v>
      </c>
      <c r="G89" s="5">
        <v>0</v>
      </c>
    </row>
    <row r="90" spans="1:7" x14ac:dyDescent="0.25">
      <c r="A90" s="1">
        <f t="shared" ca="1" si="1"/>
        <v>12503</v>
      </c>
      <c r="B90" s="32">
        <v>29980</v>
      </c>
      <c r="C90" s="33">
        <v>29885</v>
      </c>
      <c r="D90" s="2">
        <v>800</v>
      </c>
      <c r="E90" s="3">
        <v>820</v>
      </c>
      <c r="F90" s="4">
        <v>0</v>
      </c>
      <c r="G90" s="5">
        <v>0</v>
      </c>
    </row>
    <row r="91" spans="1:7" x14ac:dyDescent="0.25">
      <c r="A91" s="1">
        <f t="shared" ca="1" si="1"/>
        <v>12504</v>
      </c>
      <c r="B91" s="32">
        <v>29998</v>
      </c>
      <c r="C91" s="33">
        <v>29913</v>
      </c>
      <c r="D91" s="2">
        <v>805</v>
      </c>
      <c r="E91" s="3">
        <v>830</v>
      </c>
      <c r="F91" s="4">
        <v>0</v>
      </c>
      <c r="G91" s="5">
        <v>37</v>
      </c>
    </row>
    <row r="92" spans="1:7" x14ac:dyDescent="0.25">
      <c r="A92" s="1">
        <f t="shared" ca="1" si="1"/>
        <v>12505</v>
      </c>
      <c r="B92" s="32">
        <v>29983</v>
      </c>
      <c r="C92" s="33">
        <v>29915</v>
      </c>
      <c r="D92" s="2">
        <v>790</v>
      </c>
      <c r="E92" s="3">
        <v>820</v>
      </c>
      <c r="F92" s="4">
        <v>0</v>
      </c>
      <c r="G92" s="5">
        <v>0</v>
      </c>
    </row>
    <row r="93" spans="1:7" x14ac:dyDescent="0.25">
      <c r="A93" s="1">
        <f t="shared" ca="1" si="1"/>
        <v>12506</v>
      </c>
      <c r="B93" s="32">
        <v>29971</v>
      </c>
      <c r="C93" s="33">
        <v>29873</v>
      </c>
      <c r="D93" s="2">
        <v>795</v>
      </c>
      <c r="E93" s="3">
        <v>830</v>
      </c>
      <c r="F93" s="4">
        <v>0</v>
      </c>
      <c r="G93" s="5">
        <v>0</v>
      </c>
    </row>
    <row r="94" spans="1:7" x14ac:dyDescent="0.25">
      <c r="A94" s="1">
        <f t="shared" ca="1" si="1"/>
        <v>12507</v>
      </c>
      <c r="B94" s="32">
        <v>29980</v>
      </c>
      <c r="C94" s="33">
        <v>29883</v>
      </c>
      <c r="D94" s="2">
        <v>800</v>
      </c>
      <c r="E94" s="3">
        <v>830</v>
      </c>
      <c r="F94" s="4">
        <v>0</v>
      </c>
      <c r="G94" s="5">
        <v>0</v>
      </c>
    </row>
    <row r="95" spans="1:7" x14ac:dyDescent="0.25">
      <c r="A95" s="1">
        <f t="shared" ca="1" si="1"/>
        <v>12508</v>
      </c>
      <c r="B95" s="32">
        <v>30010</v>
      </c>
      <c r="C95" s="33">
        <v>29915</v>
      </c>
      <c r="D95" s="2">
        <v>800</v>
      </c>
      <c r="E95" s="3">
        <v>820</v>
      </c>
      <c r="F95" s="4">
        <v>0</v>
      </c>
      <c r="G95" s="5">
        <v>140</v>
      </c>
    </row>
    <row r="96" spans="1:7" x14ac:dyDescent="0.25">
      <c r="A96" s="1">
        <f t="shared" ca="1" si="1"/>
        <v>12509</v>
      </c>
      <c r="B96" s="32">
        <v>30023</v>
      </c>
      <c r="C96" s="33">
        <v>29895</v>
      </c>
      <c r="D96" s="2">
        <v>790</v>
      </c>
      <c r="E96" s="3">
        <v>820</v>
      </c>
      <c r="F96" s="4">
        <v>29</v>
      </c>
      <c r="G96" s="5">
        <v>0</v>
      </c>
    </row>
    <row r="97" spans="1:7" x14ac:dyDescent="0.25">
      <c r="A97" s="1" t="str">
        <f t="shared" ca="1" si="1"/>
        <v>Totaal</v>
      </c>
      <c r="B97" s="34">
        <f>IF(COUNT(B66:B96)&gt;0,AVERAGE(B66:B96)/1000,"")</f>
        <v>30.015580645161293</v>
      </c>
      <c r="C97" s="35">
        <f>IF(COUNT(C66:C96)&gt;0,AVERAGE(C66:C96)/1000,"")</f>
        <v>29.932516129032258</v>
      </c>
      <c r="D97" s="36">
        <f>IF(COUNT(D66:D96)&gt;0,AVERAGE(D66:D96)/10,"")</f>
        <v>79.145161290322591</v>
      </c>
      <c r="E97" s="37">
        <f>IF(COUNT(E66:E96)&gt;0,AVERAGE(E66:E96)/10,"")</f>
        <v>81.935483870967744</v>
      </c>
      <c r="F97" s="22">
        <f>SUM(F66:F96)/10</f>
        <v>2.9</v>
      </c>
      <c r="G97" s="23">
        <f>SUM(G66:G96)/10</f>
        <v>23.7</v>
      </c>
    </row>
    <row r="98" spans="1:7" x14ac:dyDescent="0.25">
      <c r="A98" s="1">
        <f t="shared" ca="1" si="1"/>
        <v>12510</v>
      </c>
      <c r="B98" s="32">
        <v>30011</v>
      </c>
      <c r="C98" s="33">
        <v>29895</v>
      </c>
      <c r="D98" s="2">
        <v>795</v>
      </c>
      <c r="E98" s="3">
        <v>820</v>
      </c>
      <c r="F98" s="4">
        <v>0</v>
      </c>
      <c r="G98" s="5">
        <v>34</v>
      </c>
    </row>
    <row r="99" spans="1:7" x14ac:dyDescent="0.25">
      <c r="A99" s="1">
        <f t="shared" ca="1" si="1"/>
        <v>12511</v>
      </c>
      <c r="B99" s="32">
        <v>29983</v>
      </c>
      <c r="C99" s="33">
        <v>29873</v>
      </c>
      <c r="D99" s="2">
        <v>790</v>
      </c>
      <c r="E99" s="3">
        <v>830</v>
      </c>
      <c r="F99" s="4">
        <v>0</v>
      </c>
      <c r="G99" s="5">
        <v>0</v>
      </c>
    </row>
    <row r="100" spans="1:7" x14ac:dyDescent="0.25">
      <c r="A100" s="1">
        <f t="shared" ca="1" si="1"/>
        <v>12512</v>
      </c>
      <c r="B100" s="32">
        <v>29990</v>
      </c>
      <c r="C100" s="33">
        <v>29894</v>
      </c>
      <c r="D100" s="2">
        <v>800</v>
      </c>
      <c r="E100" s="3">
        <v>825</v>
      </c>
      <c r="F100" s="4">
        <v>0</v>
      </c>
      <c r="G100" s="5">
        <v>0</v>
      </c>
    </row>
    <row r="101" spans="1:7" x14ac:dyDescent="0.25">
      <c r="A101" s="1">
        <f t="shared" ca="1" si="1"/>
        <v>12513</v>
      </c>
      <c r="B101" s="32">
        <v>29962</v>
      </c>
      <c r="C101" s="33">
        <v>29865</v>
      </c>
      <c r="D101" s="2">
        <v>795</v>
      </c>
      <c r="E101" s="3">
        <v>820</v>
      </c>
      <c r="F101" s="4">
        <v>0</v>
      </c>
      <c r="G101" s="5">
        <v>0</v>
      </c>
    </row>
    <row r="102" spans="1:7" x14ac:dyDescent="0.25">
      <c r="A102" s="1">
        <f t="shared" ca="1" si="1"/>
        <v>12514</v>
      </c>
      <c r="B102" s="32">
        <v>29952</v>
      </c>
      <c r="C102" s="33">
        <v>29873</v>
      </c>
      <c r="D102" s="2">
        <v>795</v>
      </c>
      <c r="E102" s="3">
        <v>830</v>
      </c>
      <c r="F102" s="4">
        <v>0</v>
      </c>
      <c r="G102" s="5">
        <v>0</v>
      </c>
    </row>
    <row r="103" spans="1:7" x14ac:dyDescent="0.25">
      <c r="A103" s="1">
        <f t="shared" ca="1" si="1"/>
        <v>12515</v>
      </c>
      <c r="B103" s="32">
        <v>30018</v>
      </c>
      <c r="C103" s="33">
        <v>29893</v>
      </c>
      <c r="D103" s="2">
        <v>805</v>
      </c>
      <c r="E103" s="3">
        <v>830</v>
      </c>
      <c r="F103" s="4">
        <v>0</v>
      </c>
      <c r="G103" s="5">
        <v>0</v>
      </c>
    </row>
    <row r="104" spans="1:7" x14ac:dyDescent="0.25">
      <c r="A104" s="1">
        <f t="shared" ca="1" si="1"/>
        <v>12516</v>
      </c>
      <c r="B104" s="32">
        <v>29980</v>
      </c>
      <c r="C104" s="33">
        <v>29905</v>
      </c>
      <c r="D104" s="2">
        <v>805</v>
      </c>
      <c r="E104" s="3">
        <v>820</v>
      </c>
      <c r="F104" s="4">
        <v>0</v>
      </c>
      <c r="G104" s="5">
        <v>0</v>
      </c>
    </row>
    <row r="105" spans="1:7" x14ac:dyDescent="0.25">
      <c r="A105" s="1">
        <f t="shared" ca="1" si="1"/>
        <v>12517</v>
      </c>
      <c r="B105" s="32">
        <v>29998</v>
      </c>
      <c r="C105" s="33">
        <v>29885</v>
      </c>
      <c r="D105" s="2">
        <v>800</v>
      </c>
      <c r="E105" s="3">
        <v>820</v>
      </c>
      <c r="F105" s="4">
        <v>0</v>
      </c>
      <c r="G105" s="5">
        <v>0</v>
      </c>
    </row>
    <row r="106" spans="1:7" x14ac:dyDescent="0.25">
      <c r="A106" s="1">
        <f t="shared" ca="1" si="1"/>
        <v>12518</v>
      </c>
      <c r="B106" s="32">
        <v>29998</v>
      </c>
      <c r="C106" s="33">
        <v>29904</v>
      </c>
      <c r="D106" s="2">
        <v>805</v>
      </c>
      <c r="E106" s="3">
        <v>825</v>
      </c>
      <c r="F106" s="4">
        <v>0</v>
      </c>
      <c r="G106" s="5">
        <v>0</v>
      </c>
    </row>
    <row r="107" spans="1:7" x14ac:dyDescent="0.25">
      <c r="A107" s="1">
        <f t="shared" ca="1" si="1"/>
        <v>12519</v>
      </c>
      <c r="B107" s="32">
        <v>29990</v>
      </c>
      <c r="C107" s="33">
        <v>29873</v>
      </c>
      <c r="D107" s="2">
        <v>800</v>
      </c>
      <c r="E107" s="3">
        <v>830</v>
      </c>
      <c r="F107" s="4">
        <v>0</v>
      </c>
      <c r="G107" s="5">
        <v>0</v>
      </c>
    </row>
    <row r="108" spans="1:7" x14ac:dyDescent="0.25">
      <c r="A108" s="1">
        <f t="shared" ca="1" si="1"/>
        <v>12520</v>
      </c>
      <c r="B108" s="32">
        <v>29968</v>
      </c>
      <c r="C108" s="33">
        <v>29863</v>
      </c>
      <c r="D108" s="2">
        <v>805</v>
      </c>
      <c r="E108" s="3">
        <v>830</v>
      </c>
      <c r="F108" s="4">
        <v>0</v>
      </c>
      <c r="G108" s="5">
        <v>0</v>
      </c>
    </row>
    <row r="109" spans="1:7" x14ac:dyDescent="0.25">
      <c r="A109" s="1">
        <f t="shared" ca="1" si="1"/>
        <v>12521</v>
      </c>
      <c r="B109" s="32">
        <v>29961</v>
      </c>
      <c r="C109" s="33">
        <v>29831</v>
      </c>
      <c r="D109" s="2">
        <v>800</v>
      </c>
      <c r="E109" s="3">
        <v>835</v>
      </c>
      <c r="F109" s="4">
        <v>0</v>
      </c>
      <c r="G109" s="5">
        <v>0</v>
      </c>
    </row>
    <row r="110" spans="1:7" x14ac:dyDescent="0.25">
      <c r="A110" s="1">
        <f t="shared" ca="1" si="1"/>
        <v>12522</v>
      </c>
      <c r="B110" s="32">
        <v>29948</v>
      </c>
      <c r="C110" s="33">
        <v>29839</v>
      </c>
      <c r="D110" s="2">
        <v>810</v>
      </c>
      <c r="E110" s="3">
        <v>845</v>
      </c>
      <c r="F110" s="4">
        <v>0</v>
      </c>
      <c r="G110" s="5">
        <v>0</v>
      </c>
    </row>
    <row r="111" spans="1:7" x14ac:dyDescent="0.25">
      <c r="A111" s="1">
        <f t="shared" ca="1" si="1"/>
        <v>12523</v>
      </c>
      <c r="B111" s="32">
        <v>29967</v>
      </c>
      <c r="C111" s="33">
        <v>29881</v>
      </c>
      <c r="D111" s="2">
        <v>810</v>
      </c>
      <c r="E111" s="3">
        <v>835</v>
      </c>
      <c r="F111" s="4">
        <v>0</v>
      </c>
      <c r="G111" s="5">
        <v>0</v>
      </c>
    </row>
    <row r="112" spans="1:7" x14ac:dyDescent="0.25">
      <c r="A112" s="1">
        <f t="shared" ca="1" si="1"/>
        <v>12524</v>
      </c>
      <c r="B112" s="32">
        <v>29990</v>
      </c>
      <c r="C112" s="33">
        <v>29863</v>
      </c>
      <c r="D112" s="2">
        <v>800</v>
      </c>
      <c r="E112" s="3">
        <v>830</v>
      </c>
      <c r="F112" s="4">
        <v>0</v>
      </c>
      <c r="G112" s="5">
        <v>0</v>
      </c>
    </row>
    <row r="113" spans="1:7" x14ac:dyDescent="0.25">
      <c r="A113" s="1">
        <f t="shared" ca="1" si="1"/>
        <v>12525</v>
      </c>
      <c r="B113" s="32">
        <v>30020</v>
      </c>
      <c r="C113" s="33">
        <v>29924</v>
      </c>
      <c r="D113" s="2">
        <v>800</v>
      </c>
      <c r="E113" s="3">
        <v>825</v>
      </c>
      <c r="F113" s="4">
        <v>0</v>
      </c>
      <c r="G113" s="5">
        <v>0</v>
      </c>
    </row>
    <row r="114" spans="1:7" x14ac:dyDescent="0.25">
      <c r="A114" s="1">
        <f t="shared" ca="1" si="1"/>
        <v>12526</v>
      </c>
      <c r="B114" s="32">
        <v>30048</v>
      </c>
      <c r="C114" s="33">
        <v>29972</v>
      </c>
      <c r="D114" s="2">
        <v>805</v>
      </c>
      <c r="E114" s="3">
        <v>830</v>
      </c>
      <c r="F114" s="4">
        <v>0</v>
      </c>
      <c r="G114" s="5">
        <v>0</v>
      </c>
    </row>
    <row r="115" spans="1:7" x14ac:dyDescent="0.25">
      <c r="A115" s="1">
        <f t="shared" ca="1" si="1"/>
        <v>12527</v>
      </c>
      <c r="B115" s="32">
        <v>30048</v>
      </c>
      <c r="C115" s="33">
        <v>29953</v>
      </c>
      <c r="D115" s="2">
        <v>805</v>
      </c>
      <c r="E115" s="3">
        <v>830</v>
      </c>
      <c r="F115" s="4">
        <v>0</v>
      </c>
      <c r="G115" s="5">
        <v>0</v>
      </c>
    </row>
    <row r="116" spans="1:7" x14ac:dyDescent="0.25">
      <c r="A116" s="1">
        <f t="shared" ca="1" si="1"/>
        <v>12528</v>
      </c>
      <c r="B116" s="32">
        <v>30038</v>
      </c>
      <c r="C116" s="33">
        <v>29944</v>
      </c>
      <c r="D116" s="2">
        <v>805</v>
      </c>
      <c r="E116" s="3">
        <v>825</v>
      </c>
      <c r="F116" s="4">
        <v>0</v>
      </c>
      <c r="G116" s="5">
        <v>0</v>
      </c>
    </row>
    <row r="117" spans="1:7" x14ac:dyDescent="0.25">
      <c r="A117" s="1">
        <f t="shared" ca="1" si="1"/>
        <v>12529</v>
      </c>
      <c r="B117" s="32">
        <v>30017</v>
      </c>
      <c r="C117" s="33">
        <v>29923</v>
      </c>
      <c r="D117" s="2">
        <v>810</v>
      </c>
      <c r="E117" s="3">
        <v>830</v>
      </c>
      <c r="F117" s="4">
        <v>0</v>
      </c>
      <c r="G117" s="5">
        <v>0</v>
      </c>
    </row>
    <row r="118" spans="1:7" x14ac:dyDescent="0.25">
      <c r="A118" s="1">
        <f t="shared" ca="1" si="1"/>
        <v>12530</v>
      </c>
      <c r="B118" s="32">
        <v>30028</v>
      </c>
      <c r="C118" s="33">
        <v>29913</v>
      </c>
      <c r="D118" s="2">
        <v>805</v>
      </c>
      <c r="E118" s="3">
        <v>830</v>
      </c>
      <c r="F118" s="4">
        <v>0</v>
      </c>
      <c r="G118" s="5">
        <v>0</v>
      </c>
    </row>
    <row r="119" spans="1:7" x14ac:dyDescent="0.25">
      <c r="A119" s="1">
        <f t="shared" ca="1" si="1"/>
        <v>12531</v>
      </c>
      <c r="B119" s="32">
        <v>30020</v>
      </c>
      <c r="C119" s="33">
        <v>29923</v>
      </c>
      <c r="D119" s="2">
        <v>800</v>
      </c>
      <c r="E119" s="3">
        <v>830</v>
      </c>
      <c r="F119" s="4">
        <v>0</v>
      </c>
      <c r="G119" s="5">
        <v>0</v>
      </c>
    </row>
    <row r="120" spans="1:7" x14ac:dyDescent="0.25">
      <c r="A120" s="1">
        <f t="shared" ca="1" si="1"/>
        <v>12532</v>
      </c>
      <c r="B120" s="32">
        <v>30007</v>
      </c>
      <c r="C120" s="33">
        <v>29924</v>
      </c>
      <c r="D120" s="2">
        <v>810</v>
      </c>
      <c r="E120" s="3">
        <v>825</v>
      </c>
      <c r="F120" s="4">
        <v>0</v>
      </c>
      <c r="G120" s="5">
        <v>0</v>
      </c>
    </row>
    <row r="121" spans="1:7" x14ac:dyDescent="0.25">
      <c r="A121" s="1">
        <f t="shared" ca="1" si="1"/>
        <v>12533</v>
      </c>
      <c r="B121" s="32">
        <v>29988</v>
      </c>
      <c r="C121" s="33">
        <v>29894</v>
      </c>
      <c r="D121" s="2">
        <v>805</v>
      </c>
      <c r="E121" s="3">
        <v>825</v>
      </c>
      <c r="F121" s="4">
        <v>0</v>
      </c>
      <c r="G121" s="5">
        <v>0</v>
      </c>
    </row>
    <row r="122" spans="1:7" x14ac:dyDescent="0.25">
      <c r="A122" s="1">
        <f t="shared" ca="1" si="1"/>
        <v>12534</v>
      </c>
      <c r="B122" s="32">
        <v>29988</v>
      </c>
      <c r="C122" s="33">
        <v>29903</v>
      </c>
      <c r="D122" s="2">
        <v>805</v>
      </c>
      <c r="E122" s="3">
        <v>830</v>
      </c>
      <c r="F122" s="4">
        <v>0</v>
      </c>
      <c r="G122" s="5">
        <v>0</v>
      </c>
    </row>
    <row r="123" spans="1:7" x14ac:dyDescent="0.25">
      <c r="A123" s="1">
        <f t="shared" ca="1" si="1"/>
        <v>12535</v>
      </c>
      <c r="B123" s="32">
        <v>29998</v>
      </c>
      <c r="C123" s="33">
        <v>29903</v>
      </c>
      <c r="D123" s="2">
        <v>805</v>
      </c>
      <c r="E123" s="3">
        <v>830</v>
      </c>
      <c r="F123" s="4">
        <v>0</v>
      </c>
      <c r="G123" s="5">
        <v>0</v>
      </c>
    </row>
    <row r="124" spans="1:7" x14ac:dyDescent="0.25">
      <c r="A124" s="1">
        <f t="shared" ca="1" si="1"/>
        <v>12536</v>
      </c>
      <c r="B124" s="32">
        <v>30007</v>
      </c>
      <c r="C124" s="33">
        <v>29911</v>
      </c>
      <c r="D124" s="2">
        <v>810</v>
      </c>
      <c r="E124" s="3">
        <v>835</v>
      </c>
      <c r="F124" s="4">
        <v>0</v>
      </c>
      <c r="G124" s="5">
        <v>0</v>
      </c>
    </row>
    <row r="125" spans="1:7" x14ac:dyDescent="0.25">
      <c r="A125" s="1">
        <f t="shared" ca="1" si="1"/>
        <v>12537</v>
      </c>
      <c r="B125" s="32">
        <v>29998</v>
      </c>
      <c r="C125" s="33">
        <v>29923</v>
      </c>
      <c r="D125" s="2">
        <v>805</v>
      </c>
      <c r="E125" s="3">
        <v>830</v>
      </c>
      <c r="F125" s="4">
        <v>0</v>
      </c>
      <c r="G125" s="5">
        <v>0</v>
      </c>
    </row>
    <row r="126" spans="1:7" x14ac:dyDescent="0.25">
      <c r="A126" s="1">
        <f t="shared" ca="1" si="1"/>
        <v>12538</v>
      </c>
      <c r="B126" s="32">
        <v>30008</v>
      </c>
      <c r="C126" s="33">
        <v>29894</v>
      </c>
      <c r="D126" s="2">
        <v>805</v>
      </c>
      <c r="E126" s="3">
        <v>825</v>
      </c>
      <c r="F126" s="4">
        <v>0</v>
      </c>
      <c r="G126" s="5">
        <v>0</v>
      </c>
    </row>
    <row r="127" spans="1:7" x14ac:dyDescent="0.25">
      <c r="A127" s="1">
        <f t="shared" ca="1" si="1"/>
        <v>12539</v>
      </c>
      <c r="B127" s="32">
        <v>29997</v>
      </c>
      <c r="C127" s="33">
        <v>29913</v>
      </c>
      <c r="D127" s="2">
        <v>810</v>
      </c>
      <c r="E127" s="3">
        <v>830</v>
      </c>
      <c r="F127" s="4">
        <v>0</v>
      </c>
      <c r="G127" s="5">
        <v>0</v>
      </c>
    </row>
    <row r="128" spans="1:7" x14ac:dyDescent="0.25">
      <c r="A128" s="1" t="str">
        <f t="shared" ca="1" si="1"/>
        <v>Totaal</v>
      </c>
      <c r="B128" s="34">
        <f>IF(COUNT(B98:B127)&gt;0,AVERAGE(B98:B127)/1000,"")</f>
        <v>29.997533333333333</v>
      </c>
      <c r="C128" s="35">
        <f>IF(COUNT(C98:C127)&gt;0,AVERAGE(C98:C127)/1000,"")</f>
        <v>29.898466666666668</v>
      </c>
      <c r="D128" s="36">
        <f>IF(COUNT(D98:D127)&gt;0,AVERAGE(D98:D127)/10,"")</f>
        <v>80.333333333333343</v>
      </c>
      <c r="E128" s="37">
        <f>IF(COUNT(E98:E127)&gt;0,AVERAGE(E98:E127)/10,"")</f>
        <v>82.85</v>
      </c>
      <c r="F128" s="22">
        <f>SUM(F98:F127)/10</f>
        <v>0</v>
      </c>
      <c r="G128" s="23">
        <f>SUM(G98:G127)/10</f>
        <v>3.4</v>
      </c>
    </row>
    <row r="129" spans="1:7" x14ac:dyDescent="0.25">
      <c r="A129" s="1">
        <f t="shared" ca="1" si="1"/>
        <v>12540</v>
      </c>
      <c r="B129" s="32">
        <v>29988</v>
      </c>
      <c r="C129" s="33">
        <v>29893</v>
      </c>
      <c r="D129" s="2">
        <v>805</v>
      </c>
      <c r="E129" s="3">
        <v>830</v>
      </c>
      <c r="F129" s="4">
        <v>0</v>
      </c>
      <c r="G129" s="5">
        <v>0</v>
      </c>
    </row>
    <row r="130" spans="1:7" x14ac:dyDescent="0.25">
      <c r="A130" s="1">
        <f t="shared" ca="1" si="1"/>
        <v>12541</v>
      </c>
      <c r="B130" s="32">
        <v>29959</v>
      </c>
      <c r="C130" s="33">
        <v>29901</v>
      </c>
      <c r="D130" s="2">
        <v>805</v>
      </c>
      <c r="E130" s="3">
        <v>835</v>
      </c>
      <c r="F130" s="4">
        <v>0</v>
      </c>
      <c r="G130" s="5">
        <v>0</v>
      </c>
    </row>
    <row r="131" spans="1:7" x14ac:dyDescent="0.25">
      <c r="A131" s="1">
        <f t="shared" ca="1" si="1"/>
        <v>12542</v>
      </c>
      <c r="B131" s="32">
        <v>30007</v>
      </c>
      <c r="C131" s="33">
        <v>29921</v>
      </c>
      <c r="D131" s="2">
        <v>810</v>
      </c>
      <c r="E131" s="3">
        <v>835</v>
      </c>
      <c r="F131" s="4">
        <v>0</v>
      </c>
      <c r="G131" s="5">
        <v>0</v>
      </c>
    </row>
    <row r="132" spans="1:7" x14ac:dyDescent="0.25">
      <c r="A132" s="1">
        <f t="shared" ca="1" si="1"/>
        <v>12543</v>
      </c>
      <c r="B132" s="32">
        <v>30018</v>
      </c>
      <c r="C132" s="33">
        <v>29890</v>
      </c>
      <c r="D132" s="2">
        <v>805</v>
      </c>
      <c r="E132" s="3">
        <v>840</v>
      </c>
      <c r="F132" s="4">
        <v>0</v>
      </c>
      <c r="G132" s="5">
        <v>0</v>
      </c>
    </row>
    <row r="133" spans="1:7" x14ac:dyDescent="0.25">
      <c r="A133" s="1">
        <f t="shared" ca="1" si="1"/>
        <v>12544</v>
      </c>
      <c r="B133" s="32">
        <v>29988</v>
      </c>
      <c r="C133" s="33">
        <v>29921</v>
      </c>
      <c r="D133" s="2">
        <v>805</v>
      </c>
      <c r="E133" s="3">
        <v>835</v>
      </c>
      <c r="F133" s="4">
        <v>0</v>
      </c>
      <c r="G133" s="5">
        <v>0</v>
      </c>
    </row>
    <row r="134" spans="1:7" x14ac:dyDescent="0.25">
      <c r="A134" s="1">
        <f t="shared" ca="1" si="1"/>
        <v>12545</v>
      </c>
      <c r="B134" s="32">
        <v>29967</v>
      </c>
      <c r="C134" s="33">
        <v>29903</v>
      </c>
      <c r="D134" s="2">
        <v>810</v>
      </c>
      <c r="E134" s="3">
        <v>830</v>
      </c>
      <c r="F134" s="4">
        <v>0</v>
      </c>
      <c r="G134" s="5">
        <v>0</v>
      </c>
    </row>
    <row r="135" spans="1:7" x14ac:dyDescent="0.25">
      <c r="A135" s="1">
        <f t="shared" ref="A135:A198" ca="1" si="2">IF(ISTEXT(A134),A133+1,IF(MONTH(A134+1)=MONTH(A134),A134+1,"Totaal"))</f>
        <v>12546</v>
      </c>
      <c r="B135" s="32">
        <v>29948</v>
      </c>
      <c r="C135" s="33">
        <v>29871</v>
      </c>
      <c r="D135" s="2">
        <v>810</v>
      </c>
      <c r="E135" s="3">
        <v>835</v>
      </c>
      <c r="F135" s="4">
        <v>0</v>
      </c>
      <c r="G135" s="5">
        <v>0</v>
      </c>
    </row>
    <row r="136" spans="1:7" x14ac:dyDescent="0.25">
      <c r="A136" s="1">
        <f t="shared" ca="1" si="2"/>
        <v>12547</v>
      </c>
      <c r="B136" s="32">
        <v>29997</v>
      </c>
      <c r="C136" s="33">
        <v>29907</v>
      </c>
      <c r="D136" s="2">
        <v>810</v>
      </c>
      <c r="E136" s="3">
        <v>850</v>
      </c>
      <c r="F136" s="4">
        <v>0</v>
      </c>
      <c r="G136" s="5">
        <v>0</v>
      </c>
    </row>
    <row r="137" spans="1:7" x14ac:dyDescent="0.25">
      <c r="A137" s="1">
        <f t="shared" ca="1" si="2"/>
        <v>12548</v>
      </c>
      <c r="B137" s="32">
        <v>29997</v>
      </c>
      <c r="C137" s="33">
        <v>29900</v>
      </c>
      <c r="D137" s="2">
        <v>810</v>
      </c>
      <c r="E137" s="3">
        <v>840</v>
      </c>
      <c r="F137" s="4">
        <v>0</v>
      </c>
      <c r="G137" s="5">
        <v>0</v>
      </c>
    </row>
    <row r="138" spans="1:7" x14ac:dyDescent="0.25">
      <c r="A138" s="1">
        <f t="shared" ca="1" si="2"/>
        <v>12549</v>
      </c>
      <c r="B138" s="32">
        <v>29959</v>
      </c>
      <c r="C138" s="33">
        <v>29871</v>
      </c>
      <c r="D138" s="2">
        <v>805</v>
      </c>
      <c r="E138" s="3">
        <v>835</v>
      </c>
      <c r="F138" s="4">
        <v>0</v>
      </c>
      <c r="G138" s="5">
        <v>0</v>
      </c>
    </row>
    <row r="139" spans="1:7" x14ac:dyDescent="0.25">
      <c r="A139" s="1">
        <f t="shared" ca="1" si="2"/>
        <v>12550</v>
      </c>
      <c r="B139" s="32">
        <v>29949</v>
      </c>
      <c r="C139" s="33">
        <v>29901</v>
      </c>
      <c r="D139" s="2">
        <v>810</v>
      </c>
      <c r="E139" s="3">
        <v>835</v>
      </c>
      <c r="F139" s="4">
        <v>0</v>
      </c>
      <c r="G139" s="5">
        <v>0</v>
      </c>
    </row>
    <row r="140" spans="1:7" x14ac:dyDescent="0.25">
      <c r="A140" s="1">
        <f t="shared" ca="1" si="2"/>
        <v>12551</v>
      </c>
      <c r="B140" s="32">
        <v>29959</v>
      </c>
      <c r="C140" s="33">
        <v>29871</v>
      </c>
      <c r="D140" s="2">
        <v>805</v>
      </c>
      <c r="E140" s="3">
        <v>835</v>
      </c>
      <c r="F140" s="4">
        <v>0</v>
      </c>
      <c r="G140" s="5">
        <v>0</v>
      </c>
    </row>
    <row r="141" spans="1:7" x14ac:dyDescent="0.25">
      <c r="A141" s="1">
        <f t="shared" ca="1" si="2"/>
        <v>12552</v>
      </c>
      <c r="B141" s="32">
        <v>29978</v>
      </c>
      <c r="C141" s="33">
        <v>29873</v>
      </c>
      <c r="D141" s="2">
        <v>805</v>
      </c>
      <c r="E141" s="3">
        <v>830</v>
      </c>
      <c r="F141" s="4">
        <v>0</v>
      </c>
      <c r="G141" s="5">
        <v>0</v>
      </c>
    </row>
    <row r="142" spans="1:7" x14ac:dyDescent="0.25">
      <c r="A142" s="1">
        <f t="shared" ca="1" si="2"/>
        <v>12553</v>
      </c>
      <c r="B142" s="32">
        <v>30006</v>
      </c>
      <c r="C142" s="33">
        <v>29951</v>
      </c>
      <c r="D142" s="2">
        <v>815</v>
      </c>
      <c r="E142" s="3">
        <v>835</v>
      </c>
      <c r="F142" s="4">
        <v>0</v>
      </c>
      <c r="G142" s="5">
        <v>0</v>
      </c>
    </row>
    <row r="143" spans="1:7" x14ac:dyDescent="0.25">
      <c r="A143" s="1">
        <f t="shared" ca="1" si="2"/>
        <v>12554</v>
      </c>
      <c r="B143" s="32">
        <v>29986</v>
      </c>
      <c r="C143" s="33">
        <v>29921</v>
      </c>
      <c r="D143" s="2">
        <v>815</v>
      </c>
      <c r="E143" s="3">
        <v>835</v>
      </c>
      <c r="F143" s="4">
        <v>0</v>
      </c>
      <c r="G143" s="5">
        <v>0</v>
      </c>
    </row>
    <row r="144" spans="1:7" x14ac:dyDescent="0.25">
      <c r="A144" s="1">
        <f t="shared" ca="1" si="2"/>
        <v>12555</v>
      </c>
      <c r="B144" s="32">
        <v>29994</v>
      </c>
      <c r="C144" s="33">
        <v>29940</v>
      </c>
      <c r="D144" s="2">
        <v>820</v>
      </c>
      <c r="E144" s="3">
        <v>840</v>
      </c>
      <c r="F144" s="4">
        <v>0</v>
      </c>
      <c r="G144" s="5">
        <v>0</v>
      </c>
    </row>
    <row r="145" spans="1:7" x14ac:dyDescent="0.25">
      <c r="A145" s="1">
        <f t="shared" ca="1" si="2"/>
        <v>12556</v>
      </c>
      <c r="B145" s="32">
        <v>29996</v>
      </c>
      <c r="C145" s="33">
        <v>29919</v>
      </c>
      <c r="D145" s="2">
        <v>815</v>
      </c>
      <c r="E145" s="3">
        <v>845</v>
      </c>
      <c r="F145" s="4">
        <v>0</v>
      </c>
      <c r="G145" s="5">
        <v>0</v>
      </c>
    </row>
    <row r="146" spans="1:7" x14ac:dyDescent="0.25">
      <c r="A146" s="1">
        <f t="shared" ca="1" si="2"/>
        <v>12557</v>
      </c>
      <c r="B146" s="32">
        <v>29994</v>
      </c>
      <c r="C146" s="33">
        <v>29919</v>
      </c>
      <c r="D146" s="2">
        <v>820</v>
      </c>
      <c r="E146" s="3">
        <v>845</v>
      </c>
      <c r="F146" s="4">
        <v>0</v>
      </c>
      <c r="G146" s="5">
        <v>0</v>
      </c>
    </row>
    <row r="147" spans="1:7" x14ac:dyDescent="0.25">
      <c r="A147" s="1">
        <f t="shared" ca="1" si="2"/>
        <v>12558</v>
      </c>
      <c r="B147" s="32">
        <v>29964</v>
      </c>
      <c r="C147" s="33">
        <v>29909</v>
      </c>
      <c r="D147" s="2">
        <v>820</v>
      </c>
      <c r="E147" s="3">
        <v>845</v>
      </c>
      <c r="F147" s="4">
        <v>0</v>
      </c>
      <c r="G147" s="5">
        <v>0</v>
      </c>
    </row>
    <row r="148" spans="1:7" x14ac:dyDescent="0.25">
      <c r="A148" s="1">
        <f t="shared" ca="1" si="2"/>
        <v>12559</v>
      </c>
      <c r="B148" s="32">
        <v>29986</v>
      </c>
      <c r="C148" s="33">
        <v>29920</v>
      </c>
      <c r="D148" s="2">
        <v>815</v>
      </c>
      <c r="E148" s="3">
        <v>840</v>
      </c>
      <c r="F148" s="4">
        <v>0</v>
      </c>
      <c r="G148" s="5">
        <v>0</v>
      </c>
    </row>
    <row r="149" spans="1:7" x14ac:dyDescent="0.25">
      <c r="A149" s="1">
        <f t="shared" ca="1" si="2"/>
        <v>12560</v>
      </c>
      <c r="B149" s="32">
        <v>29977</v>
      </c>
      <c r="C149" s="33">
        <v>29934</v>
      </c>
      <c r="D149" s="2">
        <v>810</v>
      </c>
      <c r="E149" s="3">
        <v>845</v>
      </c>
      <c r="F149" s="4">
        <v>0</v>
      </c>
      <c r="G149" s="5">
        <v>0</v>
      </c>
    </row>
    <row r="150" spans="1:7" x14ac:dyDescent="0.25">
      <c r="A150" s="1">
        <f t="shared" ca="1" si="2"/>
        <v>12561</v>
      </c>
      <c r="B150" s="32">
        <v>29993</v>
      </c>
      <c r="C150" s="33">
        <v>29916</v>
      </c>
      <c r="D150" s="2">
        <v>825</v>
      </c>
      <c r="E150" s="3">
        <v>850</v>
      </c>
      <c r="F150" s="4">
        <v>0</v>
      </c>
      <c r="G150" s="5">
        <v>0</v>
      </c>
    </row>
    <row r="151" spans="1:7" x14ac:dyDescent="0.25">
      <c r="A151" s="1">
        <f t="shared" ca="1" si="2"/>
        <v>12562</v>
      </c>
      <c r="B151" s="32">
        <v>29966</v>
      </c>
      <c r="C151" s="33">
        <v>29880</v>
      </c>
      <c r="D151" s="2">
        <v>815</v>
      </c>
      <c r="E151" s="3">
        <v>840</v>
      </c>
      <c r="F151" s="4">
        <v>18</v>
      </c>
      <c r="G151" s="5">
        <v>0</v>
      </c>
    </row>
    <row r="152" spans="1:7" x14ac:dyDescent="0.25">
      <c r="A152" s="1">
        <f t="shared" ca="1" si="2"/>
        <v>12563</v>
      </c>
      <c r="B152" s="32">
        <v>29937</v>
      </c>
      <c r="C152" s="33">
        <v>29839</v>
      </c>
      <c r="D152" s="2">
        <v>815</v>
      </c>
      <c r="E152" s="3">
        <v>845</v>
      </c>
      <c r="F152" s="4">
        <v>0</v>
      </c>
      <c r="G152" s="5">
        <v>0</v>
      </c>
    </row>
    <row r="153" spans="1:7" x14ac:dyDescent="0.25">
      <c r="A153" s="1">
        <f t="shared" ca="1" si="2"/>
        <v>12564</v>
      </c>
      <c r="B153" s="32">
        <v>29895</v>
      </c>
      <c r="C153" s="33">
        <v>29799</v>
      </c>
      <c r="D153" s="2">
        <v>820</v>
      </c>
      <c r="E153" s="3">
        <v>845</v>
      </c>
      <c r="F153" s="4">
        <v>0</v>
      </c>
      <c r="G153" s="5">
        <v>0</v>
      </c>
    </row>
    <row r="154" spans="1:7" x14ac:dyDescent="0.25">
      <c r="A154" s="1">
        <f t="shared" ca="1" si="2"/>
        <v>12565</v>
      </c>
      <c r="B154" s="32">
        <v>29883</v>
      </c>
      <c r="C154" s="33">
        <v>29816</v>
      </c>
      <c r="D154" s="2">
        <v>830</v>
      </c>
      <c r="E154" s="3">
        <v>855</v>
      </c>
      <c r="F154" s="4">
        <v>0</v>
      </c>
      <c r="G154" s="5">
        <v>0</v>
      </c>
    </row>
    <row r="155" spans="1:7" x14ac:dyDescent="0.25">
      <c r="A155" s="1">
        <f t="shared" ca="1" si="2"/>
        <v>12566</v>
      </c>
      <c r="B155" s="32">
        <v>29925</v>
      </c>
      <c r="C155" s="33">
        <v>29837</v>
      </c>
      <c r="D155" s="2">
        <v>820</v>
      </c>
      <c r="E155" s="3">
        <v>850</v>
      </c>
      <c r="F155" s="4">
        <v>0</v>
      </c>
      <c r="G155" s="5">
        <v>0</v>
      </c>
    </row>
    <row r="156" spans="1:7" x14ac:dyDescent="0.25">
      <c r="A156" s="1">
        <f t="shared" ca="1" si="2"/>
        <v>12567</v>
      </c>
      <c r="B156" s="32">
        <v>29944</v>
      </c>
      <c r="C156" s="33">
        <v>29862</v>
      </c>
      <c r="D156" s="2">
        <v>825</v>
      </c>
      <c r="E156" s="3">
        <v>870</v>
      </c>
      <c r="F156" s="4">
        <v>0</v>
      </c>
      <c r="G156" s="5">
        <v>0</v>
      </c>
    </row>
    <row r="157" spans="1:7" x14ac:dyDescent="0.25">
      <c r="A157" s="1">
        <f t="shared" ca="1" si="2"/>
        <v>12568</v>
      </c>
      <c r="B157" s="32">
        <v>29954</v>
      </c>
      <c r="C157" s="33">
        <v>29872</v>
      </c>
      <c r="D157" s="2">
        <v>825</v>
      </c>
      <c r="E157" s="3">
        <v>870</v>
      </c>
      <c r="F157" s="4">
        <v>0</v>
      </c>
      <c r="G157" s="5">
        <v>0</v>
      </c>
    </row>
    <row r="158" spans="1:7" x14ac:dyDescent="0.25">
      <c r="A158" s="1">
        <f t="shared" ca="1" si="2"/>
        <v>12569</v>
      </c>
      <c r="B158" s="32">
        <v>29964</v>
      </c>
      <c r="C158" s="33">
        <v>29897</v>
      </c>
      <c r="D158" s="2">
        <v>820</v>
      </c>
      <c r="E158" s="3">
        <v>850</v>
      </c>
      <c r="F158" s="4">
        <v>0</v>
      </c>
      <c r="G158" s="5">
        <v>0</v>
      </c>
    </row>
    <row r="159" spans="1:7" x14ac:dyDescent="0.25">
      <c r="A159" s="1">
        <f t="shared" ca="1" si="2"/>
        <v>12570</v>
      </c>
      <c r="B159" s="32">
        <v>29964</v>
      </c>
      <c r="C159" s="33">
        <v>29907</v>
      </c>
      <c r="D159" s="2">
        <v>820</v>
      </c>
      <c r="E159" s="3">
        <v>850</v>
      </c>
      <c r="F159" s="4">
        <v>0</v>
      </c>
      <c r="G159" s="5">
        <v>0</v>
      </c>
    </row>
    <row r="160" spans="1:7" x14ac:dyDescent="0.25">
      <c r="A160" s="1" t="str">
        <f t="shared" ca="1" si="2"/>
        <v>Totaal</v>
      </c>
      <c r="B160" s="34">
        <f>IF(COUNT(B129:B159)&gt;0,AVERAGE(B129:B159)/1000,"")</f>
        <v>29.969096774193549</v>
      </c>
      <c r="C160" s="35">
        <f>IF(COUNT(C129:C159)&gt;0,AVERAGE(C129:C159)/1000,"")</f>
        <v>29.892290322580642</v>
      </c>
      <c r="D160" s="36">
        <f>IF(COUNT(D129:D159)&gt;0,AVERAGE(D129:D159)/10,"")</f>
        <v>81.41935483870968</v>
      </c>
      <c r="E160" s="37">
        <f>IF(COUNT(E129:E159)&gt;0,AVERAGE(E129:E159)/10,"")</f>
        <v>84.258064516129039</v>
      </c>
      <c r="F160" s="22">
        <f>SUM(F129:F159)/10</f>
        <v>1.8</v>
      </c>
      <c r="G160" s="23">
        <f>SUM(G129:G159)/10</f>
        <v>0</v>
      </c>
    </row>
    <row r="161" spans="1:7" x14ac:dyDescent="0.25">
      <c r="A161" s="1">
        <f t="shared" ca="1" si="2"/>
        <v>12571</v>
      </c>
      <c r="B161" s="32">
        <v>29974</v>
      </c>
      <c r="C161" s="33">
        <v>29909</v>
      </c>
      <c r="D161" s="2">
        <v>820</v>
      </c>
      <c r="E161" s="3">
        <v>845</v>
      </c>
      <c r="F161" s="4">
        <v>0</v>
      </c>
      <c r="G161" s="5">
        <v>0</v>
      </c>
    </row>
    <row r="162" spans="1:7" x14ac:dyDescent="0.25">
      <c r="A162" s="1">
        <f t="shared" ca="1" si="2"/>
        <v>12572</v>
      </c>
      <c r="B162" s="32">
        <v>29984</v>
      </c>
      <c r="C162" s="33">
        <v>29916</v>
      </c>
      <c r="D162" s="2">
        <v>820</v>
      </c>
      <c r="E162" s="3">
        <v>850</v>
      </c>
      <c r="F162" s="4">
        <v>0</v>
      </c>
      <c r="G162" s="5">
        <v>0</v>
      </c>
    </row>
    <row r="163" spans="1:7" x14ac:dyDescent="0.25">
      <c r="A163" s="1">
        <f t="shared" ca="1" si="2"/>
        <v>12573</v>
      </c>
      <c r="B163" s="32">
        <v>29974</v>
      </c>
      <c r="C163" s="33">
        <v>29909</v>
      </c>
      <c r="D163" s="2">
        <v>820</v>
      </c>
      <c r="E163" s="3">
        <v>845</v>
      </c>
      <c r="F163" s="4">
        <v>0</v>
      </c>
      <c r="G163" s="5">
        <v>0</v>
      </c>
    </row>
    <row r="164" spans="1:7" x14ac:dyDescent="0.25">
      <c r="A164" s="1">
        <f t="shared" ca="1" si="2"/>
        <v>12574</v>
      </c>
      <c r="B164" s="32">
        <v>29955</v>
      </c>
      <c r="C164" s="33">
        <v>29907</v>
      </c>
      <c r="D164" s="2">
        <v>820</v>
      </c>
      <c r="E164" s="3">
        <v>850</v>
      </c>
      <c r="F164" s="4">
        <v>0</v>
      </c>
      <c r="G164" s="5">
        <v>0</v>
      </c>
    </row>
    <row r="165" spans="1:7" x14ac:dyDescent="0.25">
      <c r="A165" s="1">
        <f t="shared" ca="1" si="2"/>
        <v>12575</v>
      </c>
      <c r="B165" s="32">
        <v>29945</v>
      </c>
      <c r="C165" s="33">
        <v>29886</v>
      </c>
      <c r="D165" s="2">
        <v>820</v>
      </c>
      <c r="E165" s="3">
        <v>855</v>
      </c>
      <c r="F165" s="4">
        <v>0</v>
      </c>
      <c r="G165" s="5">
        <v>0</v>
      </c>
    </row>
    <row r="166" spans="1:7" x14ac:dyDescent="0.25">
      <c r="A166" s="1">
        <f t="shared" ca="1" si="2"/>
        <v>12576</v>
      </c>
      <c r="B166" s="32">
        <v>29945</v>
      </c>
      <c r="C166" s="33">
        <v>29889</v>
      </c>
      <c r="D166" s="2">
        <v>820</v>
      </c>
      <c r="E166" s="3">
        <v>845</v>
      </c>
      <c r="F166" s="4">
        <v>0</v>
      </c>
      <c r="G166" s="5">
        <v>0</v>
      </c>
    </row>
    <row r="167" spans="1:7" x14ac:dyDescent="0.25">
      <c r="A167" s="1">
        <f t="shared" ca="1" si="2"/>
        <v>12577</v>
      </c>
      <c r="B167" s="32">
        <v>29964</v>
      </c>
      <c r="C167" s="33">
        <v>29907</v>
      </c>
      <c r="D167" s="2">
        <v>820</v>
      </c>
      <c r="E167" s="3">
        <v>850</v>
      </c>
      <c r="F167" s="4">
        <v>0</v>
      </c>
      <c r="G167" s="5">
        <v>0</v>
      </c>
    </row>
    <row r="168" spans="1:7" x14ac:dyDescent="0.25">
      <c r="A168" s="1">
        <f t="shared" ca="1" si="2"/>
        <v>12578</v>
      </c>
      <c r="B168" s="32">
        <v>29974</v>
      </c>
      <c r="C168" s="33">
        <v>29896</v>
      </c>
      <c r="D168" s="2">
        <v>820</v>
      </c>
      <c r="E168" s="3">
        <v>855</v>
      </c>
      <c r="F168" s="4">
        <v>0</v>
      </c>
      <c r="G168" s="5">
        <v>0</v>
      </c>
    </row>
    <row r="169" spans="1:7" x14ac:dyDescent="0.25">
      <c r="A169" s="1">
        <f t="shared" ca="1" si="2"/>
        <v>12579</v>
      </c>
      <c r="B169" s="32">
        <v>29945</v>
      </c>
      <c r="C169" s="33">
        <v>29899</v>
      </c>
      <c r="D169" s="2">
        <v>820</v>
      </c>
      <c r="E169" s="3">
        <v>845</v>
      </c>
      <c r="F169" s="4">
        <v>0</v>
      </c>
      <c r="G169" s="5">
        <v>0</v>
      </c>
    </row>
    <row r="170" spans="1:7" x14ac:dyDescent="0.25">
      <c r="A170" s="1">
        <f t="shared" ca="1" si="2"/>
        <v>12580</v>
      </c>
      <c r="B170" s="32">
        <v>29964</v>
      </c>
      <c r="C170" s="33">
        <v>29907</v>
      </c>
      <c r="D170" s="2">
        <v>820</v>
      </c>
      <c r="E170" s="3">
        <v>850</v>
      </c>
      <c r="F170" s="4">
        <v>0</v>
      </c>
      <c r="G170" s="5">
        <v>0</v>
      </c>
    </row>
    <row r="171" spans="1:7" x14ac:dyDescent="0.25">
      <c r="A171" s="1">
        <f t="shared" ca="1" si="2"/>
        <v>12581</v>
      </c>
      <c r="B171" s="32">
        <v>29957</v>
      </c>
      <c r="C171" s="33">
        <v>29903</v>
      </c>
      <c r="D171" s="2">
        <v>815</v>
      </c>
      <c r="E171" s="3">
        <v>830</v>
      </c>
      <c r="F171" s="4">
        <v>0</v>
      </c>
      <c r="G171" s="5">
        <v>0</v>
      </c>
    </row>
    <row r="172" spans="1:7" x14ac:dyDescent="0.25">
      <c r="A172" s="1">
        <f t="shared" ca="1" si="2"/>
        <v>12582</v>
      </c>
      <c r="B172" s="32">
        <v>29994</v>
      </c>
      <c r="C172" s="33">
        <v>29937</v>
      </c>
      <c r="D172" s="2">
        <v>820</v>
      </c>
      <c r="E172" s="3">
        <v>850</v>
      </c>
      <c r="F172" s="4">
        <v>0</v>
      </c>
      <c r="G172" s="5">
        <v>0</v>
      </c>
    </row>
    <row r="173" spans="1:7" x14ac:dyDescent="0.25">
      <c r="A173" s="1">
        <f t="shared" ca="1" si="2"/>
        <v>12583</v>
      </c>
      <c r="B173" s="32">
        <v>30014</v>
      </c>
      <c r="C173" s="33">
        <v>29937</v>
      </c>
      <c r="D173" s="2">
        <v>820</v>
      </c>
      <c r="E173" s="3">
        <v>850</v>
      </c>
      <c r="F173" s="4">
        <v>0</v>
      </c>
      <c r="G173" s="5">
        <v>0</v>
      </c>
    </row>
    <row r="174" spans="1:7" x14ac:dyDescent="0.25">
      <c r="A174" s="1">
        <f t="shared" ca="1" si="2"/>
        <v>12584</v>
      </c>
      <c r="B174" s="32">
        <v>30006</v>
      </c>
      <c r="C174" s="33">
        <v>29922</v>
      </c>
      <c r="D174" s="2">
        <v>815</v>
      </c>
      <c r="E174" s="3">
        <v>870</v>
      </c>
      <c r="F174" s="4">
        <v>0</v>
      </c>
      <c r="G174" s="5">
        <v>0</v>
      </c>
    </row>
    <row r="175" spans="1:7" x14ac:dyDescent="0.25">
      <c r="A175" s="1">
        <f t="shared" ca="1" si="2"/>
        <v>12585</v>
      </c>
      <c r="B175" s="32">
        <v>29983</v>
      </c>
      <c r="C175" s="33">
        <v>29899</v>
      </c>
      <c r="D175" s="2">
        <v>825</v>
      </c>
      <c r="E175" s="3">
        <v>880</v>
      </c>
      <c r="F175" s="4">
        <v>0</v>
      </c>
      <c r="G175" s="5">
        <v>0</v>
      </c>
    </row>
    <row r="176" spans="1:7" x14ac:dyDescent="0.25">
      <c r="A176" s="1">
        <f t="shared" ca="1" si="2"/>
        <v>12586</v>
      </c>
      <c r="B176" s="32">
        <v>29954</v>
      </c>
      <c r="C176" s="33">
        <v>29905</v>
      </c>
      <c r="D176" s="2">
        <v>825</v>
      </c>
      <c r="E176" s="3">
        <v>860</v>
      </c>
      <c r="F176" s="4">
        <v>0</v>
      </c>
      <c r="G176" s="5">
        <v>0</v>
      </c>
    </row>
    <row r="177" spans="1:7" x14ac:dyDescent="0.25">
      <c r="A177" s="1">
        <f t="shared" ca="1" si="2"/>
        <v>12587</v>
      </c>
      <c r="B177" s="32">
        <v>29974</v>
      </c>
      <c r="C177" s="33">
        <v>29937</v>
      </c>
      <c r="D177" s="2">
        <v>820</v>
      </c>
      <c r="E177" s="3">
        <v>850</v>
      </c>
      <c r="F177" s="4">
        <v>0</v>
      </c>
      <c r="G177" s="5">
        <v>0</v>
      </c>
    </row>
    <row r="178" spans="1:7" x14ac:dyDescent="0.25">
      <c r="A178" s="1">
        <f t="shared" ca="1" si="2"/>
        <v>12588</v>
      </c>
      <c r="B178" s="32">
        <v>30004</v>
      </c>
      <c r="C178" s="33">
        <v>29955</v>
      </c>
      <c r="D178" s="2">
        <v>820</v>
      </c>
      <c r="E178" s="3">
        <v>855</v>
      </c>
      <c r="F178" s="4">
        <v>0</v>
      </c>
      <c r="G178" s="5">
        <v>0</v>
      </c>
    </row>
    <row r="179" spans="1:7" x14ac:dyDescent="0.25">
      <c r="A179" s="1">
        <f t="shared" ca="1" si="2"/>
        <v>12589</v>
      </c>
      <c r="B179" s="32">
        <v>29983</v>
      </c>
      <c r="C179" s="33">
        <v>29927</v>
      </c>
      <c r="D179" s="2">
        <v>825</v>
      </c>
      <c r="E179" s="3">
        <v>850</v>
      </c>
      <c r="F179" s="4">
        <v>0</v>
      </c>
      <c r="G179" s="5">
        <v>0</v>
      </c>
    </row>
    <row r="180" spans="1:7" x14ac:dyDescent="0.25">
      <c r="A180" s="1">
        <f t="shared" ca="1" si="2"/>
        <v>12590</v>
      </c>
      <c r="B180" s="32">
        <v>29986</v>
      </c>
      <c r="C180" s="33">
        <v>29906</v>
      </c>
      <c r="D180" s="2">
        <v>815</v>
      </c>
      <c r="E180" s="3">
        <v>855</v>
      </c>
      <c r="F180" s="4">
        <v>0</v>
      </c>
      <c r="G180" s="5">
        <v>0</v>
      </c>
    </row>
    <row r="181" spans="1:7" x14ac:dyDescent="0.25">
      <c r="A181" s="1">
        <f t="shared" ca="1" si="2"/>
        <v>12591</v>
      </c>
      <c r="B181" s="32">
        <v>29984</v>
      </c>
      <c r="C181" s="33">
        <v>29927</v>
      </c>
      <c r="D181" s="2">
        <v>820</v>
      </c>
      <c r="E181" s="3">
        <v>850</v>
      </c>
      <c r="F181" s="4">
        <v>0</v>
      </c>
      <c r="G181" s="5">
        <v>0</v>
      </c>
    </row>
    <row r="182" spans="1:7" x14ac:dyDescent="0.25">
      <c r="A182" s="1">
        <f t="shared" ca="1" si="2"/>
        <v>12592</v>
      </c>
      <c r="B182" s="32">
        <v>30022</v>
      </c>
      <c r="C182" s="33">
        <v>29935</v>
      </c>
      <c r="D182" s="2">
        <v>830</v>
      </c>
      <c r="E182" s="3">
        <v>860</v>
      </c>
      <c r="F182" s="4">
        <v>0</v>
      </c>
      <c r="G182" s="5">
        <v>0</v>
      </c>
    </row>
    <row r="183" spans="1:7" x14ac:dyDescent="0.25">
      <c r="A183" s="1">
        <f t="shared" ca="1" si="2"/>
        <v>12593</v>
      </c>
      <c r="B183" s="32">
        <v>30013</v>
      </c>
      <c r="C183" s="33">
        <v>29906</v>
      </c>
      <c r="D183" s="2">
        <v>825</v>
      </c>
      <c r="E183" s="3">
        <v>855</v>
      </c>
      <c r="F183" s="4">
        <v>0</v>
      </c>
      <c r="G183" s="5">
        <v>0</v>
      </c>
    </row>
    <row r="184" spans="1:7" x14ac:dyDescent="0.25">
      <c r="A184" s="1">
        <f t="shared" ca="1" si="2"/>
        <v>12594</v>
      </c>
      <c r="B184" s="32">
        <v>29994</v>
      </c>
      <c r="C184" s="33">
        <v>29927</v>
      </c>
      <c r="D184" s="2">
        <v>820</v>
      </c>
      <c r="E184" s="3">
        <v>850</v>
      </c>
      <c r="F184" s="4">
        <v>0</v>
      </c>
      <c r="G184" s="5">
        <v>0</v>
      </c>
    </row>
    <row r="185" spans="1:7" x14ac:dyDescent="0.25">
      <c r="A185" s="1">
        <f t="shared" ca="1" si="2"/>
        <v>12595</v>
      </c>
      <c r="B185" s="32">
        <v>30003</v>
      </c>
      <c r="C185" s="33">
        <v>29947</v>
      </c>
      <c r="D185" s="2">
        <v>825</v>
      </c>
      <c r="E185" s="3">
        <v>850</v>
      </c>
      <c r="F185" s="4">
        <v>0</v>
      </c>
      <c r="G185" s="5">
        <v>0</v>
      </c>
    </row>
    <row r="186" spans="1:7" x14ac:dyDescent="0.25">
      <c r="A186" s="1">
        <f t="shared" ca="1" si="2"/>
        <v>12596</v>
      </c>
      <c r="B186" s="32">
        <v>29973</v>
      </c>
      <c r="C186" s="33">
        <v>29905</v>
      </c>
      <c r="D186" s="2">
        <v>825</v>
      </c>
      <c r="E186" s="3">
        <v>860</v>
      </c>
      <c r="F186" s="4">
        <v>0</v>
      </c>
      <c r="G186" s="5">
        <v>0</v>
      </c>
    </row>
    <row r="187" spans="1:7" x14ac:dyDescent="0.25">
      <c r="A187" s="1">
        <f t="shared" ca="1" si="2"/>
        <v>12597</v>
      </c>
      <c r="B187" s="32">
        <v>29973</v>
      </c>
      <c r="C187" s="33">
        <v>29905</v>
      </c>
      <c r="D187" s="2">
        <v>825</v>
      </c>
      <c r="E187" s="3">
        <v>860</v>
      </c>
      <c r="F187" s="4">
        <v>0</v>
      </c>
      <c r="G187" s="5">
        <v>0</v>
      </c>
    </row>
    <row r="188" spans="1:7" x14ac:dyDescent="0.25">
      <c r="A188" s="1">
        <f t="shared" ca="1" si="2"/>
        <v>12598</v>
      </c>
      <c r="B188" s="32">
        <v>30010</v>
      </c>
      <c r="C188" s="33">
        <v>29945</v>
      </c>
      <c r="D188" s="2">
        <v>800</v>
      </c>
      <c r="E188" s="3">
        <v>860</v>
      </c>
      <c r="F188" s="4">
        <v>4</v>
      </c>
      <c r="G188" s="5">
        <v>20</v>
      </c>
    </row>
    <row r="189" spans="1:7" x14ac:dyDescent="0.25">
      <c r="A189" s="1">
        <f t="shared" ca="1" si="2"/>
        <v>12599</v>
      </c>
      <c r="B189" s="32">
        <v>29993</v>
      </c>
      <c r="C189" s="33">
        <v>29945</v>
      </c>
      <c r="D189" s="2">
        <v>825</v>
      </c>
      <c r="E189" s="3">
        <v>860</v>
      </c>
      <c r="F189" s="4">
        <v>0</v>
      </c>
      <c r="G189" s="5">
        <v>16</v>
      </c>
    </row>
    <row r="190" spans="1:7" x14ac:dyDescent="0.25">
      <c r="A190" s="1">
        <f t="shared" ca="1" si="2"/>
        <v>12600</v>
      </c>
      <c r="B190" s="32">
        <v>29983</v>
      </c>
      <c r="C190" s="33">
        <v>29903</v>
      </c>
      <c r="D190" s="2">
        <v>825</v>
      </c>
      <c r="E190" s="3">
        <v>830</v>
      </c>
      <c r="F190" s="4">
        <v>0</v>
      </c>
      <c r="G190" s="5">
        <v>0</v>
      </c>
    </row>
    <row r="191" spans="1:7" x14ac:dyDescent="0.25">
      <c r="A191" s="1" t="str">
        <f t="shared" ca="1" si="2"/>
        <v>Totaal</v>
      </c>
      <c r="B191" s="34">
        <f>IF(COUNT(B161:B190)&gt;0,AVERAGE(B161:B190)/1000,"")</f>
        <v>29.980900000000002</v>
      </c>
      <c r="C191" s="35">
        <f>IF(COUNT(C161:C190)&gt;0,AVERAGE(C161:C190)/1000,"")</f>
        <v>29.916599999999999</v>
      </c>
      <c r="D191" s="36">
        <f>IF(COUNT(D161:D190)&gt;0,AVERAGE(D161:D190)/10,"")</f>
        <v>82.066666666666663</v>
      </c>
      <c r="E191" s="37">
        <f>IF(COUNT(E161:E190)&gt;0,AVERAGE(E161:E190)/10,"")</f>
        <v>85.25</v>
      </c>
      <c r="F191" s="22">
        <f>SUM(F161:F190)/10</f>
        <v>0.4</v>
      </c>
      <c r="G191" s="23">
        <f>SUM(G161:G190)/10</f>
        <v>3.6</v>
      </c>
    </row>
    <row r="192" spans="1:7" x14ac:dyDescent="0.25">
      <c r="A192" s="1">
        <f t="shared" ca="1" si="2"/>
        <v>12601</v>
      </c>
      <c r="B192" s="32">
        <v>30003</v>
      </c>
      <c r="C192" s="33">
        <v>29927</v>
      </c>
      <c r="D192" s="2">
        <v>825</v>
      </c>
      <c r="E192" s="3">
        <v>850</v>
      </c>
      <c r="F192" s="4">
        <v>0</v>
      </c>
      <c r="G192" s="5">
        <v>0</v>
      </c>
    </row>
    <row r="193" spans="1:7" x14ac:dyDescent="0.25">
      <c r="A193" s="1">
        <f t="shared" ca="1" si="2"/>
        <v>12602</v>
      </c>
      <c r="B193" s="32">
        <v>29992</v>
      </c>
      <c r="C193" s="33">
        <v>29943</v>
      </c>
      <c r="D193" s="2">
        <v>830</v>
      </c>
      <c r="E193" s="3">
        <v>865</v>
      </c>
      <c r="F193" s="4">
        <v>0</v>
      </c>
      <c r="G193" s="5">
        <v>0</v>
      </c>
    </row>
    <row r="194" spans="1:7" x14ac:dyDescent="0.25">
      <c r="A194" s="1">
        <f t="shared" ca="1" si="2"/>
        <v>12603</v>
      </c>
      <c r="B194" s="32">
        <v>30033</v>
      </c>
      <c r="C194" s="33">
        <v>29972</v>
      </c>
      <c r="D194" s="2">
        <v>825</v>
      </c>
      <c r="E194" s="3">
        <v>865</v>
      </c>
      <c r="F194" s="4">
        <v>0</v>
      </c>
      <c r="G194" s="5">
        <v>0</v>
      </c>
    </row>
    <row r="195" spans="1:7" x14ac:dyDescent="0.25">
      <c r="A195" s="1">
        <f t="shared" ca="1" si="2"/>
        <v>12604</v>
      </c>
      <c r="B195" s="32">
        <v>30013</v>
      </c>
      <c r="C195" s="33">
        <v>29935</v>
      </c>
      <c r="D195" s="2">
        <v>825</v>
      </c>
      <c r="E195" s="3">
        <v>860</v>
      </c>
      <c r="F195" s="4">
        <v>0</v>
      </c>
      <c r="G195" s="5">
        <v>32</v>
      </c>
    </row>
    <row r="196" spans="1:7" x14ac:dyDescent="0.25">
      <c r="A196" s="1">
        <f t="shared" ca="1" si="2"/>
        <v>12605</v>
      </c>
      <c r="B196" s="32">
        <v>29973</v>
      </c>
      <c r="C196" s="33">
        <v>29906</v>
      </c>
      <c r="D196" s="2">
        <v>825</v>
      </c>
      <c r="E196" s="3">
        <v>855</v>
      </c>
      <c r="F196" s="4">
        <v>0</v>
      </c>
      <c r="G196" s="5">
        <v>0</v>
      </c>
    </row>
    <row r="197" spans="1:7" x14ac:dyDescent="0.25">
      <c r="A197" s="1">
        <f t="shared" ca="1" si="2"/>
        <v>12606</v>
      </c>
      <c r="B197" s="32">
        <v>29984</v>
      </c>
      <c r="C197" s="33">
        <v>29905</v>
      </c>
      <c r="D197" s="2">
        <v>820</v>
      </c>
      <c r="E197" s="3">
        <v>860</v>
      </c>
      <c r="F197" s="4">
        <v>23</v>
      </c>
      <c r="G197" s="5">
        <v>0</v>
      </c>
    </row>
    <row r="198" spans="1:7" x14ac:dyDescent="0.25">
      <c r="A198" s="1">
        <f t="shared" ca="1" si="2"/>
        <v>12607</v>
      </c>
      <c r="B198" s="32">
        <v>29974</v>
      </c>
      <c r="C198" s="33">
        <v>29906</v>
      </c>
      <c r="D198" s="2">
        <v>820</v>
      </c>
      <c r="E198" s="3">
        <v>855</v>
      </c>
      <c r="F198" s="4">
        <v>0</v>
      </c>
      <c r="G198" s="5">
        <v>0</v>
      </c>
    </row>
    <row r="199" spans="1:7" x14ac:dyDescent="0.25">
      <c r="A199" s="1">
        <f t="shared" ref="A199:A262" ca="1" si="3">IF(ISTEXT(A198),A197+1,IF(MONTH(A198+1)=MONTH(A198),A198+1,"Totaal"))</f>
        <v>12608</v>
      </c>
      <c r="B199" s="32">
        <v>29994</v>
      </c>
      <c r="C199" s="33">
        <v>29895</v>
      </c>
      <c r="D199" s="2">
        <v>820</v>
      </c>
      <c r="E199" s="3">
        <v>860</v>
      </c>
      <c r="F199" s="4">
        <v>0</v>
      </c>
      <c r="G199" s="5">
        <v>0</v>
      </c>
    </row>
    <row r="200" spans="1:7" x14ac:dyDescent="0.25">
      <c r="A200" s="1">
        <f t="shared" ca="1" si="3"/>
        <v>12609</v>
      </c>
      <c r="B200" s="32">
        <v>30014</v>
      </c>
      <c r="C200" s="33">
        <v>29937</v>
      </c>
      <c r="D200" s="2">
        <v>820</v>
      </c>
      <c r="E200" s="3">
        <v>850</v>
      </c>
      <c r="F200" s="4">
        <v>0</v>
      </c>
      <c r="G200" s="5">
        <v>0</v>
      </c>
    </row>
    <row r="201" spans="1:7" x14ac:dyDescent="0.25">
      <c r="A201" s="1">
        <f t="shared" ca="1" si="3"/>
        <v>12610</v>
      </c>
      <c r="B201" s="32">
        <v>29994</v>
      </c>
      <c r="C201" s="33">
        <v>29925</v>
      </c>
      <c r="D201" s="2">
        <v>820</v>
      </c>
      <c r="E201" s="3">
        <v>860</v>
      </c>
      <c r="F201" s="4">
        <v>0</v>
      </c>
      <c r="G201" s="5">
        <v>0</v>
      </c>
    </row>
    <row r="202" spans="1:7" x14ac:dyDescent="0.25">
      <c r="A202" s="1">
        <f t="shared" ca="1" si="3"/>
        <v>12611</v>
      </c>
      <c r="B202" s="32">
        <v>29994</v>
      </c>
      <c r="C202" s="33">
        <v>29937</v>
      </c>
      <c r="D202" s="2">
        <v>820</v>
      </c>
      <c r="E202" s="3">
        <v>850</v>
      </c>
      <c r="F202" s="4">
        <v>0</v>
      </c>
      <c r="G202" s="5">
        <v>0</v>
      </c>
    </row>
    <row r="203" spans="1:7" x14ac:dyDescent="0.25">
      <c r="A203" s="1">
        <f t="shared" ca="1" si="3"/>
        <v>12612</v>
      </c>
      <c r="B203" s="32">
        <v>30003</v>
      </c>
      <c r="C203" s="33">
        <v>29954</v>
      </c>
      <c r="D203" s="2">
        <v>825</v>
      </c>
      <c r="E203" s="3">
        <v>825</v>
      </c>
      <c r="F203" s="4">
        <v>0</v>
      </c>
      <c r="G203" s="5">
        <v>0</v>
      </c>
    </row>
    <row r="204" spans="1:7" x14ac:dyDescent="0.25">
      <c r="A204" s="1">
        <f t="shared" ca="1" si="3"/>
        <v>12613</v>
      </c>
      <c r="B204" s="32">
        <v>29993</v>
      </c>
      <c r="C204" s="33">
        <v>29926</v>
      </c>
      <c r="D204" s="2">
        <v>825</v>
      </c>
      <c r="E204" s="3">
        <v>855</v>
      </c>
      <c r="F204" s="4">
        <v>0</v>
      </c>
      <c r="G204" s="5">
        <v>0</v>
      </c>
    </row>
    <row r="205" spans="1:7" x14ac:dyDescent="0.25">
      <c r="A205" s="1">
        <f t="shared" ca="1" si="3"/>
        <v>12614</v>
      </c>
      <c r="B205" s="32">
        <v>30003</v>
      </c>
      <c r="C205" s="33">
        <v>29947</v>
      </c>
      <c r="D205" s="2">
        <v>825</v>
      </c>
      <c r="E205" s="3">
        <v>850</v>
      </c>
      <c r="F205" s="4">
        <v>0</v>
      </c>
      <c r="G205" s="5">
        <v>0</v>
      </c>
    </row>
    <row r="206" spans="1:7" x14ac:dyDescent="0.25">
      <c r="A206" s="1">
        <f t="shared" ca="1" si="3"/>
        <v>12615</v>
      </c>
      <c r="B206" s="32">
        <v>30014</v>
      </c>
      <c r="C206" s="33">
        <v>29947</v>
      </c>
      <c r="D206" s="2">
        <v>820</v>
      </c>
      <c r="E206" s="3">
        <v>850</v>
      </c>
      <c r="F206" s="4">
        <v>0</v>
      </c>
      <c r="G206" s="5">
        <v>0</v>
      </c>
    </row>
    <row r="207" spans="1:7" x14ac:dyDescent="0.25">
      <c r="A207" s="1">
        <f t="shared" ca="1" si="3"/>
        <v>12616</v>
      </c>
      <c r="B207" s="32">
        <v>30033</v>
      </c>
      <c r="C207" s="33">
        <v>29965</v>
      </c>
      <c r="D207" s="2">
        <v>825</v>
      </c>
      <c r="E207" s="3">
        <v>855</v>
      </c>
      <c r="F207" s="4">
        <v>0</v>
      </c>
      <c r="G207" s="5">
        <v>0</v>
      </c>
    </row>
    <row r="208" spans="1:7" x14ac:dyDescent="0.25">
      <c r="A208" s="1">
        <f t="shared" ca="1" si="3"/>
        <v>12617</v>
      </c>
      <c r="B208" s="32">
        <v>30012</v>
      </c>
      <c r="C208" s="33">
        <v>29925</v>
      </c>
      <c r="D208" s="2">
        <v>830</v>
      </c>
      <c r="E208" s="3">
        <v>860</v>
      </c>
      <c r="F208" s="4">
        <v>0</v>
      </c>
      <c r="G208" s="5">
        <v>0</v>
      </c>
    </row>
    <row r="209" spans="1:7" x14ac:dyDescent="0.25">
      <c r="A209" s="1">
        <f t="shared" ca="1" si="3"/>
        <v>12618</v>
      </c>
      <c r="B209" s="32">
        <v>29983</v>
      </c>
      <c r="C209" s="33">
        <v>29916</v>
      </c>
      <c r="D209" s="2">
        <v>825</v>
      </c>
      <c r="E209" s="3">
        <v>850</v>
      </c>
      <c r="F209" s="4">
        <v>0</v>
      </c>
      <c r="G209" s="5">
        <v>20</v>
      </c>
    </row>
    <row r="210" spans="1:7" x14ac:dyDescent="0.25">
      <c r="A210" s="1">
        <f t="shared" ca="1" si="3"/>
        <v>12619</v>
      </c>
      <c r="B210" s="32">
        <v>29984</v>
      </c>
      <c r="C210" s="33">
        <v>29937</v>
      </c>
      <c r="D210" s="2">
        <v>820</v>
      </c>
      <c r="E210" s="3">
        <v>850</v>
      </c>
      <c r="F210" s="4">
        <v>0</v>
      </c>
      <c r="G210" s="5">
        <v>0</v>
      </c>
    </row>
    <row r="211" spans="1:7" x14ac:dyDescent="0.25">
      <c r="A211" s="1">
        <f t="shared" ca="1" si="3"/>
        <v>12620</v>
      </c>
      <c r="B211" s="32">
        <v>29973</v>
      </c>
      <c r="C211" s="33">
        <v>29905</v>
      </c>
      <c r="D211" s="2">
        <v>825</v>
      </c>
      <c r="E211" s="3">
        <v>860</v>
      </c>
      <c r="F211" s="4">
        <v>0</v>
      </c>
      <c r="G211" s="5">
        <v>0</v>
      </c>
    </row>
    <row r="212" spans="1:7" x14ac:dyDescent="0.25">
      <c r="A212" s="1">
        <f t="shared" ca="1" si="3"/>
        <v>12621</v>
      </c>
      <c r="B212" s="32">
        <v>29972</v>
      </c>
      <c r="C212" s="33">
        <v>29927</v>
      </c>
      <c r="D212" s="2">
        <v>830</v>
      </c>
      <c r="E212" s="3">
        <v>850</v>
      </c>
      <c r="F212" s="4">
        <v>0</v>
      </c>
      <c r="G212" s="5">
        <v>0</v>
      </c>
    </row>
    <row r="213" spans="1:7" x14ac:dyDescent="0.25">
      <c r="A213" s="1">
        <f t="shared" ca="1" si="3"/>
        <v>12622</v>
      </c>
      <c r="B213" s="32">
        <v>29983</v>
      </c>
      <c r="C213" s="33">
        <v>29916</v>
      </c>
      <c r="D213" s="2">
        <v>825</v>
      </c>
      <c r="E213" s="3">
        <v>850</v>
      </c>
      <c r="F213" s="4">
        <v>0</v>
      </c>
      <c r="G213" s="5">
        <v>0</v>
      </c>
    </row>
    <row r="214" spans="1:7" x14ac:dyDescent="0.25">
      <c r="A214" s="1">
        <f t="shared" ca="1" si="3"/>
        <v>12623</v>
      </c>
      <c r="B214" s="32">
        <v>30003</v>
      </c>
      <c r="C214" s="33">
        <v>29935</v>
      </c>
      <c r="D214" s="2">
        <v>825</v>
      </c>
      <c r="E214" s="3">
        <v>860</v>
      </c>
      <c r="F214" s="4">
        <v>0</v>
      </c>
      <c r="G214" s="5">
        <v>0</v>
      </c>
    </row>
    <row r="215" spans="1:7" x14ac:dyDescent="0.25">
      <c r="A215" s="1">
        <f t="shared" ca="1" si="3"/>
        <v>12624</v>
      </c>
      <c r="B215" s="32">
        <v>29974</v>
      </c>
      <c r="C215" s="33">
        <v>29906</v>
      </c>
      <c r="D215" s="2">
        <v>820</v>
      </c>
      <c r="E215" s="3">
        <v>855</v>
      </c>
      <c r="F215" s="4">
        <v>0</v>
      </c>
      <c r="G215" s="5">
        <v>0</v>
      </c>
    </row>
    <row r="216" spans="1:7" x14ac:dyDescent="0.25">
      <c r="A216" s="1">
        <f t="shared" ca="1" si="3"/>
        <v>12625</v>
      </c>
      <c r="B216" s="32">
        <v>29963</v>
      </c>
      <c r="C216" s="33">
        <v>29905</v>
      </c>
      <c r="D216" s="2">
        <v>825</v>
      </c>
      <c r="E216" s="3">
        <v>860</v>
      </c>
      <c r="F216" s="4">
        <v>0</v>
      </c>
      <c r="G216" s="5">
        <v>0</v>
      </c>
    </row>
    <row r="217" spans="1:7" x14ac:dyDescent="0.25">
      <c r="A217" s="1">
        <f t="shared" ca="1" si="3"/>
        <v>12626</v>
      </c>
      <c r="B217" s="32">
        <v>29983</v>
      </c>
      <c r="C217" s="33">
        <v>29916</v>
      </c>
      <c r="D217" s="2">
        <v>825</v>
      </c>
      <c r="E217" s="3">
        <v>850</v>
      </c>
      <c r="F217" s="4">
        <v>0</v>
      </c>
      <c r="G217" s="5">
        <v>0</v>
      </c>
    </row>
    <row r="218" spans="1:7" x14ac:dyDescent="0.25">
      <c r="A218" s="1">
        <f t="shared" ca="1" si="3"/>
        <v>12627</v>
      </c>
      <c r="B218" s="32">
        <v>29974</v>
      </c>
      <c r="C218" s="33">
        <v>29905</v>
      </c>
      <c r="D218" s="2">
        <v>820</v>
      </c>
      <c r="E218" s="3">
        <v>860</v>
      </c>
      <c r="F218" s="4">
        <v>0</v>
      </c>
      <c r="G218" s="5">
        <v>0</v>
      </c>
    </row>
    <row r="219" spans="1:7" x14ac:dyDescent="0.25">
      <c r="A219" s="1">
        <f t="shared" ca="1" si="3"/>
        <v>12628</v>
      </c>
      <c r="B219" s="32">
        <v>30003</v>
      </c>
      <c r="C219" s="33">
        <v>29937</v>
      </c>
      <c r="D219" s="2">
        <v>825</v>
      </c>
      <c r="E219" s="3">
        <v>850</v>
      </c>
      <c r="F219" s="4">
        <v>0</v>
      </c>
      <c r="G219" s="5">
        <v>0</v>
      </c>
    </row>
    <row r="220" spans="1:7" x14ac:dyDescent="0.25">
      <c r="A220" s="1">
        <f t="shared" ca="1" si="3"/>
        <v>12629</v>
      </c>
      <c r="B220" s="32">
        <v>29994</v>
      </c>
      <c r="C220" s="33">
        <v>29925</v>
      </c>
      <c r="D220" s="2">
        <v>820</v>
      </c>
      <c r="E220" s="3">
        <v>860</v>
      </c>
      <c r="F220" s="4">
        <v>0</v>
      </c>
      <c r="G220" s="5">
        <v>0</v>
      </c>
    </row>
    <row r="221" spans="1:7" x14ac:dyDescent="0.25">
      <c r="A221" s="1">
        <f t="shared" ca="1" si="3"/>
        <v>12630</v>
      </c>
      <c r="B221" s="32">
        <v>30022</v>
      </c>
      <c r="C221" s="33">
        <v>29947</v>
      </c>
      <c r="D221" s="2">
        <v>830</v>
      </c>
      <c r="E221" s="3">
        <v>850</v>
      </c>
      <c r="F221" s="4">
        <v>0</v>
      </c>
      <c r="G221" s="5">
        <v>0</v>
      </c>
    </row>
    <row r="222" spans="1:7" x14ac:dyDescent="0.25">
      <c r="A222" s="1">
        <f t="shared" ca="1" si="3"/>
        <v>12631</v>
      </c>
      <c r="B222" s="32">
        <v>30003</v>
      </c>
      <c r="C222" s="33">
        <v>29937</v>
      </c>
      <c r="D222" s="2">
        <v>825</v>
      </c>
      <c r="E222" s="3">
        <v>850</v>
      </c>
      <c r="F222" s="4">
        <v>0</v>
      </c>
      <c r="G222" s="5">
        <v>0</v>
      </c>
    </row>
    <row r="223" spans="1:7" x14ac:dyDescent="0.25">
      <c r="A223" s="1" t="str">
        <f t="shared" ca="1" si="3"/>
        <v>Totaal</v>
      </c>
      <c r="B223" s="34">
        <f>IF(COUNT(B192:B222)&gt;0,AVERAGE(B192:B222)/1000,"")</f>
        <v>29.99483870967742</v>
      </c>
      <c r="C223" s="35">
        <f>IF(COUNT(C192:C222)&gt;0,AVERAGE(C192:C222)/1000,"")</f>
        <v>29.927935483870964</v>
      </c>
      <c r="D223" s="36">
        <f>IF(COUNT(D192:D222)&gt;0,AVERAGE(D192:D222)/10,"")</f>
        <v>82.387096774193552</v>
      </c>
      <c r="E223" s="37">
        <f>IF(COUNT(E192:E222)&gt;0,AVERAGE(E192:E222)/10,"")</f>
        <v>85.41935483870968</v>
      </c>
      <c r="F223" s="22">
        <f>SUM(F192:F222)/10</f>
        <v>2.2999999999999998</v>
      </c>
      <c r="G223" s="23">
        <f>SUM(G192:G222)/10</f>
        <v>5.2</v>
      </c>
    </row>
    <row r="224" spans="1:7" x14ac:dyDescent="0.25">
      <c r="A224" s="1">
        <f t="shared" ca="1" si="3"/>
        <v>12632</v>
      </c>
      <c r="B224" s="32">
        <v>30012</v>
      </c>
      <c r="C224" s="33">
        <v>29927</v>
      </c>
      <c r="D224" s="2">
        <v>830</v>
      </c>
      <c r="E224" s="3">
        <v>850</v>
      </c>
      <c r="F224" s="4">
        <v>0</v>
      </c>
      <c r="G224" s="5">
        <v>0</v>
      </c>
    </row>
    <row r="225" spans="1:7" x14ac:dyDescent="0.25">
      <c r="A225" s="1">
        <f t="shared" ca="1" si="3"/>
        <v>12633</v>
      </c>
      <c r="B225" s="32">
        <v>30014</v>
      </c>
      <c r="C225" s="33">
        <v>29945</v>
      </c>
      <c r="D225" s="2">
        <v>820</v>
      </c>
      <c r="E225" s="3">
        <v>860</v>
      </c>
      <c r="F225" s="4">
        <v>0</v>
      </c>
      <c r="G225" s="5">
        <v>0</v>
      </c>
    </row>
    <row r="226" spans="1:7" x14ac:dyDescent="0.25">
      <c r="A226" s="1">
        <f t="shared" ca="1" si="3"/>
        <v>12634</v>
      </c>
      <c r="B226" s="32">
        <v>30010</v>
      </c>
      <c r="C226" s="33">
        <v>29945</v>
      </c>
      <c r="D226" s="2">
        <v>835</v>
      </c>
      <c r="E226" s="3">
        <v>860</v>
      </c>
      <c r="F226" s="4">
        <v>0</v>
      </c>
      <c r="G226" s="5">
        <v>20</v>
      </c>
    </row>
    <row r="227" spans="1:7" x14ac:dyDescent="0.25">
      <c r="A227" s="1">
        <f t="shared" ca="1" si="3"/>
        <v>12635</v>
      </c>
      <c r="B227" s="32">
        <v>29990</v>
      </c>
      <c r="C227" s="33">
        <v>29895</v>
      </c>
      <c r="D227" s="2">
        <v>835</v>
      </c>
      <c r="E227" s="3">
        <v>860</v>
      </c>
      <c r="F227" s="4">
        <v>0</v>
      </c>
      <c r="G227" s="5">
        <v>0</v>
      </c>
    </row>
    <row r="228" spans="1:7" x14ac:dyDescent="0.25">
      <c r="A228" s="1">
        <f t="shared" ca="1" si="3"/>
        <v>12636</v>
      </c>
      <c r="B228" s="32">
        <v>30012</v>
      </c>
      <c r="C228" s="33">
        <v>29927</v>
      </c>
      <c r="D228" s="2">
        <v>830</v>
      </c>
      <c r="E228" s="3">
        <v>850</v>
      </c>
      <c r="F228" s="4">
        <v>0</v>
      </c>
      <c r="G228" s="5">
        <v>0</v>
      </c>
    </row>
    <row r="229" spans="1:7" x14ac:dyDescent="0.25">
      <c r="A229" s="1">
        <f t="shared" ca="1" si="3"/>
        <v>12637</v>
      </c>
      <c r="B229" s="32">
        <v>30020</v>
      </c>
      <c r="C229" s="33">
        <v>29961</v>
      </c>
      <c r="D229" s="2">
        <v>835</v>
      </c>
      <c r="E229" s="3">
        <v>870</v>
      </c>
      <c r="F229" s="4">
        <v>0</v>
      </c>
      <c r="G229" s="5">
        <v>0</v>
      </c>
    </row>
    <row r="230" spans="1:7" x14ac:dyDescent="0.25">
      <c r="A230" s="1">
        <f t="shared" ca="1" si="3"/>
        <v>12638</v>
      </c>
      <c r="B230" s="32">
        <v>30012</v>
      </c>
      <c r="C230" s="33">
        <v>29936</v>
      </c>
      <c r="D230" s="2">
        <v>830</v>
      </c>
      <c r="E230" s="3">
        <v>855</v>
      </c>
      <c r="F230" s="4">
        <v>0</v>
      </c>
      <c r="G230" s="5">
        <v>0</v>
      </c>
    </row>
    <row r="231" spans="1:7" x14ac:dyDescent="0.25">
      <c r="A231" s="1">
        <f t="shared" ca="1" si="3"/>
        <v>12639</v>
      </c>
      <c r="B231" s="32">
        <v>29970</v>
      </c>
      <c r="C231" s="33">
        <v>29925</v>
      </c>
      <c r="D231" s="2">
        <v>835</v>
      </c>
      <c r="E231" s="3">
        <v>860</v>
      </c>
      <c r="F231" s="4">
        <v>0</v>
      </c>
      <c r="G231" s="5">
        <v>0</v>
      </c>
    </row>
    <row r="232" spans="1:7" x14ac:dyDescent="0.25">
      <c r="A232" s="1">
        <f t="shared" ca="1" si="3"/>
        <v>12640</v>
      </c>
      <c r="B232" s="32">
        <v>30009</v>
      </c>
      <c r="C232" s="33">
        <v>29954</v>
      </c>
      <c r="D232" s="2">
        <v>840</v>
      </c>
      <c r="E232" s="3">
        <v>860</v>
      </c>
      <c r="F232" s="4">
        <v>0</v>
      </c>
      <c r="G232" s="5">
        <v>0</v>
      </c>
    </row>
    <row r="233" spans="1:7" x14ac:dyDescent="0.25">
      <c r="A233" s="1">
        <f t="shared" ca="1" si="3"/>
        <v>12641</v>
      </c>
      <c r="B233" s="32">
        <v>30000</v>
      </c>
      <c r="C233" s="33">
        <v>29954</v>
      </c>
      <c r="D233" s="2">
        <v>835</v>
      </c>
      <c r="E233" s="3">
        <v>860</v>
      </c>
      <c r="F233" s="4">
        <v>0</v>
      </c>
      <c r="G233" s="5">
        <v>0</v>
      </c>
    </row>
    <row r="234" spans="1:7" x14ac:dyDescent="0.25">
      <c r="A234" s="1">
        <f t="shared" ca="1" si="3"/>
        <v>12642</v>
      </c>
      <c r="B234" s="32">
        <v>30000</v>
      </c>
      <c r="C234" s="33">
        <v>29954</v>
      </c>
      <c r="D234" s="2">
        <v>835</v>
      </c>
      <c r="E234" s="3">
        <v>860</v>
      </c>
      <c r="F234" s="4">
        <v>0</v>
      </c>
      <c r="G234" s="5">
        <v>0</v>
      </c>
    </row>
    <row r="235" spans="1:7" x14ac:dyDescent="0.25">
      <c r="A235" s="1">
        <f t="shared" ca="1" si="3"/>
        <v>12643</v>
      </c>
      <c r="B235" s="32">
        <v>30009</v>
      </c>
      <c r="C235" s="33">
        <v>29954</v>
      </c>
      <c r="D235" s="2">
        <v>840</v>
      </c>
      <c r="E235" s="3">
        <v>860</v>
      </c>
      <c r="F235" s="4">
        <v>0</v>
      </c>
      <c r="G235" s="5">
        <v>0</v>
      </c>
    </row>
    <row r="236" spans="1:7" x14ac:dyDescent="0.25">
      <c r="A236" s="1">
        <f t="shared" ca="1" si="3"/>
        <v>12644</v>
      </c>
      <c r="B236" s="32">
        <v>30019</v>
      </c>
      <c r="C236" s="33">
        <v>29954</v>
      </c>
      <c r="D236" s="2">
        <v>840</v>
      </c>
      <c r="E236" s="3">
        <v>860</v>
      </c>
      <c r="F236" s="4">
        <v>0</v>
      </c>
      <c r="G236" s="5">
        <v>0</v>
      </c>
    </row>
    <row r="237" spans="1:7" x14ac:dyDescent="0.25">
      <c r="A237" s="1">
        <f t="shared" ca="1" si="3"/>
        <v>12645</v>
      </c>
      <c r="B237" s="32">
        <v>30010</v>
      </c>
      <c r="C237" s="33">
        <v>29933</v>
      </c>
      <c r="D237" s="2">
        <v>835</v>
      </c>
      <c r="E237" s="3">
        <v>865</v>
      </c>
      <c r="F237" s="4">
        <v>0</v>
      </c>
      <c r="G237" s="5">
        <v>0</v>
      </c>
    </row>
    <row r="238" spans="1:7" x14ac:dyDescent="0.25">
      <c r="A238" s="1">
        <f t="shared" ca="1" si="3"/>
        <v>12646</v>
      </c>
      <c r="B238" s="32">
        <v>30000</v>
      </c>
      <c r="C238" s="33">
        <v>29956</v>
      </c>
      <c r="D238" s="2">
        <v>835</v>
      </c>
      <c r="E238" s="3">
        <v>850</v>
      </c>
      <c r="F238" s="4">
        <v>0</v>
      </c>
      <c r="G238" s="5">
        <v>0</v>
      </c>
    </row>
    <row r="239" spans="1:7" x14ac:dyDescent="0.25">
      <c r="A239" s="1">
        <f t="shared" ca="1" si="3"/>
        <v>12647</v>
      </c>
      <c r="B239" s="32">
        <v>30020</v>
      </c>
      <c r="C239" s="33">
        <v>29952</v>
      </c>
      <c r="D239" s="2">
        <v>835</v>
      </c>
      <c r="E239" s="3">
        <v>865</v>
      </c>
      <c r="F239" s="4">
        <v>0</v>
      </c>
      <c r="G239" s="5">
        <v>0</v>
      </c>
    </row>
    <row r="240" spans="1:7" x14ac:dyDescent="0.25">
      <c r="A240" s="1">
        <f t="shared" ca="1" si="3"/>
        <v>12648</v>
      </c>
      <c r="B240" s="32">
        <v>30010</v>
      </c>
      <c r="C240" s="33">
        <v>29954</v>
      </c>
      <c r="D240" s="2">
        <v>835</v>
      </c>
      <c r="E240" s="3">
        <v>860</v>
      </c>
      <c r="F240" s="4">
        <v>0</v>
      </c>
      <c r="G240" s="5">
        <v>0</v>
      </c>
    </row>
    <row r="241" spans="1:7" x14ac:dyDescent="0.25">
      <c r="A241" s="1">
        <f t="shared" ca="1" si="3"/>
        <v>12649</v>
      </c>
      <c r="B241" s="32">
        <v>30039</v>
      </c>
      <c r="C241" s="33">
        <v>29979</v>
      </c>
      <c r="D241" s="2">
        <v>840</v>
      </c>
      <c r="E241" s="3">
        <v>840</v>
      </c>
      <c r="F241" s="4">
        <v>14</v>
      </c>
      <c r="G241" s="5">
        <v>0</v>
      </c>
    </row>
    <row r="242" spans="1:7" x14ac:dyDescent="0.25">
      <c r="A242" s="1">
        <f t="shared" ca="1" si="3"/>
        <v>12650</v>
      </c>
      <c r="B242" s="32">
        <v>30010</v>
      </c>
      <c r="C242" s="33">
        <v>29927</v>
      </c>
      <c r="D242" s="2">
        <v>835</v>
      </c>
      <c r="E242" s="3">
        <v>850</v>
      </c>
      <c r="F242" s="4">
        <v>38</v>
      </c>
      <c r="G242" s="5">
        <v>26</v>
      </c>
    </row>
    <row r="243" spans="1:7" x14ac:dyDescent="0.25">
      <c r="A243" s="1">
        <f t="shared" ca="1" si="3"/>
        <v>12651</v>
      </c>
      <c r="B243" s="32">
        <v>30002</v>
      </c>
      <c r="C243" s="33">
        <v>29905</v>
      </c>
      <c r="D243" s="2">
        <v>830</v>
      </c>
      <c r="E243" s="3">
        <v>860</v>
      </c>
      <c r="F243" s="4">
        <v>0</v>
      </c>
      <c r="G243" s="5">
        <v>40</v>
      </c>
    </row>
    <row r="244" spans="1:7" x14ac:dyDescent="0.25">
      <c r="A244" s="1">
        <f t="shared" ca="1" si="3"/>
        <v>12652</v>
      </c>
      <c r="B244" s="32">
        <v>29960</v>
      </c>
      <c r="C244" s="33">
        <v>29886</v>
      </c>
      <c r="D244" s="2">
        <v>835</v>
      </c>
      <c r="E244" s="3">
        <v>855</v>
      </c>
      <c r="F244" s="4">
        <v>0</v>
      </c>
      <c r="G244" s="5">
        <v>37</v>
      </c>
    </row>
    <row r="245" spans="1:7" x14ac:dyDescent="0.25">
      <c r="A245" s="1">
        <f t="shared" ca="1" si="3"/>
        <v>12653</v>
      </c>
      <c r="B245" s="32">
        <v>29951</v>
      </c>
      <c r="C245" s="33">
        <v>29863</v>
      </c>
      <c r="D245" s="2">
        <v>835</v>
      </c>
      <c r="E245" s="3">
        <v>865</v>
      </c>
      <c r="F245" s="4">
        <v>0</v>
      </c>
      <c r="G245" s="5">
        <v>0</v>
      </c>
    </row>
    <row r="246" spans="1:7" x14ac:dyDescent="0.25">
      <c r="A246" s="1">
        <f t="shared" ca="1" si="3"/>
        <v>12654</v>
      </c>
      <c r="B246" s="32">
        <v>29940</v>
      </c>
      <c r="C246" s="33">
        <v>29863</v>
      </c>
      <c r="D246" s="2">
        <v>840</v>
      </c>
      <c r="E246" s="3">
        <v>865</v>
      </c>
      <c r="F246" s="4">
        <v>0</v>
      </c>
      <c r="G246" s="5">
        <v>0</v>
      </c>
    </row>
    <row r="247" spans="1:7" x14ac:dyDescent="0.25">
      <c r="A247" s="1">
        <f t="shared" ca="1" si="3"/>
        <v>12655</v>
      </c>
      <c r="B247" s="32">
        <v>29959</v>
      </c>
      <c r="C247" s="33">
        <v>29882</v>
      </c>
      <c r="D247" s="2">
        <v>840</v>
      </c>
      <c r="E247" s="3">
        <v>840</v>
      </c>
      <c r="F247" s="4">
        <v>0</v>
      </c>
      <c r="G247" s="5">
        <v>0</v>
      </c>
    </row>
    <row r="248" spans="1:7" x14ac:dyDescent="0.25">
      <c r="A248" s="1">
        <f t="shared" ca="1" si="3"/>
        <v>12656</v>
      </c>
      <c r="B248" s="32">
        <v>29930</v>
      </c>
      <c r="C248" s="33">
        <v>29871</v>
      </c>
      <c r="D248" s="2">
        <v>840</v>
      </c>
      <c r="E248" s="3">
        <v>875</v>
      </c>
      <c r="F248" s="4">
        <v>0</v>
      </c>
      <c r="G248" s="5">
        <v>0</v>
      </c>
    </row>
    <row r="249" spans="1:7" x14ac:dyDescent="0.25">
      <c r="A249" s="1">
        <f t="shared" ca="1" si="3"/>
        <v>12657</v>
      </c>
      <c r="B249" s="32">
        <v>29970</v>
      </c>
      <c r="C249" s="33">
        <v>29905</v>
      </c>
      <c r="D249" s="2">
        <v>835</v>
      </c>
      <c r="E249" s="3">
        <v>860</v>
      </c>
      <c r="F249" s="4">
        <v>0</v>
      </c>
      <c r="G249" s="5">
        <v>0</v>
      </c>
    </row>
    <row r="250" spans="1:7" x14ac:dyDescent="0.25">
      <c r="A250" s="1">
        <f t="shared" ca="1" si="3"/>
        <v>12658</v>
      </c>
      <c r="B250" s="32">
        <v>30012</v>
      </c>
      <c r="C250" s="33">
        <v>29923</v>
      </c>
      <c r="D250" s="2">
        <v>830</v>
      </c>
      <c r="E250" s="3">
        <v>865</v>
      </c>
      <c r="F250" s="4">
        <v>0</v>
      </c>
      <c r="G250" s="5">
        <v>0</v>
      </c>
    </row>
    <row r="251" spans="1:7" x14ac:dyDescent="0.25">
      <c r="A251" s="1">
        <f t="shared" ca="1" si="3"/>
        <v>12659</v>
      </c>
      <c r="B251" s="32">
        <v>29990</v>
      </c>
      <c r="C251" s="33">
        <v>29903</v>
      </c>
      <c r="D251" s="2">
        <v>835</v>
      </c>
      <c r="E251" s="3">
        <v>865</v>
      </c>
      <c r="F251" s="4">
        <v>0</v>
      </c>
      <c r="G251" s="5">
        <v>0</v>
      </c>
    </row>
    <row r="252" spans="1:7" x14ac:dyDescent="0.25">
      <c r="A252" s="1">
        <f t="shared" ca="1" si="3"/>
        <v>12660</v>
      </c>
      <c r="B252" s="32">
        <v>29990</v>
      </c>
      <c r="C252" s="33">
        <v>29895</v>
      </c>
      <c r="D252" s="2">
        <v>835</v>
      </c>
      <c r="E252" s="3">
        <v>860</v>
      </c>
      <c r="F252" s="4">
        <v>0</v>
      </c>
      <c r="G252" s="5">
        <v>0</v>
      </c>
    </row>
    <row r="253" spans="1:7" x14ac:dyDescent="0.25">
      <c r="A253" s="1">
        <f t="shared" ca="1" si="3"/>
        <v>12661</v>
      </c>
      <c r="B253" s="32">
        <v>29960</v>
      </c>
      <c r="C253" s="33">
        <v>29873</v>
      </c>
      <c r="D253" s="2">
        <v>835</v>
      </c>
      <c r="E253" s="3">
        <v>865</v>
      </c>
      <c r="F253" s="4">
        <v>0</v>
      </c>
      <c r="G253" s="5">
        <v>0</v>
      </c>
    </row>
    <row r="254" spans="1:7" x14ac:dyDescent="0.25">
      <c r="A254" s="1">
        <f t="shared" ca="1" si="3"/>
        <v>12662</v>
      </c>
      <c r="B254" s="32">
        <v>29970</v>
      </c>
      <c r="C254" s="33">
        <v>29895</v>
      </c>
      <c r="D254" s="2">
        <v>835</v>
      </c>
      <c r="E254" s="3">
        <v>860</v>
      </c>
      <c r="F254" s="4">
        <v>0</v>
      </c>
      <c r="G254" s="5">
        <v>0</v>
      </c>
    </row>
    <row r="255" spans="1:7" x14ac:dyDescent="0.25">
      <c r="A255" s="1" t="str">
        <f t="shared" ca="1" si="3"/>
        <v>Totaal</v>
      </c>
      <c r="B255" s="34">
        <f>IF(COUNT(B224:B254)&gt;0,AVERAGE(B224:B254)/1000,"")</f>
        <v>29.993548387096773</v>
      </c>
      <c r="C255" s="35">
        <f>IF(COUNT(C224:C254)&gt;0,AVERAGE(C224:C254)/1000,"")</f>
        <v>29.922451612903227</v>
      </c>
      <c r="D255" s="36">
        <f>IF(COUNT(D224:D254)&gt;0,AVERAGE(D224:D254)/10,"")</f>
        <v>83.483870967741936</v>
      </c>
      <c r="E255" s="37">
        <f>IF(COUNT(E224:E254)&gt;0,AVERAGE(E224:E254)/10,"")</f>
        <v>85.903225806451616</v>
      </c>
      <c r="F255" s="22">
        <f>SUM(F224:F254)/10</f>
        <v>5.2</v>
      </c>
      <c r="G255" s="23">
        <f>SUM(G224:G254)/10</f>
        <v>12.3</v>
      </c>
    </row>
    <row r="256" spans="1:7" x14ac:dyDescent="0.25">
      <c r="A256" s="1">
        <f t="shared" ca="1" si="3"/>
        <v>12663</v>
      </c>
      <c r="B256" s="32">
        <v>29972</v>
      </c>
      <c r="C256" s="33">
        <v>29883</v>
      </c>
      <c r="D256" s="2">
        <v>830</v>
      </c>
      <c r="E256" s="3">
        <v>865</v>
      </c>
      <c r="F256" s="4">
        <v>0</v>
      </c>
      <c r="G256" s="5">
        <v>0</v>
      </c>
    </row>
    <row r="257" spans="1:7" x14ac:dyDescent="0.25">
      <c r="A257" s="1">
        <f t="shared" ca="1" si="3"/>
        <v>12664</v>
      </c>
      <c r="B257" s="32">
        <v>29970</v>
      </c>
      <c r="C257" s="33">
        <v>29873</v>
      </c>
      <c r="D257" s="2">
        <v>835</v>
      </c>
      <c r="E257" s="3">
        <v>865</v>
      </c>
      <c r="F257" s="4">
        <v>0</v>
      </c>
      <c r="G257" s="5">
        <v>0</v>
      </c>
    </row>
    <row r="258" spans="1:7" x14ac:dyDescent="0.25">
      <c r="A258" s="1">
        <f t="shared" ca="1" si="3"/>
        <v>12665</v>
      </c>
      <c r="B258" s="32">
        <v>29980</v>
      </c>
      <c r="C258" s="33">
        <v>29882</v>
      </c>
      <c r="D258" s="2">
        <v>835</v>
      </c>
      <c r="E258" s="3">
        <v>870</v>
      </c>
      <c r="F258" s="4">
        <v>0</v>
      </c>
      <c r="G258" s="5">
        <v>0</v>
      </c>
    </row>
    <row r="259" spans="1:7" x14ac:dyDescent="0.25">
      <c r="A259" s="1">
        <f t="shared" ca="1" si="3"/>
        <v>12666</v>
      </c>
      <c r="B259" s="32">
        <v>30002</v>
      </c>
      <c r="C259" s="33">
        <v>29905</v>
      </c>
      <c r="D259" s="2">
        <v>830</v>
      </c>
      <c r="E259" s="3">
        <v>860</v>
      </c>
      <c r="F259" s="4">
        <v>0</v>
      </c>
      <c r="G259" s="5">
        <v>0</v>
      </c>
    </row>
    <row r="260" spans="1:7" x14ac:dyDescent="0.25">
      <c r="A260" s="1">
        <f t="shared" ca="1" si="3"/>
        <v>12667</v>
      </c>
      <c r="B260" s="32">
        <v>29945</v>
      </c>
      <c r="C260" s="33">
        <v>29886</v>
      </c>
      <c r="D260" s="2">
        <v>860</v>
      </c>
      <c r="E260" s="3">
        <v>855</v>
      </c>
      <c r="F260" s="4">
        <v>0</v>
      </c>
      <c r="G260" s="5">
        <v>0</v>
      </c>
    </row>
    <row r="261" spans="1:7" x14ac:dyDescent="0.25">
      <c r="A261" s="1">
        <f t="shared" ca="1" si="3"/>
        <v>12668</v>
      </c>
      <c r="B261" s="32">
        <v>29923</v>
      </c>
      <c r="C261" s="33">
        <v>29845</v>
      </c>
      <c r="D261" s="2">
        <v>830</v>
      </c>
      <c r="E261" s="3">
        <v>860</v>
      </c>
      <c r="F261" s="4">
        <v>0</v>
      </c>
      <c r="G261" s="5">
        <v>0</v>
      </c>
    </row>
    <row r="262" spans="1:7" x14ac:dyDescent="0.25">
      <c r="A262" s="1">
        <f t="shared" ca="1" si="3"/>
        <v>12669</v>
      </c>
      <c r="B262" s="32">
        <v>29921</v>
      </c>
      <c r="C262" s="33">
        <v>29870</v>
      </c>
      <c r="D262" s="2">
        <v>835</v>
      </c>
      <c r="E262" s="3">
        <v>840</v>
      </c>
      <c r="F262" s="4">
        <v>33</v>
      </c>
      <c r="G262" s="5">
        <v>85</v>
      </c>
    </row>
    <row r="263" spans="1:7" x14ac:dyDescent="0.25">
      <c r="A263" s="1">
        <f t="shared" ref="A263:A326" ca="1" si="4">IF(ISTEXT(A262),A261+1,IF(MONTH(A262+1)=MONTH(A262),A262+1,"Totaal"))</f>
        <v>12670</v>
      </c>
      <c r="B263" s="32">
        <v>29955</v>
      </c>
      <c r="C263" s="33">
        <v>29896</v>
      </c>
      <c r="D263" s="2">
        <v>820</v>
      </c>
      <c r="E263" s="3">
        <v>855</v>
      </c>
      <c r="F263" s="4">
        <v>8</v>
      </c>
      <c r="G263" s="5">
        <v>56</v>
      </c>
    </row>
    <row r="264" spans="1:7" x14ac:dyDescent="0.25">
      <c r="A264" s="1">
        <f t="shared" ca="1" si="4"/>
        <v>12671</v>
      </c>
      <c r="B264" s="32">
        <v>29970</v>
      </c>
      <c r="C264" s="33">
        <v>29885</v>
      </c>
      <c r="D264" s="2">
        <v>835</v>
      </c>
      <c r="E264" s="3">
        <v>860</v>
      </c>
      <c r="F264" s="4">
        <v>0</v>
      </c>
      <c r="G264" s="5">
        <v>0</v>
      </c>
    </row>
    <row r="265" spans="1:7" x14ac:dyDescent="0.25">
      <c r="A265" s="1">
        <f t="shared" ca="1" si="4"/>
        <v>12672</v>
      </c>
      <c r="B265" s="32">
        <v>29970</v>
      </c>
      <c r="C265" s="33">
        <v>29905</v>
      </c>
      <c r="D265" s="2">
        <v>835</v>
      </c>
      <c r="E265" s="3">
        <v>860</v>
      </c>
      <c r="F265" s="4">
        <v>0</v>
      </c>
      <c r="G265" s="5">
        <v>0</v>
      </c>
    </row>
    <row r="266" spans="1:7" x14ac:dyDescent="0.25">
      <c r="A266" s="1">
        <f t="shared" ca="1" si="4"/>
        <v>12673</v>
      </c>
      <c r="B266" s="32">
        <v>29962</v>
      </c>
      <c r="C266" s="33">
        <v>29885</v>
      </c>
      <c r="D266" s="2">
        <v>830</v>
      </c>
      <c r="E266" s="3">
        <v>860</v>
      </c>
      <c r="F266" s="4">
        <v>0</v>
      </c>
      <c r="G266" s="5">
        <v>0</v>
      </c>
    </row>
    <row r="267" spans="1:7" x14ac:dyDescent="0.25">
      <c r="A267" s="1">
        <f t="shared" ca="1" si="4"/>
        <v>12674</v>
      </c>
      <c r="B267" s="32">
        <v>29953</v>
      </c>
      <c r="C267" s="33">
        <v>29846</v>
      </c>
      <c r="D267" s="2">
        <v>830</v>
      </c>
      <c r="E267" s="3">
        <v>855</v>
      </c>
      <c r="F267" s="4">
        <v>0</v>
      </c>
      <c r="G267" s="5">
        <v>0</v>
      </c>
    </row>
    <row r="268" spans="1:7" x14ac:dyDescent="0.25">
      <c r="A268" s="1">
        <f t="shared" ca="1" si="4"/>
        <v>12675</v>
      </c>
      <c r="B268" s="32">
        <v>29930</v>
      </c>
      <c r="C268" s="33">
        <v>29842</v>
      </c>
      <c r="D268" s="2">
        <v>840</v>
      </c>
      <c r="E268" s="3">
        <v>870</v>
      </c>
      <c r="F268" s="4">
        <v>0</v>
      </c>
      <c r="G268" s="5">
        <v>0</v>
      </c>
    </row>
    <row r="269" spans="1:7" x14ac:dyDescent="0.25">
      <c r="A269" s="1">
        <f t="shared" ca="1" si="4"/>
        <v>12676</v>
      </c>
      <c r="B269" s="32">
        <v>29950</v>
      </c>
      <c r="C269" s="33">
        <v>29893</v>
      </c>
      <c r="D269" s="2">
        <v>840</v>
      </c>
      <c r="E269" s="3">
        <v>865</v>
      </c>
      <c r="F269" s="4">
        <v>0</v>
      </c>
      <c r="G269" s="5">
        <v>0</v>
      </c>
    </row>
    <row r="270" spans="1:7" x14ac:dyDescent="0.25">
      <c r="A270" s="1">
        <f t="shared" ca="1" si="4"/>
        <v>12677</v>
      </c>
      <c r="B270" s="32">
        <v>29990</v>
      </c>
      <c r="C270" s="33">
        <v>29893</v>
      </c>
      <c r="D270" s="2">
        <v>835</v>
      </c>
      <c r="E270" s="3">
        <v>865</v>
      </c>
      <c r="F270" s="4">
        <v>0</v>
      </c>
      <c r="G270" s="5">
        <v>0</v>
      </c>
    </row>
    <row r="271" spans="1:7" x14ac:dyDescent="0.25">
      <c r="A271" s="1">
        <f t="shared" ca="1" si="4"/>
        <v>12678</v>
      </c>
      <c r="B271" s="32">
        <v>29960</v>
      </c>
      <c r="C271" s="33">
        <v>29873</v>
      </c>
      <c r="D271" s="2">
        <v>835</v>
      </c>
      <c r="E271" s="3">
        <v>865</v>
      </c>
      <c r="F271" s="4">
        <v>24</v>
      </c>
      <c r="G271" s="5">
        <v>0</v>
      </c>
    </row>
    <row r="272" spans="1:7" x14ac:dyDescent="0.25">
      <c r="A272" s="1">
        <f t="shared" ca="1" si="4"/>
        <v>12679</v>
      </c>
      <c r="B272" s="32">
        <v>29933</v>
      </c>
      <c r="C272" s="33">
        <v>29833</v>
      </c>
      <c r="D272" s="2">
        <v>830</v>
      </c>
      <c r="E272" s="3">
        <v>865</v>
      </c>
      <c r="F272" s="4">
        <v>0</v>
      </c>
      <c r="G272" s="5">
        <v>0</v>
      </c>
    </row>
    <row r="273" spans="1:7" x14ac:dyDescent="0.25">
      <c r="A273" s="1">
        <f t="shared" ca="1" si="4"/>
        <v>12680</v>
      </c>
      <c r="B273" s="32">
        <v>29940</v>
      </c>
      <c r="C273" s="33">
        <v>29833</v>
      </c>
      <c r="D273" s="2">
        <v>840</v>
      </c>
      <c r="E273" s="3">
        <v>865</v>
      </c>
      <c r="F273" s="4">
        <v>0</v>
      </c>
      <c r="G273" s="5">
        <v>0</v>
      </c>
    </row>
    <row r="274" spans="1:7" x14ac:dyDescent="0.25">
      <c r="A274" s="1">
        <f t="shared" ca="1" si="4"/>
        <v>12681</v>
      </c>
      <c r="B274" s="32">
        <v>29937</v>
      </c>
      <c r="C274" s="33">
        <v>29842</v>
      </c>
      <c r="D274" s="2">
        <v>850</v>
      </c>
      <c r="E274" s="3">
        <v>870</v>
      </c>
      <c r="F274" s="4">
        <v>0</v>
      </c>
      <c r="G274" s="5">
        <v>0</v>
      </c>
    </row>
    <row r="275" spans="1:7" x14ac:dyDescent="0.25">
      <c r="A275" s="1">
        <f t="shared" ca="1" si="4"/>
        <v>12682</v>
      </c>
      <c r="B275" s="32">
        <v>29939</v>
      </c>
      <c r="C275" s="33">
        <v>29845</v>
      </c>
      <c r="D275" s="2">
        <v>845</v>
      </c>
      <c r="E275" s="3">
        <v>860</v>
      </c>
      <c r="F275" s="4">
        <v>0</v>
      </c>
      <c r="G275" s="5">
        <v>0</v>
      </c>
    </row>
    <row r="276" spans="1:7" x14ac:dyDescent="0.25">
      <c r="A276" s="1">
        <f t="shared" ca="1" si="4"/>
        <v>12683</v>
      </c>
      <c r="B276" s="32">
        <v>29920</v>
      </c>
      <c r="C276" s="33">
        <v>29823</v>
      </c>
      <c r="D276" s="2">
        <v>840</v>
      </c>
      <c r="E276" s="3">
        <v>865</v>
      </c>
      <c r="F276" s="4">
        <v>0</v>
      </c>
      <c r="G276" s="5">
        <v>0</v>
      </c>
    </row>
    <row r="277" spans="1:7" x14ac:dyDescent="0.25">
      <c r="A277" s="1">
        <f t="shared" ca="1" si="4"/>
        <v>12684</v>
      </c>
      <c r="B277" s="32">
        <v>29960</v>
      </c>
      <c r="C277" s="33">
        <v>29909</v>
      </c>
      <c r="D277" s="2">
        <v>830</v>
      </c>
      <c r="E277" s="3">
        <v>845</v>
      </c>
      <c r="F277" s="4">
        <v>0</v>
      </c>
      <c r="G277" s="5">
        <v>0</v>
      </c>
    </row>
    <row r="278" spans="1:7" x14ac:dyDescent="0.25">
      <c r="A278" s="1">
        <f t="shared" ca="1" si="4"/>
        <v>12685</v>
      </c>
      <c r="B278" s="32">
        <v>30012</v>
      </c>
      <c r="C278" s="33">
        <v>29917</v>
      </c>
      <c r="D278" s="2">
        <v>830</v>
      </c>
      <c r="E278" s="3">
        <v>850</v>
      </c>
      <c r="F278" s="4">
        <v>0</v>
      </c>
      <c r="G278" s="5">
        <v>0</v>
      </c>
    </row>
    <row r="279" spans="1:7" x14ac:dyDescent="0.25">
      <c r="A279" s="1">
        <f t="shared" ca="1" si="4"/>
        <v>12686</v>
      </c>
      <c r="B279" s="32">
        <v>29982</v>
      </c>
      <c r="C279" s="33">
        <v>29885</v>
      </c>
      <c r="D279" s="2">
        <v>830</v>
      </c>
      <c r="E279" s="3">
        <v>860</v>
      </c>
      <c r="F279" s="4">
        <v>0</v>
      </c>
      <c r="G279" s="5">
        <v>0</v>
      </c>
    </row>
    <row r="280" spans="1:7" x14ac:dyDescent="0.25">
      <c r="A280" s="1">
        <f t="shared" ca="1" si="4"/>
        <v>12687</v>
      </c>
      <c r="B280" s="32">
        <v>29963</v>
      </c>
      <c r="C280" s="33">
        <v>29835</v>
      </c>
      <c r="D280" s="2">
        <v>830</v>
      </c>
      <c r="E280" s="3">
        <v>860</v>
      </c>
      <c r="F280" s="4">
        <v>22</v>
      </c>
      <c r="G280" s="5">
        <v>0</v>
      </c>
    </row>
    <row r="281" spans="1:7" x14ac:dyDescent="0.25">
      <c r="A281" s="1">
        <f t="shared" ca="1" si="4"/>
        <v>12688</v>
      </c>
      <c r="B281" s="32">
        <v>29931</v>
      </c>
      <c r="C281" s="33">
        <v>29865</v>
      </c>
      <c r="D281" s="2">
        <v>835</v>
      </c>
      <c r="E281" s="3">
        <v>860</v>
      </c>
      <c r="F281" s="4">
        <v>0</v>
      </c>
      <c r="G281" s="5">
        <v>0</v>
      </c>
    </row>
    <row r="282" spans="1:7" x14ac:dyDescent="0.25">
      <c r="A282" s="1">
        <f t="shared" ca="1" si="4"/>
        <v>12689</v>
      </c>
      <c r="B282" s="32">
        <v>29959</v>
      </c>
      <c r="C282" s="33">
        <v>29883</v>
      </c>
      <c r="D282" s="2">
        <v>840</v>
      </c>
      <c r="E282" s="3">
        <v>865</v>
      </c>
      <c r="F282" s="4">
        <v>0</v>
      </c>
      <c r="G282" s="5">
        <v>0</v>
      </c>
    </row>
    <row r="283" spans="1:7" x14ac:dyDescent="0.25">
      <c r="A283" s="1">
        <f t="shared" ca="1" si="4"/>
        <v>12690</v>
      </c>
      <c r="B283" s="32">
        <v>29941</v>
      </c>
      <c r="C283" s="33">
        <v>29843</v>
      </c>
      <c r="D283" s="2">
        <v>835</v>
      </c>
      <c r="E283" s="3">
        <v>865</v>
      </c>
      <c r="F283" s="4">
        <v>0</v>
      </c>
      <c r="G283" s="5">
        <v>0</v>
      </c>
    </row>
    <row r="284" spans="1:7" x14ac:dyDescent="0.25">
      <c r="A284" s="1">
        <f t="shared" ca="1" si="4"/>
        <v>12691</v>
      </c>
      <c r="B284" s="32">
        <v>29959</v>
      </c>
      <c r="C284" s="33">
        <v>29875</v>
      </c>
      <c r="D284" s="2">
        <v>840</v>
      </c>
      <c r="E284" s="3">
        <v>860</v>
      </c>
      <c r="F284" s="4">
        <v>0</v>
      </c>
      <c r="G284" s="5">
        <v>0</v>
      </c>
    </row>
    <row r="285" spans="1:7" x14ac:dyDescent="0.25">
      <c r="A285" s="1">
        <f t="shared" ca="1" si="4"/>
        <v>12692</v>
      </c>
      <c r="B285" s="32">
        <v>29980</v>
      </c>
      <c r="C285" s="33">
        <v>29882</v>
      </c>
      <c r="D285" s="2">
        <v>835</v>
      </c>
      <c r="E285" s="3">
        <v>870</v>
      </c>
      <c r="F285" s="4">
        <v>0</v>
      </c>
      <c r="G285" s="5">
        <v>0</v>
      </c>
    </row>
    <row r="286" spans="1:7" x14ac:dyDescent="0.25">
      <c r="A286" s="1" t="str">
        <f t="shared" ca="1" si="4"/>
        <v>Totaal</v>
      </c>
      <c r="B286" s="34">
        <f>IF(COUNT(B256:B285)&gt;0,AVERAGE(B256:B285)/1000,"")</f>
        <v>29.956966666666666</v>
      </c>
      <c r="C286" s="35">
        <f>IF(COUNT(C256:C285)&gt;0,AVERAGE(C256:C285)/1000,"")</f>
        <v>29.871066666666664</v>
      </c>
      <c r="D286" s="36">
        <f>IF(COUNT(D256:D285)&gt;0,AVERAGE(D256:D285)/10,"")</f>
        <v>83.55</v>
      </c>
      <c r="E286" s="37">
        <f>IF(COUNT(E256:E285)&gt;0,AVERAGE(E256:E285)/10,"")</f>
        <v>86.1</v>
      </c>
      <c r="F286" s="22">
        <f>SUM(F256:F285)/10</f>
        <v>8.6999999999999993</v>
      </c>
      <c r="G286" s="23">
        <f>SUM(G256:G285)/10</f>
        <v>14.1</v>
      </c>
    </row>
    <row r="287" spans="1:7" x14ac:dyDescent="0.25">
      <c r="A287" s="1">
        <f t="shared" ca="1" si="4"/>
        <v>12693</v>
      </c>
      <c r="B287" s="32">
        <v>29929</v>
      </c>
      <c r="C287" s="33">
        <v>29812</v>
      </c>
      <c r="D287" s="2">
        <v>845</v>
      </c>
      <c r="E287" s="3">
        <v>870</v>
      </c>
      <c r="F287" s="4">
        <v>0</v>
      </c>
      <c r="G287" s="5">
        <v>0</v>
      </c>
    </row>
    <row r="288" spans="1:7" x14ac:dyDescent="0.25">
      <c r="A288" s="1">
        <f t="shared" ca="1" si="4"/>
        <v>12694</v>
      </c>
      <c r="B288" s="32">
        <v>29949</v>
      </c>
      <c r="C288" s="33">
        <v>29812</v>
      </c>
      <c r="D288" s="2">
        <v>845</v>
      </c>
      <c r="E288" s="3">
        <v>870</v>
      </c>
      <c r="F288" s="4">
        <v>0</v>
      </c>
      <c r="G288" s="5">
        <v>0</v>
      </c>
    </row>
    <row r="289" spans="1:7" x14ac:dyDescent="0.25">
      <c r="A289" s="1">
        <f t="shared" ca="1" si="4"/>
        <v>12695</v>
      </c>
      <c r="B289" s="32">
        <v>29950</v>
      </c>
      <c r="C289" s="33">
        <v>29831</v>
      </c>
      <c r="D289" s="2">
        <v>840</v>
      </c>
      <c r="E289" s="3">
        <v>875</v>
      </c>
      <c r="F289" s="4">
        <v>0</v>
      </c>
      <c r="G289" s="5">
        <v>0</v>
      </c>
    </row>
    <row r="290" spans="1:7" x14ac:dyDescent="0.25">
      <c r="A290" s="1">
        <f t="shared" ca="1" si="4"/>
        <v>12696</v>
      </c>
      <c r="B290" s="32">
        <v>29955</v>
      </c>
      <c r="C290" s="33">
        <v>29847</v>
      </c>
      <c r="D290" s="2">
        <v>820</v>
      </c>
      <c r="E290" s="3">
        <v>850</v>
      </c>
      <c r="F290" s="4">
        <v>95</v>
      </c>
      <c r="G290" s="5">
        <v>187</v>
      </c>
    </row>
    <row r="291" spans="1:7" x14ac:dyDescent="0.25">
      <c r="A291" s="1">
        <f t="shared" ca="1" si="4"/>
        <v>12697</v>
      </c>
      <c r="B291" s="32">
        <v>29999</v>
      </c>
      <c r="C291" s="33">
        <v>29882</v>
      </c>
      <c r="D291" s="2">
        <v>840</v>
      </c>
      <c r="E291" s="3">
        <v>870</v>
      </c>
      <c r="F291" s="4">
        <v>0</v>
      </c>
      <c r="G291" s="5">
        <v>0</v>
      </c>
    </row>
    <row r="292" spans="1:7" x14ac:dyDescent="0.25">
      <c r="A292" s="1">
        <f t="shared" ca="1" si="4"/>
        <v>12698</v>
      </c>
      <c r="B292" s="32">
        <v>29999</v>
      </c>
      <c r="C292" s="33">
        <v>29912</v>
      </c>
      <c r="D292" s="2">
        <v>840</v>
      </c>
      <c r="E292" s="3">
        <v>870</v>
      </c>
      <c r="F292" s="4">
        <v>0</v>
      </c>
      <c r="G292" s="5">
        <v>0</v>
      </c>
    </row>
    <row r="293" spans="1:7" x14ac:dyDescent="0.25">
      <c r="A293" s="1">
        <f t="shared" ca="1" si="4"/>
        <v>12699</v>
      </c>
      <c r="B293" s="32">
        <v>29980</v>
      </c>
      <c r="C293" s="33">
        <v>29905</v>
      </c>
      <c r="D293" s="2">
        <v>835</v>
      </c>
      <c r="E293" s="3">
        <v>860</v>
      </c>
      <c r="F293" s="4">
        <v>0</v>
      </c>
      <c r="G293" s="5">
        <v>0</v>
      </c>
    </row>
    <row r="294" spans="1:7" x14ac:dyDescent="0.25">
      <c r="A294" s="1">
        <f t="shared" ca="1" si="4"/>
        <v>12700</v>
      </c>
      <c r="B294" s="32">
        <v>30000</v>
      </c>
      <c r="C294" s="33">
        <v>29885</v>
      </c>
      <c r="D294" s="2">
        <v>835</v>
      </c>
      <c r="E294" s="3">
        <v>860</v>
      </c>
      <c r="F294" s="4">
        <v>23</v>
      </c>
      <c r="G294" s="5">
        <v>15</v>
      </c>
    </row>
    <row r="295" spans="1:7" x14ac:dyDescent="0.25">
      <c r="A295" s="1">
        <f t="shared" ca="1" si="4"/>
        <v>12701</v>
      </c>
      <c r="B295" s="32">
        <v>29959</v>
      </c>
      <c r="C295" s="33">
        <v>29865</v>
      </c>
      <c r="D295" s="2">
        <v>840</v>
      </c>
      <c r="E295" s="3">
        <v>860</v>
      </c>
      <c r="F295" s="4">
        <v>0</v>
      </c>
      <c r="G295" s="5">
        <v>0</v>
      </c>
    </row>
    <row r="296" spans="1:7" x14ac:dyDescent="0.25">
      <c r="A296" s="1">
        <f t="shared" ca="1" si="4"/>
        <v>12702</v>
      </c>
      <c r="B296" s="32">
        <v>29980</v>
      </c>
      <c r="C296" s="33">
        <v>29886</v>
      </c>
      <c r="D296" s="2">
        <v>835</v>
      </c>
      <c r="E296" s="3">
        <v>855</v>
      </c>
      <c r="F296" s="4">
        <v>0</v>
      </c>
      <c r="G296" s="5">
        <v>0</v>
      </c>
    </row>
    <row r="297" spans="1:7" x14ac:dyDescent="0.25">
      <c r="A297" s="1">
        <f t="shared" ca="1" si="4"/>
        <v>12703</v>
      </c>
      <c r="B297" s="32">
        <v>29950</v>
      </c>
      <c r="C297" s="33">
        <v>29833</v>
      </c>
      <c r="D297" s="2">
        <v>840</v>
      </c>
      <c r="E297" s="3">
        <v>865</v>
      </c>
      <c r="F297" s="4">
        <v>0</v>
      </c>
      <c r="G297" s="5">
        <v>0</v>
      </c>
    </row>
    <row r="298" spans="1:7" x14ac:dyDescent="0.25">
      <c r="A298" s="1">
        <f t="shared" ca="1" si="4"/>
        <v>12704</v>
      </c>
      <c r="B298" s="32">
        <v>29891</v>
      </c>
      <c r="C298" s="33">
        <v>29752</v>
      </c>
      <c r="D298" s="2">
        <v>835</v>
      </c>
      <c r="E298" s="3">
        <v>870</v>
      </c>
      <c r="F298" s="4">
        <v>10</v>
      </c>
      <c r="G298" s="5">
        <v>0</v>
      </c>
    </row>
    <row r="299" spans="1:7" x14ac:dyDescent="0.25">
      <c r="A299" s="1">
        <f t="shared" ca="1" si="4"/>
        <v>12705</v>
      </c>
      <c r="B299" s="32">
        <v>29943</v>
      </c>
      <c r="C299" s="33">
        <v>29805</v>
      </c>
      <c r="D299" s="2">
        <v>830</v>
      </c>
      <c r="E299" s="3">
        <v>860</v>
      </c>
      <c r="F299" s="4">
        <v>213</v>
      </c>
      <c r="G299" s="5">
        <v>233</v>
      </c>
    </row>
    <row r="300" spans="1:7" x14ac:dyDescent="0.25">
      <c r="A300" s="1">
        <f t="shared" ca="1" si="4"/>
        <v>12706</v>
      </c>
      <c r="B300" s="32">
        <v>29940</v>
      </c>
      <c r="C300" s="33">
        <v>29835</v>
      </c>
      <c r="D300" s="2">
        <v>840</v>
      </c>
      <c r="E300" s="3">
        <v>860</v>
      </c>
      <c r="F300" s="4">
        <v>0</v>
      </c>
      <c r="G300" s="5">
        <v>0</v>
      </c>
    </row>
    <row r="301" spans="1:7" x14ac:dyDescent="0.25">
      <c r="A301" s="1">
        <f t="shared" ca="1" si="4"/>
        <v>12707</v>
      </c>
      <c r="B301" s="32">
        <v>29910</v>
      </c>
      <c r="C301" s="33">
        <v>29815</v>
      </c>
      <c r="D301" s="2">
        <v>840</v>
      </c>
      <c r="E301" s="3">
        <v>860</v>
      </c>
      <c r="F301" s="4">
        <v>0</v>
      </c>
      <c r="G301" s="5">
        <v>0</v>
      </c>
    </row>
    <row r="302" spans="1:7" x14ac:dyDescent="0.25">
      <c r="A302" s="1">
        <f t="shared" ca="1" si="4"/>
        <v>12708</v>
      </c>
      <c r="B302" s="32">
        <v>29930</v>
      </c>
      <c r="C302" s="33">
        <v>29835</v>
      </c>
      <c r="D302" s="2">
        <v>840</v>
      </c>
      <c r="E302" s="3">
        <v>860</v>
      </c>
      <c r="F302" s="4">
        <v>0</v>
      </c>
      <c r="G302" s="5">
        <v>32</v>
      </c>
    </row>
    <row r="303" spans="1:7" x14ac:dyDescent="0.25">
      <c r="A303" s="1">
        <f t="shared" ca="1" si="4"/>
        <v>12709</v>
      </c>
      <c r="B303" s="32">
        <v>29940</v>
      </c>
      <c r="C303" s="33">
        <v>29845</v>
      </c>
      <c r="D303" s="2">
        <v>840</v>
      </c>
      <c r="E303" s="3">
        <v>860</v>
      </c>
      <c r="F303" s="4">
        <v>0</v>
      </c>
      <c r="G303" s="5">
        <v>0</v>
      </c>
    </row>
    <row r="304" spans="1:7" x14ac:dyDescent="0.25">
      <c r="A304" s="1">
        <f t="shared" ca="1" si="4"/>
        <v>12710</v>
      </c>
      <c r="B304" s="32">
        <v>29910</v>
      </c>
      <c r="C304" s="33">
        <v>29825</v>
      </c>
      <c r="D304" s="2">
        <v>840</v>
      </c>
      <c r="E304" s="3">
        <v>860</v>
      </c>
      <c r="F304" s="4">
        <v>23</v>
      </c>
      <c r="G304" s="5">
        <v>35</v>
      </c>
    </row>
    <row r="305" spans="1:7" x14ac:dyDescent="0.25">
      <c r="A305" s="1">
        <f t="shared" ca="1" si="4"/>
        <v>12711</v>
      </c>
      <c r="B305" s="32">
        <v>29920</v>
      </c>
      <c r="C305" s="33">
        <v>29845</v>
      </c>
      <c r="D305" s="2">
        <v>840</v>
      </c>
      <c r="E305" s="3">
        <v>860</v>
      </c>
      <c r="F305" s="4">
        <v>0</v>
      </c>
      <c r="G305" s="5">
        <v>55</v>
      </c>
    </row>
    <row r="306" spans="1:7" x14ac:dyDescent="0.25">
      <c r="A306" s="1">
        <f t="shared" ca="1" si="4"/>
        <v>12712</v>
      </c>
      <c r="B306" s="32">
        <v>29945</v>
      </c>
      <c r="C306" s="33">
        <v>29857</v>
      </c>
      <c r="D306" s="2">
        <v>820</v>
      </c>
      <c r="E306" s="3">
        <v>850</v>
      </c>
      <c r="F306" s="4">
        <v>93</v>
      </c>
      <c r="G306" s="5">
        <v>314</v>
      </c>
    </row>
    <row r="307" spans="1:7" x14ac:dyDescent="0.25">
      <c r="A307" s="1">
        <f t="shared" ca="1" si="4"/>
        <v>12713</v>
      </c>
      <c r="B307" s="32">
        <v>29954</v>
      </c>
      <c r="C307" s="33">
        <v>29845</v>
      </c>
      <c r="D307" s="2">
        <v>825</v>
      </c>
      <c r="E307" s="3">
        <v>860</v>
      </c>
      <c r="F307" s="4">
        <v>0</v>
      </c>
      <c r="G307" s="5">
        <v>0</v>
      </c>
    </row>
    <row r="308" spans="1:7" x14ac:dyDescent="0.25">
      <c r="A308" s="1">
        <f t="shared" ca="1" si="4"/>
        <v>12714</v>
      </c>
      <c r="B308" s="32">
        <v>29931</v>
      </c>
      <c r="C308" s="33">
        <v>29817</v>
      </c>
      <c r="D308" s="2">
        <v>835</v>
      </c>
      <c r="E308" s="3">
        <v>850</v>
      </c>
      <c r="F308" s="4">
        <v>0</v>
      </c>
      <c r="G308" s="5">
        <v>0</v>
      </c>
    </row>
    <row r="309" spans="1:7" x14ac:dyDescent="0.25">
      <c r="A309" s="1">
        <f t="shared" ca="1" si="4"/>
        <v>12715</v>
      </c>
      <c r="B309" s="32">
        <v>29923</v>
      </c>
      <c r="C309" s="33">
        <v>29789</v>
      </c>
      <c r="D309" s="2">
        <v>830</v>
      </c>
      <c r="E309" s="3">
        <v>845</v>
      </c>
      <c r="F309" s="4">
        <v>0</v>
      </c>
      <c r="G309" s="5">
        <v>0</v>
      </c>
    </row>
    <row r="310" spans="1:7" x14ac:dyDescent="0.25">
      <c r="A310" s="1">
        <f t="shared" ca="1" si="4"/>
        <v>12716</v>
      </c>
      <c r="B310" s="32">
        <v>29891</v>
      </c>
      <c r="C310" s="33">
        <v>29802</v>
      </c>
      <c r="D310" s="2">
        <v>835</v>
      </c>
      <c r="E310" s="3">
        <v>870</v>
      </c>
      <c r="F310" s="4">
        <v>0</v>
      </c>
      <c r="G310" s="5">
        <v>0</v>
      </c>
    </row>
    <row r="311" spans="1:7" x14ac:dyDescent="0.25">
      <c r="A311" s="1">
        <f t="shared" ca="1" si="4"/>
        <v>12717</v>
      </c>
      <c r="B311" s="32">
        <v>29940</v>
      </c>
      <c r="C311" s="33">
        <v>29883</v>
      </c>
      <c r="D311" s="2">
        <v>840</v>
      </c>
      <c r="E311" s="3">
        <v>865</v>
      </c>
      <c r="F311" s="4">
        <v>0</v>
      </c>
      <c r="G311" s="5">
        <v>0</v>
      </c>
    </row>
    <row r="312" spans="1:7" x14ac:dyDescent="0.25">
      <c r="A312" s="1">
        <f t="shared" ca="1" si="4"/>
        <v>12718</v>
      </c>
      <c r="B312" s="32">
        <v>30008</v>
      </c>
      <c r="C312" s="33">
        <v>29913</v>
      </c>
      <c r="D312" s="2">
        <v>845</v>
      </c>
      <c r="E312" s="3">
        <v>865</v>
      </c>
      <c r="F312" s="4">
        <v>0</v>
      </c>
      <c r="G312" s="5">
        <v>0</v>
      </c>
    </row>
    <row r="313" spans="1:7" x14ac:dyDescent="0.25">
      <c r="A313" s="1">
        <f t="shared" ca="1" si="4"/>
        <v>12719</v>
      </c>
      <c r="B313" s="32">
        <v>30009</v>
      </c>
      <c r="C313" s="33">
        <v>29906</v>
      </c>
      <c r="D313" s="2">
        <v>840</v>
      </c>
      <c r="E313" s="3">
        <v>850</v>
      </c>
      <c r="F313" s="4">
        <v>0</v>
      </c>
      <c r="G313" s="5">
        <v>0</v>
      </c>
    </row>
    <row r="314" spans="1:7" x14ac:dyDescent="0.25">
      <c r="A314" s="1">
        <f t="shared" ca="1" si="4"/>
        <v>12720</v>
      </c>
      <c r="B314" s="32">
        <v>29963</v>
      </c>
      <c r="C314" s="33">
        <v>29889</v>
      </c>
      <c r="D314" s="2">
        <v>825</v>
      </c>
      <c r="E314" s="3">
        <v>840</v>
      </c>
      <c r="F314" s="4">
        <v>0</v>
      </c>
      <c r="G314" s="5">
        <v>0</v>
      </c>
    </row>
    <row r="315" spans="1:7" x14ac:dyDescent="0.25">
      <c r="A315" s="1">
        <f t="shared" ca="1" si="4"/>
        <v>12721</v>
      </c>
      <c r="B315" s="32">
        <v>30000</v>
      </c>
      <c r="C315" s="33">
        <v>29905</v>
      </c>
      <c r="D315" s="2">
        <v>835</v>
      </c>
      <c r="E315" s="3">
        <v>860</v>
      </c>
      <c r="F315" s="4">
        <v>0</v>
      </c>
      <c r="G315" s="5">
        <v>0</v>
      </c>
    </row>
    <row r="316" spans="1:7" x14ac:dyDescent="0.25">
      <c r="A316" s="1">
        <f t="shared" ca="1" si="4"/>
        <v>12722</v>
      </c>
      <c r="B316" s="32">
        <v>30030</v>
      </c>
      <c r="C316" s="33">
        <v>29935</v>
      </c>
      <c r="D316" s="2">
        <v>835</v>
      </c>
      <c r="E316" s="3">
        <v>860</v>
      </c>
      <c r="F316" s="4">
        <v>0</v>
      </c>
      <c r="G316" s="5">
        <v>0</v>
      </c>
    </row>
    <row r="317" spans="1:7" x14ac:dyDescent="0.25">
      <c r="A317" s="1">
        <f t="shared" ca="1" si="4"/>
        <v>12723</v>
      </c>
      <c r="B317" s="32">
        <v>30009</v>
      </c>
      <c r="C317" s="33">
        <v>29915</v>
      </c>
      <c r="D317" s="2">
        <v>840</v>
      </c>
      <c r="E317" s="3">
        <v>860</v>
      </c>
      <c r="F317" s="4">
        <v>0</v>
      </c>
      <c r="G317" s="5">
        <v>0</v>
      </c>
    </row>
    <row r="318" spans="1:7" x14ac:dyDescent="0.25">
      <c r="A318" s="1" t="str">
        <f t="shared" ca="1" si="4"/>
        <v>Totaal</v>
      </c>
      <c r="B318" s="34">
        <f>IF(COUNT(B287:B317)&gt;0,AVERAGE(B287:B317)/1000,"")</f>
        <v>29.956032258064514</v>
      </c>
      <c r="C318" s="35">
        <f>IF(COUNT(C287:C317)&gt;0,AVERAGE(C287:C317)/1000,"")</f>
        <v>29.854290322580646</v>
      </c>
      <c r="D318" s="36">
        <f>IF(COUNT(D287:D317)&gt;0,AVERAGE(D287:D317)/10,"")</f>
        <v>83.629032258064512</v>
      </c>
      <c r="E318" s="37">
        <f>IF(COUNT(E287:E317)&gt;0,AVERAGE(E287:E317)/10,"")</f>
        <v>86.032258064516128</v>
      </c>
      <c r="F318" s="22">
        <f>SUM(F287:F317)/10</f>
        <v>45.7</v>
      </c>
      <c r="G318" s="23">
        <f>SUM(G287:G317)/10</f>
        <v>87.1</v>
      </c>
    </row>
    <row r="319" spans="1:7" x14ac:dyDescent="0.25">
      <c r="A319" s="1">
        <f t="shared" ca="1" si="4"/>
        <v>12724</v>
      </c>
      <c r="B319" s="32">
        <v>29969</v>
      </c>
      <c r="C319" s="33">
        <v>29875</v>
      </c>
      <c r="D319" s="2">
        <v>840</v>
      </c>
      <c r="E319" s="3">
        <v>860</v>
      </c>
      <c r="F319" s="4">
        <v>0</v>
      </c>
      <c r="G319" s="5">
        <v>42</v>
      </c>
    </row>
    <row r="320" spans="1:7" x14ac:dyDescent="0.25">
      <c r="A320" s="1">
        <f t="shared" ca="1" si="4"/>
        <v>12725</v>
      </c>
      <c r="B320" s="32">
        <v>29950</v>
      </c>
      <c r="C320" s="33">
        <v>29866</v>
      </c>
      <c r="D320" s="2">
        <v>840</v>
      </c>
      <c r="E320" s="3">
        <v>855</v>
      </c>
      <c r="F320" s="4">
        <v>0</v>
      </c>
      <c r="G320" s="5">
        <v>0</v>
      </c>
    </row>
    <row r="321" spans="1:7" x14ac:dyDescent="0.25">
      <c r="A321" s="1">
        <f t="shared" ca="1" si="4"/>
        <v>12726</v>
      </c>
      <c r="B321" s="32">
        <v>29943</v>
      </c>
      <c r="C321" s="33">
        <v>29855</v>
      </c>
      <c r="D321" s="2">
        <v>830</v>
      </c>
      <c r="E321" s="3">
        <v>860</v>
      </c>
      <c r="F321" s="4">
        <v>30</v>
      </c>
      <c r="G321" s="5">
        <v>0</v>
      </c>
    </row>
    <row r="322" spans="1:7" x14ac:dyDescent="0.25">
      <c r="A322" s="1">
        <f t="shared" ca="1" si="4"/>
        <v>12727</v>
      </c>
      <c r="B322" s="32">
        <v>29962</v>
      </c>
      <c r="C322" s="33">
        <v>29867</v>
      </c>
      <c r="D322" s="2">
        <v>830</v>
      </c>
      <c r="E322" s="3">
        <v>850</v>
      </c>
      <c r="F322" s="4">
        <v>0</v>
      </c>
      <c r="G322" s="5">
        <v>0</v>
      </c>
    </row>
    <row r="323" spans="1:7" x14ac:dyDescent="0.25">
      <c r="A323" s="1">
        <f t="shared" ca="1" si="4"/>
        <v>12728</v>
      </c>
      <c r="B323" s="32">
        <v>29980</v>
      </c>
      <c r="C323" s="33">
        <v>29879</v>
      </c>
      <c r="D323" s="2">
        <v>835</v>
      </c>
      <c r="E323" s="3">
        <v>845</v>
      </c>
      <c r="F323" s="4">
        <v>47</v>
      </c>
      <c r="G323" s="5">
        <v>58</v>
      </c>
    </row>
    <row r="324" spans="1:7" x14ac:dyDescent="0.25">
      <c r="A324" s="1">
        <f t="shared" ca="1" si="4"/>
        <v>12729</v>
      </c>
      <c r="B324" s="32">
        <v>29943</v>
      </c>
      <c r="C324" s="33">
        <v>29845</v>
      </c>
      <c r="D324" s="2">
        <v>830</v>
      </c>
      <c r="E324" s="3">
        <v>860</v>
      </c>
      <c r="F324" s="4">
        <v>0</v>
      </c>
      <c r="G324" s="5">
        <v>0</v>
      </c>
    </row>
    <row r="325" spans="1:7" x14ac:dyDescent="0.25">
      <c r="A325" s="1">
        <f t="shared" ca="1" si="4"/>
        <v>12730</v>
      </c>
      <c r="B325" s="32">
        <v>29913</v>
      </c>
      <c r="C325" s="33">
        <v>29825</v>
      </c>
      <c r="D325" s="2">
        <v>830</v>
      </c>
      <c r="E325" s="3">
        <v>860</v>
      </c>
      <c r="F325" s="4">
        <v>0</v>
      </c>
      <c r="G325" s="5">
        <v>0</v>
      </c>
    </row>
    <row r="326" spans="1:7" x14ac:dyDescent="0.25">
      <c r="A326" s="1">
        <f t="shared" ca="1" si="4"/>
        <v>12731</v>
      </c>
      <c r="B326" s="32">
        <v>29931</v>
      </c>
      <c r="C326" s="33">
        <v>29846</v>
      </c>
      <c r="D326" s="2">
        <v>835</v>
      </c>
      <c r="E326" s="3">
        <v>855</v>
      </c>
      <c r="F326" s="4">
        <v>0</v>
      </c>
      <c r="G326" s="5">
        <v>0</v>
      </c>
    </row>
    <row r="327" spans="1:7" x14ac:dyDescent="0.25">
      <c r="A327" s="1">
        <f t="shared" ref="A327:A381" ca="1" si="5">IF(ISTEXT(A326),A325+1,IF(MONTH(A326+1)=MONTH(A326),A326+1,"Totaal"))</f>
        <v>12732</v>
      </c>
      <c r="B327" s="32">
        <v>29971</v>
      </c>
      <c r="C327" s="33">
        <v>29885</v>
      </c>
      <c r="D327" s="2">
        <v>835</v>
      </c>
      <c r="E327" s="3">
        <v>860</v>
      </c>
      <c r="F327" s="4">
        <v>0</v>
      </c>
      <c r="G327" s="5">
        <v>0</v>
      </c>
    </row>
    <row r="328" spans="1:7" x14ac:dyDescent="0.25">
      <c r="A328" s="1">
        <f t="shared" ca="1" si="5"/>
        <v>12733</v>
      </c>
      <c r="B328" s="32">
        <v>29992</v>
      </c>
      <c r="C328" s="33">
        <v>29883</v>
      </c>
      <c r="D328" s="2">
        <v>830</v>
      </c>
      <c r="E328" s="3">
        <v>865</v>
      </c>
      <c r="F328" s="4">
        <v>0</v>
      </c>
      <c r="G328" s="5">
        <v>0</v>
      </c>
    </row>
    <row r="329" spans="1:7" x14ac:dyDescent="0.25">
      <c r="A329" s="1">
        <f t="shared" ca="1" si="5"/>
        <v>12734</v>
      </c>
      <c r="B329" s="32">
        <v>29953</v>
      </c>
      <c r="C329" s="33">
        <v>29826</v>
      </c>
      <c r="D329" s="2">
        <v>830</v>
      </c>
      <c r="E329" s="3">
        <v>855</v>
      </c>
      <c r="F329" s="4">
        <v>0</v>
      </c>
      <c r="G329" s="5">
        <v>0</v>
      </c>
    </row>
    <row r="330" spans="1:7" x14ac:dyDescent="0.25">
      <c r="A330" s="1">
        <f t="shared" ca="1" si="5"/>
        <v>12735</v>
      </c>
      <c r="B330" s="32">
        <v>29931</v>
      </c>
      <c r="C330" s="33">
        <v>29823</v>
      </c>
      <c r="D330" s="2">
        <v>835</v>
      </c>
      <c r="E330" s="3">
        <v>865</v>
      </c>
      <c r="F330" s="4">
        <v>0</v>
      </c>
      <c r="G330" s="5">
        <v>0</v>
      </c>
    </row>
    <row r="331" spans="1:7" x14ac:dyDescent="0.25">
      <c r="A331" s="1">
        <f t="shared" ca="1" si="5"/>
        <v>12736</v>
      </c>
      <c r="B331" s="32">
        <v>29941</v>
      </c>
      <c r="C331" s="33">
        <v>29826</v>
      </c>
      <c r="D331" s="2">
        <v>835</v>
      </c>
      <c r="E331" s="3">
        <v>855</v>
      </c>
      <c r="F331" s="4">
        <v>0</v>
      </c>
      <c r="G331" s="5">
        <v>0</v>
      </c>
    </row>
    <row r="332" spans="1:7" x14ac:dyDescent="0.25">
      <c r="A332" s="1">
        <f t="shared" ca="1" si="5"/>
        <v>12737</v>
      </c>
      <c r="B332" s="32">
        <v>29931</v>
      </c>
      <c r="C332" s="33">
        <v>29815</v>
      </c>
      <c r="D332" s="2">
        <v>835</v>
      </c>
      <c r="E332" s="3">
        <v>860</v>
      </c>
      <c r="F332" s="4">
        <v>0</v>
      </c>
      <c r="G332" s="5">
        <v>0</v>
      </c>
    </row>
    <row r="333" spans="1:7" x14ac:dyDescent="0.25">
      <c r="A333" s="1">
        <f t="shared" ca="1" si="5"/>
        <v>12738</v>
      </c>
      <c r="B333" s="32">
        <v>29931</v>
      </c>
      <c r="C333" s="33">
        <v>29829</v>
      </c>
      <c r="D333" s="2">
        <v>835</v>
      </c>
      <c r="E333" s="3">
        <v>845</v>
      </c>
      <c r="F333" s="4">
        <v>0</v>
      </c>
      <c r="G333" s="5">
        <v>13</v>
      </c>
    </row>
    <row r="334" spans="1:7" x14ac:dyDescent="0.25">
      <c r="A334" s="1">
        <f t="shared" ca="1" si="5"/>
        <v>12739</v>
      </c>
      <c r="B334" s="32">
        <v>29943</v>
      </c>
      <c r="C334" s="33">
        <v>29857</v>
      </c>
      <c r="D334" s="2">
        <v>830</v>
      </c>
      <c r="E334" s="3">
        <v>850</v>
      </c>
      <c r="F334" s="4">
        <v>0</v>
      </c>
      <c r="G334" s="5">
        <v>0</v>
      </c>
    </row>
    <row r="335" spans="1:7" x14ac:dyDescent="0.25">
      <c r="A335" s="1">
        <f t="shared" ca="1" si="5"/>
        <v>12740</v>
      </c>
      <c r="B335" s="32">
        <v>29954</v>
      </c>
      <c r="C335" s="33">
        <v>29849</v>
      </c>
      <c r="D335" s="2">
        <v>825</v>
      </c>
      <c r="E335" s="3">
        <v>845</v>
      </c>
      <c r="F335" s="4">
        <v>0</v>
      </c>
      <c r="G335" s="5">
        <v>0</v>
      </c>
    </row>
    <row r="336" spans="1:7" x14ac:dyDescent="0.25">
      <c r="A336" s="1">
        <f t="shared" ca="1" si="5"/>
        <v>12741</v>
      </c>
      <c r="B336" s="32">
        <v>29943</v>
      </c>
      <c r="C336" s="33">
        <v>29845</v>
      </c>
      <c r="D336" s="2">
        <v>830</v>
      </c>
      <c r="E336" s="3">
        <v>860</v>
      </c>
      <c r="F336" s="4">
        <v>11</v>
      </c>
      <c r="G336" s="5">
        <v>87</v>
      </c>
    </row>
    <row r="337" spans="1:7" x14ac:dyDescent="0.25">
      <c r="A337" s="1">
        <f t="shared" ca="1" si="5"/>
        <v>12742</v>
      </c>
      <c r="B337" s="32">
        <v>29933</v>
      </c>
      <c r="C337" s="33">
        <v>29827</v>
      </c>
      <c r="D337" s="2">
        <v>830</v>
      </c>
      <c r="E337" s="3">
        <v>850</v>
      </c>
      <c r="F337" s="4">
        <v>0</v>
      </c>
      <c r="G337" s="5">
        <v>35</v>
      </c>
    </row>
    <row r="338" spans="1:7" x14ac:dyDescent="0.25">
      <c r="A338" s="1">
        <f t="shared" ca="1" si="5"/>
        <v>12743</v>
      </c>
      <c r="B338" s="32">
        <v>29905</v>
      </c>
      <c r="C338" s="33">
        <v>29810</v>
      </c>
      <c r="D338" s="2">
        <v>820</v>
      </c>
      <c r="E338" s="3">
        <v>840</v>
      </c>
      <c r="F338" s="4">
        <v>82</v>
      </c>
      <c r="G338" s="5">
        <v>184</v>
      </c>
    </row>
    <row r="339" spans="1:7" x14ac:dyDescent="0.25">
      <c r="A339" s="1">
        <f t="shared" ca="1" si="5"/>
        <v>12744</v>
      </c>
      <c r="B339" s="32">
        <v>29894</v>
      </c>
      <c r="C339" s="33">
        <v>29799</v>
      </c>
      <c r="D339" s="2">
        <v>825</v>
      </c>
      <c r="E339" s="3">
        <v>845</v>
      </c>
      <c r="F339" s="4">
        <v>0</v>
      </c>
      <c r="G339" s="5">
        <v>471</v>
      </c>
    </row>
    <row r="340" spans="1:7" x14ac:dyDescent="0.25">
      <c r="A340" s="1">
        <f t="shared" ca="1" si="5"/>
        <v>12745</v>
      </c>
      <c r="B340" s="32">
        <v>29894</v>
      </c>
      <c r="C340" s="33">
        <v>29803</v>
      </c>
      <c r="D340" s="2">
        <v>825</v>
      </c>
      <c r="E340" s="3">
        <v>840</v>
      </c>
      <c r="F340" s="4">
        <v>215</v>
      </c>
      <c r="G340" s="5">
        <v>345</v>
      </c>
    </row>
    <row r="341" spans="1:7" x14ac:dyDescent="0.25">
      <c r="A341" s="1">
        <f t="shared" ca="1" si="5"/>
        <v>12746</v>
      </c>
      <c r="B341" s="32">
        <v>29915</v>
      </c>
      <c r="C341" s="33">
        <v>29815</v>
      </c>
      <c r="D341" s="2">
        <v>820</v>
      </c>
      <c r="E341" s="3">
        <v>820</v>
      </c>
      <c r="F341" s="4">
        <v>223</v>
      </c>
      <c r="G341" s="5">
        <v>0</v>
      </c>
    </row>
    <row r="342" spans="1:7" x14ac:dyDescent="0.25">
      <c r="A342" s="1">
        <f t="shared" ca="1" si="5"/>
        <v>12747</v>
      </c>
      <c r="B342" s="32">
        <v>29917</v>
      </c>
      <c r="C342" s="33">
        <v>29809</v>
      </c>
      <c r="D342" s="2">
        <v>815</v>
      </c>
      <c r="E342" s="3">
        <v>845</v>
      </c>
      <c r="F342" s="4">
        <v>20</v>
      </c>
      <c r="G342" s="5">
        <v>70</v>
      </c>
    </row>
    <row r="343" spans="1:7" x14ac:dyDescent="0.25">
      <c r="A343" s="1">
        <f t="shared" ca="1" si="5"/>
        <v>12748</v>
      </c>
      <c r="B343" s="32">
        <v>29914</v>
      </c>
      <c r="C343" s="33">
        <v>29815</v>
      </c>
      <c r="D343" s="2">
        <v>825</v>
      </c>
      <c r="E343" s="3">
        <v>820</v>
      </c>
      <c r="F343" s="4">
        <v>0</v>
      </c>
      <c r="G343" s="5">
        <v>0</v>
      </c>
    </row>
    <row r="344" spans="1:7" x14ac:dyDescent="0.25">
      <c r="A344" s="1">
        <f t="shared" ca="1" si="5"/>
        <v>12749</v>
      </c>
      <c r="B344" s="32">
        <v>29883</v>
      </c>
      <c r="C344" s="33">
        <v>29746</v>
      </c>
      <c r="D344" s="2">
        <v>790</v>
      </c>
      <c r="E344" s="3">
        <v>820</v>
      </c>
      <c r="F344" s="4">
        <v>70</v>
      </c>
      <c r="G344" s="5">
        <v>779</v>
      </c>
    </row>
    <row r="345" spans="1:7" x14ac:dyDescent="0.25">
      <c r="A345" s="1">
        <f t="shared" ca="1" si="5"/>
        <v>12750</v>
      </c>
      <c r="B345" s="32">
        <v>29839</v>
      </c>
      <c r="C345" s="33">
        <v>29746</v>
      </c>
      <c r="D345" s="2">
        <v>805</v>
      </c>
      <c r="E345" s="3">
        <v>820</v>
      </c>
      <c r="F345" s="4">
        <v>35</v>
      </c>
      <c r="G345" s="5">
        <v>36</v>
      </c>
    </row>
    <row r="346" spans="1:7" x14ac:dyDescent="0.25">
      <c r="A346" s="1">
        <f t="shared" ca="1" si="5"/>
        <v>12751</v>
      </c>
      <c r="B346" s="32">
        <v>29839</v>
      </c>
      <c r="C346" s="33">
        <v>29762</v>
      </c>
      <c r="D346" s="2">
        <v>805</v>
      </c>
      <c r="E346" s="3">
        <v>800</v>
      </c>
      <c r="F346" s="4">
        <v>156</v>
      </c>
      <c r="G346" s="5">
        <v>727</v>
      </c>
    </row>
    <row r="347" spans="1:7" x14ac:dyDescent="0.25">
      <c r="A347" s="1">
        <f t="shared" ca="1" si="5"/>
        <v>12752</v>
      </c>
      <c r="B347" s="32">
        <v>29871</v>
      </c>
      <c r="C347" s="33">
        <v>29771</v>
      </c>
      <c r="D347" s="2">
        <v>800</v>
      </c>
      <c r="E347" s="3">
        <v>800</v>
      </c>
      <c r="F347" s="4">
        <v>623</v>
      </c>
      <c r="G347" s="5">
        <v>846</v>
      </c>
    </row>
    <row r="348" spans="1:7" x14ac:dyDescent="0.25">
      <c r="A348" s="1">
        <f t="shared" ca="1" si="5"/>
        <v>12753</v>
      </c>
      <c r="B348" s="32">
        <v>29975</v>
      </c>
      <c r="C348" s="33">
        <v>29875</v>
      </c>
      <c r="D348" s="2">
        <v>780</v>
      </c>
      <c r="E348" s="3">
        <v>820</v>
      </c>
      <c r="F348" s="4">
        <v>56</v>
      </c>
      <c r="G348" s="5">
        <v>190</v>
      </c>
    </row>
    <row r="349" spans="1:7" x14ac:dyDescent="0.25">
      <c r="A349" s="1" t="str">
        <f t="shared" ca="1" si="5"/>
        <v>Totaal</v>
      </c>
      <c r="B349" s="34">
        <f>IF(COUNT(B319:B348)&gt;0,AVERAGE(B319:B348)/1000,"")</f>
        <v>29.928666666666668</v>
      </c>
      <c r="C349" s="35">
        <f>IF(COUNT(C319:C348)&gt;0,AVERAGE(C319:C348)/1000,"")</f>
        <v>29.829133333333335</v>
      </c>
      <c r="D349" s="36">
        <f>IF(COUNT(D319:D348)&gt;0,AVERAGE(D319:D348)/10,"")</f>
        <v>82.433333333333337</v>
      </c>
      <c r="E349" s="37">
        <f>IF(COUNT(E319:E348)&gt;0,AVERAGE(E319:E348)/10,"")</f>
        <v>84.416666666666657</v>
      </c>
      <c r="F349" s="22">
        <f>SUM(F319:F348)/10</f>
        <v>156.80000000000001</v>
      </c>
      <c r="G349" s="23">
        <f>SUM(G319:G348)/10</f>
        <v>388.3</v>
      </c>
    </row>
    <row r="350" spans="1:7" x14ac:dyDescent="0.25">
      <c r="A350" s="1">
        <f t="shared" ca="1" si="5"/>
        <v>12754</v>
      </c>
      <c r="B350" s="32">
        <v>29997</v>
      </c>
      <c r="C350" s="33">
        <v>29921</v>
      </c>
      <c r="D350" s="2">
        <v>810</v>
      </c>
      <c r="E350" s="3">
        <v>835</v>
      </c>
      <c r="F350" s="4">
        <v>13</v>
      </c>
      <c r="G350" s="5">
        <v>0</v>
      </c>
    </row>
    <row r="351" spans="1:7" x14ac:dyDescent="0.25">
      <c r="A351" s="1">
        <f t="shared" ca="1" si="5"/>
        <v>12755</v>
      </c>
      <c r="B351" s="32">
        <v>30027</v>
      </c>
      <c r="C351" s="33">
        <v>29941</v>
      </c>
      <c r="D351" s="2">
        <v>810</v>
      </c>
      <c r="E351" s="3">
        <v>835</v>
      </c>
      <c r="F351" s="4">
        <v>0</v>
      </c>
      <c r="G351" s="5">
        <v>0</v>
      </c>
    </row>
    <row r="352" spans="1:7" x14ac:dyDescent="0.25">
      <c r="A352" s="1">
        <f t="shared" ca="1" si="5"/>
        <v>12756</v>
      </c>
      <c r="B352" s="32">
        <v>30000</v>
      </c>
      <c r="C352" s="33">
        <v>29894</v>
      </c>
      <c r="D352" s="2">
        <v>800</v>
      </c>
      <c r="E352" s="3">
        <v>825</v>
      </c>
      <c r="F352" s="4">
        <v>85</v>
      </c>
      <c r="G352" s="5">
        <v>86</v>
      </c>
    </row>
    <row r="353" spans="1:7" x14ac:dyDescent="0.25">
      <c r="A353" s="1">
        <f t="shared" ca="1" si="5"/>
        <v>12757</v>
      </c>
      <c r="B353" s="32">
        <v>29967</v>
      </c>
      <c r="C353" s="33">
        <v>29867</v>
      </c>
      <c r="D353" s="2">
        <v>810</v>
      </c>
      <c r="E353" s="3">
        <v>850</v>
      </c>
      <c r="F353" s="4">
        <v>0</v>
      </c>
      <c r="G353" s="5">
        <v>25</v>
      </c>
    </row>
    <row r="354" spans="1:7" x14ac:dyDescent="0.25">
      <c r="A354" s="1">
        <f t="shared" ca="1" si="5"/>
        <v>12758</v>
      </c>
      <c r="B354" s="32">
        <v>29976</v>
      </c>
      <c r="C354" s="33">
        <v>29877</v>
      </c>
      <c r="D354" s="2">
        <v>815</v>
      </c>
      <c r="E354" s="3">
        <v>850</v>
      </c>
      <c r="F354" s="4">
        <v>0</v>
      </c>
      <c r="G354" s="5">
        <v>20</v>
      </c>
    </row>
    <row r="355" spans="1:7" x14ac:dyDescent="0.25">
      <c r="A355" s="1">
        <f t="shared" ca="1" si="5"/>
        <v>12759</v>
      </c>
      <c r="B355" s="32">
        <v>29974</v>
      </c>
      <c r="C355" s="33">
        <v>29869</v>
      </c>
      <c r="D355" s="2">
        <v>820</v>
      </c>
      <c r="E355" s="3">
        <v>845</v>
      </c>
      <c r="F355" s="4">
        <v>0</v>
      </c>
      <c r="G355" s="5">
        <v>30</v>
      </c>
    </row>
    <row r="356" spans="1:7" x14ac:dyDescent="0.25">
      <c r="A356" s="1">
        <f t="shared" ca="1" si="5"/>
        <v>12760</v>
      </c>
      <c r="B356" s="32">
        <v>29964</v>
      </c>
      <c r="C356" s="33">
        <v>29879</v>
      </c>
      <c r="D356" s="2">
        <v>820</v>
      </c>
      <c r="E356" s="3">
        <v>845</v>
      </c>
      <c r="F356" s="4">
        <v>0</v>
      </c>
      <c r="G356" s="5">
        <v>0</v>
      </c>
    </row>
    <row r="357" spans="1:7" x14ac:dyDescent="0.25">
      <c r="A357" s="1">
        <f t="shared" ca="1" si="5"/>
        <v>12761</v>
      </c>
      <c r="B357" s="32">
        <v>29964</v>
      </c>
      <c r="C357" s="33">
        <v>29867</v>
      </c>
      <c r="D357" s="2">
        <v>820</v>
      </c>
      <c r="E357" s="3">
        <v>850</v>
      </c>
      <c r="F357" s="4">
        <v>0</v>
      </c>
      <c r="G357" s="5">
        <v>0</v>
      </c>
    </row>
    <row r="358" spans="1:7" x14ac:dyDescent="0.25">
      <c r="A358" s="1">
        <f t="shared" ca="1" si="5"/>
        <v>12762</v>
      </c>
      <c r="B358" s="32">
        <v>29976</v>
      </c>
      <c r="C358" s="33">
        <v>29869</v>
      </c>
      <c r="D358" s="2">
        <v>815</v>
      </c>
      <c r="E358" s="3">
        <v>845</v>
      </c>
      <c r="F358" s="4">
        <v>0</v>
      </c>
      <c r="G358" s="5">
        <v>0</v>
      </c>
    </row>
    <row r="359" spans="1:7" x14ac:dyDescent="0.25">
      <c r="A359" s="1">
        <f t="shared" ca="1" si="5"/>
        <v>12763</v>
      </c>
      <c r="B359" s="32">
        <v>29994</v>
      </c>
      <c r="C359" s="33">
        <v>29899</v>
      </c>
      <c r="D359" s="2">
        <v>820</v>
      </c>
      <c r="E359" s="3">
        <v>845</v>
      </c>
      <c r="F359" s="4">
        <v>0</v>
      </c>
      <c r="G359" s="5">
        <v>0</v>
      </c>
    </row>
    <row r="360" spans="1:7" x14ac:dyDescent="0.25">
      <c r="A360" s="1">
        <f t="shared" ca="1" si="5"/>
        <v>12764</v>
      </c>
      <c r="B360" s="32">
        <v>29974</v>
      </c>
      <c r="C360" s="33">
        <v>29869</v>
      </c>
      <c r="D360" s="2">
        <v>820</v>
      </c>
      <c r="E360" s="3">
        <v>845</v>
      </c>
      <c r="F360" s="4">
        <v>0</v>
      </c>
      <c r="G360" s="5">
        <v>0</v>
      </c>
    </row>
    <row r="361" spans="1:7" x14ac:dyDescent="0.25">
      <c r="A361" s="1">
        <f t="shared" ca="1" si="5"/>
        <v>12765</v>
      </c>
      <c r="B361" s="32">
        <v>29964</v>
      </c>
      <c r="C361" s="33">
        <v>29890</v>
      </c>
      <c r="D361" s="2">
        <v>820</v>
      </c>
      <c r="E361" s="3">
        <v>840</v>
      </c>
      <c r="F361" s="4">
        <v>0</v>
      </c>
      <c r="G361" s="5">
        <v>0</v>
      </c>
    </row>
    <row r="362" spans="1:7" x14ac:dyDescent="0.25">
      <c r="A362" s="1">
        <f t="shared" ca="1" si="5"/>
        <v>12766</v>
      </c>
      <c r="B362" s="32">
        <v>30007</v>
      </c>
      <c r="C362" s="33">
        <v>29911</v>
      </c>
      <c r="D362" s="2">
        <v>810</v>
      </c>
      <c r="E362" s="3">
        <v>830</v>
      </c>
      <c r="F362" s="4">
        <v>0</v>
      </c>
      <c r="G362" s="5">
        <v>0</v>
      </c>
    </row>
    <row r="363" spans="1:7" x14ac:dyDescent="0.25">
      <c r="A363" s="1">
        <f t="shared" ca="1" si="5"/>
        <v>12767</v>
      </c>
      <c r="B363" s="32">
        <v>30000</v>
      </c>
      <c r="C363" s="33">
        <v>29919</v>
      </c>
      <c r="D363" s="2">
        <v>800</v>
      </c>
      <c r="E363" s="3">
        <v>805</v>
      </c>
      <c r="F363" s="4">
        <v>101</v>
      </c>
      <c r="G363" s="5">
        <v>25</v>
      </c>
    </row>
    <row r="364" spans="1:7" x14ac:dyDescent="0.25">
      <c r="A364" s="1">
        <f t="shared" ca="1" si="5"/>
        <v>12768</v>
      </c>
      <c r="B364" s="32">
        <v>29998</v>
      </c>
      <c r="C364" s="33">
        <v>29924</v>
      </c>
      <c r="D364" s="2">
        <v>805</v>
      </c>
      <c r="E364" s="3">
        <v>825</v>
      </c>
      <c r="F364" s="4">
        <v>67</v>
      </c>
      <c r="G364" s="5">
        <v>36</v>
      </c>
    </row>
    <row r="365" spans="1:7" x14ac:dyDescent="0.25">
      <c r="A365" s="1">
        <f t="shared" ca="1" si="5"/>
        <v>12769</v>
      </c>
      <c r="B365" s="32">
        <v>30030</v>
      </c>
      <c r="C365" s="33">
        <v>29941</v>
      </c>
      <c r="D365" s="2">
        <v>800</v>
      </c>
      <c r="E365" s="3">
        <v>835</v>
      </c>
      <c r="F365" s="4">
        <v>96</v>
      </c>
      <c r="G365" s="5">
        <v>203</v>
      </c>
    </row>
    <row r="366" spans="1:7" x14ac:dyDescent="0.25">
      <c r="A366" s="1">
        <f t="shared" ca="1" si="5"/>
        <v>12770</v>
      </c>
      <c r="B366" s="32">
        <v>30013</v>
      </c>
      <c r="C366" s="33">
        <v>29917</v>
      </c>
      <c r="D366" s="2">
        <v>790</v>
      </c>
      <c r="E366" s="3">
        <v>815</v>
      </c>
      <c r="F366" s="4">
        <v>0</v>
      </c>
      <c r="G366" s="5">
        <v>0</v>
      </c>
    </row>
    <row r="367" spans="1:7" x14ac:dyDescent="0.25">
      <c r="A367" s="1">
        <f t="shared" ca="1" si="5"/>
        <v>12771</v>
      </c>
      <c r="B367" s="32">
        <v>30003</v>
      </c>
      <c r="C367" s="33">
        <v>29928</v>
      </c>
      <c r="D367" s="2">
        <v>790</v>
      </c>
      <c r="E367" s="3">
        <v>810</v>
      </c>
      <c r="F367" s="4">
        <v>75</v>
      </c>
      <c r="G367" s="5">
        <v>57</v>
      </c>
    </row>
    <row r="368" spans="1:7" x14ac:dyDescent="0.25">
      <c r="A368" s="1">
        <f t="shared" ca="1" si="5"/>
        <v>12772</v>
      </c>
      <c r="B368" s="32">
        <v>30024</v>
      </c>
      <c r="C368" s="33">
        <v>29935</v>
      </c>
      <c r="D368" s="2">
        <v>785</v>
      </c>
      <c r="E368" s="3">
        <v>820</v>
      </c>
      <c r="F368" s="4">
        <v>0</v>
      </c>
      <c r="G368" s="5">
        <v>0</v>
      </c>
    </row>
    <row r="369" spans="1:7" x14ac:dyDescent="0.25">
      <c r="A369" s="1">
        <f t="shared" ca="1" si="5"/>
        <v>12773</v>
      </c>
      <c r="B369" s="32">
        <v>30011</v>
      </c>
      <c r="C369" s="33">
        <v>29949</v>
      </c>
      <c r="D369" s="2">
        <v>795</v>
      </c>
      <c r="E369" s="3">
        <v>805</v>
      </c>
      <c r="F369" s="4">
        <v>58</v>
      </c>
      <c r="G369" s="5">
        <v>0</v>
      </c>
    </row>
    <row r="370" spans="1:7" x14ac:dyDescent="0.25">
      <c r="A370" s="1">
        <f t="shared" ca="1" si="5"/>
        <v>12774</v>
      </c>
      <c r="B370" s="32">
        <v>30014</v>
      </c>
      <c r="C370" s="33">
        <v>29915</v>
      </c>
      <c r="D370" s="2">
        <v>785</v>
      </c>
      <c r="E370" s="3">
        <v>820</v>
      </c>
      <c r="F370" s="4">
        <v>78</v>
      </c>
      <c r="G370" s="5">
        <v>30</v>
      </c>
    </row>
    <row r="371" spans="1:7" x14ac:dyDescent="0.25">
      <c r="A371" s="1">
        <f t="shared" ca="1" si="5"/>
        <v>12775</v>
      </c>
      <c r="B371" s="32">
        <v>29981</v>
      </c>
      <c r="C371" s="33">
        <v>29929</v>
      </c>
      <c r="D371" s="2">
        <v>795</v>
      </c>
      <c r="E371" s="3">
        <v>805</v>
      </c>
      <c r="F371" s="4">
        <v>0</v>
      </c>
      <c r="G371" s="5">
        <v>0</v>
      </c>
    </row>
    <row r="372" spans="1:7" x14ac:dyDescent="0.25">
      <c r="A372" s="1">
        <f t="shared" ca="1" si="5"/>
        <v>12776</v>
      </c>
      <c r="B372" s="32">
        <v>29994</v>
      </c>
      <c r="C372" s="33">
        <v>29912</v>
      </c>
      <c r="D372" s="2">
        <v>785</v>
      </c>
      <c r="E372" s="3">
        <v>795</v>
      </c>
      <c r="F372" s="4">
        <v>157</v>
      </c>
      <c r="G372" s="5">
        <v>167</v>
      </c>
    </row>
    <row r="373" spans="1:7" x14ac:dyDescent="0.25">
      <c r="A373" s="1">
        <f t="shared" ca="1" si="5"/>
        <v>12777</v>
      </c>
      <c r="B373" s="32">
        <v>30003</v>
      </c>
      <c r="C373" s="33">
        <v>29915</v>
      </c>
      <c r="D373" s="2">
        <v>790</v>
      </c>
      <c r="E373" s="3">
        <v>820</v>
      </c>
      <c r="F373" s="4">
        <v>0</v>
      </c>
      <c r="G373" s="5">
        <v>0</v>
      </c>
    </row>
    <row r="374" spans="1:7" x14ac:dyDescent="0.25">
      <c r="A374" s="1">
        <f t="shared" ca="1" si="5"/>
        <v>12778</v>
      </c>
      <c r="B374" s="32">
        <v>29993</v>
      </c>
      <c r="C374" s="33">
        <v>29917</v>
      </c>
      <c r="D374" s="2">
        <v>790</v>
      </c>
      <c r="E374" s="3">
        <v>815</v>
      </c>
      <c r="F374" s="4">
        <v>0</v>
      </c>
      <c r="G374" s="5">
        <v>0</v>
      </c>
    </row>
    <row r="375" spans="1:7" x14ac:dyDescent="0.25">
      <c r="A375" s="1">
        <f t="shared" ca="1" si="5"/>
        <v>12779</v>
      </c>
      <c r="B375" s="32">
        <v>29998</v>
      </c>
      <c r="C375" s="33">
        <v>29912</v>
      </c>
      <c r="D375" s="2">
        <v>805</v>
      </c>
      <c r="E375" s="3">
        <v>795</v>
      </c>
      <c r="F375" s="4">
        <v>0</v>
      </c>
      <c r="G375" s="5">
        <v>0</v>
      </c>
    </row>
    <row r="376" spans="1:7" x14ac:dyDescent="0.25">
      <c r="A376" s="1">
        <f t="shared" ca="1" si="5"/>
        <v>12780</v>
      </c>
      <c r="B376" s="32">
        <v>29901</v>
      </c>
      <c r="C376" s="33">
        <v>29907</v>
      </c>
      <c r="D376" s="2">
        <v>795</v>
      </c>
      <c r="E376" s="3">
        <v>815</v>
      </c>
      <c r="F376" s="4">
        <v>0</v>
      </c>
      <c r="G376" s="5">
        <v>0</v>
      </c>
    </row>
    <row r="377" spans="1:7" x14ac:dyDescent="0.25">
      <c r="A377" s="1">
        <f t="shared" ca="1" si="5"/>
        <v>12781</v>
      </c>
      <c r="B377" s="32">
        <v>30014</v>
      </c>
      <c r="C377" s="33">
        <v>29929</v>
      </c>
      <c r="D377" s="2">
        <v>785</v>
      </c>
      <c r="E377" s="3">
        <v>805</v>
      </c>
      <c r="F377" s="4">
        <v>60</v>
      </c>
      <c r="G377" s="5">
        <v>105</v>
      </c>
    </row>
    <row r="378" spans="1:7" x14ac:dyDescent="0.25">
      <c r="A378" s="1">
        <f t="shared" ca="1" si="5"/>
        <v>12782</v>
      </c>
      <c r="B378" s="32">
        <v>29993</v>
      </c>
      <c r="C378" s="33">
        <v>29909</v>
      </c>
      <c r="D378" s="2">
        <v>790</v>
      </c>
      <c r="E378" s="3">
        <v>805</v>
      </c>
      <c r="F378" s="4">
        <v>0</v>
      </c>
      <c r="G378" s="5">
        <v>0</v>
      </c>
    </row>
    <row r="379" spans="1:7" x14ac:dyDescent="0.25">
      <c r="A379" s="1">
        <f t="shared" ca="1" si="5"/>
        <v>12783</v>
      </c>
      <c r="B379" s="32">
        <v>29981</v>
      </c>
      <c r="C379" s="33">
        <v>29912</v>
      </c>
      <c r="D379" s="2">
        <v>795</v>
      </c>
      <c r="E379" s="3">
        <v>795</v>
      </c>
      <c r="F379" s="4">
        <v>0</v>
      </c>
      <c r="G379" s="5">
        <v>0</v>
      </c>
    </row>
    <row r="380" spans="1:7" x14ac:dyDescent="0.25">
      <c r="A380" s="1">
        <f t="shared" ca="1" si="5"/>
        <v>12784</v>
      </c>
      <c r="B380" s="32">
        <v>29994</v>
      </c>
      <c r="C380" s="33">
        <v>29908</v>
      </c>
      <c r="D380" s="2">
        <v>785</v>
      </c>
      <c r="E380" s="3">
        <v>810</v>
      </c>
      <c r="F380" s="4">
        <v>0</v>
      </c>
      <c r="G380" s="5">
        <v>0</v>
      </c>
    </row>
    <row r="381" spans="1:7" x14ac:dyDescent="0.25">
      <c r="A381" s="1" t="str">
        <f t="shared" ca="1" si="5"/>
        <v>Totaal</v>
      </c>
      <c r="B381" s="34">
        <f>IF(COUNT(B350:B380)&gt;0,AVERAGE(B350:B380)/1000,"")</f>
        <v>29.991258064516128</v>
      </c>
      <c r="C381" s="35">
        <f>IF(COUNT(C350:C380)&gt;0,AVERAGE(C350:C380)/1000,"")</f>
        <v>29.907451612903227</v>
      </c>
      <c r="D381" s="36">
        <f>IF(COUNT(D350:D380)&gt;0,AVERAGE(D350:D380)/10,"")</f>
        <v>80.177419354838705</v>
      </c>
      <c r="E381" s="37">
        <f>IF(COUNT(E350:E380)&gt;0,AVERAGE(E350:E380)/10,"")</f>
        <v>82.370967741935488</v>
      </c>
      <c r="F381" s="22">
        <f>SUM(F350:F380)/10</f>
        <v>79</v>
      </c>
      <c r="G381" s="23">
        <f>SUM(G350:G380)/10</f>
        <v>78.400000000000006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49" t="s">
        <v>0</v>
      </c>
      <c r="K3" s="51" t="s">
        <v>31</v>
      </c>
      <c r="L3" s="51"/>
      <c r="M3" s="52" t="s">
        <v>1</v>
      </c>
      <c r="N3" s="52"/>
      <c r="O3" s="51" t="s">
        <v>2</v>
      </c>
      <c r="P3" s="51"/>
      <c r="Q3" s="51"/>
    </row>
    <row r="4" spans="1:17" x14ac:dyDescent="0.25">
      <c r="A4" s="26" t="s">
        <v>13</v>
      </c>
      <c r="B4" s="25" t="s">
        <v>14</v>
      </c>
      <c r="D4" s="25" t="s">
        <v>25</v>
      </c>
      <c r="E4" s="25" t="s">
        <v>27</v>
      </c>
      <c r="G4" s="16" t="s">
        <v>15</v>
      </c>
      <c r="H4" s="16" t="s">
        <v>16</v>
      </c>
      <c r="J4" s="50"/>
      <c r="K4" s="20" t="s">
        <v>32</v>
      </c>
      <c r="L4" s="20" t="s">
        <v>33</v>
      </c>
      <c r="M4" s="20" t="s">
        <v>32</v>
      </c>
      <c r="N4" s="20" t="s">
        <v>33</v>
      </c>
      <c r="O4" s="20" t="s">
        <v>34</v>
      </c>
      <c r="P4" s="20" t="s">
        <v>35</v>
      </c>
      <c r="Q4" s="21" t="s">
        <v>36</v>
      </c>
    </row>
    <row r="5" spans="1:17" x14ac:dyDescent="0.25">
      <c r="A5" s="11">
        <v>44</v>
      </c>
      <c r="B5" t="s">
        <v>34</v>
      </c>
      <c r="D5" t="s">
        <v>8</v>
      </c>
      <c r="E5" t="s">
        <v>26</v>
      </c>
      <c r="G5" t="s">
        <v>17</v>
      </c>
      <c r="H5" s="12">
        <v>0</v>
      </c>
    </row>
    <row r="6" spans="1:17" x14ac:dyDescent="0.25">
      <c r="A6" s="11">
        <v>42</v>
      </c>
      <c r="B6" t="s">
        <v>35</v>
      </c>
      <c r="D6" s="27" t="s">
        <v>10</v>
      </c>
      <c r="E6" s="27" t="s">
        <v>28</v>
      </c>
      <c r="G6" t="s">
        <v>18</v>
      </c>
      <c r="H6" s="12">
        <v>1</v>
      </c>
    </row>
    <row r="7" spans="1:17" ht="15.75" thickBot="1" x14ac:dyDescent="0.3">
      <c r="A7" s="11">
        <v>49</v>
      </c>
      <c r="B7" t="s">
        <v>36</v>
      </c>
      <c r="D7" s="28" t="s">
        <v>5</v>
      </c>
      <c r="E7" s="28" t="s">
        <v>29</v>
      </c>
      <c r="G7" t="s">
        <v>19</v>
      </c>
      <c r="H7" s="12">
        <v>4</v>
      </c>
    </row>
    <row r="8" spans="1:17" x14ac:dyDescent="0.25">
      <c r="A8" s="11">
        <v>41</v>
      </c>
      <c r="B8" t="s">
        <v>37</v>
      </c>
      <c r="G8" t="s">
        <v>20</v>
      </c>
      <c r="H8" s="12">
        <v>6</v>
      </c>
    </row>
    <row r="9" spans="1:17" ht="15.75" thickBot="1" x14ac:dyDescent="0.3">
      <c r="A9" s="11">
        <v>43</v>
      </c>
      <c r="B9" t="s">
        <v>38</v>
      </c>
      <c r="G9" s="13" t="s">
        <v>21</v>
      </c>
      <c r="H9" s="14">
        <v>7</v>
      </c>
    </row>
    <row r="10" spans="1:17" x14ac:dyDescent="0.25">
      <c r="A10" s="11">
        <v>45</v>
      </c>
      <c r="B10" t="s">
        <v>39</v>
      </c>
    </row>
    <row r="11" spans="1:17" x14ac:dyDescent="0.25">
      <c r="A11" s="11">
        <v>46</v>
      </c>
      <c r="B11" t="s">
        <v>40</v>
      </c>
    </row>
    <row r="12" spans="1:17" x14ac:dyDescent="0.25">
      <c r="A12" s="11">
        <v>47</v>
      </c>
      <c r="B12" t="s">
        <v>41</v>
      </c>
    </row>
    <row r="13" spans="1:17" ht="15.75" thickBot="1" x14ac:dyDescent="0.3">
      <c r="A13" s="15">
        <v>48</v>
      </c>
      <c r="B13" s="13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1"/>
  <sheetViews>
    <sheetView workbookViewId="0"/>
  </sheetViews>
  <sheetFormatPr defaultRowHeight="15" x14ac:dyDescent="0.25"/>
  <sheetData>
    <row r="1" spans="1:5" x14ac:dyDescent="0.25">
      <c r="A1" s="10" t="s">
        <v>3</v>
      </c>
      <c r="B1" s="9" t="s">
        <v>0</v>
      </c>
      <c r="C1" s="10" t="s">
        <v>4</v>
      </c>
      <c r="D1" s="10" t="s">
        <v>5</v>
      </c>
      <c r="E1" s="10" t="s">
        <v>6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19340101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19340102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19340103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19340104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19340105</v>
      </c>
      <c r="C6" s="12">
        <v>1</v>
      </c>
      <c r="D6" s="17">
        <f t="shared" ca="1" si="0"/>
        <v>43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19340106</v>
      </c>
      <c r="C7" s="12">
        <v>1</v>
      </c>
      <c r="D7" s="17">
        <f t="shared" ca="1" si="0"/>
        <v>152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19340107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19340108</v>
      </c>
      <c r="C9" s="12">
        <v>1</v>
      </c>
      <c r="D9" s="17">
        <f t="shared" ca="1" si="0"/>
        <v>740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19340109</v>
      </c>
      <c r="C10" s="12">
        <v>1</v>
      </c>
      <c r="D10" s="17">
        <f t="shared" ca="1" si="0"/>
        <v>106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19340110</v>
      </c>
      <c r="C11" s="12">
        <v>1</v>
      </c>
      <c r="D11" s="17">
        <f t="shared" ca="1" si="0"/>
        <v>124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19340111</v>
      </c>
      <c r="C12" s="12">
        <v>1</v>
      </c>
      <c r="D12" s="17">
        <f t="shared" ca="1" si="0"/>
        <v>2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19340112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19340113</v>
      </c>
      <c r="C14" s="12">
        <v>1</v>
      </c>
      <c r="D14" s="17">
        <f t="shared" ca="1" si="0"/>
        <v>20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19340114</v>
      </c>
      <c r="C15" s="12">
        <v>1</v>
      </c>
      <c r="D15" s="17">
        <f t="shared" ca="1" si="0"/>
        <v>38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19340115</v>
      </c>
      <c r="C16" s="12">
        <v>1</v>
      </c>
      <c r="D16" s="17">
        <f t="shared" ca="1" si="0"/>
        <v>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19340116</v>
      </c>
      <c r="C17" s="12">
        <v>1</v>
      </c>
      <c r="D17" s="17">
        <f t="shared" ca="1" si="0"/>
        <v>100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19340117</v>
      </c>
      <c r="C18" s="12">
        <v>1</v>
      </c>
      <c r="D18" s="17">
        <f t="shared" ca="1" si="0"/>
        <v>28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19340118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19340119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19340120</v>
      </c>
      <c r="C21" s="12">
        <v>1</v>
      </c>
      <c r="D21" s="17">
        <f t="shared" ca="1" si="0"/>
        <v>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19340121</v>
      </c>
      <c r="C22" s="12">
        <v>1</v>
      </c>
      <c r="D22" s="17">
        <f t="shared" ca="1" si="0"/>
        <v>0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19340122</v>
      </c>
      <c r="C23" s="12">
        <v>1</v>
      </c>
      <c r="D23" s="17">
        <f t="shared" ca="1" si="0"/>
        <v>0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19340123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19340124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19340125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19340126</v>
      </c>
      <c r="C27" s="12">
        <v>1</v>
      </c>
      <c r="D27" s="17">
        <f t="shared" ca="1" si="0"/>
        <v>52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19340127</v>
      </c>
      <c r="C28" s="12">
        <v>1</v>
      </c>
      <c r="D28" s="17">
        <f t="shared" ca="1" si="0"/>
        <v>33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19340128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19340129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19340130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19340131</v>
      </c>
      <c r="C32" s="12">
        <v>1</v>
      </c>
      <c r="D32" s="17">
        <f t="shared" ca="1" si="0"/>
        <v>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19340201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19340202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19340203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19340204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19340205</v>
      </c>
      <c r="C37" s="12">
        <v>1</v>
      </c>
      <c r="D37" s="17">
        <f t="shared" ca="1" si="0"/>
        <v>46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19340206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19340207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19340208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19340209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19340210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19340211</v>
      </c>
      <c r="C43" s="12">
        <v>1</v>
      </c>
      <c r="D43" s="17">
        <f t="shared" ca="1" si="0"/>
        <v>0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19340212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19340213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19340214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19340215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19340216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19340217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19340218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19340219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19340220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19340221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19340222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19340223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19340224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19340225</v>
      </c>
      <c r="C57" s="12">
        <v>1</v>
      </c>
      <c r="D57" s="17">
        <f t="shared" ca="1" si="0"/>
        <v>36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19340226</v>
      </c>
      <c r="C58" s="12">
        <v>1</v>
      </c>
      <c r="D58" s="17">
        <f t="shared" ca="1" si="0"/>
        <v>46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19340227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19340228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19340301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19340302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19340303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19340304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19340305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19340306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19340307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19340308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19340309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19340310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19340311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19340312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19340313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19340314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19340315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19340316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19340317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19340318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19340319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19340320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19340321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19340322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19340323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19340324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19340325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19340326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19340327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19340328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19340329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19340330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19340331</v>
      </c>
      <c r="C91" s="12">
        <v>1</v>
      </c>
      <c r="D91" s="17">
        <f t="shared" ca="1" si="2"/>
        <v>29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19340401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19340402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19340403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19340404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19340405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19340406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19340407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19340408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19340409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19340410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19340411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19340412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19340413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19340414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19340415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19340416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19340417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19340418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19340419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19340420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19340421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19340422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19340423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19340424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19340425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19340426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19340427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19340428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19340429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19340430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19340501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19340502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19340503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19340504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19340505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19340506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19340507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19340508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19340509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19340510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19340511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19340512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19340513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19340514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19340515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19340516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19340517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19340518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19340519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19340520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19340521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19340522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19340523</v>
      </c>
      <c r="C144" s="12">
        <v>1</v>
      </c>
      <c r="D144" s="17">
        <f t="shared" ca="1" si="4"/>
        <v>18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19340524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19340525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19340526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19340527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19340528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19340529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19340530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19340531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19340601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19340602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19340603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19340604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19340605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19340606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19340607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19340608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19340609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19340610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19340611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19340612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19340613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19340614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19340615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19340616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19340617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19340618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19340619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19340620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19340621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19340622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19340623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19340624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19340625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19340626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19340627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19340628</v>
      </c>
      <c r="C180" s="12">
        <v>1</v>
      </c>
      <c r="D180" s="17">
        <f t="shared" ca="1" si="4"/>
        <v>4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19340629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19340630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19340701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19340702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19340703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19340704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19340705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19340706</v>
      </c>
      <c r="C188" s="12">
        <v>1</v>
      </c>
      <c r="D188" s="17">
        <f t="shared" ca="1" si="4"/>
        <v>23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19340707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19340708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19340709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19340710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19340711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19340712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19340713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19340714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19340715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19340716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19340717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19340718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19340719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19340720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19340721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19340722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19340723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19340724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19340725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19340726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19340727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19340728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19340729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19340730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19340731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19340801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19340802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19340803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19340804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19340805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19340806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19340807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19340808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19340809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19340810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19340811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19340812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19340813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19340814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19340815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19340816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19340817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19340818</v>
      </c>
      <c r="C231" s="12">
        <v>1</v>
      </c>
      <c r="D231" s="17">
        <f t="shared" ca="1" si="6"/>
        <v>14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19340819</v>
      </c>
      <c r="C232" s="12">
        <v>1</v>
      </c>
      <c r="D232" s="17">
        <f t="shared" ca="1" si="6"/>
        <v>38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19340820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19340821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19340822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19340823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19340824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19340825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19340826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19340827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19340828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19340829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19340830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19340831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19340901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19340902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19340903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19340904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19340905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19340906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19340907</v>
      </c>
      <c r="C251" s="12">
        <v>1</v>
      </c>
      <c r="D251" s="17">
        <f t="shared" ca="1" si="6"/>
        <v>33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19340908</v>
      </c>
      <c r="C252" s="12">
        <v>1</v>
      </c>
      <c r="D252" s="17">
        <f t="shared" ca="1" si="6"/>
        <v>8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19340909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19340910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19340911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19340912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19340913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19340914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19340915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19340916</v>
      </c>
      <c r="C260" s="12">
        <v>1</v>
      </c>
      <c r="D260" s="17">
        <f t="shared" ca="1" si="8"/>
        <v>24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19340917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19340918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19340919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19340920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19340921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19340922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19340923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19340924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19340925</v>
      </c>
      <c r="C269" s="12">
        <v>1</v>
      </c>
      <c r="D269" s="17">
        <f t="shared" ca="1" si="8"/>
        <v>22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19340926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19340927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19340928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19340929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19340930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19341001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19341002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19341003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19341004</v>
      </c>
      <c r="C278" s="12">
        <v>1</v>
      </c>
      <c r="D278" s="17">
        <f t="shared" ca="1" si="8"/>
        <v>95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19341005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19341006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19341007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19341008</v>
      </c>
      <c r="C282" s="12">
        <v>1</v>
      </c>
      <c r="D282" s="17">
        <f t="shared" ca="1" si="8"/>
        <v>23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19341009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19341010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19341011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19341012</v>
      </c>
      <c r="C286" s="12">
        <v>1</v>
      </c>
      <c r="D286" s="17">
        <f t="shared" ca="1" si="8"/>
        <v>10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19341013</v>
      </c>
      <c r="C287" s="12">
        <v>1</v>
      </c>
      <c r="D287" s="17">
        <f t="shared" ca="1" si="8"/>
        <v>213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19341014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19341015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19341016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19341017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19341018</v>
      </c>
      <c r="C292" s="12">
        <v>1</v>
      </c>
      <c r="D292" s="17">
        <f t="shared" ca="1" si="8"/>
        <v>23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19341019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19341020</v>
      </c>
      <c r="C294" s="12">
        <v>1</v>
      </c>
      <c r="D294" s="17">
        <f t="shared" ca="1" si="8"/>
        <v>93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19341021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19341022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19341023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19341024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19341025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19341026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19341027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19341028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19341029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19341030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19341031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19341101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19341102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19341103</v>
      </c>
      <c r="C308" s="12">
        <v>1</v>
      </c>
      <c r="D308" s="17">
        <f t="shared" ca="1" si="8"/>
        <v>30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19341104</v>
      </c>
      <c r="C309" s="12">
        <v>1</v>
      </c>
      <c r="D309" s="17">
        <f t="shared" ca="1" si="8"/>
        <v>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19341105</v>
      </c>
      <c r="C310" s="12">
        <v>1</v>
      </c>
      <c r="D310" s="17">
        <f t="shared" ca="1" si="8"/>
        <v>47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19341106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19341107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19341108</v>
      </c>
      <c r="C313" s="12">
        <v>1</v>
      </c>
      <c r="D313" s="17">
        <f t="shared" ca="1" si="8"/>
        <v>0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19341109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19341110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19341111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19341112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19341113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19341114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19341115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19341116</v>
      </c>
      <c r="C321" s="12">
        <v>1</v>
      </c>
      <c r="D321" s="17">
        <f t="shared" ca="1" si="8"/>
        <v>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19341117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19341118</v>
      </c>
      <c r="C323" s="12">
        <v>1</v>
      </c>
      <c r="D323" s="17">
        <f t="shared" ca="1" si="10"/>
        <v>11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19341119</v>
      </c>
      <c r="C324" s="12">
        <v>1</v>
      </c>
      <c r="D324" s="17">
        <f t="shared" ca="1" si="10"/>
        <v>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19341120</v>
      </c>
      <c r="C325" s="12">
        <v>1</v>
      </c>
      <c r="D325" s="17">
        <f t="shared" ca="1" si="10"/>
        <v>82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19341121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19341122</v>
      </c>
      <c r="C327" s="12">
        <v>1</v>
      </c>
      <c r="D327" s="17">
        <f t="shared" ca="1" si="10"/>
        <v>215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19341123</v>
      </c>
      <c r="C328" s="12">
        <v>1</v>
      </c>
      <c r="D328" s="17">
        <f t="shared" ca="1" si="10"/>
        <v>223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19341124</v>
      </c>
      <c r="C329" s="12">
        <v>1</v>
      </c>
      <c r="D329" s="17">
        <f t="shared" ca="1" si="10"/>
        <v>20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19341125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19341126</v>
      </c>
      <c r="C331" s="12">
        <v>1</v>
      </c>
      <c r="D331" s="17">
        <f t="shared" ca="1" si="10"/>
        <v>70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19341127</v>
      </c>
      <c r="C332" s="12">
        <v>1</v>
      </c>
      <c r="D332" s="17">
        <f t="shared" ca="1" si="10"/>
        <v>35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19341128</v>
      </c>
      <c r="C333" s="12">
        <v>1</v>
      </c>
      <c r="D333" s="17">
        <f t="shared" ca="1" si="10"/>
        <v>156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19341129</v>
      </c>
      <c r="C334" s="12">
        <v>1</v>
      </c>
      <c r="D334" s="17">
        <f t="shared" ca="1" si="10"/>
        <v>623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19341130</v>
      </c>
      <c r="C335" s="12">
        <v>1</v>
      </c>
      <c r="D335" s="17">
        <f t="shared" ca="1" si="10"/>
        <v>56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19341201</v>
      </c>
      <c r="C336" s="12">
        <v>1</v>
      </c>
      <c r="D336" s="17">
        <f t="shared" ca="1" si="10"/>
        <v>13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19341202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19341203</v>
      </c>
      <c r="C338" s="12">
        <v>1</v>
      </c>
      <c r="D338" s="17">
        <f t="shared" ca="1" si="10"/>
        <v>85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19341204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19341205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19341206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19341207</v>
      </c>
      <c r="C342" s="12">
        <v>1</v>
      </c>
      <c r="D342" s="17">
        <f t="shared" ca="1" si="10"/>
        <v>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19341208</v>
      </c>
      <c r="C343" s="12">
        <v>1</v>
      </c>
      <c r="D343" s="17">
        <f t="shared" ca="1" si="10"/>
        <v>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19341209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19341210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19341211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19341212</v>
      </c>
      <c r="C347" s="12">
        <v>1</v>
      </c>
      <c r="D347" s="17">
        <f t="shared" ca="1" si="10"/>
        <v>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19341213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19341214</v>
      </c>
      <c r="C349" s="12">
        <v>1</v>
      </c>
      <c r="D349" s="17">
        <f t="shared" ca="1" si="10"/>
        <v>101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19341215</v>
      </c>
      <c r="C350" s="12">
        <v>1</v>
      </c>
      <c r="D350" s="17">
        <f t="shared" ca="1" si="10"/>
        <v>67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19341216</v>
      </c>
      <c r="C351" s="12">
        <v>1</v>
      </c>
      <c r="D351" s="17">
        <f t="shared" ca="1" si="10"/>
        <v>96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19341217</v>
      </c>
      <c r="C352" s="12">
        <v>1</v>
      </c>
      <c r="D352" s="17">
        <f t="shared" ca="1" si="10"/>
        <v>0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19341218</v>
      </c>
      <c r="C353" s="12">
        <v>1</v>
      </c>
      <c r="D353" s="17">
        <f t="shared" ca="1" si="10"/>
        <v>75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19341219</v>
      </c>
      <c r="C354" s="12">
        <v>1</v>
      </c>
      <c r="D354" s="17">
        <f t="shared" ca="1" si="10"/>
        <v>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19341220</v>
      </c>
      <c r="C355" s="12">
        <v>1</v>
      </c>
      <c r="D355" s="17">
        <f t="shared" ca="1" si="10"/>
        <v>58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19341221</v>
      </c>
      <c r="C356" s="12">
        <v>1</v>
      </c>
      <c r="D356" s="17">
        <f t="shared" ca="1" si="10"/>
        <v>78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19341222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19341223</v>
      </c>
      <c r="C358" s="12">
        <v>1</v>
      </c>
      <c r="D358" s="17">
        <f t="shared" ca="1" si="10"/>
        <v>157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19341224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19341225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19341226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19341227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19341228</v>
      </c>
      <c r="C363" s="12">
        <v>1</v>
      </c>
      <c r="D363" s="17">
        <f t="shared" ca="1" si="10"/>
        <v>60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19341229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19341230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19341231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19340101</v>
      </c>
      <c r="C367" s="12">
        <v>1</v>
      </c>
      <c r="D367" s="17">
        <f t="shared" ca="1" si="10"/>
        <v>30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19340102</v>
      </c>
      <c r="C368" s="12">
        <v>1</v>
      </c>
      <c r="D368" s="17">
        <f t="shared" ca="1" si="10"/>
        <v>75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19340103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19340104</v>
      </c>
      <c r="C370" s="12">
        <v>1</v>
      </c>
      <c r="D370" s="17">
        <f t="shared" ca="1" si="10"/>
        <v>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19340105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19340106</v>
      </c>
      <c r="C372" s="12">
        <v>1</v>
      </c>
      <c r="D372" s="17">
        <f t="shared" ca="1" si="10"/>
        <v>175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19340107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19340108</v>
      </c>
      <c r="C374" s="12">
        <v>1</v>
      </c>
      <c r="D374" s="17">
        <f t="shared" ca="1" si="10"/>
        <v>357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19340109</v>
      </c>
      <c r="C375" s="12">
        <v>1</v>
      </c>
      <c r="D375" s="17">
        <f t="shared" ca="1" si="10"/>
        <v>184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19340110</v>
      </c>
      <c r="C376" s="12">
        <v>1</v>
      </c>
      <c r="D376" s="17">
        <f t="shared" ca="1" si="10"/>
        <v>429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19340111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19340112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19340113</v>
      </c>
      <c r="C379" s="12">
        <v>1</v>
      </c>
      <c r="D379" s="17">
        <f t="shared" ca="1" si="10"/>
        <v>70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19340114</v>
      </c>
      <c r="C380" s="12">
        <v>1</v>
      </c>
      <c r="D380" s="17">
        <f t="shared" ca="1" si="10"/>
        <v>165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19340115</v>
      </c>
      <c r="C381" s="12">
        <v>1</v>
      </c>
      <c r="D381" s="17">
        <f t="shared" ca="1" si="10"/>
        <v>66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19340116</v>
      </c>
      <c r="C382" s="12">
        <v>1</v>
      </c>
      <c r="D382" s="17">
        <f t="shared" ca="1" si="10"/>
        <v>0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19340117</v>
      </c>
      <c r="C383" s="12">
        <v>1</v>
      </c>
      <c r="D383" s="17">
        <f t="shared" ca="1" si="10"/>
        <v>82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19340118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19340119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19340120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19340121</v>
      </c>
      <c r="C387" s="12">
        <v>1</v>
      </c>
      <c r="D387" s="17">
        <f t="shared" ca="1" si="12"/>
        <v>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19340122</v>
      </c>
      <c r="C388" s="12">
        <v>1</v>
      </c>
      <c r="D388" s="17">
        <f t="shared" ca="1" si="12"/>
        <v>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19340123</v>
      </c>
      <c r="C389" s="12">
        <v>1</v>
      </c>
      <c r="D389" s="17">
        <f t="shared" ca="1" si="12"/>
        <v>0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19340124</v>
      </c>
      <c r="C390" s="12">
        <v>1</v>
      </c>
      <c r="D390" s="17">
        <f t="shared" ca="1" si="12"/>
        <v>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19340125</v>
      </c>
      <c r="C391" s="12">
        <v>1</v>
      </c>
      <c r="D391" s="17">
        <f t="shared" ca="1" si="12"/>
        <v>0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19340126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19340127</v>
      </c>
      <c r="C393" s="12">
        <v>1</v>
      </c>
      <c r="D393" s="17">
        <f t="shared" ca="1" si="12"/>
        <v>40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19340128</v>
      </c>
      <c r="C394" s="12">
        <v>1</v>
      </c>
      <c r="D394" s="17">
        <f t="shared" ca="1" si="12"/>
        <v>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19340129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19340130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19340131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19340201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19340202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19340203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19340204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19340205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19340206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19340207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19340208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19340209</v>
      </c>
      <c r="C406" s="12">
        <v>1</v>
      </c>
      <c r="D406" s="17">
        <f t="shared" ca="1" si="12"/>
        <v>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19340210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19340211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19340212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19340213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19340214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19340215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19340216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19340217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19340218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19340219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19340220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19340221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19340222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19340223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19340224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19340225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19340226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19340227</v>
      </c>
      <c r="C424" s="12">
        <v>1</v>
      </c>
      <c r="D424" s="17">
        <f t="shared" ca="1" si="12"/>
        <v>43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19340228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19340301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19340302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19340303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19340304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19340305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19340306</v>
      </c>
      <c r="C431" s="12">
        <v>1</v>
      </c>
      <c r="D431" s="17">
        <f t="shared" ca="1" si="12"/>
        <v>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19340307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19340308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19340309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19340310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19340311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19340312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19340313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19340314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19340315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19340316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19340317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19340318</v>
      </c>
      <c r="C443" s="12">
        <v>1</v>
      </c>
      <c r="D443" s="17">
        <f t="shared" ca="1" si="12"/>
        <v>60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19340319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19340320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19340321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19340322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19340323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19340324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19340325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19340326</v>
      </c>
      <c r="C451" s="12">
        <v>1</v>
      </c>
      <c r="D451" s="17">
        <f t="shared" ca="1" si="14"/>
        <v>37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19340327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19340328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19340329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19340330</v>
      </c>
      <c r="C455" s="12">
        <v>1</v>
      </c>
      <c r="D455" s="17">
        <f t="shared" ca="1" si="14"/>
        <v>140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19340331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19340401</v>
      </c>
      <c r="C457" s="12">
        <v>1</v>
      </c>
      <c r="D457" s="17">
        <f t="shared" ca="1" si="14"/>
        <v>34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19340402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19340403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19340404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19340405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19340406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19340407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19340408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19340409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19340410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19340411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19340412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19340413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19340414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19340415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19340416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19340417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19340418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19340419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19340420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19340421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19340422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19340423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19340424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19340425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19340426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19340427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19340428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19340429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19340430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19340501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19340502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19340503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19340504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19340505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19340506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19340507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19340508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19340509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19340510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19340511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19340512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19340513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19340514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19340515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19340516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19340517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19340518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19340519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19340520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19340521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19340522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19340523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19340524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19340525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19340526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19340527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19340528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19340529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19340530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19340531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19340601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19340602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19340603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19340604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19340605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19340606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19340607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19340608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19340609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19340610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19340611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19340612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19340613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19340614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19340615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19340616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19340617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19340618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19340619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19340620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19340621</v>
      </c>
      <c r="C538" s="12">
        <v>1</v>
      </c>
      <c r="D538" s="17">
        <f t="shared" ca="1" si="16"/>
        <v>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19340622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19340623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19340624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19340625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19340626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19340627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19340628</v>
      </c>
      <c r="C545" s="12">
        <v>1</v>
      </c>
      <c r="D545" s="17">
        <f t="shared" ca="1" si="16"/>
        <v>20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19340629</v>
      </c>
      <c r="C546" s="12">
        <v>1</v>
      </c>
      <c r="D546" s="17">
        <f t="shared" ca="1" si="16"/>
        <v>16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19340630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19340701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19340702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19340703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19340704</v>
      </c>
      <c r="C551" s="12">
        <v>1</v>
      </c>
      <c r="D551" s="17">
        <f t="shared" ca="1" si="16"/>
        <v>32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19340705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19340706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19340707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19340708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19340709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19340710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19340711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19340712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19340713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19340714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19340715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19340716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19340717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19340718</v>
      </c>
      <c r="C565" s="12">
        <v>1</v>
      </c>
      <c r="D565" s="17">
        <f t="shared" ca="1" si="16"/>
        <v>20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19340719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19340720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19340721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19340722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19340723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19340724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19340725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19340726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19340727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19340728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19340729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19340730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19340731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19340801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19340802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19340803</v>
      </c>
      <c r="C581" s="12">
        <v>1</v>
      </c>
      <c r="D581" s="17">
        <f t="shared" ca="1" si="18"/>
        <v>20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19340804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19340805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19340806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19340807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19340808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19340809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19340810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19340811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19340812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19340813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19340814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19340815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19340816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19340817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19340818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19340819</v>
      </c>
      <c r="C597" s="12">
        <v>1</v>
      </c>
      <c r="D597" s="17">
        <f t="shared" ca="1" si="18"/>
        <v>26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19340820</v>
      </c>
      <c r="C598" s="12">
        <v>1</v>
      </c>
      <c r="D598" s="17">
        <f t="shared" ca="1" si="18"/>
        <v>40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19340821</v>
      </c>
      <c r="C599" s="12">
        <v>1</v>
      </c>
      <c r="D599" s="17">
        <f t="shared" ca="1" si="18"/>
        <v>37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19340822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19340823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19340824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19340825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19340826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19340827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19340828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19340829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19340830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19340831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19340901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19340902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19340903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19340904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19340905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19340906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19340907</v>
      </c>
      <c r="C616" s="12">
        <v>1</v>
      </c>
      <c r="D616" s="17">
        <f t="shared" ca="1" si="18"/>
        <v>85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19340908</v>
      </c>
      <c r="C617" s="12">
        <v>1</v>
      </c>
      <c r="D617" s="17">
        <f t="shared" ca="1" si="18"/>
        <v>56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19340909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19340910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19340911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19340912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19340913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19340914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19340915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19340916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19340917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19340918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19340919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19340920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19340921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19340922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19340923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19340924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19340925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19340926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19340927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19340928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19340929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19340930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19341001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19341002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19341003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19341004</v>
      </c>
      <c r="C643" s="12">
        <v>1</v>
      </c>
      <c r="D643" s="17">
        <f t="shared" ca="1" si="20"/>
        <v>187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19341005</v>
      </c>
      <c r="C644" s="12">
        <v>1</v>
      </c>
      <c r="D644" s="17">
        <f t="shared" ca="1" si="20"/>
        <v>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19341006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19341007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19341008</v>
      </c>
      <c r="C647" s="12">
        <v>1</v>
      </c>
      <c r="D647" s="17">
        <f t="shared" ca="1" si="20"/>
        <v>15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19341009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19341010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19341011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19341012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19341013</v>
      </c>
      <c r="C652" s="12">
        <v>1</v>
      </c>
      <c r="D652" s="17">
        <f t="shared" ca="1" si="20"/>
        <v>233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19341014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19341015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19341016</v>
      </c>
      <c r="C655" s="12">
        <v>1</v>
      </c>
      <c r="D655" s="17">
        <f t="shared" ca="1" si="20"/>
        <v>32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19341017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19341018</v>
      </c>
      <c r="C657" s="12">
        <v>1</v>
      </c>
      <c r="D657" s="17">
        <f t="shared" ca="1" si="20"/>
        <v>35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19341019</v>
      </c>
      <c r="C658" s="12">
        <v>1</v>
      </c>
      <c r="D658" s="17">
        <f t="shared" ca="1" si="20"/>
        <v>55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19341020</v>
      </c>
      <c r="C659" s="12">
        <v>1</v>
      </c>
      <c r="D659" s="17">
        <f t="shared" ca="1" si="20"/>
        <v>314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19341021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19341022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19341023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19341024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19341025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19341026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19341027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19341028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19341029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19341030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19341031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19341101</v>
      </c>
      <c r="C671" s="12">
        <v>1</v>
      </c>
      <c r="D671" s="17">
        <f t="shared" ca="1" si="20"/>
        <v>42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19341102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19341103</v>
      </c>
      <c r="C673" s="12">
        <v>1</v>
      </c>
      <c r="D673" s="17">
        <f t="shared" ca="1" si="20"/>
        <v>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19341104</v>
      </c>
      <c r="C674" s="12">
        <v>1</v>
      </c>
      <c r="D674" s="17">
        <f t="shared" ca="1" si="20"/>
        <v>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19341105</v>
      </c>
      <c r="C675" s="12">
        <v>1</v>
      </c>
      <c r="D675" s="17">
        <f t="shared" ca="1" si="20"/>
        <v>58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19341106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19341107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19341108</v>
      </c>
      <c r="C678" s="12">
        <v>1</v>
      </c>
      <c r="D678" s="17">
        <f t="shared" ca="1" si="20"/>
        <v>0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19341109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19341110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19341111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19341112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19341113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19341114</v>
      </c>
      <c r="C684" s="12">
        <v>1</v>
      </c>
      <c r="D684" s="17">
        <f t="shared" ca="1" si="20"/>
        <v>0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19341115</v>
      </c>
      <c r="C685" s="12">
        <v>1</v>
      </c>
      <c r="D685" s="17">
        <f t="shared" ca="1" si="20"/>
        <v>13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19341116</v>
      </c>
      <c r="C686" s="12">
        <v>1</v>
      </c>
      <c r="D686" s="17">
        <f t="shared" ca="1" si="20"/>
        <v>0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19341117</v>
      </c>
      <c r="C687" s="12">
        <v>1</v>
      </c>
      <c r="D687" s="17">
        <f t="shared" ca="1" si="20"/>
        <v>0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19341118</v>
      </c>
      <c r="C688" s="12">
        <v>1</v>
      </c>
      <c r="D688" s="17">
        <f t="shared" ca="1" si="20"/>
        <v>87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19341119</v>
      </c>
      <c r="C689" s="12">
        <v>1</v>
      </c>
      <c r="D689" s="17">
        <f t="shared" ca="1" si="20"/>
        <v>35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19341120</v>
      </c>
      <c r="C690" s="12">
        <v>1</v>
      </c>
      <c r="D690" s="17">
        <f t="shared" ca="1" si="20"/>
        <v>184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19341121</v>
      </c>
      <c r="C691" s="12">
        <v>1</v>
      </c>
      <c r="D691" s="17">
        <f t="shared" ca="1" si="20"/>
        <v>471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19341122</v>
      </c>
      <c r="C692" s="12">
        <v>1</v>
      </c>
      <c r="D692" s="17">
        <f t="shared" ca="1" si="20"/>
        <v>345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19341123</v>
      </c>
      <c r="C693" s="12">
        <v>1</v>
      </c>
      <c r="D693" s="17">
        <f t="shared" ca="1" si="20"/>
        <v>0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19341124</v>
      </c>
      <c r="C694" s="12">
        <v>1</v>
      </c>
      <c r="D694" s="17">
        <f t="shared" ca="1" si="20"/>
        <v>70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19341125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19341126</v>
      </c>
      <c r="C696" s="12">
        <v>1</v>
      </c>
      <c r="D696" s="17">
        <f t="shared" ca="1" si="20"/>
        <v>779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19341127</v>
      </c>
      <c r="C697" s="12">
        <v>1</v>
      </c>
      <c r="D697" s="17">
        <f t="shared" ca="1" si="20"/>
        <v>36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19341128</v>
      </c>
      <c r="C698" s="12">
        <v>1</v>
      </c>
      <c r="D698" s="17">
        <f t="shared" ca="1" si="20"/>
        <v>727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19341129</v>
      </c>
      <c r="C699" s="12">
        <v>1</v>
      </c>
      <c r="D699" s="17">
        <f t="shared" ca="1" si="20"/>
        <v>846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19341130</v>
      </c>
      <c r="C700" s="12">
        <v>1</v>
      </c>
      <c r="D700" s="17">
        <f t="shared" ca="1" si="20"/>
        <v>190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19341201</v>
      </c>
      <c r="C701" s="12">
        <v>1</v>
      </c>
      <c r="D701" s="17">
        <f t="shared" ca="1" si="20"/>
        <v>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19341202</v>
      </c>
      <c r="C702" s="12">
        <v>1</v>
      </c>
      <c r="D702" s="17">
        <f t="shared" ca="1" si="20"/>
        <v>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19341203</v>
      </c>
      <c r="C703" s="12">
        <v>1</v>
      </c>
      <c r="D703" s="17">
        <f t="shared" ca="1" si="20"/>
        <v>86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19341204</v>
      </c>
      <c r="C704" s="12">
        <v>1</v>
      </c>
      <c r="D704" s="17">
        <f t="shared" ca="1" si="20"/>
        <v>25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19341205</v>
      </c>
      <c r="C705" s="12">
        <v>1</v>
      </c>
      <c r="D705" s="17">
        <f t="shared" ca="1" si="20"/>
        <v>20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19341206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30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19341207</v>
      </c>
      <c r="C707" s="12">
        <v>1</v>
      </c>
      <c r="D707" s="17">
        <f t="shared" ca="1" si="22"/>
        <v>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19341208</v>
      </c>
      <c r="C708" s="12">
        <v>1</v>
      </c>
      <c r="D708" s="17">
        <f t="shared" ca="1" si="22"/>
        <v>0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19341209</v>
      </c>
      <c r="C709" s="12">
        <v>1</v>
      </c>
      <c r="D709" s="17">
        <f t="shared" ca="1" si="22"/>
        <v>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19341210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19341211</v>
      </c>
      <c r="C711" s="12">
        <v>1</v>
      </c>
      <c r="D711" s="17">
        <f t="shared" ca="1" si="22"/>
        <v>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19341212</v>
      </c>
      <c r="C712" s="12">
        <v>1</v>
      </c>
      <c r="D712" s="17">
        <f t="shared" ca="1" si="22"/>
        <v>0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19341213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19341214</v>
      </c>
      <c r="C714" s="12">
        <v>1</v>
      </c>
      <c r="D714" s="17">
        <f t="shared" ca="1" si="22"/>
        <v>25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19341215</v>
      </c>
      <c r="C715" s="12">
        <v>1</v>
      </c>
      <c r="D715" s="17">
        <f t="shared" ca="1" si="22"/>
        <v>36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19341216</v>
      </c>
      <c r="C716" s="12">
        <v>1</v>
      </c>
      <c r="D716" s="17">
        <f t="shared" ca="1" si="22"/>
        <v>203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19341217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19341218</v>
      </c>
      <c r="C718" s="12">
        <v>1</v>
      </c>
      <c r="D718" s="17">
        <f t="shared" ca="1" si="22"/>
        <v>57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19341219</v>
      </c>
      <c r="C719" s="12">
        <v>1</v>
      </c>
      <c r="D719" s="17">
        <f t="shared" ca="1" si="22"/>
        <v>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19341220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19341221</v>
      </c>
      <c r="C721" s="12">
        <v>1</v>
      </c>
      <c r="D721" s="17">
        <f t="shared" ca="1" si="22"/>
        <v>30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19341222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19341223</v>
      </c>
      <c r="C723" s="12">
        <v>1</v>
      </c>
      <c r="D723" s="17">
        <f t="shared" ca="1" si="22"/>
        <v>167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19341224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19341225</v>
      </c>
      <c r="C725" s="12">
        <v>1</v>
      </c>
      <c r="D725" s="17">
        <f t="shared" ca="1" si="22"/>
        <v>0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19341226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19341227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19341228</v>
      </c>
      <c r="C728" s="12">
        <v>1</v>
      </c>
      <c r="D728" s="17">
        <f t="shared" ca="1" si="22"/>
        <v>105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19341229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19341230</v>
      </c>
      <c r="C730" s="12">
        <v>1</v>
      </c>
      <c r="D730" s="17">
        <f t="shared" ca="1" si="22"/>
        <v>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19341231</v>
      </c>
      <c r="C731" s="12">
        <v>1</v>
      </c>
      <c r="D731" s="17">
        <f t="shared" ca="1" si="22"/>
        <v>0</v>
      </c>
      <c r="E731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3</v>
      </c>
      <c r="B1" s="9" t="s">
        <v>0</v>
      </c>
      <c r="C1" s="10" t="s">
        <v>7</v>
      </c>
      <c r="D1" s="10" t="s">
        <v>8</v>
      </c>
      <c r="E1" s="10" t="s">
        <v>9</v>
      </c>
      <c r="F1" s="10" t="s">
        <v>10</v>
      </c>
      <c r="G1" s="10" t="s">
        <v>11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19340101</v>
      </c>
      <c r="C2" s="24" t="str">
        <f>INDEX(Data,2,2+MOD(ROWS(C$2:C2)-1,2))</f>
        <v>08.00</v>
      </c>
      <c r="D2" s="38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762.20319999999992</v>
      </c>
      <c r="E2" s="29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39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26.944444444444443</v>
      </c>
      <c r="G2" s="29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19340101</v>
      </c>
      <c r="C3" s="24" t="str">
        <f>INDEX(Data,2,2+MOD(ROWS(C$2:C3)-1,2))</f>
        <v>15.00</v>
      </c>
      <c r="D3" s="38">
        <f t="shared" ca="1" si="1"/>
        <v>760.09499999999991</v>
      </c>
      <c r="E3" s="29">
        <f t="shared" ca="1" si="2"/>
        <v>0</v>
      </c>
      <c r="F3" s="39">
        <f t="shared" ca="1" si="3"/>
        <v>27.777777777777779</v>
      </c>
      <c r="G3" s="29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19340102</v>
      </c>
      <c r="C4" s="24" t="str">
        <f>INDEX(Data,2,2+MOD(ROWS(C$2:C4)-1,2))</f>
        <v>08.00</v>
      </c>
      <c r="D4" s="38">
        <f t="shared" ca="1" si="1"/>
        <v>761.56819999999993</v>
      </c>
      <c r="E4" s="29">
        <f t="shared" ca="1" si="2"/>
        <v>0</v>
      </c>
      <c r="F4" s="39">
        <f t="shared" ca="1" si="3"/>
        <v>26.111111111111111</v>
      </c>
      <c r="G4" s="29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19340102</v>
      </c>
      <c r="C5" s="24" t="str">
        <f>INDEX(Data,2,2+MOD(ROWS(C$2:C5)-1,2))</f>
        <v>15.00</v>
      </c>
      <c r="D5" s="38">
        <f t="shared" ca="1" si="1"/>
        <v>758.92660000000001</v>
      </c>
      <c r="E5" s="29">
        <f t="shared" ca="1" si="2"/>
        <v>0</v>
      </c>
      <c r="F5" s="39">
        <f t="shared" ca="1" si="3"/>
        <v>26.944444444444443</v>
      </c>
      <c r="G5" s="29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19340103</v>
      </c>
      <c r="C6" s="24" t="str">
        <f>INDEX(Data,2,2+MOD(ROWS(C$2:C6)-1,2))</f>
        <v>08.00</v>
      </c>
      <c r="D6" s="38">
        <f t="shared" ca="1" si="1"/>
        <v>760.88239999999996</v>
      </c>
      <c r="E6" s="29">
        <f t="shared" ca="1" si="2"/>
        <v>0</v>
      </c>
      <c r="F6" s="39">
        <f t="shared" ca="1" si="3"/>
        <v>25.555555555555557</v>
      </c>
      <c r="G6" s="29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19340103</v>
      </c>
      <c r="C7" s="24" t="str">
        <f>INDEX(Data,2,2+MOD(ROWS(C$2:C7)-1,2))</f>
        <v>15.00</v>
      </c>
      <c r="D7" s="38">
        <f t="shared" ca="1" si="1"/>
        <v>759.18059999999991</v>
      </c>
      <c r="E7" s="29">
        <f t="shared" ca="1" si="2"/>
        <v>0</v>
      </c>
      <c r="F7" s="39">
        <f t="shared" ca="1" si="3"/>
        <v>26.944444444444443</v>
      </c>
      <c r="G7" s="29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19340104</v>
      </c>
      <c r="C8" s="24" t="str">
        <f>INDEX(Data,2,2+MOD(ROWS(C$2:C8)-1,2))</f>
        <v>08.00</v>
      </c>
      <c r="D8" s="38">
        <f t="shared" ca="1" si="1"/>
        <v>761.41579999999999</v>
      </c>
      <c r="E8" s="29">
        <f t="shared" ca="1" si="2"/>
        <v>0</v>
      </c>
      <c r="F8" s="39">
        <f t="shared" ca="1" si="3"/>
        <v>25.277777777777779</v>
      </c>
      <c r="G8" s="29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19340104</v>
      </c>
      <c r="C9" s="24" t="str">
        <f>INDEX(Data,2,2+MOD(ROWS(C$2:C9)-1,2))</f>
        <v>15.00</v>
      </c>
      <c r="D9" s="38">
        <f t="shared" ca="1" si="1"/>
        <v>759.40919999999994</v>
      </c>
      <c r="E9" s="29">
        <f t="shared" ca="1" si="2"/>
        <v>0</v>
      </c>
      <c r="F9" s="39">
        <f t="shared" ca="1" si="3"/>
        <v>27.222222222222221</v>
      </c>
      <c r="G9" s="29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19340105</v>
      </c>
      <c r="C10" s="24" t="str">
        <f>INDEX(Data,2,2+MOD(ROWS(C$2:C10)-1,2))</f>
        <v>08.00</v>
      </c>
      <c r="D10" s="38">
        <f t="shared" ca="1" si="1"/>
        <v>761.16179999999997</v>
      </c>
      <c r="E10" s="29">
        <f t="shared" ca="1" si="2"/>
        <v>0</v>
      </c>
      <c r="F10" s="39">
        <f t="shared" ca="1" si="3"/>
        <v>25.277777777777779</v>
      </c>
      <c r="G10" s="29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19340105</v>
      </c>
      <c r="C11" s="24" t="str">
        <f>INDEX(Data,2,2+MOD(ROWS(C$2:C11)-1,2))</f>
        <v>15.00</v>
      </c>
      <c r="D11" s="38">
        <f t="shared" ca="1" si="1"/>
        <v>759.43459999999993</v>
      </c>
      <c r="E11" s="29">
        <f t="shared" ca="1" si="2"/>
        <v>0</v>
      </c>
      <c r="F11" s="39">
        <f t="shared" ca="1" si="3"/>
        <v>26.944444444444443</v>
      </c>
      <c r="G11" s="29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19340106</v>
      </c>
      <c r="C12" s="24" t="str">
        <f>INDEX(Data,2,2+MOD(ROWS(C$2:C12)-1,2))</f>
        <v>08.00</v>
      </c>
      <c r="D12" s="38">
        <f t="shared" ca="1" si="1"/>
        <v>761.16179999999997</v>
      </c>
      <c r="E12" s="29">
        <f t="shared" ca="1" si="2"/>
        <v>0</v>
      </c>
      <c r="F12" s="39">
        <f t="shared" ca="1" si="3"/>
        <v>25.277777777777779</v>
      </c>
      <c r="G12" s="29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19340106</v>
      </c>
      <c r="C13" s="24" t="str">
        <f>INDEX(Data,2,2+MOD(ROWS(C$2:C13)-1,2))</f>
        <v>15.00</v>
      </c>
      <c r="D13" s="38">
        <f t="shared" ca="1" si="1"/>
        <v>760.29819999999995</v>
      </c>
      <c r="E13" s="29">
        <f t="shared" ca="1" si="2"/>
        <v>0</v>
      </c>
      <c r="F13" s="39">
        <f t="shared" ca="1" si="3"/>
        <v>26.111111111111111</v>
      </c>
      <c r="G13" s="29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19340107</v>
      </c>
      <c r="C14" s="24" t="str">
        <f>INDEX(Data,2,2+MOD(ROWS(C$2:C14)-1,2))</f>
        <v>08.00</v>
      </c>
      <c r="D14" s="38">
        <f t="shared" ca="1" si="1"/>
        <v>761.51739999999995</v>
      </c>
      <c r="E14" s="29">
        <f t="shared" ca="1" si="2"/>
        <v>0</v>
      </c>
      <c r="F14" s="39">
        <f t="shared" ca="1" si="3"/>
        <v>26.388888888888889</v>
      </c>
      <c r="G14" s="29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19340107</v>
      </c>
      <c r="C15" s="24" t="str">
        <f>INDEX(Data,2,2+MOD(ROWS(C$2:C15)-1,2))</f>
        <v>15.00</v>
      </c>
      <c r="D15" s="38">
        <f t="shared" ca="1" si="1"/>
        <v>759.73939999999993</v>
      </c>
      <c r="E15" s="29">
        <f t="shared" ca="1" si="2"/>
        <v>0</v>
      </c>
      <c r="F15" s="39">
        <f t="shared" ca="1" si="3"/>
        <v>26.666666666666668</v>
      </c>
      <c r="G15" s="29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19340108</v>
      </c>
      <c r="C16" s="24" t="str">
        <f>INDEX(Data,2,2+MOD(ROWS(C$2:C16)-1,2))</f>
        <v>08.00</v>
      </c>
      <c r="D16" s="38">
        <f t="shared" ca="1" si="1"/>
        <v>761.94920000000002</v>
      </c>
      <c r="E16" s="29">
        <f t="shared" ca="1" si="2"/>
        <v>0</v>
      </c>
      <c r="F16" s="39">
        <f t="shared" ca="1" si="3"/>
        <v>25</v>
      </c>
      <c r="G16" s="29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19340108</v>
      </c>
      <c r="C17" s="24" t="str">
        <f>INDEX(Data,2,2+MOD(ROWS(C$2:C17)-1,2))</f>
        <v>15.00</v>
      </c>
      <c r="D17" s="38">
        <f t="shared" ca="1" si="1"/>
        <v>759.43459999999993</v>
      </c>
      <c r="E17" s="29">
        <f t="shared" ca="1" si="2"/>
        <v>0</v>
      </c>
      <c r="F17" s="39">
        <f t="shared" ca="1" si="3"/>
        <v>25</v>
      </c>
      <c r="G17" s="29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19340109</v>
      </c>
      <c r="C18" s="24" t="str">
        <f>INDEX(Data,2,2+MOD(ROWS(C$2:C18)-1,2))</f>
        <v>08.00</v>
      </c>
      <c r="D18" s="38">
        <f t="shared" ca="1" si="1"/>
        <v>760.70459999999991</v>
      </c>
      <c r="E18" s="29">
        <f t="shared" ca="1" si="2"/>
        <v>0</v>
      </c>
      <c r="F18" s="39">
        <f t="shared" ca="1" si="3"/>
        <v>25</v>
      </c>
      <c r="G18" s="29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19340109</v>
      </c>
      <c r="C19" s="24" t="str">
        <f>INDEX(Data,2,2+MOD(ROWS(C$2:C19)-1,2))</f>
        <v>15.00</v>
      </c>
      <c r="D19" s="38">
        <f t="shared" ca="1" si="1"/>
        <v>758.59640000000002</v>
      </c>
      <c r="E19" s="29">
        <f t="shared" ca="1" si="2"/>
        <v>0</v>
      </c>
      <c r="F19" s="39">
        <f t="shared" ca="1" si="3"/>
        <v>25.555555555555557</v>
      </c>
      <c r="G19" s="29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19340110</v>
      </c>
      <c r="C20" s="24" t="str">
        <f>INDEX(Data,2,2+MOD(ROWS(C$2:C20)-1,2))</f>
        <v>08.00</v>
      </c>
      <c r="D20" s="38">
        <f t="shared" ca="1" si="1"/>
        <v>761.51739999999995</v>
      </c>
      <c r="E20" s="29">
        <f t="shared" ca="1" si="2"/>
        <v>0</v>
      </c>
      <c r="F20" s="39">
        <f t="shared" ca="1" si="3"/>
        <v>24.444444444444443</v>
      </c>
      <c r="G20" s="29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19340110</v>
      </c>
      <c r="C21" s="24" t="str">
        <f>INDEX(Data,2,2+MOD(ROWS(C$2:C21)-1,2))</f>
        <v>15.00</v>
      </c>
      <c r="D21" s="38">
        <f t="shared" ca="1" si="1"/>
        <v>759.40919999999994</v>
      </c>
      <c r="E21" s="29">
        <f t="shared" ca="1" si="2"/>
        <v>0</v>
      </c>
      <c r="F21" s="39">
        <f t="shared" ca="1" si="3"/>
        <v>27.222222222222221</v>
      </c>
      <c r="G21" s="29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19340111</v>
      </c>
      <c r="C22" s="24" t="str">
        <f>INDEX(Data,2,2+MOD(ROWS(C$2:C22)-1,2))</f>
        <v>08.00</v>
      </c>
      <c r="D22" s="38">
        <f t="shared" ca="1" si="1"/>
        <v>761.61899999999991</v>
      </c>
      <c r="E22" s="29">
        <f t="shared" ca="1" si="2"/>
        <v>0</v>
      </c>
      <c r="F22" s="39">
        <f t="shared" ca="1" si="3"/>
        <v>25.555555555555557</v>
      </c>
      <c r="G22" s="29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19340111</v>
      </c>
      <c r="C23" s="24" t="str">
        <f>INDEX(Data,2,2+MOD(ROWS(C$2:C23)-1,2))</f>
        <v>15.00</v>
      </c>
      <c r="D23" s="38">
        <f t="shared" ca="1" si="1"/>
        <v>760.24739999999997</v>
      </c>
      <c r="E23" s="29">
        <f t="shared" ca="1" si="2"/>
        <v>0</v>
      </c>
      <c r="F23" s="39">
        <f t="shared" ca="1" si="3"/>
        <v>26.666666666666668</v>
      </c>
      <c r="G23" s="29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19340112</v>
      </c>
      <c r="C24" s="24" t="str">
        <f>INDEX(Data,2,2+MOD(ROWS(C$2:C24)-1,2))</f>
        <v>08.00</v>
      </c>
      <c r="D24" s="38">
        <f t="shared" ca="1" si="1"/>
        <v>762.63499999999999</v>
      </c>
      <c r="E24" s="29">
        <f t="shared" ca="1" si="2"/>
        <v>0</v>
      </c>
      <c r="F24" s="39">
        <f t="shared" ca="1" si="3"/>
        <v>25.555555555555557</v>
      </c>
      <c r="G24" s="29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19340112</v>
      </c>
      <c r="C25" s="24" t="str">
        <f>INDEX(Data,2,2+MOD(ROWS(C$2:C25)-1,2))</f>
        <v>15.00</v>
      </c>
      <c r="D25" s="38">
        <f t="shared" ca="1" si="1"/>
        <v>758.41859999999997</v>
      </c>
      <c r="E25" s="29">
        <f t="shared" ca="1" si="2"/>
        <v>0</v>
      </c>
      <c r="F25" s="39">
        <f t="shared" ca="1" si="3"/>
        <v>26.944444444444443</v>
      </c>
      <c r="G25" s="29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19340113</v>
      </c>
      <c r="C26" s="24" t="str">
        <f>INDEX(Data,2,2+MOD(ROWS(C$2:C26)-1,2))</f>
        <v>08.00</v>
      </c>
      <c r="D26" s="38">
        <f t="shared" ca="1" si="1"/>
        <v>762.73659999999995</v>
      </c>
      <c r="E26" s="29">
        <f t="shared" ca="1" si="2"/>
        <v>0</v>
      </c>
      <c r="F26" s="39">
        <f t="shared" ca="1" si="3"/>
        <v>24.722222222222221</v>
      </c>
      <c r="G26" s="29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19340113</v>
      </c>
      <c r="C27" s="24" t="str">
        <f>INDEX(Data,2,2+MOD(ROWS(C$2:C27)-1,2))</f>
        <v>15.00</v>
      </c>
      <c r="D27" s="38">
        <f t="shared" ca="1" si="1"/>
        <v>760.55219999999997</v>
      </c>
      <c r="E27" s="29">
        <f t="shared" ca="1" si="2"/>
        <v>0</v>
      </c>
      <c r="F27" s="39">
        <f t="shared" ca="1" si="3"/>
        <v>26.111111111111111</v>
      </c>
      <c r="G27" s="29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19340114</v>
      </c>
      <c r="C28" s="24" t="str">
        <f>INDEX(Data,2,2+MOD(ROWS(C$2:C28)-1,2))</f>
        <v>08.00</v>
      </c>
      <c r="D28" s="38">
        <f t="shared" ca="1" si="1"/>
        <v>761.94920000000002</v>
      </c>
      <c r="E28" s="29">
        <f t="shared" ca="1" si="2"/>
        <v>0</v>
      </c>
      <c r="F28" s="39">
        <f t="shared" ca="1" si="3"/>
        <v>25</v>
      </c>
      <c r="G28" s="29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19340114</v>
      </c>
      <c r="C29" s="24" t="str">
        <f>INDEX(Data,2,2+MOD(ROWS(C$2:C29)-1,2))</f>
        <v>15.00</v>
      </c>
      <c r="D29" s="38">
        <f t="shared" ca="1" si="1"/>
        <v>759.73939999999993</v>
      </c>
      <c r="E29" s="29">
        <f t="shared" ca="1" si="2"/>
        <v>0</v>
      </c>
      <c r="F29" s="39">
        <f t="shared" ca="1" si="3"/>
        <v>26.666666666666668</v>
      </c>
      <c r="G29" s="29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19340115</v>
      </c>
      <c r="C30" s="24" t="str">
        <f>INDEX(Data,2,2+MOD(ROWS(C$2:C30)-1,2))</f>
        <v>08.00</v>
      </c>
      <c r="D30" s="38">
        <f t="shared" ca="1" si="1"/>
        <v>762.38099999999997</v>
      </c>
      <c r="E30" s="29">
        <f t="shared" ca="1" si="2"/>
        <v>0</v>
      </c>
      <c r="F30" s="39">
        <f t="shared" ca="1" si="3"/>
        <v>25.555555555555557</v>
      </c>
      <c r="G30" s="29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19340115</v>
      </c>
      <c r="C31" s="24" t="str">
        <f>INDEX(Data,2,2+MOD(ROWS(C$2:C31)-1,2))</f>
        <v>15.00</v>
      </c>
      <c r="D31" s="38">
        <f t="shared" ca="1" si="1"/>
        <v>760.50139999999999</v>
      </c>
      <c r="E31" s="29">
        <f t="shared" ca="1" si="2"/>
        <v>0</v>
      </c>
      <c r="F31" s="39">
        <f t="shared" ca="1" si="3"/>
        <v>26.666666666666668</v>
      </c>
      <c r="G31" s="29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19340116</v>
      </c>
      <c r="C32" s="24" t="str">
        <f>INDEX(Data,2,2+MOD(ROWS(C$2:C32)-1,2))</f>
        <v>08.00</v>
      </c>
      <c r="D32" s="38">
        <f t="shared" ca="1" si="1"/>
        <v>762.38099999999997</v>
      </c>
      <c r="E32" s="29">
        <f t="shared" ca="1" si="2"/>
        <v>0</v>
      </c>
      <c r="F32" s="39">
        <f t="shared" ca="1" si="3"/>
        <v>25.555555555555557</v>
      </c>
      <c r="G32" s="29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19340116</v>
      </c>
      <c r="C33" s="24" t="str">
        <f>INDEX(Data,2,2+MOD(ROWS(C$2:C33)-1,2))</f>
        <v>15.00</v>
      </c>
      <c r="D33" s="38">
        <f t="shared" ca="1" si="1"/>
        <v>760.37439999999992</v>
      </c>
      <c r="E33" s="29">
        <f t="shared" ca="1" si="2"/>
        <v>0</v>
      </c>
      <c r="F33" s="39">
        <f t="shared" ca="1" si="3"/>
        <v>25.555555555555557</v>
      </c>
      <c r="G33" s="29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19340117</v>
      </c>
      <c r="C34" s="24" t="str">
        <f>INDEX(Data,2,2+MOD(ROWS(C$2:C34)-1,2))</f>
        <v>08.00</v>
      </c>
      <c r="D34" s="38">
        <f t="shared" ca="1" si="1"/>
        <v>761.66980000000001</v>
      </c>
      <c r="E34" s="29">
        <f t="shared" ca="1" si="2"/>
        <v>0</v>
      </c>
      <c r="F34" s="39">
        <f t="shared" ca="1" si="3"/>
        <v>25.277777777777779</v>
      </c>
      <c r="G34" s="29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19340117</v>
      </c>
      <c r="C35" s="24" t="str">
        <f>INDEX(Data,2,2+MOD(ROWS(C$2:C35)-1,2))</f>
        <v>15.00</v>
      </c>
      <c r="D35" s="38">
        <f t="shared" ca="1" si="1"/>
        <v>759.99339999999995</v>
      </c>
      <c r="E35" s="29">
        <f t="shared" ca="1" si="2"/>
        <v>0</v>
      </c>
      <c r="F35" s="39">
        <f t="shared" ca="1" si="3"/>
        <v>26.666666666666668</v>
      </c>
      <c r="G35" s="29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19340118</v>
      </c>
      <c r="C36" s="24" t="str">
        <f>INDEX(Data,2,2+MOD(ROWS(C$2:C36)-1,2))</f>
        <v>08.00</v>
      </c>
      <c r="D36" s="38">
        <f t="shared" ca="1" si="1"/>
        <v>761.41579999999999</v>
      </c>
      <c r="E36" s="29">
        <f t="shared" ca="1" si="2"/>
        <v>0</v>
      </c>
      <c r="F36" s="39">
        <f t="shared" ca="1" si="3"/>
        <v>25.277777777777779</v>
      </c>
      <c r="G36" s="29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19340118</v>
      </c>
      <c r="C37" s="24" t="str">
        <f>INDEX(Data,2,2+MOD(ROWS(C$2:C37)-1,2))</f>
        <v>15.00</v>
      </c>
      <c r="D37" s="38">
        <f t="shared" ca="1" si="1"/>
        <v>759.66319999999996</v>
      </c>
      <c r="E37" s="29">
        <f t="shared" ca="1" si="2"/>
        <v>0</v>
      </c>
      <c r="F37" s="39">
        <f t="shared" ca="1" si="3"/>
        <v>27.222222222222221</v>
      </c>
      <c r="G37" s="29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19340119</v>
      </c>
      <c r="C38" s="24" t="str">
        <f>INDEX(Data,2,2+MOD(ROWS(C$2:C38)-1,2))</f>
        <v>08.00</v>
      </c>
      <c r="D38" s="38">
        <f t="shared" ca="1" si="1"/>
        <v>761.82219999999995</v>
      </c>
      <c r="E38" s="29">
        <f t="shared" ca="1" si="2"/>
        <v>0</v>
      </c>
      <c r="F38" s="39">
        <f t="shared" ca="1" si="3"/>
        <v>26.111111111111111</v>
      </c>
      <c r="G38" s="29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19340119</v>
      </c>
      <c r="C39" s="24" t="str">
        <f>INDEX(Data,2,2+MOD(ROWS(C$2:C39)-1,2))</f>
        <v>15.00</v>
      </c>
      <c r="D39" s="38">
        <f t="shared" ca="1" si="1"/>
        <v>759.91719999999998</v>
      </c>
      <c r="E39" s="29">
        <f t="shared" ca="1" si="2"/>
        <v>0</v>
      </c>
      <c r="F39" s="39">
        <f t="shared" ca="1" si="3"/>
        <v>27.222222222222221</v>
      </c>
      <c r="G39" s="29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19340120</v>
      </c>
      <c r="C40" s="24" t="str">
        <f>INDEX(Data,2,2+MOD(ROWS(C$2:C40)-1,2))</f>
        <v>08.00</v>
      </c>
      <c r="D40" s="38">
        <f t="shared" ca="1" si="1"/>
        <v>761.84759999999994</v>
      </c>
      <c r="E40" s="29">
        <f t="shared" ca="1" si="2"/>
        <v>0</v>
      </c>
      <c r="F40" s="39">
        <f t="shared" ca="1" si="3"/>
        <v>25.833333333333332</v>
      </c>
      <c r="G40" s="29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19340120</v>
      </c>
      <c r="C41" s="24" t="str">
        <f>INDEX(Data,2,2+MOD(ROWS(C$2:C41)-1,2))</f>
        <v>15.00</v>
      </c>
      <c r="D41" s="38">
        <f t="shared" ca="1" si="1"/>
        <v>759.91719999999998</v>
      </c>
      <c r="E41" s="29">
        <f t="shared" ca="1" si="2"/>
        <v>0</v>
      </c>
      <c r="F41" s="39">
        <f t="shared" ca="1" si="3"/>
        <v>27.222222222222221</v>
      </c>
      <c r="G41" s="29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19340121</v>
      </c>
      <c r="C42" s="24" t="str">
        <f>INDEX(Data,2,2+MOD(ROWS(C$2:C42)-1,2))</f>
        <v>08.00</v>
      </c>
      <c r="D42" s="38">
        <f t="shared" ca="1" si="1"/>
        <v>761.41579999999999</v>
      </c>
      <c r="E42" s="29">
        <f t="shared" ca="1" si="2"/>
        <v>0</v>
      </c>
      <c r="F42" s="39">
        <f t="shared" ca="1" si="3"/>
        <v>25.277777777777779</v>
      </c>
      <c r="G42" s="29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19340121</v>
      </c>
      <c r="C43" s="24" t="str">
        <f>INDEX(Data,2,2+MOD(ROWS(C$2:C43)-1,2))</f>
        <v>15.00</v>
      </c>
      <c r="D43" s="38">
        <f t="shared" ca="1" si="1"/>
        <v>759.73939999999993</v>
      </c>
      <c r="E43" s="29">
        <f t="shared" ca="1" si="2"/>
        <v>0</v>
      </c>
      <c r="F43" s="39">
        <f t="shared" ca="1" si="3"/>
        <v>26.666666666666668</v>
      </c>
      <c r="G43" s="29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19340122</v>
      </c>
      <c r="C44" s="24" t="str">
        <f>INDEX(Data,2,2+MOD(ROWS(C$2:C44)-1,2))</f>
        <v>08.00</v>
      </c>
      <c r="D44" s="38">
        <f t="shared" ca="1" si="1"/>
        <v>761.87299999999993</v>
      </c>
      <c r="E44" s="29">
        <f t="shared" ca="1" si="2"/>
        <v>0</v>
      </c>
      <c r="F44" s="39">
        <f t="shared" ca="1" si="3"/>
        <v>25.555555555555557</v>
      </c>
      <c r="G44" s="29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19340122</v>
      </c>
      <c r="C45" s="24" t="str">
        <f>INDEX(Data,2,2+MOD(ROWS(C$2:C45)-1,2))</f>
        <v>15.00</v>
      </c>
      <c r="D45" s="38">
        <f t="shared" ca="1" si="1"/>
        <v>759.68859999999995</v>
      </c>
      <c r="E45" s="29">
        <f t="shared" ca="1" si="2"/>
        <v>0</v>
      </c>
      <c r="F45" s="39">
        <f t="shared" ca="1" si="3"/>
        <v>26.944444444444443</v>
      </c>
      <c r="G45" s="29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19340123</v>
      </c>
      <c r="C46" s="24" t="str">
        <f>INDEX(Data,2,2+MOD(ROWS(C$2:C46)-1,2))</f>
        <v>08.00</v>
      </c>
      <c r="D46" s="38">
        <f t="shared" ca="1" si="1"/>
        <v>762.38099999999997</v>
      </c>
      <c r="E46" s="29">
        <f t="shared" ca="1" si="2"/>
        <v>0</v>
      </c>
      <c r="F46" s="39">
        <f t="shared" ca="1" si="3"/>
        <v>25.555555555555557</v>
      </c>
      <c r="G46" s="29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19340123</v>
      </c>
      <c r="C47" s="24" t="str">
        <f>INDEX(Data,2,2+MOD(ROWS(C$2:C47)-1,2))</f>
        <v>15.00</v>
      </c>
      <c r="D47" s="38">
        <f t="shared" ca="1" si="1"/>
        <v>760.1712</v>
      </c>
      <c r="E47" s="29">
        <f t="shared" ca="1" si="2"/>
        <v>0</v>
      </c>
      <c r="F47" s="39">
        <f t="shared" ca="1" si="3"/>
        <v>27.222222222222221</v>
      </c>
      <c r="G47" s="29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19340124</v>
      </c>
      <c r="C48" s="24" t="str">
        <f>INDEX(Data,2,2+MOD(ROWS(C$2:C48)-1,2))</f>
        <v>08.00</v>
      </c>
      <c r="D48" s="38">
        <f t="shared" ca="1" si="1"/>
        <v>762.63499999999999</v>
      </c>
      <c r="E48" s="29">
        <f t="shared" ca="1" si="2"/>
        <v>0</v>
      </c>
      <c r="F48" s="39">
        <f t="shared" ca="1" si="3"/>
        <v>25.555555555555557</v>
      </c>
      <c r="G48" s="29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19340124</v>
      </c>
      <c r="C49" s="24" t="str">
        <f>INDEX(Data,2,2+MOD(ROWS(C$2:C49)-1,2))</f>
        <v>15.00</v>
      </c>
      <c r="D49" s="38">
        <f t="shared" ca="1" si="1"/>
        <v>760.60299999999995</v>
      </c>
      <c r="E49" s="29">
        <f t="shared" ca="1" si="2"/>
        <v>0</v>
      </c>
      <c r="F49" s="39">
        <f t="shared" ca="1" si="3"/>
        <v>27.777777777777779</v>
      </c>
      <c r="G49" s="29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19340125</v>
      </c>
      <c r="C50" s="24" t="str">
        <f>INDEX(Data,2,2+MOD(ROWS(C$2:C50)-1,2))</f>
        <v>08.00</v>
      </c>
      <c r="D50" s="38">
        <f t="shared" ca="1" si="1"/>
        <v>763.14299999999992</v>
      </c>
      <c r="E50" s="29">
        <f t="shared" ca="1" si="2"/>
        <v>0</v>
      </c>
      <c r="F50" s="39">
        <f t="shared" ca="1" si="3"/>
        <v>25.555555555555557</v>
      </c>
      <c r="G50" s="29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19340125</v>
      </c>
      <c r="C51" s="24" t="str">
        <f>INDEX(Data,2,2+MOD(ROWS(C$2:C51)-1,2))</f>
        <v>15.00</v>
      </c>
      <c r="D51" s="38">
        <f t="shared" ca="1" si="1"/>
        <v>761.03480000000002</v>
      </c>
      <c r="E51" s="29">
        <f t="shared" ca="1" si="2"/>
        <v>0</v>
      </c>
      <c r="F51" s="39">
        <f t="shared" ca="1" si="3"/>
        <v>26.388888888888889</v>
      </c>
      <c r="G51" s="29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19340126</v>
      </c>
      <c r="C52" s="24" t="str">
        <f>INDEX(Data,2,2+MOD(ROWS(C$2:C52)-1,2))</f>
        <v>08.00</v>
      </c>
      <c r="D52" s="38">
        <f t="shared" ca="1" si="1"/>
        <v>763.04139999999995</v>
      </c>
      <c r="E52" s="29">
        <f t="shared" ca="1" si="2"/>
        <v>0</v>
      </c>
      <c r="F52" s="39">
        <f t="shared" ca="1" si="3"/>
        <v>24.444444444444443</v>
      </c>
      <c r="G52" s="29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19340126</v>
      </c>
      <c r="C53" s="24" t="str">
        <f>INDEX(Data,2,2+MOD(ROWS(C$2:C53)-1,2))</f>
        <v>15.00</v>
      </c>
      <c r="D53" s="38">
        <f t="shared" ca="1" si="1"/>
        <v>761.18719999999996</v>
      </c>
      <c r="E53" s="29">
        <f t="shared" ca="1" si="2"/>
        <v>0</v>
      </c>
      <c r="F53" s="39">
        <f t="shared" ca="1" si="3"/>
        <v>26.944444444444443</v>
      </c>
      <c r="G53" s="29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19340127</v>
      </c>
      <c r="C54" s="24" t="str">
        <f>INDEX(Data,2,2+MOD(ROWS(C$2:C54)-1,2))</f>
        <v>08.00</v>
      </c>
      <c r="D54" s="38">
        <f t="shared" ca="1" si="1"/>
        <v>763.49860000000001</v>
      </c>
      <c r="E54" s="29">
        <f t="shared" ca="1" si="2"/>
        <v>0</v>
      </c>
      <c r="F54" s="39">
        <f t="shared" ca="1" si="3"/>
        <v>24.722222222222221</v>
      </c>
      <c r="G54" s="29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19340127</v>
      </c>
      <c r="C55" s="24" t="str">
        <f>INDEX(Data,2,2+MOD(ROWS(C$2:C55)-1,2))</f>
        <v>15.00</v>
      </c>
      <c r="D55" s="38">
        <f t="shared" ca="1" si="1"/>
        <v>761.49199999999996</v>
      </c>
      <c r="E55" s="29">
        <f t="shared" ca="1" si="2"/>
        <v>0</v>
      </c>
      <c r="F55" s="39">
        <f t="shared" ca="1" si="3"/>
        <v>26.666666666666668</v>
      </c>
      <c r="G55" s="29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19340128</v>
      </c>
      <c r="C56" s="24" t="str">
        <f>INDEX(Data,2,2+MOD(ROWS(C$2:C56)-1,2))</f>
        <v>08.00</v>
      </c>
      <c r="D56" s="38">
        <f t="shared" ca="1" si="1"/>
        <v>762.6096</v>
      </c>
      <c r="E56" s="29">
        <f t="shared" ca="1" si="2"/>
        <v>0</v>
      </c>
      <c r="F56" s="39">
        <f t="shared" ca="1" si="3"/>
        <v>25.833333333333332</v>
      </c>
      <c r="G56" s="29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19340128</v>
      </c>
      <c r="C57" s="24" t="str">
        <f>INDEX(Data,2,2+MOD(ROWS(C$2:C57)-1,2))</f>
        <v>15.00</v>
      </c>
      <c r="D57" s="38">
        <f t="shared" ca="1" si="1"/>
        <v>760.42520000000002</v>
      </c>
      <c r="E57" s="29">
        <f t="shared" ca="1" si="2"/>
        <v>0</v>
      </c>
      <c r="F57" s="39">
        <f t="shared" ca="1" si="3"/>
        <v>27.222222222222221</v>
      </c>
      <c r="G57" s="29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19340129</v>
      </c>
      <c r="C58" s="24" t="str">
        <f>INDEX(Data,2,2+MOD(ROWS(C$2:C58)-1,2))</f>
        <v>08.00</v>
      </c>
      <c r="D58" s="38">
        <f t="shared" ca="1" si="1"/>
        <v>762.17779999999993</v>
      </c>
      <c r="E58" s="29">
        <f t="shared" ca="1" si="2"/>
        <v>0</v>
      </c>
      <c r="F58" s="39">
        <f t="shared" ca="1" si="3"/>
        <v>25.277777777777779</v>
      </c>
      <c r="G58" s="29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19340129</v>
      </c>
      <c r="C59" s="24" t="str">
        <f>INDEX(Data,2,2+MOD(ROWS(C$2:C59)-1,2))</f>
        <v>15.00</v>
      </c>
      <c r="D59" s="38">
        <f t="shared" ca="1" si="1"/>
        <v>760.24739999999997</v>
      </c>
      <c r="E59" s="29">
        <f t="shared" ca="1" si="2"/>
        <v>0</v>
      </c>
      <c r="F59" s="39">
        <f t="shared" ca="1" si="3"/>
        <v>26.666666666666668</v>
      </c>
      <c r="G59" s="29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19340130</v>
      </c>
      <c r="C60" s="24" t="str">
        <f>INDEX(Data,2,2+MOD(ROWS(C$2:C60)-1,2))</f>
        <v>08.00</v>
      </c>
      <c r="D60" s="38">
        <f t="shared" ca="1" si="1"/>
        <v>762.12699999999995</v>
      </c>
      <c r="E60" s="29">
        <f t="shared" ca="1" si="2"/>
        <v>0</v>
      </c>
      <c r="F60" s="39">
        <f t="shared" ca="1" si="3"/>
        <v>25.555555555555557</v>
      </c>
      <c r="G60" s="29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19340130</v>
      </c>
      <c r="C61" s="24" t="str">
        <f>INDEX(Data,2,2+MOD(ROWS(C$2:C61)-1,2))</f>
        <v>15.00</v>
      </c>
      <c r="D61" s="38">
        <f t="shared" ca="1" si="1"/>
        <v>760.45060000000001</v>
      </c>
      <c r="E61" s="29">
        <f t="shared" ca="1" si="2"/>
        <v>0</v>
      </c>
      <c r="F61" s="39">
        <f t="shared" ca="1" si="3"/>
        <v>26.944444444444443</v>
      </c>
      <c r="G61" s="29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19340131</v>
      </c>
      <c r="C62" s="24" t="str">
        <f>INDEX(Data,2,2+MOD(ROWS(C$2:C62)-1,2))</f>
        <v>08.00</v>
      </c>
      <c r="D62" s="38">
        <f t="shared" ca="1" si="1"/>
        <v>763.09219999999993</v>
      </c>
      <c r="E62" s="29">
        <f t="shared" ca="1" si="2"/>
        <v>0</v>
      </c>
      <c r="F62" s="39">
        <f t="shared" ca="1" si="3"/>
        <v>26.111111111111111</v>
      </c>
      <c r="G62" s="29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19340131</v>
      </c>
      <c r="C63" s="24" t="str">
        <f>INDEX(Data,2,2+MOD(ROWS(C$2:C63)-1,2))</f>
        <v>15.00</v>
      </c>
      <c r="D63" s="38">
        <f t="shared" ca="1" si="1"/>
        <v>761.16179999999997</v>
      </c>
      <c r="E63" s="29">
        <f t="shared" ca="1" si="2"/>
        <v>0</v>
      </c>
      <c r="F63" s="39">
        <f t="shared" ca="1" si="3"/>
        <v>27.222222222222221</v>
      </c>
      <c r="G63" s="29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19340201</v>
      </c>
      <c r="C64" s="24" t="str">
        <f>INDEX(Data,2,2+MOD(ROWS(C$2:C64)-1,2))</f>
        <v>08.00</v>
      </c>
      <c r="D64" s="38">
        <f t="shared" ca="1" si="1"/>
        <v>762.63499999999999</v>
      </c>
      <c r="E64" s="29">
        <f t="shared" ca="1" si="2"/>
        <v>0</v>
      </c>
      <c r="F64" s="39">
        <f t="shared" ca="1" si="3"/>
        <v>25.555555555555557</v>
      </c>
      <c r="G64" s="29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19340201</v>
      </c>
      <c r="C65" s="24" t="str">
        <f>INDEX(Data,2,2+MOD(ROWS(C$2:C65)-1,2))</f>
        <v>15.00</v>
      </c>
      <c r="D65" s="38">
        <f t="shared" ca="1" si="1"/>
        <v>761.16179999999997</v>
      </c>
      <c r="E65" s="29">
        <f t="shared" ca="1" si="2"/>
        <v>0</v>
      </c>
      <c r="F65" s="39">
        <f t="shared" ca="1" si="3"/>
        <v>27.222222222222221</v>
      </c>
      <c r="G65" s="29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19340202</v>
      </c>
      <c r="C66" s="24" t="str">
        <f>INDEX(Data,2,2+MOD(ROWS(C$2:C66)-1,2))</f>
        <v>08.00</v>
      </c>
      <c r="D66" s="38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762.43179999999995</v>
      </c>
      <c r="E66" s="29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39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25.277777777777779</v>
      </c>
      <c r="G66" s="29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19340202</v>
      </c>
      <c r="C67" s="24" t="str">
        <f>INDEX(Data,2,2+MOD(ROWS(C$2:C67)-1,2))</f>
        <v>15.00</v>
      </c>
      <c r="D67" s="38">
        <f t="shared" ca="1" si="6"/>
        <v>760.39979999999991</v>
      </c>
      <c r="E67" s="29">
        <f t="shared" ca="1" si="7"/>
        <v>0</v>
      </c>
      <c r="F67" s="39">
        <f t="shared" ca="1" si="8"/>
        <v>26.944444444444443</v>
      </c>
      <c r="G67" s="29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19340203</v>
      </c>
      <c r="C68" s="24" t="str">
        <f>INDEX(Data,2,2+MOD(ROWS(C$2:C68)-1,2))</f>
        <v>08.00</v>
      </c>
      <c r="D68" s="38">
        <f t="shared" ca="1" si="6"/>
        <v>762.38099999999997</v>
      </c>
      <c r="E68" s="29">
        <f t="shared" ca="1" si="7"/>
        <v>0</v>
      </c>
      <c r="F68" s="39">
        <f t="shared" ca="1" si="8"/>
        <v>25.555555555555557</v>
      </c>
      <c r="G68" s="29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19340203</v>
      </c>
      <c r="C69" s="24" t="str">
        <f>INDEX(Data,2,2+MOD(ROWS(C$2:C69)-1,2))</f>
        <v>15.00</v>
      </c>
      <c r="D69" s="38">
        <f t="shared" ca="1" si="6"/>
        <v>760.93319999999994</v>
      </c>
      <c r="E69" s="29">
        <f t="shared" ca="1" si="7"/>
        <v>0</v>
      </c>
      <c r="F69" s="39">
        <f t="shared" ca="1" si="8"/>
        <v>27.222222222222221</v>
      </c>
      <c r="G69" s="29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19340204</v>
      </c>
      <c r="C70" s="24" t="str">
        <f>INDEX(Data,2,2+MOD(ROWS(C$2:C70)-1,2))</f>
        <v>08.00</v>
      </c>
      <c r="D70" s="38">
        <f t="shared" ca="1" si="6"/>
        <v>762.68579999999997</v>
      </c>
      <c r="E70" s="29">
        <f t="shared" ca="1" si="7"/>
        <v>0</v>
      </c>
      <c r="F70" s="39">
        <f t="shared" ca="1" si="8"/>
        <v>25.277777777777779</v>
      </c>
      <c r="G70" s="29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19340204</v>
      </c>
      <c r="C71" s="24" t="str">
        <f>INDEX(Data,2,2+MOD(ROWS(C$2:C71)-1,2))</f>
        <v>15.00</v>
      </c>
      <c r="D71" s="38">
        <f t="shared" ca="1" si="6"/>
        <v>760.65379999999993</v>
      </c>
      <c r="E71" s="29">
        <f t="shared" ca="1" si="7"/>
        <v>0</v>
      </c>
      <c r="F71" s="39">
        <f t="shared" ca="1" si="8"/>
        <v>27.5</v>
      </c>
      <c r="G71" s="29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19340205</v>
      </c>
      <c r="C72" s="24" t="str">
        <f>INDEX(Data,2,2+MOD(ROWS(C$2:C72)-1,2))</f>
        <v>08.00</v>
      </c>
      <c r="D72" s="38">
        <f t="shared" ca="1" si="6"/>
        <v>762.96519999999998</v>
      </c>
      <c r="E72" s="29">
        <f t="shared" ca="1" si="7"/>
        <v>0</v>
      </c>
      <c r="F72" s="39">
        <f t="shared" ca="1" si="8"/>
        <v>25</v>
      </c>
      <c r="G72" s="29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19340205</v>
      </c>
      <c r="C73" s="24" t="str">
        <f>INDEX(Data,2,2+MOD(ROWS(C$2:C73)-1,2))</f>
        <v>15.00</v>
      </c>
      <c r="D73" s="38">
        <f t="shared" ca="1" si="6"/>
        <v>760.52679999999998</v>
      </c>
      <c r="E73" s="29">
        <f t="shared" ca="1" si="7"/>
        <v>0</v>
      </c>
      <c r="F73" s="39">
        <f t="shared" ca="1" si="8"/>
        <v>26.388888888888889</v>
      </c>
      <c r="G73" s="29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19340206</v>
      </c>
      <c r="C74" s="24" t="str">
        <f>INDEX(Data,2,2+MOD(ROWS(C$2:C74)-1,2))</f>
        <v>08.00</v>
      </c>
      <c r="D74" s="38">
        <f t="shared" ca="1" si="6"/>
        <v>762.68579999999997</v>
      </c>
      <c r="E74" s="29">
        <f t="shared" ca="1" si="7"/>
        <v>0</v>
      </c>
      <c r="F74" s="39">
        <f t="shared" ca="1" si="8"/>
        <v>25.277777777777779</v>
      </c>
      <c r="G74" s="29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19340206</v>
      </c>
      <c r="C75" s="24" t="str">
        <f>INDEX(Data,2,2+MOD(ROWS(C$2:C75)-1,2))</f>
        <v>15.00</v>
      </c>
      <c r="D75" s="38">
        <f t="shared" ca="1" si="6"/>
        <v>760.42520000000002</v>
      </c>
      <c r="E75" s="29">
        <f t="shared" ca="1" si="7"/>
        <v>0</v>
      </c>
      <c r="F75" s="39">
        <f t="shared" ca="1" si="8"/>
        <v>27.222222222222221</v>
      </c>
      <c r="G75" s="29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19340207</v>
      </c>
      <c r="C76" s="24" t="str">
        <f>INDEX(Data,2,2+MOD(ROWS(C$2:C76)-1,2))</f>
        <v>08.00</v>
      </c>
      <c r="D76" s="38">
        <f t="shared" ca="1" si="6"/>
        <v>762.88900000000001</v>
      </c>
      <c r="E76" s="29">
        <f t="shared" ca="1" si="7"/>
        <v>0</v>
      </c>
      <c r="F76" s="39">
        <f t="shared" ca="1" si="8"/>
        <v>25.555555555555557</v>
      </c>
      <c r="G76" s="29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19340207</v>
      </c>
      <c r="C77" s="24" t="str">
        <f>INDEX(Data,2,2+MOD(ROWS(C$2:C77)-1,2))</f>
        <v>15.00</v>
      </c>
      <c r="D77" s="38">
        <f t="shared" ca="1" si="6"/>
        <v>761.16179999999997</v>
      </c>
      <c r="E77" s="29">
        <f t="shared" ca="1" si="7"/>
        <v>0</v>
      </c>
      <c r="F77" s="39">
        <f t="shared" ca="1" si="8"/>
        <v>27.222222222222221</v>
      </c>
      <c r="G77" s="29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19340208</v>
      </c>
      <c r="C78" s="24" t="str">
        <f>INDEX(Data,2,2+MOD(ROWS(C$2:C78)-1,2))</f>
        <v>08.00</v>
      </c>
      <c r="D78" s="38">
        <f t="shared" ca="1" si="6"/>
        <v>763.39699999999993</v>
      </c>
      <c r="E78" s="29">
        <f t="shared" ca="1" si="7"/>
        <v>0</v>
      </c>
      <c r="F78" s="39">
        <f t="shared" ca="1" si="8"/>
        <v>25.555555555555557</v>
      </c>
      <c r="G78" s="29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19340208</v>
      </c>
      <c r="C79" s="24" t="str">
        <f>INDEX(Data,2,2+MOD(ROWS(C$2:C79)-1,2))</f>
        <v>15.00</v>
      </c>
      <c r="D79" s="38">
        <f t="shared" ca="1" si="6"/>
        <v>761.44119999999998</v>
      </c>
      <c r="E79" s="29">
        <f t="shared" ca="1" si="7"/>
        <v>0</v>
      </c>
      <c r="F79" s="39">
        <f t="shared" ca="1" si="8"/>
        <v>26.944444444444443</v>
      </c>
      <c r="G79" s="29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19340209</v>
      </c>
      <c r="C80" s="24" t="str">
        <f>INDEX(Data,2,2+MOD(ROWS(C$2:C80)-1,2))</f>
        <v>08.00</v>
      </c>
      <c r="D80" s="38">
        <f t="shared" ca="1" si="6"/>
        <v>763.37159999999994</v>
      </c>
      <c r="E80" s="29">
        <f t="shared" ca="1" si="7"/>
        <v>0</v>
      </c>
      <c r="F80" s="39">
        <f t="shared" ca="1" si="8"/>
        <v>25.833333333333332</v>
      </c>
      <c r="G80" s="29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19340209</v>
      </c>
      <c r="C81" s="24" t="str">
        <f>INDEX(Data,2,2+MOD(ROWS(C$2:C81)-1,2))</f>
        <v>15.00</v>
      </c>
      <c r="D81" s="38">
        <f t="shared" ca="1" si="6"/>
        <v>761.03480000000002</v>
      </c>
      <c r="E81" s="29">
        <f t="shared" ca="1" si="7"/>
        <v>0</v>
      </c>
      <c r="F81" s="39">
        <f t="shared" ca="1" si="8"/>
        <v>26.388888888888889</v>
      </c>
      <c r="G81" s="29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19340210</v>
      </c>
      <c r="C82" s="24" t="str">
        <f>INDEX(Data,2,2+MOD(ROWS(C$2:C82)-1,2))</f>
        <v>08.00</v>
      </c>
      <c r="D82" s="38">
        <f t="shared" ca="1" si="6"/>
        <v>763.37159999999994</v>
      </c>
      <c r="E82" s="29">
        <f t="shared" ca="1" si="7"/>
        <v>0</v>
      </c>
      <c r="F82" s="39">
        <f t="shared" ca="1" si="8"/>
        <v>25.833333333333332</v>
      </c>
      <c r="G82" s="29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19340210</v>
      </c>
      <c r="C83" s="24" t="str">
        <f>INDEX(Data,2,2+MOD(ROWS(C$2:C83)-1,2))</f>
        <v>15.00</v>
      </c>
      <c r="D83" s="38">
        <f t="shared" ca="1" si="6"/>
        <v>761.64440000000002</v>
      </c>
      <c r="E83" s="29">
        <f t="shared" ca="1" si="7"/>
        <v>0</v>
      </c>
      <c r="F83" s="39">
        <f t="shared" ca="1" si="8"/>
        <v>27.5</v>
      </c>
      <c r="G83" s="29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19340211</v>
      </c>
      <c r="C84" s="24" t="str">
        <f>INDEX(Data,2,2+MOD(ROWS(C$2:C84)-1,2))</f>
        <v>08.00</v>
      </c>
      <c r="D84" s="38">
        <f t="shared" ca="1" si="6"/>
        <v>763.14299999999992</v>
      </c>
      <c r="E84" s="29">
        <f t="shared" ca="1" si="7"/>
        <v>0</v>
      </c>
      <c r="F84" s="39">
        <f t="shared" ca="1" si="8"/>
        <v>25.555555555555557</v>
      </c>
      <c r="G84" s="29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19340211</v>
      </c>
      <c r="C85" s="24" t="str">
        <f>INDEX(Data,2,2+MOD(ROWS(C$2:C85)-1,2))</f>
        <v>15.00</v>
      </c>
      <c r="D85" s="38">
        <f t="shared" ca="1" si="6"/>
        <v>761.16179999999997</v>
      </c>
      <c r="E85" s="29">
        <f t="shared" ca="1" si="7"/>
        <v>0</v>
      </c>
      <c r="F85" s="39">
        <f t="shared" ca="1" si="8"/>
        <v>27.222222222222221</v>
      </c>
      <c r="G85" s="29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19340212</v>
      </c>
      <c r="C86" s="24" t="str">
        <f>INDEX(Data,2,2+MOD(ROWS(C$2:C86)-1,2))</f>
        <v>08.00</v>
      </c>
      <c r="D86" s="38">
        <f t="shared" ca="1" si="6"/>
        <v>763.44779999999992</v>
      </c>
      <c r="E86" s="29">
        <f t="shared" ca="1" si="7"/>
        <v>0</v>
      </c>
      <c r="F86" s="39">
        <f t="shared" ca="1" si="8"/>
        <v>25.277777777777779</v>
      </c>
      <c r="G86" s="29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19340212</v>
      </c>
      <c r="C87" s="24" t="str">
        <f>INDEX(Data,2,2+MOD(ROWS(C$2:C87)-1,2))</f>
        <v>15.00</v>
      </c>
      <c r="D87" s="38">
        <f t="shared" ca="1" si="6"/>
        <v>760.93319999999994</v>
      </c>
      <c r="E87" s="29">
        <f t="shared" ca="1" si="7"/>
        <v>0</v>
      </c>
      <c r="F87" s="39">
        <f t="shared" ca="1" si="8"/>
        <v>27.222222222222221</v>
      </c>
      <c r="G87" s="29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19340213</v>
      </c>
      <c r="C88" s="24" t="str">
        <f>INDEX(Data,2,2+MOD(ROWS(C$2:C88)-1,2))</f>
        <v>08.00</v>
      </c>
      <c r="D88" s="38">
        <f t="shared" ca="1" si="6"/>
        <v>763.11759999999992</v>
      </c>
      <c r="E88" s="29">
        <f t="shared" ca="1" si="7"/>
        <v>0</v>
      </c>
      <c r="F88" s="39">
        <f t="shared" ca="1" si="8"/>
        <v>25.833333333333332</v>
      </c>
      <c r="G88" s="29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19340213</v>
      </c>
      <c r="C89" s="24" t="str">
        <f>INDEX(Data,2,2+MOD(ROWS(C$2:C89)-1,2))</f>
        <v>15.00</v>
      </c>
      <c r="D89" s="38">
        <f t="shared" ca="1" si="6"/>
        <v>760.90779999999995</v>
      </c>
      <c r="E89" s="29">
        <f t="shared" ca="1" si="7"/>
        <v>0</v>
      </c>
      <c r="F89" s="39">
        <f t="shared" ca="1" si="8"/>
        <v>27.5</v>
      </c>
      <c r="G89" s="29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19340214</v>
      </c>
      <c r="C90" s="24" t="str">
        <f>INDEX(Data,2,2+MOD(ROWS(C$2:C90)-1,2))</f>
        <v>08.00</v>
      </c>
      <c r="D90" s="38">
        <f t="shared" ca="1" si="6"/>
        <v>763.85419999999999</v>
      </c>
      <c r="E90" s="29">
        <f t="shared" ca="1" si="7"/>
        <v>0</v>
      </c>
      <c r="F90" s="39">
        <f t="shared" ca="1" si="8"/>
        <v>26.111111111111111</v>
      </c>
      <c r="G90" s="29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19340214</v>
      </c>
      <c r="C91" s="24" t="str">
        <f>INDEX(Data,2,2+MOD(ROWS(C$2:C91)-1,2))</f>
        <v>15.00</v>
      </c>
      <c r="D91" s="38">
        <f t="shared" ca="1" si="6"/>
        <v>761.89839999999992</v>
      </c>
      <c r="E91" s="29">
        <f t="shared" ca="1" si="7"/>
        <v>0</v>
      </c>
      <c r="F91" s="39">
        <f t="shared" ca="1" si="8"/>
        <v>27.5</v>
      </c>
      <c r="G91" s="29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19340215</v>
      </c>
      <c r="C92" s="24" t="str">
        <f>INDEX(Data,2,2+MOD(ROWS(C$2:C92)-1,2))</f>
        <v>08.00</v>
      </c>
      <c r="D92" s="38">
        <f t="shared" ca="1" si="6"/>
        <v>763.62559999999996</v>
      </c>
      <c r="E92" s="29">
        <f t="shared" ca="1" si="7"/>
        <v>0</v>
      </c>
      <c r="F92" s="39">
        <f t="shared" ca="1" si="8"/>
        <v>25.833333333333332</v>
      </c>
      <c r="G92" s="29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19340215</v>
      </c>
      <c r="C93" s="24" t="str">
        <f>INDEX(Data,2,2+MOD(ROWS(C$2:C93)-1,2))</f>
        <v>15.00</v>
      </c>
      <c r="D93" s="38">
        <f t="shared" ca="1" si="6"/>
        <v>761.13639999999998</v>
      </c>
      <c r="E93" s="29">
        <f t="shared" ca="1" si="7"/>
        <v>0</v>
      </c>
      <c r="F93" s="39">
        <f t="shared" ca="1" si="8"/>
        <v>27.5</v>
      </c>
      <c r="G93" s="29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19340216</v>
      </c>
      <c r="C94" s="24" t="str">
        <f>INDEX(Data,2,2+MOD(ROWS(C$2:C94)-1,2))</f>
        <v>08.00</v>
      </c>
      <c r="D94" s="38">
        <f t="shared" ca="1" si="6"/>
        <v>762.38099999999997</v>
      </c>
      <c r="E94" s="29">
        <f t="shared" ca="1" si="7"/>
        <v>0</v>
      </c>
      <c r="F94" s="39">
        <f t="shared" ca="1" si="8"/>
        <v>25.555555555555557</v>
      </c>
      <c r="G94" s="29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19340216</v>
      </c>
      <c r="C95" s="24" t="str">
        <f>INDEX(Data,2,2+MOD(ROWS(C$2:C95)-1,2))</f>
        <v>15.00</v>
      </c>
      <c r="D95" s="38">
        <f t="shared" ca="1" si="6"/>
        <v>760.14580000000001</v>
      </c>
      <c r="E95" s="29">
        <f t="shared" ca="1" si="7"/>
        <v>0</v>
      </c>
      <c r="F95" s="39">
        <f t="shared" ca="1" si="8"/>
        <v>27.5</v>
      </c>
      <c r="G95" s="29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19340217</v>
      </c>
      <c r="C96" s="24" t="str">
        <f>INDEX(Data,2,2+MOD(ROWS(C$2:C96)-1,2))</f>
        <v>08.00</v>
      </c>
      <c r="D96" s="38">
        <f t="shared" ca="1" si="6"/>
        <v>761.87299999999993</v>
      </c>
      <c r="E96" s="29">
        <f t="shared" ca="1" si="7"/>
        <v>0</v>
      </c>
      <c r="F96" s="39">
        <f t="shared" ca="1" si="8"/>
        <v>25.555555555555557</v>
      </c>
      <c r="G96" s="29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19340217</v>
      </c>
      <c r="C97" s="24" t="str">
        <f>INDEX(Data,2,2+MOD(ROWS(C$2:C97)-1,2))</f>
        <v>15.00</v>
      </c>
      <c r="D97" s="38">
        <f t="shared" ca="1" si="6"/>
        <v>759.66319999999996</v>
      </c>
      <c r="E97" s="29">
        <f t="shared" ca="1" si="7"/>
        <v>0</v>
      </c>
      <c r="F97" s="39">
        <f t="shared" ca="1" si="8"/>
        <v>27.222222222222221</v>
      </c>
      <c r="G97" s="29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19340218</v>
      </c>
      <c r="C98" s="24" t="str">
        <f>INDEX(Data,2,2+MOD(ROWS(C$2:C98)-1,2))</f>
        <v>08.00</v>
      </c>
      <c r="D98" s="38">
        <f t="shared" ca="1" si="6"/>
        <v>762.35559999999998</v>
      </c>
      <c r="E98" s="29">
        <f t="shared" ca="1" si="7"/>
        <v>0</v>
      </c>
      <c r="F98" s="39">
        <f t="shared" ca="1" si="8"/>
        <v>25.833333333333332</v>
      </c>
      <c r="G98" s="29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19340218</v>
      </c>
      <c r="C99" s="24" t="str">
        <f>INDEX(Data,2,2+MOD(ROWS(C$2:C99)-1,2))</f>
        <v>15.00</v>
      </c>
      <c r="D99" s="38">
        <f t="shared" ca="1" si="6"/>
        <v>759.91719999999998</v>
      </c>
      <c r="E99" s="29">
        <f t="shared" ca="1" si="7"/>
        <v>0</v>
      </c>
      <c r="F99" s="39">
        <f t="shared" ca="1" si="8"/>
        <v>27.222222222222221</v>
      </c>
      <c r="G99" s="29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19340219</v>
      </c>
      <c r="C100" s="24" t="str">
        <f>INDEX(Data,2,2+MOD(ROWS(C$2:C100)-1,2))</f>
        <v>08.00</v>
      </c>
      <c r="D100" s="38">
        <f t="shared" ca="1" si="6"/>
        <v>762.63499999999999</v>
      </c>
      <c r="E100" s="29">
        <f t="shared" ca="1" si="7"/>
        <v>0</v>
      </c>
      <c r="F100" s="39">
        <f t="shared" ca="1" si="8"/>
        <v>25.555555555555557</v>
      </c>
      <c r="G100" s="29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19340219</v>
      </c>
      <c r="C101" s="24" t="str">
        <f>INDEX(Data,2,2+MOD(ROWS(C$2:C101)-1,2))</f>
        <v>15.00</v>
      </c>
      <c r="D101" s="38">
        <f t="shared" ca="1" si="6"/>
        <v>759.68859999999995</v>
      </c>
      <c r="E101" s="29">
        <f t="shared" ca="1" si="7"/>
        <v>0</v>
      </c>
      <c r="F101" s="39">
        <f t="shared" ca="1" si="8"/>
        <v>26.944444444444443</v>
      </c>
      <c r="G101" s="29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19340220</v>
      </c>
      <c r="C102" s="24" t="str">
        <f>INDEX(Data,2,2+MOD(ROWS(C$2:C102)-1,2))</f>
        <v>08.00</v>
      </c>
      <c r="D102" s="38">
        <f t="shared" ca="1" si="6"/>
        <v>762.71119999999996</v>
      </c>
      <c r="E102" s="29">
        <f t="shared" ca="1" si="7"/>
        <v>0</v>
      </c>
      <c r="F102" s="39">
        <f t="shared" ca="1" si="8"/>
        <v>25</v>
      </c>
      <c r="G102" s="29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19340220</v>
      </c>
      <c r="C103" s="24" t="str">
        <f>INDEX(Data,2,2+MOD(ROWS(C$2:C103)-1,2))</f>
        <v>15.00</v>
      </c>
      <c r="D103" s="38">
        <f t="shared" ca="1" si="6"/>
        <v>760.67919999999992</v>
      </c>
      <c r="E103" s="29">
        <f t="shared" ca="1" si="7"/>
        <v>0</v>
      </c>
      <c r="F103" s="39">
        <f t="shared" ca="1" si="8"/>
        <v>27.222222222222221</v>
      </c>
      <c r="G103" s="29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19340221</v>
      </c>
      <c r="C104" s="24" t="str">
        <f>INDEX(Data,2,2+MOD(ROWS(C$2:C104)-1,2))</f>
        <v>08.00</v>
      </c>
      <c r="D104" s="38">
        <f t="shared" ca="1" si="6"/>
        <v>763.09219999999993</v>
      </c>
      <c r="E104" s="29">
        <f t="shared" ca="1" si="7"/>
        <v>0</v>
      </c>
      <c r="F104" s="39">
        <f t="shared" ca="1" si="8"/>
        <v>26.111111111111111</v>
      </c>
      <c r="G104" s="29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19340221</v>
      </c>
      <c r="C105" s="24" t="str">
        <f>INDEX(Data,2,2+MOD(ROWS(C$2:C105)-1,2))</f>
        <v>15.00</v>
      </c>
      <c r="D105" s="38">
        <f t="shared" ca="1" si="6"/>
        <v>761.16179999999997</v>
      </c>
      <c r="E105" s="29">
        <f t="shared" ca="1" si="7"/>
        <v>0</v>
      </c>
      <c r="F105" s="39">
        <f t="shared" ca="1" si="8"/>
        <v>27.222222222222221</v>
      </c>
      <c r="G105" s="29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19340222</v>
      </c>
      <c r="C106" s="24" t="str">
        <f>INDEX(Data,2,2+MOD(ROWS(C$2:C106)-1,2))</f>
        <v>08.00</v>
      </c>
      <c r="D106" s="38">
        <f t="shared" ca="1" si="6"/>
        <v>763.09219999999993</v>
      </c>
      <c r="E106" s="29">
        <f t="shared" ca="1" si="7"/>
        <v>0</v>
      </c>
      <c r="F106" s="39">
        <f t="shared" ca="1" si="8"/>
        <v>26.111111111111111</v>
      </c>
      <c r="G106" s="29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19340222</v>
      </c>
      <c r="C107" s="24" t="str">
        <f>INDEX(Data,2,2+MOD(ROWS(C$2:C107)-1,2))</f>
        <v>15.00</v>
      </c>
      <c r="D107" s="38">
        <f t="shared" ca="1" si="6"/>
        <v>761.33960000000002</v>
      </c>
      <c r="E107" s="29">
        <f t="shared" ca="1" si="7"/>
        <v>0</v>
      </c>
      <c r="F107" s="39">
        <f t="shared" ca="1" si="8"/>
        <v>27.777777777777779</v>
      </c>
      <c r="G107" s="29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19340223</v>
      </c>
      <c r="C108" s="24" t="str">
        <f>INDEX(Data,2,2+MOD(ROWS(C$2:C108)-1,2))</f>
        <v>08.00</v>
      </c>
      <c r="D108" s="38">
        <f t="shared" ca="1" si="6"/>
        <v>763.27</v>
      </c>
      <c r="E108" s="29">
        <f t="shared" ca="1" si="7"/>
        <v>0</v>
      </c>
      <c r="F108" s="39">
        <f t="shared" ca="1" si="8"/>
        <v>26.666666666666668</v>
      </c>
      <c r="G108" s="29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19340223</v>
      </c>
      <c r="C109" s="24" t="str">
        <f>INDEX(Data,2,2+MOD(ROWS(C$2:C109)-1,2))</f>
        <v>15.00</v>
      </c>
      <c r="D109" s="38">
        <f t="shared" ca="1" si="6"/>
        <v>762.17779999999993</v>
      </c>
      <c r="E109" s="29">
        <f t="shared" ca="1" si="7"/>
        <v>0</v>
      </c>
      <c r="F109" s="39">
        <f t="shared" ca="1" si="8"/>
        <v>27.222222222222221</v>
      </c>
      <c r="G109" s="29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19340224</v>
      </c>
      <c r="C110" s="24" t="str">
        <f>INDEX(Data,2,2+MOD(ROWS(C$2:C110)-1,2))</f>
        <v>08.00</v>
      </c>
      <c r="D110" s="38">
        <f t="shared" ca="1" si="6"/>
        <v>763.62559999999996</v>
      </c>
      <c r="E110" s="29">
        <f t="shared" ca="1" si="7"/>
        <v>0</v>
      </c>
      <c r="F110" s="39">
        <f t="shared" ca="1" si="8"/>
        <v>25.833333333333332</v>
      </c>
      <c r="G110" s="29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19340224</v>
      </c>
      <c r="C111" s="24" t="str">
        <f>INDEX(Data,2,2+MOD(ROWS(C$2:C111)-1,2))</f>
        <v>15.00</v>
      </c>
      <c r="D111" s="38">
        <f t="shared" ca="1" si="6"/>
        <v>761.64440000000002</v>
      </c>
      <c r="E111" s="29">
        <f t="shared" ca="1" si="7"/>
        <v>0</v>
      </c>
      <c r="F111" s="39">
        <f t="shared" ca="1" si="8"/>
        <v>27.5</v>
      </c>
      <c r="G111" s="29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19340225</v>
      </c>
      <c r="C112" s="24" t="str">
        <f>INDEX(Data,2,2+MOD(ROWS(C$2:C112)-1,2))</f>
        <v>08.00</v>
      </c>
      <c r="D112" s="38">
        <f t="shared" ca="1" si="6"/>
        <v>763.04139999999995</v>
      </c>
      <c r="E112" s="29">
        <f t="shared" ca="1" si="7"/>
        <v>0</v>
      </c>
      <c r="F112" s="39">
        <f t="shared" ca="1" si="8"/>
        <v>26.388888888888889</v>
      </c>
      <c r="G112" s="29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19340225</v>
      </c>
      <c r="C113" s="24" t="str">
        <f>INDEX(Data,2,2+MOD(ROWS(C$2:C113)-1,2))</f>
        <v>15.00</v>
      </c>
      <c r="D113" s="38">
        <f t="shared" ca="1" si="6"/>
        <v>761.16179999999997</v>
      </c>
      <c r="E113" s="29">
        <f t="shared" ca="1" si="7"/>
        <v>0</v>
      </c>
      <c r="F113" s="39">
        <f t="shared" ca="1" si="8"/>
        <v>27.222222222222221</v>
      </c>
      <c r="G113" s="29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19340226</v>
      </c>
      <c r="C114" s="24" t="str">
        <f>INDEX(Data,2,2+MOD(ROWS(C$2:C114)-1,2))</f>
        <v>08.00</v>
      </c>
      <c r="D114" s="38">
        <f t="shared" ca="1" si="6"/>
        <v>763.39699999999993</v>
      </c>
      <c r="E114" s="29">
        <f t="shared" ca="1" si="7"/>
        <v>0</v>
      </c>
      <c r="F114" s="39">
        <f t="shared" ca="1" si="8"/>
        <v>25.555555555555557</v>
      </c>
      <c r="G114" s="29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19340226</v>
      </c>
      <c r="C115" s="24" t="str">
        <f>INDEX(Data,2,2+MOD(ROWS(C$2:C115)-1,2))</f>
        <v>15.00</v>
      </c>
      <c r="D115" s="38">
        <f t="shared" ca="1" si="6"/>
        <v>762.17779999999993</v>
      </c>
      <c r="E115" s="29">
        <f t="shared" ca="1" si="7"/>
        <v>0</v>
      </c>
      <c r="F115" s="39">
        <f t="shared" ca="1" si="8"/>
        <v>27.222222222222221</v>
      </c>
      <c r="G115" s="29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19340227</v>
      </c>
      <c r="C116" s="24" t="str">
        <f>INDEX(Data,2,2+MOD(ROWS(C$2:C116)-1,2))</f>
        <v>08.00</v>
      </c>
      <c r="D116" s="38">
        <f t="shared" ca="1" si="6"/>
        <v>764.97179999999992</v>
      </c>
      <c r="E116" s="29">
        <f t="shared" ca="1" si="7"/>
        <v>0</v>
      </c>
      <c r="F116" s="39">
        <f t="shared" ca="1" si="8"/>
        <v>25.277777777777779</v>
      </c>
      <c r="G116" s="29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19340227</v>
      </c>
      <c r="C117" s="24" t="str">
        <f>INDEX(Data,2,2+MOD(ROWS(C$2:C117)-1,2))</f>
        <v>15.00</v>
      </c>
      <c r="D117" s="38">
        <f t="shared" ca="1" si="6"/>
        <v>763.16840000000002</v>
      </c>
      <c r="E117" s="29">
        <f t="shared" ca="1" si="7"/>
        <v>0</v>
      </c>
      <c r="F117" s="39">
        <f t="shared" ca="1" si="8"/>
        <v>27.5</v>
      </c>
      <c r="G117" s="29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19340228</v>
      </c>
      <c r="C118" s="24" t="str">
        <f>INDEX(Data,2,2+MOD(ROWS(C$2:C118)-1,2))</f>
        <v>08.00</v>
      </c>
      <c r="D118" s="38">
        <f t="shared" ca="1" si="6"/>
        <v>764.38760000000002</v>
      </c>
      <c r="E118" s="29">
        <f t="shared" ca="1" si="7"/>
        <v>0</v>
      </c>
      <c r="F118" s="39">
        <f t="shared" ca="1" si="8"/>
        <v>25.833333333333332</v>
      </c>
      <c r="G118" s="29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19340228</v>
      </c>
      <c r="C119" s="24" t="str">
        <f>INDEX(Data,2,2+MOD(ROWS(C$2:C119)-1,2))</f>
        <v>15.00</v>
      </c>
      <c r="D119" s="38">
        <f t="shared" ca="1" si="6"/>
        <v>762.93979999999999</v>
      </c>
      <c r="E119" s="29">
        <f t="shared" ca="1" si="7"/>
        <v>0</v>
      </c>
      <c r="F119" s="39">
        <f t="shared" ca="1" si="8"/>
        <v>27.222222222222221</v>
      </c>
      <c r="G119" s="29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19340301</v>
      </c>
      <c r="C120" s="24" t="str">
        <f>INDEX(Data,2,2+MOD(ROWS(C$2:C120)-1,2))</f>
        <v>08.00</v>
      </c>
      <c r="D120" s="38">
        <f t="shared" ca="1" si="6"/>
        <v>764.1336</v>
      </c>
      <c r="E120" s="29">
        <f t="shared" ca="1" si="7"/>
        <v>0</v>
      </c>
      <c r="F120" s="39">
        <f t="shared" ca="1" si="8"/>
        <v>25.833333333333332</v>
      </c>
      <c r="G120" s="29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19340301</v>
      </c>
      <c r="C121" s="24" t="str">
        <f>INDEX(Data,2,2+MOD(ROWS(C$2:C121)-1,2))</f>
        <v>15.00</v>
      </c>
      <c r="D121" s="38">
        <f t="shared" ca="1" si="6"/>
        <v>762.6096</v>
      </c>
      <c r="E121" s="29">
        <f t="shared" ca="1" si="7"/>
        <v>0</v>
      </c>
      <c r="F121" s="39">
        <f t="shared" ca="1" si="8"/>
        <v>27.777777777777779</v>
      </c>
      <c r="G121" s="29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19340302</v>
      </c>
      <c r="C122" s="24" t="str">
        <f>INDEX(Data,2,2+MOD(ROWS(C$2:C122)-1,2))</f>
        <v>08.00</v>
      </c>
      <c r="D122" s="38">
        <f t="shared" ca="1" si="6"/>
        <v>763.95579999999995</v>
      </c>
      <c r="E122" s="29">
        <f t="shared" ca="1" si="7"/>
        <v>0</v>
      </c>
      <c r="F122" s="39">
        <f t="shared" ca="1" si="8"/>
        <v>25.277777777777779</v>
      </c>
      <c r="G122" s="29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19340302</v>
      </c>
      <c r="C123" s="24" t="str">
        <f>INDEX(Data,2,2+MOD(ROWS(C$2:C123)-1,2))</f>
        <v>15.00</v>
      </c>
      <c r="D123" s="38">
        <f t="shared" ca="1" si="6"/>
        <v>762.17779999999993</v>
      </c>
      <c r="E123" s="29">
        <f t="shared" ca="1" si="7"/>
        <v>0</v>
      </c>
      <c r="F123" s="39">
        <f t="shared" ca="1" si="8"/>
        <v>27.222222222222221</v>
      </c>
      <c r="G123" s="29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19340303</v>
      </c>
      <c r="C124" s="24" t="str">
        <f>INDEX(Data,2,2+MOD(ROWS(C$2:C124)-1,2))</f>
        <v>08.00</v>
      </c>
      <c r="D124" s="38">
        <f t="shared" ca="1" si="6"/>
        <v>763.65099999999995</v>
      </c>
      <c r="E124" s="29">
        <f t="shared" ca="1" si="7"/>
        <v>0</v>
      </c>
      <c r="F124" s="39">
        <f t="shared" ca="1" si="8"/>
        <v>25.555555555555557</v>
      </c>
      <c r="G124" s="29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19340303</v>
      </c>
      <c r="C125" s="24" t="str">
        <f>INDEX(Data,2,2+MOD(ROWS(C$2:C125)-1,2))</f>
        <v>15.00</v>
      </c>
      <c r="D125" s="38">
        <f t="shared" ca="1" si="6"/>
        <v>762.17779999999993</v>
      </c>
      <c r="E125" s="29">
        <f t="shared" ca="1" si="7"/>
        <v>0</v>
      </c>
      <c r="F125" s="39">
        <f t="shared" ca="1" si="8"/>
        <v>27.222222222222221</v>
      </c>
      <c r="G125" s="29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19340304</v>
      </c>
      <c r="C126" s="24" t="str">
        <f>INDEX(Data,2,2+MOD(ROWS(C$2:C126)-1,2))</f>
        <v>08.00</v>
      </c>
      <c r="D126" s="38">
        <f t="shared" ca="1" si="6"/>
        <v>763.95579999999995</v>
      </c>
      <c r="E126" s="29">
        <f t="shared" ca="1" si="7"/>
        <v>0</v>
      </c>
      <c r="F126" s="39">
        <f t="shared" ca="1" si="8"/>
        <v>25.277777777777779</v>
      </c>
      <c r="G126" s="29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19340304</v>
      </c>
      <c r="C127" s="24" t="str">
        <f>INDEX(Data,2,2+MOD(ROWS(C$2:C127)-1,2))</f>
        <v>15.00</v>
      </c>
      <c r="D127" s="38">
        <f t="shared" ca="1" si="6"/>
        <v>762.40639999999996</v>
      </c>
      <c r="E127" s="29">
        <f t="shared" ca="1" si="7"/>
        <v>0</v>
      </c>
      <c r="F127" s="39">
        <f t="shared" ca="1" si="8"/>
        <v>27.5</v>
      </c>
      <c r="G127" s="29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19340305</v>
      </c>
      <c r="C128" s="24" t="str">
        <f>INDEX(Data,2,2+MOD(ROWS(C$2:C128)-1,2))</f>
        <v>08.00</v>
      </c>
      <c r="D128" s="38">
        <f t="shared" ca="1" si="6"/>
        <v>763.90499999999997</v>
      </c>
      <c r="E128" s="29">
        <f t="shared" ca="1" si="7"/>
        <v>0</v>
      </c>
      <c r="F128" s="39">
        <f t="shared" ca="1" si="8"/>
        <v>25.555555555555557</v>
      </c>
      <c r="G128" s="29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19340305</v>
      </c>
      <c r="C129" s="24" t="str">
        <f>INDEX(Data,2,2+MOD(ROWS(C$2:C129)-1,2))</f>
        <v>15.00</v>
      </c>
      <c r="D129" s="38">
        <f t="shared" ca="1" si="6"/>
        <v>762.10159999999996</v>
      </c>
      <c r="E129" s="29">
        <f t="shared" ca="1" si="7"/>
        <v>0</v>
      </c>
      <c r="F129" s="39">
        <f t="shared" ca="1" si="8"/>
        <v>27.777777777777779</v>
      </c>
      <c r="G129" s="29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19340306</v>
      </c>
      <c r="C130" s="24" t="str">
        <f>INDEX(Data,2,2+MOD(ROWS(C$2:C130)-1,2))</f>
        <v>08.00</v>
      </c>
      <c r="D130" s="38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763.87959999999998</v>
      </c>
      <c r="E130" s="29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39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25.833333333333332</v>
      </c>
      <c r="G130" s="29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19340306</v>
      </c>
      <c r="C131" s="24" t="str">
        <f>INDEX(Data,2,2+MOD(ROWS(C$2:C131)-1,2))</f>
        <v>15.00</v>
      </c>
      <c r="D131" s="38">
        <f t="shared" ca="1" si="11"/>
        <v>761.6952</v>
      </c>
      <c r="E131" s="29">
        <f t="shared" ca="1" si="12"/>
        <v>0</v>
      </c>
      <c r="F131" s="39">
        <f t="shared" ca="1" si="13"/>
        <v>26.944444444444443</v>
      </c>
      <c r="G131" s="29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19340307</v>
      </c>
      <c r="C132" s="24" t="str">
        <f>INDEX(Data,2,2+MOD(ROWS(C$2:C132)-1,2))</f>
        <v>08.00</v>
      </c>
      <c r="D132" s="38">
        <f t="shared" ca="1" si="11"/>
        <v>763.90499999999997</v>
      </c>
      <c r="E132" s="29">
        <f t="shared" ca="1" si="12"/>
        <v>0</v>
      </c>
      <c r="F132" s="39">
        <f t="shared" ca="1" si="13"/>
        <v>25.555555555555557</v>
      </c>
      <c r="G132" s="29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19340307</v>
      </c>
      <c r="C133" s="24" t="str">
        <f>INDEX(Data,2,2+MOD(ROWS(C$2:C133)-1,2))</f>
        <v>15.00</v>
      </c>
      <c r="D133" s="38">
        <f t="shared" ca="1" si="11"/>
        <v>761.84759999999994</v>
      </c>
      <c r="E133" s="29">
        <f t="shared" ca="1" si="12"/>
        <v>0</v>
      </c>
      <c r="F133" s="39">
        <f t="shared" ca="1" si="13"/>
        <v>27.777777777777779</v>
      </c>
      <c r="G133" s="29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19340308</v>
      </c>
      <c r="C134" s="24" t="str">
        <f>INDEX(Data,2,2+MOD(ROWS(C$2:C134)-1,2))</f>
        <v>08.00</v>
      </c>
      <c r="D134" s="38">
        <f t="shared" ca="1" si="11"/>
        <v>764.15899999999999</v>
      </c>
      <c r="E134" s="29">
        <f t="shared" ca="1" si="12"/>
        <v>0</v>
      </c>
      <c r="F134" s="39">
        <f t="shared" ca="1" si="13"/>
        <v>25.555555555555557</v>
      </c>
      <c r="G134" s="29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19340308</v>
      </c>
      <c r="C135" s="24" t="str">
        <f>INDEX(Data,2,2+MOD(ROWS(C$2:C135)-1,2))</f>
        <v>15.00</v>
      </c>
      <c r="D135" s="38">
        <f t="shared" ca="1" si="11"/>
        <v>761.59359999999992</v>
      </c>
      <c r="E135" s="29">
        <f t="shared" ca="1" si="12"/>
        <v>0</v>
      </c>
      <c r="F135" s="39">
        <f t="shared" ca="1" si="13"/>
        <v>27.777777777777779</v>
      </c>
      <c r="G135" s="29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19340309</v>
      </c>
      <c r="C136" s="24" t="str">
        <f>INDEX(Data,2,2+MOD(ROWS(C$2:C136)-1,2))</f>
        <v>08.00</v>
      </c>
      <c r="D136" s="38">
        <f t="shared" ca="1" si="11"/>
        <v>763.60019999999997</v>
      </c>
      <c r="E136" s="29">
        <f t="shared" ca="1" si="12"/>
        <v>0</v>
      </c>
      <c r="F136" s="39">
        <f t="shared" ca="1" si="13"/>
        <v>26.111111111111111</v>
      </c>
      <c r="G136" s="29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19340309</v>
      </c>
      <c r="C137" s="24" t="str">
        <f>INDEX(Data,2,2+MOD(ROWS(C$2:C137)-1,2))</f>
        <v>15.00</v>
      </c>
      <c r="D137" s="38">
        <f t="shared" ca="1" si="11"/>
        <v>761.33960000000002</v>
      </c>
      <c r="E137" s="29">
        <f t="shared" ca="1" si="12"/>
        <v>0</v>
      </c>
      <c r="F137" s="39">
        <f t="shared" ca="1" si="13"/>
        <v>27.777777777777779</v>
      </c>
      <c r="G137" s="29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19340310</v>
      </c>
      <c r="C138" s="24" t="str">
        <f>INDEX(Data,2,2+MOD(ROWS(C$2:C138)-1,2))</f>
        <v>08.00</v>
      </c>
      <c r="D138" s="38">
        <f t="shared" ca="1" si="11"/>
        <v>762.27940000000001</v>
      </c>
      <c r="E138" s="29">
        <f t="shared" ca="1" si="12"/>
        <v>0</v>
      </c>
      <c r="F138" s="39">
        <f t="shared" ca="1" si="13"/>
        <v>26.388888888888889</v>
      </c>
      <c r="G138" s="29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19340310</v>
      </c>
      <c r="C139" s="24" t="str">
        <f>INDEX(Data,2,2+MOD(ROWS(C$2:C139)-1,2))</f>
        <v>15.00</v>
      </c>
      <c r="D139" s="38">
        <f t="shared" ca="1" si="11"/>
        <v>760.09499999999991</v>
      </c>
      <c r="E139" s="29">
        <f t="shared" ca="1" si="12"/>
        <v>0</v>
      </c>
      <c r="F139" s="39">
        <f t="shared" ca="1" si="13"/>
        <v>27.777777777777779</v>
      </c>
      <c r="G139" s="29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19340311</v>
      </c>
      <c r="C140" s="24" t="str">
        <f>INDEX(Data,2,2+MOD(ROWS(C$2:C140)-1,2))</f>
        <v>08.00</v>
      </c>
      <c r="D140" s="38">
        <f t="shared" ca="1" si="11"/>
        <v>762.58420000000001</v>
      </c>
      <c r="E140" s="29">
        <f t="shared" ca="1" si="12"/>
        <v>0</v>
      </c>
      <c r="F140" s="39">
        <f t="shared" ca="1" si="13"/>
        <v>26.111111111111111</v>
      </c>
      <c r="G140" s="29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19340311</v>
      </c>
      <c r="C141" s="24" t="str">
        <f>INDEX(Data,2,2+MOD(ROWS(C$2:C141)-1,2))</f>
        <v>15.00</v>
      </c>
      <c r="D141" s="38">
        <f t="shared" ca="1" si="11"/>
        <v>760.39979999999991</v>
      </c>
      <c r="E141" s="29">
        <f t="shared" ca="1" si="12"/>
        <v>0</v>
      </c>
      <c r="F141" s="39">
        <f t="shared" ca="1" si="13"/>
        <v>27.5</v>
      </c>
      <c r="G141" s="29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19340312</v>
      </c>
      <c r="C142" s="24" t="str">
        <f>INDEX(Data,2,2+MOD(ROWS(C$2:C142)-1,2))</f>
        <v>08.00</v>
      </c>
      <c r="D142" s="38">
        <f t="shared" ca="1" si="11"/>
        <v>762.33019999999999</v>
      </c>
      <c r="E142" s="29">
        <f t="shared" ca="1" si="12"/>
        <v>0</v>
      </c>
      <c r="F142" s="39">
        <f t="shared" ca="1" si="13"/>
        <v>26.111111111111111</v>
      </c>
      <c r="G142" s="29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19340312</v>
      </c>
      <c r="C143" s="24" t="str">
        <f>INDEX(Data,2,2+MOD(ROWS(C$2:C143)-1,2))</f>
        <v>15.00</v>
      </c>
      <c r="D143" s="38">
        <f t="shared" ca="1" si="11"/>
        <v>760.60299999999995</v>
      </c>
      <c r="E143" s="29">
        <f t="shared" ca="1" si="12"/>
        <v>0</v>
      </c>
      <c r="F143" s="39">
        <f t="shared" ca="1" si="13"/>
        <v>27.777777777777779</v>
      </c>
      <c r="G143" s="29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19340313</v>
      </c>
      <c r="C144" s="24" t="str">
        <f>INDEX(Data,2,2+MOD(ROWS(C$2:C144)-1,2))</f>
        <v>08.00</v>
      </c>
      <c r="D144" s="38">
        <f t="shared" ca="1" si="11"/>
        <v>762.35559999999998</v>
      </c>
      <c r="E144" s="29">
        <f t="shared" ca="1" si="12"/>
        <v>0</v>
      </c>
      <c r="F144" s="39">
        <f t="shared" ca="1" si="13"/>
        <v>25.833333333333332</v>
      </c>
      <c r="G144" s="29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19340313</v>
      </c>
      <c r="C145" s="24" t="str">
        <f>INDEX(Data,2,2+MOD(ROWS(C$2:C145)-1,2))</f>
        <v>15.00</v>
      </c>
      <c r="D145" s="38">
        <f t="shared" ca="1" si="11"/>
        <v>759.58699999999999</v>
      </c>
      <c r="E145" s="29">
        <f t="shared" ca="1" si="12"/>
        <v>0</v>
      </c>
      <c r="F145" s="39">
        <f t="shared" ca="1" si="13"/>
        <v>27.777777777777779</v>
      </c>
      <c r="G145" s="29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19340314</v>
      </c>
      <c r="C146" s="24" t="str">
        <f>INDEX(Data,2,2+MOD(ROWS(C$2:C146)-1,2))</f>
        <v>08.00</v>
      </c>
      <c r="D146" s="38">
        <f t="shared" ca="1" si="11"/>
        <v>761.00939999999991</v>
      </c>
      <c r="E146" s="29">
        <f t="shared" ca="1" si="12"/>
        <v>0</v>
      </c>
      <c r="F146" s="39">
        <f t="shared" ca="1" si="13"/>
        <v>26.666666666666668</v>
      </c>
      <c r="G146" s="29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19340314</v>
      </c>
      <c r="C147" s="24" t="str">
        <f>INDEX(Data,2,2+MOD(ROWS(C$2:C147)-1,2))</f>
        <v>15.00</v>
      </c>
      <c r="D147" s="38">
        <f t="shared" ca="1" si="11"/>
        <v>758.31700000000001</v>
      </c>
      <c r="E147" s="29">
        <f t="shared" ca="1" si="12"/>
        <v>0</v>
      </c>
      <c r="F147" s="39">
        <f t="shared" ca="1" si="13"/>
        <v>27.777777777777779</v>
      </c>
      <c r="G147" s="29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19340315</v>
      </c>
      <c r="C148" s="24" t="str">
        <f>INDEX(Data,2,2+MOD(ROWS(C$2:C148)-1,2))</f>
        <v>08.00</v>
      </c>
      <c r="D148" s="38">
        <f t="shared" ca="1" si="11"/>
        <v>761.26339999999993</v>
      </c>
      <c r="E148" s="29">
        <f t="shared" ca="1" si="12"/>
        <v>0</v>
      </c>
      <c r="F148" s="39">
        <f t="shared" ca="1" si="13"/>
        <v>26.388888888888889</v>
      </c>
      <c r="G148" s="29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19340315</v>
      </c>
      <c r="C149" s="24" t="str">
        <f>INDEX(Data,2,2+MOD(ROWS(C$2:C149)-1,2))</f>
        <v>15.00</v>
      </c>
      <c r="D149" s="38">
        <f t="shared" ca="1" si="11"/>
        <v>759.33299999999997</v>
      </c>
      <c r="E149" s="29">
        <f t="shared" ca="1" si="12"/>
        <v>0</v>
      </c>
      <c r="F149" s="39">
        <f t="shared" ca="1" si="13"/>
        <v>25.833333333333332</v>
      </c>
      <c r="G149" s="29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19340316</v>
      </c>
      <c r="C150" s="24" t="str">
        <f>INDEX(Data,2,2+MOD(ROWS(C$2:C150)-1,2))</f>
        <v>08.00</v>
      </c>
      <c r="D150" s="38">
        <f t="shared" ca="1" si="11"/>
        <v>761.06020000000001</v>
      </c>
      <c r="E150" s="29">
        <f t="shared" ca="1" si="12"/>
        <v>0</v>
      </c>
      <c r="F150" s="39">
        <f t="shared" ca="1" si="13"/>
        <v>26.111111111111111</v>
      </c>
      <c r="G150" s="29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19340316</v>
      </c>
      <c r="C151" s="24" t="str">
        <f>INDEX(Data,2,2+MOD(ROWS(C$2:C151)-1,2))</f>
        <v>15.00</v>
      </c>
      <c r="D151" s="38">
        <f t="shared" ca="1" si="11"/>
        <v>759.99339999999995</v>
      </c>
      <c r="E151" s="29">
        <f t="shared" ca="1" si="12"/>
        <v>0</v>
      </c>
      <c r="F151" s="39">
        <f t="shared" ca="1" si="13"/>
        <v>28.611111111111111</v>
      </c>
      <c r="G151" s="29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19340317</v>
      </c>
      <c r="C152" s="24" t="str">
        <f>INDEX(Data,2,2+MOD(ROWS(C$2:C152)-1,2))</f>
        <v>08.00</v>
      </c>
      <c r="D152" s="38">
        <f t="shared" ca="1" si="11"/>
        <v>763.42239999999993</v>
      </c>
      <c r="E152" s="29">
        <f t="shared" ca="1" si="12"/>
        <v>0</v>
      </c>
      <c r="F152" s="39">
        <f t="shared" ca="1" si="13"/>
        <v>27.5</v>
      </c>
      <c r="G152" s="29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19340317</v>
      </c>
      <c r="C153" s="24" t="str">
        <f>INDEX(Data,2,2+MOD(ROWS(C$2:C153)-1,2))</f>
        <v>15.00</v>
      </c>
      <c r="D153" s="38">
        <f t="shared" ca="1" si="11"/>
        <v>761.28879999999992</v>
      </c>
      <c r="E153" s="29">
        <f t="shared" ca="1" si="12"/>
        <v>0</v>
      </c>
      <c r="F153" s="39">
        <f t="shared" ca="1" si="13"/>
        <v>28.333333333333332</v>
      </c>
      <c r="G153" s="29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19340318</v>
      </c>
      <c r="C154" s="24" t="str">
        <f>INDEX(Data,2,2+MOD(ROWS(C$2:C154)-1,2))</f>
        <v>08.00</v>
      </c>
      <c r="D154" s="38">
        <f t="shared" ca="1" si="11"/>
        <v>761.23799999999994</v>
      </c>
      <c r="E154" s="29">
        <f t="shared" ca="1" si="12"/>
        <v>0</v>
      </c>
      <c r="F154" s="39">
        <f t="shared" ca="1" si="13"/>
        <v>26.666666666666668</v>
      </c>
      <c r="G154" s="29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19340318</v>
      </c>
      <c r="C155" s="24" t="str">
        <f>INDEX(Data,2,2+MOD(ROWS(C$2:C155)-1,2))</f>
        <v>15.00</v>
      </c>
      <c r="D155" s="38">
        <f t="shared" ca="1" si="11"/>
        <v>759.12979999999993</v>
      </c>
      <c r="E155" s="29">
        <f t="shared" ca="1" si="12"/>
        <v>0</v>
      </c>
      <c r="F155" s="39">
        <f t="shared" ca="1" si="13"/>
        <v>27.5</v>
      </c>
      <c r="G155" s="29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19340319</v>
      </c>
      <c r="C156" s="24" t="str">
        <f>INDEX(Data,2,2+MOD(ROWS(C$2:C156)-1,2))</f>
        <v>08.00</v>
      </c>
      <c r="D156" s="38">
        <f t="shared" ca="1" si="11"/>
        <v>761.56819999999993</v>
      </c>
      <c r="E156" s="29">
        <f t="shared" ca="1" si="12"/>
        <v>0</v>
      </c>
      <c r="F156" s="39">
        <f t="shared" ca="1" si="13"/>
        <v>26.111111111111111</v>
      </c>
      <c r="G156" s="29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19340319</v>
      </c>
      <c r="C157" s="24" t="str">
        <f>INDEX(Data,2,2+MOD(ROWS(C$2:C157)-1,2))</f>
        <v>15.00</v>
      </c>
      <c r="D157" s="38">
        <f t="shared" ca="1" si="11"/>
        <v>759.84100000000001</v>
      </c>
      <c r="E157" s="29">
        <f t="shared" ca="1" si="12"/>
        <v>0</v>
      </c>
      <c r="F157" s="39">
        <f t="shared" ca="1" si="13"/>
        <v>27.777777777777779</v>
      </c>
      <c r="G157" s="29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19340320</v>
      </c>
      <c r="C158" s="24" t="str">
        <f>INDEX(Data,2,2+MOD(ROWS(C$2:C158)-1,2))</f>
        <v>08.00</v>
      </c>
      <c r="D158" s="38">
        <f t="shared" ca="1" si="11"/>
        <v>761.82219999999995</v>
      </c>
      <c r="E158" s="29">
        <f t="shared" ca="1" si="12"/>
        <v>0</v>
      </c>
      <c r="F158" s="39">
        <f t="shared" ca="1" si="13"/>
        <v>26.111111111111111</v>
      </c>
      <c r="G158" s="29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19340320</v>
      </c>
      <c r="C159" s="24" t="str">
        <f>INDEX(Data,2,2+MOD(ROWS(C$2:C159)-1,2))</f>
        <v>15.00</v>
      </c>
      <c r="D159" s="38">
        <f t="shared" ca="1" si="11"/>
        <v>760.04419999999993</v>
      </c>
      <c r="E159" s="29">
        <f t="shared" ca="1" si="12"/>
        <v>0</v>
      </c>
      <c r="F159" s="39">
        <f t="shared" ca="1" si="13"/>
        <v>28.333333333333332</v>
      </c>
      <c r="G159" s="29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19340321</v>
      </c>
      <c r="C160" s="24" t="str">
        <f>INDEX(Data,2,2+MOD(ROWS(C$2:C160)-1,2))</f>
        <v>08.00</v>
      </c>
      <c r="D160" s="38">
        <f t="shared" ca="1" si="11"/>
        <v>762.27940000000001</v>
      </c>
      <c r="E160" s="29">
        <f t="shared" ca="1" si="12"/>
        <v>0</v>
      </c>
      <c r="F160" s="39">
        <f t="shared" ca="1" si="13"/>
        <v>26.388888888888889</v>
      </c>
      <c r="G160" s="29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19340321</v>
      </c>
      <c r="C161" s="24" t="str">
        <f>INDEX(Data,2,2+MOD(ROWS(C$2:C161)-1,2))</f>
        <v>15.00</v>
      </c>
      <c r="D161" s="38">
        <f t="shared" ca="1" si="11"/>
        <v>759.33299999999997</v>
      </c>
      <c r="E161" s="29">
        <f t="shared" ca="1" si="12"/>
        <v>0</v>
      </c>
      <c r="F161" s="39">
        <f t="shared" ca="1" si="13"/>
        <v>27.777777777777779</v>
      </c>
      <c r="G161" s="29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19340322</v>
      </c>
      <c r="C162" s="24" t="str">
        <f>INDEX(Data,2,2+MOD(ROWS(C$2:C162)-1,2))</f>
        <v>08.00</v>
      </c>
      <c r="D162" s="38">
        <f t="shared" ca="1" si="11"/>
        <v>761.51739999999995</v>
      </c>
      <c r="E162" s="29">
        <f t="shared" ca="1" si="12"/>
        <v>0</v>
      </c>
      <c r="F162" s="39">
        <f t="shared" ca="1" si="13"/>
        <v>26.388888888888889</v>
      </c>
      <c r="G162" s="29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19340322</v>
      </c>
      <c r="C163" s="24" t="str">
        <f>INDEX(Data,2,2+MOD(ROWS(C$2:C163)-1,2))</f>
        <v>15.00</v>
      </c>
      <c r="D163" s="38">
        <f t="shared" ca="1" si="11"/>
        <v>759.12979999999993</v>
      </c>
      <c r="E163" s="29">
        <f t="shared" ca="1" si="12"/>
        <v>0</v>
      </c>
      <c r="F163" s="39">
        <f t="shared" ca="1" si="13"/>
        <v>27.5</v>
      </c>
      <c r="G163" s="29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19340323</v>
      </c>
      <c r="C164" s="24" t="str">
        <f>INDEX(Data,2,2+MOD(ROWS(C$2:C164)-1,2))</f>
        <v>08.00</v>
      </c>
      <c r="D164" s="38">
        <f t="shared" ca="1" si="11"/>
        <v>761.03480000000002</v>
      </c>
      <c r="E164" s="29">
        <f t="shared" ca="1" si="12"/>
        <v>0</v>
      </c>
      <c r="F164" s="39">
        <f t="shared" ca="1" si="13"/>
        <v>26.388888888888889</v>
      </c>
      <c r="G164" s="29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19340323</v>
      </c>
      <c r="C165" s="24" t="str">
        <f>INDEX(Data,2,2+MOD(ROWS(C$2:C165)-1,2))</f>
        <v>15.00</v>
      </c>
      <c r="D165" s="38">
        <f t="shared" ca="1" si="11"/>
        <v>759.33299999999997</v>
      </c>
      <c r="E165" s="29">
        <f t="shared" ca="1" si="12"/>
        <v>0</v>
      </c>
      <c r="F165" s="39">
        <f t="shared" ca="1" si="13"/>
        <v>27.777777777777779</v>
      </c>
      <c r="G165" s="29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19340324</v>
      </c>
      <c r="C166" s="24" t="str">
        <f>INDEX(Data,2,2+MOD(ROWS(C$2:C166)-1,2))</f>
        <v>08.00</v>
      </c>
      <c r="D166" s="38">
        <f t="shared" ca="1" si="11"/>
        <v>760.75540000000001</v>
      </c>
      <c r="E166" s="29">
        <f t="shared" ca="1" si="12"/>
        <v>0</v>
      </c>
      <c r="F166" s="39">
        <f t="shared" ca="1" si="13"/>
        <v>26.666666666666668</v>
      </c>
      <c r="G166" s="29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19340324</v>
      </c>
      <c r="C167" s="24" t="str">
        <f>INDEX(Data,2,2+MOD(ROWS(C$2:C167)-1,2))</f>
        <v>15.00</v>
      </c>
      <c r="D167" s="38">
        <f t="shared" ca="1" si="11"/>
        <v>758.79959999999994</v>
      </c>
      <c r="E167" s="29">
        <f t="shared" ca="1" si="12"/>
        <v>0</v>
      </c>
      <c r="F167" s="39">
        <f t="shared" ca="1" si="13"/>
        <v>28.055555555555557</v>
      </c>
      <c r="G167" s="29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19340325</v>
      </c>
      <c r="C168" s="24" t="str">
        <f>INDEX(Data,2,2+MOD(ROWS(C$2:C168)-1,2))</f>
        <v>08.00</v>
      </c>
      <c r="D168" s="38">
        <f t="shared" ca="1" si="11"/>
        <v>761.49199999999996</v>
      </c>
      <c r="E168" s="29">
        <f t="shared" ca="1" si="12"/>
        <v>0</v>
      </c>
      <c r="F168" s="39">
        <f t="shared" ca="1" si="13"/>
        <v>26.666666666666668</v>
      </c>
      <c r="G168" s="29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19340325</v>
      </c>
      <c r="C169" s="24" t="str">
        <f>INDEX(Data,2,2+MOD(ROWS(C$2:C169)-1,2))</f>
        <v>15.00</v>
      </c>
      <c r="D169" s="38">
        <f t="shared" ca="1" si="11"/>
        <v>759.07899999999995</v>
      </c>
      <c r="E169" s="29">
        <f t="shared" ca="1" si="12"/>
        <v>0</v>
      </c>
      <c r="F169" s="39">
        <f t="shared" ca="1" si="13"/>
        <v>27.777777777777779</v>
      </c>
      <c r="G169" s="29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19340326</v>
      </c>
      <c r="C170" s="24" t="str">
        <f>INDEX(Data,2,2+MOD(ROWS(C$2:C170)-1,2))</f>
        <v>08.00</v>
      </c>
      <c r="D170" s="38">
        <f t="shared" ca="1" si="11"/>
        <v>761.94920000000002</v>
      </c>
      <c r="E170" s="29">
        <f t="shared" ca="1" si="12"/>
        <v>0</v>
      </c>
      <c r="F170" s="39">
        <f t="shared" ca="1" si="13"/>
        <v>26.944444444444443</v>
      </c>
      <c r="G170" s="29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19340326</v>
      </c>
      <c r="C171" s="24" t="str">
        <f>INDEX(Data,2,2+MOD(ROWS(C$2:C171)-1,2))</f>
        <v>15.00</v>
      </c>
      <c r="D171" s="38">
        <f t="shared" ca="1" si="11"/>
        <v>759.79019999999991</v>
      </c>
      <c r="E171" s="29">
        <f t="shared" ca="1" si="12"/>
        <v>0</v>
      </c>
      <c r="F171" s="39">
        <f t="shared" ca="1" si="13"/>
        <v>28.333333333333332</v>
      </c>
      <c r="G171" s="29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19340327</v>
      </c>
      <c r="C172" s="24" t="str">
        <f>INDEX(Data,2,2+MOD(ROWS(C$2:C172)-1,2))</f>
        <v>08.00</v>
      </c>
      <c r="D172" s="38">
        <f t="shared" ca="1" si="11"/>
        <v>761.56819999999993</v>
      </c>
      <c r="E172" s="29">
        <f t="shared" ca="1" si="12"/>
        <v>0</v>
      </c>
      <c r="F172" s="39">
        <f t="shared" ca="1" si="13"/>
        <v>26.111111111111111</v>
      </c>
      <c r="G172" s="29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19340327</v>
      </c>
      <c r="C173" s="24" t="str">
        <f>INDEX(Data,2,2+MOD(ROWS(C$2:C173)-1,2))</f>
        <v>15.00</v>
      </c>
      <c r="D173" s="38">
        <f t="shared" ca="1" si="11"/>
        <v>759.84100000000001</v>
      </c>
      <c r="E173" s="29">
        <f t="shared" ca="1" si="12"/>
        <v>0</v>
      </c>
      <c r="F173" s="39">
        <f t="shared" ca="1" si="13"/>
        <v>27.777777777777779</v>
      </c>
      <c r="G173" s="29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19340328</v>
      </c>
      <c r="C174" s="24" t="str">
        <f>INDEX(Data,2,2+MOD(ROWS(C$2:C174)-1,2))</f>
        <v>08.00</v>
      </c>
      <c r="D174" s="38">
        <f t="shared" ca="1" si="11"/>
        <v>761.26339999999993</v>
      </c>
      <c r="E174" s="29">
        <f t="shared" ca="1" si="12"/>
        <v>0</v>
      </c>
      <c r="F174" s="39">
        <f t="shared" ca="1" si="13"/>
        <v>26.388888888888889</v>
      </c>
      <c r="G174" s="29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19340328</v>
      </c>
      <c r="C175" s="24" t="str">
        <f>INDEX(Data,2,2+MOD(ROWS(C$2:C175)-1,2))</f>
        <v>15.00</v>
      </c>
      <c r="D175" s="38">
        <f t="shared" ca="1" si="11"/>
        <v>758.77419999999995</v>
      </c>
      <c r="E175" s="29">
        <f t="shared" ca="1" si="12"/>
        <v>0</v>
      </c>
      <c r="F175" s="39">
        <f t="shared" ca="1" si="13"/>
        <v>28.333333333333332</v>
      </c>
      <c r="G175" s="29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19340329</v>
      </c>
      <c r="C176" s="24" t="str">
        <f>INDEX(Data,2,2+MOD(ROWS(C$2:C176)-1,2))</f>
        <v>08.00</v>
      </c>
      <c r="D176" s="38">
        <f t="shared" ca="1" si="11"/>
        <v>761.49199999999996</v>
      </c>
      <c r="E176" s="29">
        <f t="shared" ca="1" si="12"/>
        <v>0</v>
      </c>
      <c r="F176" s="39">
        <f t="shared" ca="1" si="13"/>
        <v>26.666666666666668</v>
      </c>
      <c r="G176" s="29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19340329</v>
      </c>
      <c r="C177" s="24" t="str">
        <f>INDEX(Data,2,2+MOD(ROWS(C$2:C177)-1,2))</f>
        <v>15.00</v>
      </c>
      <c r="D177" s="38">
        <f t="shared" ca="1" si="11"/>
        <v>759.02819999999997</v>
      </c>
      <c r="E177" s="29">
        <f t="shared" ca="1" si="12"/>
        <v>0</v>
      </c>
      <c r="F177" s="39">
        <f t="shared" ca="1" si="13"/>
        <v>28.333333333333332</v>
      </c>
      <c r="G177" s="29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19340330</v>
      </c>
      <c r="C178" s="24" t="str">
        <f>INDEX(Data,2,2+MOD(ROWS(C$2:C178)-1,2))</f>
        <v>08.00</v>
      </c>
      <c r="D178" s="38">
        <f t="shared" ca="1" si="11"/>
        <v>762.25400000000002</v>
      </c>
      <c r="E178" s="29">
        <f t="shared" ca="1" si="12"/>
        <v>0</v>
      </c>
      <c r="F178" s="39">
        <f t="shared" ca="1" si="13"/>
        <v>26.666666666666668</v>
      </c>
      <c r="G178" s="29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19340330</v>
      </c>
      <c r="C179" s="24" t="str">
        <f>INDEX(Data,2,2+MOD(ROWS(C$2:C179)-1,2))</f>
        <v>15.00</v>
      </c>
      <c r="D179" s="38">
        <f t="shared" ca="1" si="11"/>
        <v>759.84100000000001</v>
      </c>
      <c r="E179" s="29">
        <f t="shared" ca="1" si="12"/>
        <v>0</v>
      </c>
      <c r="F179" s="39">
        <f t="shared" ca="1" si="13"/>
        <v>27.777777777777779</v>
      </c>
      <c r="G179" s="29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19340331</v>
      </c>
      <c r="C180" s="24" t="str">
        <f>INDEX(Data,2,2+MOD(ROWS(C$2:C180)-1,2))</f>
        <v>08.00</v>
      </c>
      <c r="D180" s="38">
        <f t="shared" ca="1" si="11"/>
        <v>762.58420000000001</v>
      </c>
      <c r="E180" s="29">
        <f t="shared" ca="1" si="12"/>
        <v>0</v>
      </c>
      <c r="F180" s="39">
        <f t="shared" ca="1" si="13"/>
        <v>26.111111111111111</v>
      </c>
      <c r="G180" s="29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19340331</v>
      </c>
      <c r="C181" s="24" t="str">
        <f>INDEX(Data,2,2+MOD(ROWS(C$2:C181)-1,2))</f>
        <v>15.00</v>
      </c>
      <c r="D181" s="38">
        <f t="shared" ca="1" si="11"/>
        <v>759.33299999999997</v>
      </c>
      <c r="E181" s="29">
        <f t="shared" ca="1" si="12"/>
        <v>0</v>
      </c>
      <c r="F181" s="39">
        <f t="shared" ca="1" si="13"/>
        <v>27.777777777777779</v>
      </c>
      <c r="G181" s="29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19340401</v>
      </c>
      <c r="C182" s="24" t="str">
        <f>INDEX(Data,2,2+MOD(ROWS(C$2:C182)-1,2))</f>
        <v>08.00</v>
      </c>
      <c r="D182" s="38">
        <f t="shared" ca="1" si="11"/>
        <v>762.27940000000001</v>
      </c>
      <c r="E182" s="29">
        <f t="shared" ca="1" si="12"/>
        <v>0</v>
      </c>
      <c r="F182" s="39">
        <f t="shared" ca="1" si="13"/>
        <v>26.388888888888889</v>
      </c>
      <c r="G182" s="29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19340401</v>
      </c>
      <c r="C183" s="24" t="str">
        <f>INDEX(Data,2,2+MOD(ROWS(C$2:C183)-1,2))</f>
        <v>15.00</v>
      </c>
      <c r="D183" s="38">
        <f t="shared" ca="1" si="11"/>
        <v>759.33299999999997</v>
      </c>
      <c r="E183" s="29">
        <f t="shared" ca="1" si="12"/>
        <v>0</v>
      </c>
      <c r="F183" s="39">
        <f t="shared" ca="1" si="13"/>
        <v>27.777777777777779</v>
      </c>
      <c r="G183" s="29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19340402</v>
      </c>
      <c r="C184" s="24" t="str">
        <f>INDEX(Data,2,2+MOD(ROWS(C$2:C184)-1,2))</f>
        <v>08.00</v>
      </c>
      <c r="D184" s="38">
        <f t="shared" ca="1" si="11"/>
        <v>761.56819999999993</v>
      </c>
      <c r="E184" s="29">
        <f t="shared" ca="1" si="12"/>
        <v>0</v>
      </c>
      <c r="F184" s="39">
        <f t="shared" ca="1" si="13"/>
        <v>26.111111111111111</v>
      </c>
      <c r="G184" s="29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19340402</v>
      </c>
      <c r="C185" s="24" t="str">
        <f>INDEX(Data,2,2+MOD(ROWS(C$2:C185)-1,2))</f>
        <v>15.00</v>
      </c>
      <c r="D185" s="38">
        <f t="shared" ca="1" si="11"/>
        <v>758.77419999999995</v>
      </c>
      <c r="E185" s="29">
        <f t="shared" ca="1" si="12"/>
        <v>0</v>
      </c>
      <c r="F185" s="39">
        <f t="shared" ca="1" si="13"/>
        <v>28.333333333333332</v>
      </c>
      <c r="G185" s="29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19340403</v>
      </c>
      <c r="C186" s="24" t="str">
        <f>INDEX(Data,2,2+MOD(ROWS(C$2:C186)-1,2))</f>
        <v>08.00</v>
      </c>
      <c r="D186" s="38">
        <f t="shared" ca="1" si="11"/>
        <v>761.74599999999998</v>
      </c>
      <c r="E186" s="29">
        <f t="shared" ca="1" si="12"/>
        <v>0</v>
      </c>
      <c r="F186" s="39">
        <f t="shared" ca="1" si="13"/>
        <v>26.666666666666668</v>
      </c>
      <c r="G186" s="29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19340403</v>
      </c>
      <c r="C187" s="24" t="str">
        <f>INDEX(Data,2,2+MOD(ROWS(C$2:C187)-1,2))</f>
        <v>15.00</v>
      </c>
      <c r="D187" s="38">
        <f t="shared" ca="1" si="11"/>
        <v>759.30759999999998</v>
      </c>
      <c r="E187" s="29">
        <f t="shared" ca="1" si="12"/>
        <v>0</v>
      </c>
      <c r="F187" s="39">
        <f t="shared" ca="1" si="13"/>
        <v>28.055555555555557</v>
      </c>
      <c r="G187" s="29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19340404</v>
      </c>
      <c r="C188" s="24" t="str">
        <f>INDEX(Data,2,2+MOD(ROWS(C$2:C188)-1,2))</f>
        <v>08.00</v>
      </c>
      <c r="D188" s="38">
        <f t="shared" ca="1" si="11"/>
        <v>761.03480000000002</v>
      </c>
      <c r="E188" s="29">
        <f t="shared" ca="1" si="12"/>
        <v>0</v>
      </c>
      <c r="F188" s="39">
        <f t="shared" ca="1" si="13"/>
        <v>26.388888888888889</v>
      </c>
      <c r="G188" s="29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19340404</v>
      </c>
      <c r="C189" s="24" t="str">
        <f>INDEX(Data,2,2+MOD(ROWS(C$2:C189)-1,2))</f>
        <v>15.00</v>
      </c>
      <c r="D189" s="38">
        <f t="shared" ca="1" si="11"/>
        <v>758.57099999999991</v>
      </c>
      <c r="E189" s="29">
        <f t="shared" ca="1" si="12"/>
        <v>0</v>
      </c>
      <c r="F189" s="39">
        <f t="shared" ca="1" si="13"/>
        <v>27.777777777777779</v>
      </c>
      <c r="G189" s="29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19340405</v>
      </c>
      <c r="C190" s="24" t="str">
        <f>INDEX(Data,2,2+MOD(ROWS(C$2:C190)-1,2))</f>
        <v>08.00</v>
      </c>
      <c r="D190" s="38">
        <f t="shared" ca="1" si="11"/>
        <v>760.7808</v>
      </c>
      <c r="E190" s="29">
        <f t="shared" ca="1" si="12"/>
        <v>0</v>
      </c>
      <c r="F190" s="39">
        <f t="shared" ca="1" si="13"/>
        <v>26.388888888888889</v>
      </c>
      <c r="G190" s="29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19340405</v>
      </c>
      <c r="C191" s="24" t="str">
        <f>INDEX(Data,2,2+MOD(ROWS(C$2:C191)-1,2))</f>
        <v>15.00</v>
      </c>
      <c r="D191" s="38">
        <f t="shared" ca="1" si="11"/>
        <v>758.77419999999995</v>
      </c>
      <c r="E191" s="29">
        <f t="shared" ca="1" si="12"/>
        <v>0</v>
      </c>
      <c r="F191" s="39">
        <f t="shared" ca="1" si="13"/>
        <v>28.333333333333332</v>
      </c>
      <c r="G191" s="29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19340406</v>
      </c>
      <c r="C192" s="24" t="str">
        <f>INDEX(Data,2,2+MOD(ROWS(C$2:C192)-1,2))</f>
        <v>08.00</v>
      </c>
      <c r="D192" s="38">
        <f t="shared" ca="1" si="11"/>
        <v>762.45719999999994</v>
      </c>
      <c r="E192" s="29">
        <f t="shared" ca="1" si="12"/>
        <v>0</v>
      </c>
      <c r="F192" s="39">
        <f t="shared" ca="1" si="13"/>
        <v>26.944444444444443</v>
      </c>
      <c r="G192" s="29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19340406</v>
      </c>
      <c r="C193" s="24" t="str">
        <f>INDEX(Data,2,2+MOD(ROWS(C$2:C193)-1,2))</f>
        <v>15.00</v>
      </c>
      <c r="D193" s="38">
        <f t="shared" ca="1" si="11"/>
        <v>759.28219999999999</v>
      </c>
      <c r="E193" s="29">
        <f t="shared" ca="1" si="12"/>
        <v>0</v>
      </c>
      <c r="F193" s="39">
        <f t="shared" ca="1" si="13"/>
        <v>28.333333333333332</v>
      </c>
      <c r="G193" s="29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19340407</v>
      </c>
      <c r="C194" s="24" t="str">
        <f>INDEX(Data,2,2+MOD(ROWS(C$2:C194)-1,2))</f>
        <v>08.00</v>
      </c>
      <c r="D194" s="38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761.49199999999996</v>
      </c>
      <c r="E194" s="29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39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26.944444444444443</v>
      </c>
      <c r="G194" s="29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19340407</v>
      </c>
      <c r="C195" s="24" t="str">
        <f>INDEX(Data,2,2+MOD(ROWS(C$2:C195)-1,2))</f>
        <v>15.00</v>
      </c>
      <c r="D195" s="38">
        <f t="shared" ca="1" si="16"/>
        <v>759.58699999999999</v>
      </c>
      <c r="E195" s="29">
        <f t="shared" ca="1" si="17"/>
        <v>0</v>
      </c>
      <c r="F195" s="39">
        <f t="shared" ca="1" si="18"/>
        <v>27.777777777777779</v>
      </c>
      <c r="G195" s="29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19340408</v>
      </c>
      <c r="C196" s="24" t="str">
        <f>INDEX(Data,2,2+MOD(ROWS(C$2:C196)-1,2))</f>
        <v>08.00</v>
      </c>
      <c r="D196" s="38">
        <f t="shared" ca="1" si="16"/>
        <v>761.94920000000002</v>
      </c>
      <c r="E196" s="29">
        <f t="shared" ca="1" si="17"/>
        <v>0</v>
      </c>
      <c r="F196" s="39">
        <f t="shared" ca="1" si="18"/>
        <v>26.666666666666668</v>
      </c>
      <c r="G196" s="29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19340408</v>
      </c>
      <c r="C197" s="24" t="str">
        <f>INDEX(Data,2,2+MOD(ROWS(C$2:C197)-1,2))</f>
        <v>15.00</v>
      </c>
      <c r="D197" s="38">
        <f t="shared" ca="1" si="16"/>
        <v>759.07899999999995</v>
      </c>
      <c r="E197" s="29">
        <f t="shared" ca="1" si="17"/>
        <v>0</v>
      </c>
      <c r="F197" s="39">
        <f t="shared" ca="1" si="18"/>
        <v>27.777777777777779</v>
      </c>
      <c r="G197" s="29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19340409</v>
      </c>
      <c r="C198" s="24" t="str">
        <f>INDEX(Data,2,2+MOD(ROWS(C$2:C198)-1,2))</f>
        <v>08.00</v>
      </c>
      <c r="D198" s="38">
        <f t="shared" ca="1" si="16"/>
        <v>761.94920000000002</v>
      </c>
      <c r="E198" s="29">
        <f t="shared" ca="1" si="17"/>
        <v>0</v>
      </c>
      <c r="F198" s="39">
        <f t="shared" ca="1" si="18"/>
        <v>26.944444444444443</v>
      </c>
      <c r="G198" s="29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19340409</v>
      </c>
      <c r="C199" s="24" t="str">
        <f>INDEX(Data,2,2+MOD(ROWS(C$2:C199)-1,2))</f>
        <v>15.00</v>
      </c>
      <c r="D199" s="38">
        <f t="shared" ca="1" si="16"/>
        <v>759.5616</v>
      </c>
      <c r="E199" s="29">
        <f t="shared" ca="1" si="17"/>
        <v>0</v>
      </c>
      <c r="F199" s="39">
        <f t="shared" ca="1" si="18"/>
        <v>28.055555555555557</v>
      </c>
      <c r="G199" s="29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19340410</v>
      </c>
      <c r="C200" s="24" t="str">
        <f>INDEX(Data,2,2+MOD(ROWS(C$2:C200)-1,2))</f>
        <v>08.00</v>
      </c>
      <c r="D200" s="38">
        <f t="shared" ca="1" si="16"/>
        <v>761.74599999999998</v>
      </c>
      <c r="E200" s="29">
        <f t="shared" ca="1" si="17"/>
        <v>0</v>
      </c>
      <c r="F200" s="39">
        <f t="shared" ca="1" si="18"/>
        <v>26.666666666666668</v>
      </c>
      <c r="G200" s="29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19340410</v>
      </c>
      <c r="C201" s="24" t="str">
        <f>INDEX(Data,2,2+MOD(ROWS(C$2:C201)-1,2))</f>
        <v>15.00</v>
      </c>
      <c r="D201" s="38">
        <f t="shared" ca="1" si="16"/>
        <v>758.77419999999995</v>
      </c>
      <c r="E201" s="29">
        <f t="shared" ca="1" si="17"/>
        <v>0</v>
      </c>
      <c r="F201" s="39">
        <f t="shared" ca="1" si="18"/>
        <v>28.333333333333332</v>
      </c>
      <c r="G201" s="29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19340411</v>
      </c>
      <c r="C202" s="24" t="str">
        <f>INDEX(Data,2,2+MOD(ROWS(C$2:C202)-1,2))</f>
        <v>08.00</v>
      </c>
      <c r="D202" s="38">
        <f t="shared" ca="1" si="16"/>
        <v>761.18719999999996</v>
      </c>
      <c r="E202" s="29">
        <f t="shared" ca="1" si="17"/>
        <v>0</v>
      </c>
      <c r="F202" s="39">
        <f t="shared" ca="1" si="18"/>
        <v>26.944444444444443</v>
      </c>
      <c r="G202" s="29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19340411</v>
      </c>
      <c r="C203" s="24" t="str">
        <f>INDEX(Data,2,2+MOD(ROWS(C$2:C203)-1,2))</f>
        <v>15.00</v>
      </c>
      <c r="D203" s="38">
        <f t="shared" ca="1" si="16"/>
        <v>758.52019999999993</v>
      </c>
      <c r="E203" s="29">
        <f t="shared" ca="1" si="17"/>
        <v>0</v>
      </c>
      <c r="F203" s="39">
        <f t="shared" ca="1" si="18"/>
        <v>28.333333333333332</v>
      </c>
      <c r="G203" s="29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19340412</v>
      </c>
      <c r="C204" s="24" t="str">
        <f>INDEX(Data,2,2+MOD(ROWS(C$2:C204)-1,2))</f>
        <v>08.00</v>
      </c>
      <c r="D204" s="38">
        <f t="shared" ca="1" si="16"/>
        <v>761.00939999999991</v>
      </c>
      <c r="E204" s="29">
        <f t="shared" ca="1" si="17"/>
        <v>0</v>
      </c>
      <c r="F204" s="39">
        <f t="shared" ca="1" si="18"/>
        <v>26.666666666666668</v>
      </c>
      <c r="G204" s="29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19340412</v>
      </c>
      <c r="C205" s="24" t="str">
        <f>INDEX(Data,2,2+MOD(ROWS(C$2:C205)-1,2))</f>
        <v>15.00</v>
      </c>
      <c r="D205" s="38">
        <f t="shared" ca="1" si="16"/>
        <v>757.70740000000001</v>
      </c>
      <c r="E205" s="29">
        <f t="shared" ca="1" si="17"/>
        <v>0</v>
      </c>
      <c r="F205" s="39">
        <f t="shared" ca="1" si="18"/>
        <v>28.611111111111111</v>
      </c>
      <c r="G205" s="29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19340413</v>
      </c>
      <c r="C206" s="24" t="str">
        <f>INDEX(Data,2,2+MOD(ROWS(C$2:C206)-1,2))</f>
        <v>08.00</v>
      </c>
      <c r="D206" s="38">
        <f t="shared" ca="1" si="16"/>
        <v>760.67919999999992</v>
      </c>
      <c r="E206" s="29">
        <f t="shared" ca="1" si="17"/>
        <v>0</v>
      </c>
      <c r="F206" s="39">
        <f t="shared" ca="1" si="18"/>
        <v>27.222222222222221</v>
      </c>
      <c r="G206" s="29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19340413</v>
      </c>
      <c r="C207" s="24" t="str">
        <f>INDEX(Data,2,2+MOD(ROWS(C$2:C207)-1,2))</f>
        <v>15.00</v>
      </c>
      <c r="D207" s="38">
        <f t="shared" ca="1" si="16"/>
        <v>757.91059999999993</v>
      </c>
      <c r="E207" s="29">
        <f t="shared" ca="1" si="17"/>
        <v>0</v>
      </c>
      <c r="F207" s="39">
        <f t="shared" ca="1" si="18"/>
        <v>29.166666666666668</v>
      </c>
      <c r="G207" s="29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19340414</v>
      </c>
      <c r="C208" s="24" t="str">
        <f>INDEX(Data,2,2+MOD(ROWS(C$2:C208)-1,2))</f>
        <v>08.00</v>
      </c>
      <c r="D208" s="38">
        <f t="shared" ca="1" si="16"/>
        <v>761.16179999999997</v>
      </c>
      <c r="E208" s="29">
        <f t="shared" ca="1" si="17"/>
        <v>0</v>
      </c>
      <c r="F208" s="39">
        <f t="shared" ca="1" si="18"/>
        <v>27.222222222222221</v>
      </c>
      <c r="G208" s="29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19340414</v>
      </c>
      <c r="C209" s="24" t="str">
        <f>INDEX(Data,2,2+MOD(ROWS(C$2:C209)-1,2))</f>
        <v>15.00</v>
      </c>
      <c r="D209" s="38">
        <f t="shared" ca="1" si="16"/>
        <v>758.97739999999999</v>
      </c>
      <c r="E209" s="29">
        <f t="shared" ca="1" si="17"/>
        <v>0</v>
      </c>
      <c r="F209" s="39">
        <f t="shared" ca="1" si="18"/>
        <v>28.611111111111111</v>
      </c>
      <c r="G209" s="29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19340415</v>
      </c>
      <c r="C210" s="24" t="str">
        <f>INDEX(Data,2,2+MOD(ROWS(C$2:C210)-1,2))</f>
        <v>08.00</v>
      </c>
      <c r="D210" s="38">
        <f t="shared" ca="1" si="16"/>
        <v>761.74599999999998</v>
      </c>
      <c r="E210" s="29">
        <f t="shared" ca="1" si="17"/>
        <v>0</v>
      </c>
      <c r="F210" s="39">
        <f t="shared" ca="1" si="18"/>
        <v>26.666666666666668</v>
      </c>
      <c r="G210" s="29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19340415</v>
      </c>
      <c r="C211" s="24" t="str">
        <f>INDEX(Data,2,2+MOD(ROWS(C$2:C211)-1,2))</f>
        <v>15.00</v>
      </c>
      <c r="D211" s="38">
        <f t="shared" ca="1" si="16"/>
        <v>758.52019999999993</v>
      </c>
      <c r="E211" s="29">
        <f t="shared" ca="1" si="17"/>
        <v>0</v>
      </c>
      <c r="F211" s="39">
        <f t="shared" ca="1" si="18"/>
        <v>28.333333333333332</v>
      </c>
      <c r="G211" s="29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19340416</v>
      </c>
      <c r="C212" s="24" t="str">
        <f>INDEX(Data,2,2+MOD(ROWS(C$2:C212)-1,2))</f>
        <v>08.00</v>
      </c>
      <c r="D212" s="38">
        <f t="shared" ca="1" si="16"/>
        <v>762.50799999999992</v>
      </c>
      <c r="E212" s="29">
        <f t="shared" ca="1" si="17"/>
        <v>0</v>
      </c>
      <c r="F212" s="39">
        <f t="shared" ca="1" si="18"/>
        <v>26.666666666666668</v>
      </c>
      <c r="G212" s="29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19340416</v>
      </c>
      <c r="C213" s="24" t="str">
        <f>INDEX(Data,2,2+MOD(ROWS(C$2:C213)-1,2))</f>
        <v>15.00</v>
      </c>
      <c r="D213" s="38">
        <f t="shared" ca="1" si="16"/>
        <v>760.06959999999992</v>
      </c>
      <c r="E213" s="29">
        <f t="shared" ca="1" si="17"/>
        <v>0</v>
      </c>
      <c r="F213" s="39">
        <f t="shared" ca="1" si="18"/>
        <v>28.055555555555557</v>
      </c>
      <c r="G213" s="29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19340417</v>
      </c>
      <c r="C214" s="24" t="str">
        <f>INDEX(Data,2,2+MOD(ROWS(C$2:C214)-1,2))</f>
        <v>08.00</v>
      </c>
      <c r="D214" s="38">
        <f t="shared" ca="1" si="16"/>
        <v>763.2192</v>
      </c>
      <c r="E214" s="29">
        <f t="shared" ca="1" si="17"/>
        <v>0</v>
      </c>
      <c r="F214" s="39">
        <f t="shared" ca="1" si="18"/>
        <v>26.944444444444443</v>
      </c>
      <c r="G214" s="29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19340417</v>
      </c>
      <c r="C215" s="24" t="str">
        <f>INDEX(Data,2,2+MOD(ROWS(C$2:C215)-1,2))</f>
        <v>15.00</v>
      </c>
      <c r="D215" s="38">
        <f t="shared" ca="1" si="16"/>
        <v>761.28879999999992</v>
      </c>
      <c r="E215" s="29">
        <f t="shared" ca="1" si="17"/>
        <v>0</v>
      </c>
      <c r="F215" s="39">
        <f t="shared" ca="1" si="18"/>
        <v>28.333333333333332</v>
      </c>
      <c r="G215" s="29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19340418</v>
      </c>
      <c r="C216" s="24" t="str">
        <f>INDEX(Data,2,2+MOD(ROWS(C$2:C216)-1,2))</f>
        <v>08.00</v>
      </c>
      <c r="D216" s="38">
        <f t="shared" ca="1" si="16"/>
        <v>763.2192</v>
      </c>
      <c r="E216" s="29">
        <f t="shared" ca="1" si="17"/>
        <v>0</v>
      </c>
      <c r="F216" s="39">
        <f t="shared" ca="1" si="18"/>
        <v>26.944444444444443</v>
      </c>
      <c r="G216" s="29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19340418</v>
      </c>
      <c r="C217" s="24" t="str">
        <f>INDEX(Data,2,2+MOD(ROWS(C$2:C217)-1,2))</f>
        <v>15.00</v>
      </c>
      <c r="D217" s="38">
        <f t="shared" ca="1" si="16"/>
        <v>760.80619999999999</v>
      </c>
      <c r="E217" s="29">
        <f t="shared" ca="1" si="17"/>
        <v>0</v>
      </c>
      <c r="F217" s="39">
        <f t="shared" ca="1" si="18"/>
        <v>28.333333333333332</v>
      </c>
      <c r="G217" s="29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19340419</v>
      </c>
      <c r="C218" s="24" t="str">
        <f>INDEX(Data,2,2+MOD(ROWS(C$2:C218)-1,2))</f>
        <v>08.00</v>
      </c>
      <c r="D218" s="38">
        <f t="shared" ca="1" si="16"/>
        <v>762.96519999999998</v>
      </c>
      <c r="E218" s="29">
        <f t="shared" ca="1" si="17"/>
        <v>0</v>
      </c>
      <c r="F218" s="39">
        <f t="shared" ca="1" si="18"/>
        <v>26.944444444444443</v>
      </c>
      <c r="G218" s="29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19340419</v>
      </c>
      <c r="C219" s="24" t="str">
        <f>INDEX(Data,2,2+MOD(ROWS(C$2:C219)-1,2))</f>
        <v>15.00</v>
      </c>
      <c r="D219" s="38">
        <f t="shared" ca="1" si="16"/>
        <v>760.57759999999996</v>
      </c>
      <c r="E219" s="29">
        <f t="shared" ca="1" si="17"/>
        <v>0</v>
      </c>
      <c r="F219" s="39">
        <f t="shared" ca="1" si="18"/>
        <v>28.055555555555557</v>
      </c>
      <c r="G219" s="29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19340420</v>
      </c>
      <c r="C220" s="24" t="str">
        <f>INDEX(Data,2,2+MOD(ROWS(C$2:C220)-1,2))</f>
        <v>08.00</v>
      </c>
      <c r="D220" s="38">
        <f t="shared" ca="1" si="16"/>
        <v>762.43179999999995</v>
      </c>
      <c r="E220" s="29">
        <f t="shared" ca="1" si="17"/>
        <v>0</v>
      </c>
      <c r="F220" s="39">
        <f t="shared" ca="1" si="18"/>
        <v>27.222222222222221</v>
      </c>
      <c r="G220" s="29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19340420</v>
      </c>
      <c r="C221" s="24" t="str">
        <f>INDEX(Data,2,2+MOD(ROWS(C$2:C221)-1,2))</f>
        <v>15.00</v>
      </c>
      <c r="D221" s="38">
        <f t="shared" ca="1" si="16"/>
        <v>760.04419999999993</v>
      </c>
      <c r="E221" s="29">
        <f t="shared" ca="1" si="17"/>
        <v>0</v>
      </c>
      <c r="F221" s="39">
        <f t="shared" ca="1" si="18"/>
        <v>28.333333333333332</v>
      </c>
      <c r="G221" s="29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19340421</v>
      </c>
      <c r="C222" s="24" t="str">
        <f>INDEX(Data,2,2+MOD(ROWS(C$2:C222)-1,2))</f>
        <v>08.00</v>
      </c>
      <c r="D222" s="38">
        <f t="shared" ca="1" si="16"/>
        <v>762.71119999999996</v>
      </c>
      <c r="E222" s="29">
        <f t="shared" ca="1" si="17"/>
        <v>0</v>
      </c>
      <c r="F222" s="39">
        <f t="shared" ca="1" si="18"/>
        <v>26.944444444444443</v>
      </c>
      <c r="G222" s="29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19340421</v>
      </c>
      <c r="C223" s="24" t="str">
        <f>INDEX(Data,2,2+MOD(ROWS(C$2:C223)-1,2))</f>
        <v>15.00</v>
      </c>
      <c r="D223" s="38">
        <f t="shared" ca="1" si="16"/>
        <v>759.79019999999991</v>
      </c>
      <c r="E223" s="29">
        <f t="shared" ca="1" si="17"/>
        <v>0</v>
      </c>
      <c r="F223" s="39">
        <f t="shared" ca="1" si="18"/>
        <v>28.333333333333332</v>
      </c>
      <c r="G223" s="29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19340422</v>
      </c>
      <c r="C224" s="24" t="str">
        <f>INDEX(Data,2,2+MOD(ROWS(C$2:C224)-1,2))</f>
        <v>08.00</v>
      </c>
      <c r="D224" s="38">
        <f t="shared" ca="1" si="16"/>
        <v>762.50799999999992</v>
      </c>
      <c r="E224" s="29">
        <f t="shared" ca="1" si="17"/>
        <v>0</v>
      </c>
      <c r="F224" s="39">
        <f t="shared" ca="1" si="18"/>
        <v>26.666666666666668</v>
      </c>
      <c r="G224" s="29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19340422</v>
      </c>
      <c r="C225" s="24" t="str">
        <f>INDEX(Data,2,2+MOD(ROWS(C$2:C225)-1,2))</f>
        <v>15.00</v>
      </c>
      <c r="D225" s="38">
        <f t="shared" ca="1" si="16"/>
        <v>760.04419999999993</v>
      </c>
      <c r="E225" s="29">
        <f t="shared" ca="1" si="17"/>
        <v>0</v>
      </c>
      <c r="F225" s="39">
        <f t="shared" ca="1" si="18"/>
        <v>28.333333333333332</v>
      </c>
      <c r="G225" s="29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19340423</v>
      </c>
      <c r="C226" s="24" t="str">
        <f>INDEX(Data,2,2+MOD(ROWS(C$2:C226)-1,2))</f>
        <v>08.00</v>
      </c>
      <c r="D226" s="38">
        <f t="shared" ca="1" si="16"/>
        <v>762.17779999999993</v>
      </c>
      <c r="E226" s="29">
        <f t="shared" ca="1" si="17"/>
        <v>0</v>
      </c>
      <c r="F226" s="39">
        <f t="shared" ca="1" si="18"/>
        <v>27.222222222222221</v>
      </c>
      <c r="G226" s="29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19340423</v>
      </c>
      <c r="C227" s="24" t="str">
        <f>INDEX(Data,2,2+MOD(ROWS(C$2:C227)-1,2))</f>
        <v>15.00</v>
      </c>
      <c r="D227" s="38">
        <f t="shared" ca="1" si="16"/>
        <v>760.06959999999992</v>
      </c>
      <c r="E227" s="29">
        <f t="shared" ca="1" si="17"/>
        <v>0</v>
      </c>
      <c r="F227" s="39">
        <f t="shared" ca="1" si="18"/>
        <v>28.055555555555557</v>
      </c>
      <c r="G227" s="29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19340424</v>
      </c>
      <c r="C228" s="24" t="str">
        <f>INDEX(Data,2,2+MOD(ROWS(C$2:C228)-1,2))</f>
        <v>08.00</v>
      </c>
      <c r="D228" s="38">
        <f t="shared" ca="1" si="16"/>
        <v>761.6952</v>
      </c>
      <c r="E228" s="29">
        <f t="shared" ca="1" si="17"/>
        <v>0</v>
      </c>
      <c r="F228" s="39">
        <f t="shared" ca="1" si="18"/>
        <v>26.944444444444443</v>
      </c>
      <c r="G228" s="29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19340424</v>
      </c>
      <c r="C229" s="24" t="str">
        <f>INDEX(Data,2,2+MOD(ROWS(C$2:C229)-1,2))</f>
        <v>15.00</v>
      </c>
      <c r="D229" s="38">
        <f t="shared" ca="1" si="16"/>
        <v>759.30759999999998</v>
      </c>
      <c r="E229" s="29">
        <f t="shared" ca="1" si="17"/>
        <v>0</v>
      </c>
      <c r="F229" s="39">
        <f t="shared" ca="1" si="18"/>
        <v>28.055555555555557</v>
      </c>
      <c r="G229" s="29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19340425</v>
      </c>
      <c r="C230" s="24" t="str">
        <f>INDEX(Data,2,2+MOD(ROWS(C$2:C230)-1,2))</f>
        <v>08.00</v>
      </c>
      <c r="D230" s="38">
        <f t="shared" ca="1" si="16"/>
        <v>761.6952</v>
      </c>
      <c r="E230" s="29">
        <f t="shared" ca="1" si="17"/>
        <v>0</v>
      </c>
      <c r="F230" s="39">
        <f t="shared" ca="1" si="18"/>
        <v>26.944444444444443</v>
      </c>
      <c r="G230" s="29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19340425</v>
      </c>
      <c r="C231" s="24" t="str">
        <f>INDEX(Data,2,2+MOD(ROWS(C$2:C231)-1,2))</f>
        <v>15.00</v>
      </c>
      <c r="D231" s="38">
        <f t="shared" ca="1" si="16"/>
        <v>759.53620000000001</v>
      </c>
      <c r="E231" s="29">
        <f t="shared" ca="1" si="17"/>
        <v>0</v>
      </c>
      <c r="F231" s="39">
        <f t="shared" ca="1" si="18"/>
        <v>28.333333333333332</v>
      </c>
      <c r="G231" s="29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19340426</v>
      </c>
      <c r="C232" s="24" t="str">
        <f>INDEX(Data,2,2+MOD(ROWS(C$2:C232)-1,2))</f>
        <v>08.00</v>
      </c>
      <c r="D232" s="38">
        <f t="shared" ca="1" si="16"/>
        <v>761.94920000000002</v>
      </c>
      <c r="E232" s="29">
        <f t="shared" ca="1" si="17"/>
        <v>0</v>
      </c>
      <c r="F232" s="39">
        <f t="shared" ca="1" si="18"/>
        <v>26.944444444444443</v>
      </c>
      <c r="G232" s="29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19340426</v>
      </c>
      <c r="C233" s="24" t="str">
        <f>INDEX(Data,2,2+MOD(ROWS(C$2:C233)-1,2))</f>
        <v>15.00</v>
      </c>
      <c r="D233" s="38">
        <f t="shared" ca="1" si="16"/>
        <v>759.53620000000001</v>
      </c>
      <c r="E233" s="29">
        <f t="shared" ca="1" si="17"/>
        <v>0</v>
      </c>
      <c r="F233" s="39">
        <f t="shared" ca="1" si="18"/>
        <v>28.333333333333332</v>
      </c>
      <c r="G233" s="29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19340427</v>
      </c>
      <c r="C234" s="24" t="str">
        <f>INDEX(Data,2,2+MOD(ROWS(C$2:C234)-1,2))</f>
        <v>08.00</v>
      </c>
      <c r="D234" s="38">
        <f t="shared" ca="1" si="16"/>
        <v>762.17779999999993</v>
      </c>
      <c r="E234" s="29">
        <f t="shared" ca="1" si="17"/>
        <v>0</v>
      </c>
      <c r="F234" s="39">
        <f t="shared" ca="1" si="18"/>
        <v>27.222222222222221</v>
      </c>
      <c r="G234" s="29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19340427</v>
      </c>
      <c r="C235" s="24" t="str">
        <f>INDEX(Data,2,2+MOD(ROWS(C$2:C235)-1,2))</f>
        <v>15.00</v>
      </c>
      <c r="D235" s="38">
        <f t="shared" ca="1" si="16"/>
        <v>759.73939999999993</v>
      </c>
      <c r="E235" s="29">
        <f t="shared" ca="1" si="17"/>
        <v>0</v>
      </c>
      <c r="F235" s="39">
        <f t="shared" ca="1" si="18"/>
        <v>28.611111111111111</v>
      </c>
      <c r="G235" s="29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19340428</v>
      </c>
      <c r="C236" s="24" t="str">
        <f>INDEX(Data,2,2+MOD(ROWS(C$2:C236)-1,2))</f>
        <v>08.00</v>
      </c>
      <c r="D236" s="38">
        <f t="shared" ca="1" si="16"/>
        <v>761.94920000000002</v>
      </c>
      <c r="E236" s="29">
        <f t="shared" ca="1" si="17"/>
        <v>0</v>
      </c>
      <c r="F236" s="39">
        <f t="shared" ca="1" si="18"/>
        <v>26.944444444444443</v>
      </c>
      <c r="G236" s="29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19340428</v>
      </c>
      <c r="C237" s="24" t="str">
        <f>INDEX(Data,2,2+MOD(ROWS(C$2:C237)-1,2))</f>
        <v>15.00</v>
      </c>
      <c r="D237" s="38">
        <f t="shared" ca="1" si="16"/>
        <v>760.04419999999993</v>
      </c>
      <c r="E237" s="29">
        <f t="shared" ca="1" si="17"/>
        <v>0</v>
      </c>
      <c r="F237" s="39">
        <f t="shared" ca="1" si="18"/>
        <v>28.333333333333332</v>
      </c>
      <c r="G237" s="29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19340429</v>
      </c>
      <c r="C238" s="24" t="str">
        <f>INDEX(Data,2,2+MOD(ROWS(C$2:C238)-1,2))</f>
        <v>08.00</v>
      </c>
      <c r="D238" s="38">
        <f t="shared" ca="1" si="16"/>
        <v>762.20319999999992</v>
      </c>
      <c r="E238" s="29">
        <f t="shared" ca="1" si="17"/>
        <v>0</v>
      </c>
      <c r="F238" s="39">
        <f t="shared" ca="1" si="18"/>
        <v>26.944444444444443</v>
      </c>
      <c r="G238" s="29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19340429</v>
      </c>
      <c r="C239" s="24" t="str">
        <f>INDEX(Data,2,2+MOD(ROWS(C$2:C239)-1,2))</f>
        <v>15.00</v>
      </c>
      <c r="D239" s="38">
        <f t="shared" ca="1" si="16"/>
        <v>759.30759999999998</v>
      </c>
      <c r="E239" s="29">
        <f t="shared" ca="1" si="17"/>
        <v>0</v>
      </c>
      <c r="F239" s="39">
        <f t="shared" ca="1" si="18"/>
        <v>28.055555555555557</v>
      </c>
      <c r="G239" s="29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19340430</v>
      </c>
      <c r="C240" s="24" t="str">
        <f>INDEX(Data,2,2+MOD(ROWS(C$2:C240)-1,2))</f>
        <v>08.00</v>
      </c>
      <c r="D240" s="38">
        <f t="shared" ca="1" si="16"/>
        <v>761.92379999999991</v>
      </c>
      <c r="E240" s="29">
        <f t="shared" ca="1" si="17"/>
        <v>0</v>
      </c>
      <c r="F240" s="39">
        <f t="shared" ca="1" si="18"/>
        <v>27.222222222222221</v>
      </c>
      <c r="G240" s="29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19340430</v>
      </c>
      <c r="C241" s="24" t="str">
        <f>INDEX(Data,2,2+MOD(ROWS(C$2:C241)-1,2))</f>
        <v>15.00</v>
      </c>
      <c r="D241" s="38">
        <f t="shared" ca="1" si="16"/>
        <v>759.79019999999991</v>
      </c>
      <c r="E241" s="29">
        <f t="shared" ca="1" si="17"/>
        <v>0</v>
      </c>
      <c r="F241" s="39">
        <f t="shared" ca="1" si="18"/>
        <v>28.333333333333332</v>
      </c>
      <c r="G241" s="29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19340501</v>
      </c>
      <c r="C242" s="24" t="str">
        <f>INDEX(Data,2,2+MOD(ROWS(C$2:C242)-1,2))</f>
        <v>08.00</v>
      </c>
      <c r="D242" s="38">
        <f t="shared" ca="1" si="16"/>
        <v>761.6952</v>
      </c>
      <c r="E242" s="29">
        <f t="shared" ca="1" si="17"/>
        <v>0</v>
      </c>
      <c r="F242" s="39">
        <f t="shared" ca="1" si="18"/>
        <v>26.944444444444443</v>
      </c>
      <c r="G242" s="29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19340501</v>
      </c>
      <c r="C243" s="24" t="str">
        <f>INDEX(Data,2,2+MOD(ROWS(C$2:C243)-1,2))</f>
        <v>15.00</v>
      </c>
      <c r="D243" s="38">
        <f t="shared" ca="1" si="16"/>
        <v>759.28219999999999</v>
      </c>
      <c r="E243" s="29">
        <f t="shared" ca="1" si="17"/>
        <v>0</v>
      </c>
      <c r="F243" s="39">
        <f t="shared" ca="1" si="18"/>
        <v>28.333333333333332</v>
      </c>
      <c r="G243" s="29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19340502</v>
      </c>
      <c r="C244" s="24" t="str">
        <f>INDEX(Data,2,2+MOD(ROWS(C$2:C244)-1,2))</f>
        <v>08.00</v>
      </c>
      <c r="D244" s="38">
        <f t="shared" ca="1" si="16"/>
        <v>760.95859999999993</v>
      </c>
      <c r="E244" s="29">
        <f t="shared" ca="1" si="17"/>
        <v>0</v>
      </c>
      <c r="F244" s="39">
        <f t="shared" ca="1" si="18"/>
        <v>26.944444444444443</v>
      </c>
      <c r="G244" s="29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19340502</v>
      </c>
      <c r="C245" s="24" t="str">
        <f>INDEX(Data,2,2+MOD(ROWS(C$2:C245)-1,2))</f>
        <v>15.00</v>
      </c>
      <c r="D245" s="38">
        <f t="shared" ca="1" si="16"/>
        <v>759.48539999999991</v>
      </c>
      <c r="E245" s="29">
        <f t="shared" ca="1" si="17"/>
        <v>0</v>
      </c>
      <c r="F245" s="39">
        <f t="shared" ca="1" si="18"/>
        <v>28.611111111111111</v>
      </c>
      <c r="G245" s="29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19340503</v>
      </c>
      <c r="C246" s="24" t="str">
        <f>INDEX(Data,2,2+MOD(ROWS(C$2:C246)-1,2))</f>
        <v>08.00</v>
      </c>
      <c r="D246" s="38">
        <f t="shared" ca="1" si="16"/>
        <v>762.17779999999993</v>
      </c>
      <c r="E246" s="29">
        <f t="shared" ca="1" si="17"/>
        <v>0</v>
      </c>
      <c r="F246" s="39">
        <f t="shared" ca="1" si="18"/>
        <v>27.222222222222221</v>
      </c>
      <c r="G246" s="29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19340503</v>
      </c>
      <c r="C247" s="24" t="str">
        <f>INDEX(Data,2,2+MOD(ROWS(C$2:C247)-1,2))</f>
        <v>15.00</v>
      </c>
      <c r="D247" s="38">
        <f t="shared" ca="1" si="16"/>
        <v>759.99339999999995</v>
      </c>
      <c r="E247" s="29">
        <f t="shared" ca="1" si="17"/>
        <v>0</v>
      </c>
      <c r="F247" s="39">
        <f t="shared" ca="1" si="18"/>
        <v>28.611111111111111</v>
      </c>
      <c r="G247" s="29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19340504</v>
      </c>
      <c r="C248" s="24" t="str">
        <f>INDEX(Data,2,2+MOD(ROWS(C$2:C248)-1,2))</f>
        <v>08.00</v>
      </c>
      <c r="D248" s="38">
        <f t="shared" ca="1" si="16"/>
        <v>762.45719999999994</v>
      </c>
      <c r="E248" s="29">
        <f t="shared" ca="1" si="17"/>
        <v>0</v>
      </c>
      <c r="F248" s="39">
        <f t="shared" ca="1" si="18"/>
        <v>26.944444444444443</v>
      </c>
      <c r="G248" s="29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19340504</v>
      </c>
      <c r="C249" s="24" t="str">
        <f>INDEX(Data,2,2+MOD(ROWS(C$2:C249)-1,2))</f>
        <v>15.00</v>
      </c>
      <c r="D249" s="38">
        <f t="shared" ca="1" si="16"/>
        <v>759.20600000000002</v>
      </c>
      <c r="E249" s="29">
        <f t="shared" ca="1" si="17"/>
        <v>0</v>
      </c>
      <c r="F249" s="39">
        <f t="shared" ca="1" si="18"/>
        <v>28.888888888888889</v>
      </c>
      <c r="G249" s="29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19340505</v>
      </c>
      <c r="C250" s="24" t="str">
        <f>INDEX(Data,2,2+MOD(ROWS(C$2:C250)-1,2))</f>
        <v>08.00</v>
      </c>
      <c r="D250" s="38">
        <f t="shared" ca="1" si="16"/>
        <v>761.6952</v>
      </c>
      <c r="E250" s="29">
        <f t="shared" ca="1" si="17"/>
        <v>0</v>
      </c>
      <c r="F250" s="39">
        <f t="shared" ca="1" si="18"/>
        <v>26.944444444444443</v>
      </c>
      <c r="G250" s="29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19340505</v>
      </c>
      <c r="C251" s="24" t="str">
        <f>INDEX(Data,2,2+MOD(ROWS(C$2:C251)-1,2))</f>
        <v>15.00</v>
      </c>
      <c r="D251" s="38">
        <f t="shared" ca="1" si="16"/>
        <v>759.99339999999995</v>
      </c>
      <c r="E251" s="29">
        <f t="shared" ca="1" si="17"/>
        <v>0</v>
      </c>
      <c r="F251" s="39">
        <f t="shared" ca="1" si="18"/>
        <v>28.611111111111111</v>
      </c>
      <c r="G251" s="29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19340506</v>
      </c>
      <c r="C252" s="24" t="str">
        <f>INDEX(Data,2,2+MOD(ROWS(C$2:C252)-1,2))</f>
        <v>08.00</v>
      </c>
      <c r="D252" s="38">
        <f t="shared" ca="1" si="16"/>
        <v>761.16179999999997</v>
      </c>
      <c r="E252" s="29">
        <f t="shared" ca="1" si="17"/>
        <v>0</v>
      </c>
      <c r="F252" s="39">
        <f t="shared" ca="1" si="18"/>
        <v>27.222222222222221</v>
      </c>
      <c r="G252" s="29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19340506</v>
      </c>
      <c r="C253" s="24" t="str">
        <f>INDEX(Data,2,2+MOD(ROWS(C$2:C253)-1,2))</f>
        <v>15.00</v>
      </c>
      <c r="D253" s="38">
        <f t="shared" ca="1" si="16"/>
        <v>759.53620000000001</v>
      </c>
      <c r="E253" s="29">
        <f t="shared" ca="1" si="17"/>
        <v>0</v>
      </c>
      <c r="F253" s="39">
        <f t="shared" ca="1" si="18"/>
        <v>28.333333333333332</v>
      </c>
      <c r="G253" s="29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19340507</v>
      </c>
      <c r="C254" s="24" t="str">
        <f>INDEX(Data,2,2+MOD(ROWS(C$2:C254)-1,2))</f>
        <v>08.00</v>
      </c>
      <c r="D254" s="38">
        <f t="shared" ca="1" si="16"/>
        <v>760.67919999999992</v>
      </c>
      <c r="E254" s="29">
        <f t="shared" ca="1" si="17"/>
        <v>0</v>
      </c>
      <c r="F254" s="39">
        <f t="shared" ca="1" si="18"/>
        <v>27.222222222222221</v>
      </c>
      <c r="G254" s="29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19340507</v>
      </c>
      <c r="C255" s="24" t="str">
        <f>INDEX(Data,2,2+MOD(ROWS(C$2:C255)-1,2))</f>
        <v>15.00</v>
      </c>
      <c r="D255" s="38">
        <f t="shared" ca="1" si="16"/>
        <v>758.72339999999997</v>
      </c>
      <c r="E255" s="29">
        <f t="shared" ca="1" si="17"/>
        <v>0</v>
      </c>
      <c r="F255" s="39">
        <f t="shared" ca="1" si="18"/>
        <v>28.611111111111111</v>
      </c>
      <c r="G255" s="29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19340508</v>
      </c>
      <c r="C256" s="24" t="str">
        <f>INDEX(Data,2,2+MOD(ROWS(C$2:C256)-1,2))</f>
        <v>08.00</v>
      </c>
      <c r="D256" s="38">
        <f t="shared" ca="1" si="16"/>
        <v>761.92379999999991</v>
      </c>
      <c r="E256" s="29">
        <f t="shared" ca="1" si="17"/>
        <v>0</v>
      </c>
      <c r="F256" s="39">
        <f t="shared" ca="1" si="18"/>
        <v>27.222222222222221</v>
      </c>
      <c r="G256" s="29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19340508</v>
      </c>
      <c r="C257" s="24" t="str">
        <f>INDEX(Data,2,2+MOD(ROWS(C$2:C257)-1,2))</f>
        <v>15.00</v>
      </c>
      <c r="D257" s="38">
        <f t="shared" ca="1" si="16"/>
        <v>759.63779999999997</v>
      </c>
      <c r="E257" s="29">
        <f t="shared" ca="1" si="17"/>
        <v>0</v>
      </c>
      <c r="F257" s="39">
        <f t="shared" ca="1" si="18"/>
        <v>29.444444444444443</v>
      </c>
      <c r="G257" s="29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19340509</v>
      </c>
      <c r="C258" s="24" t="str">
        <f>INDEX(Data,2,2+MOD(ROWS(C$2:C258)-1,2))</f>
        <v>08.00</v>
      </c>
      <c r="D258" s="38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761.92379999999991</v>
      </c>
      <c r="E258" s="29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39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27.222222222222221</v>
      </c>
      <c r="G258" s="29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19340509</v>
      </c>
      <c r="C259" s="24" t="str">
        <f>INDEX(Data,2,2+MOD(ROWS(C$2:C259)-1,2))</f>
        <v>15.00</v>
      </c>
      <c r="D259" s="38">
        <f t="shared" ca="1" si="21"/>
        <v>759.45999999999992</v>
      </c>
      <c r="E259" s="29">
        <f t="shared" ca="1" si="22"/>
        <v>0</v>
      </c>
      <c r="F259" s="39">
        <f t="shared" ca="1" si="23"/>
        <v>28.888888888888889</v>
      </c>
      <c r="G259" s="29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19340510</v>
      </c>
      <c r="C260" s="24" t="str">
        <f>INDEX(Data,2,2+MOD(ROWS(C$2:C260)-1,2))</f>
        <v>08.00</v>
      </c>
      <c r="D260" s="38">
        <f t="shared" ca="1" si="21"/>
        <v>760.95859999999993</v>
      </c>
      <c r="E260" s="29">
        <f t="shared" ca="1" si="22"/>
        <v>0</v>
      </c>
      <c r="F260" s="39">
        <f t="shared" ca="1" si="23"/>
        <v>26.944444444444443</v>
      </c>
      <c r="G260" s="29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19340510</v>
      </c>
      <c r="C261" s="24" t="str">
        <f>INDEX(Data,2,2+MOD(ROWS(C$2:C261)-1,2))</f>
        <v>15.00</v>
      </c>
      <c r="D261" s="38">
        <f t="shared" ca="1" si="21"/>
        <v>758.72339999999997</v>
      </c>
      <c r="E261" s="29">
        <f t="shared" ca="1" si="22"/>
        <v>0</v>
      </c>
      <c r="F261" s="39">
        <f t="shared" ca="1" si="23"/>
        <v>28.611111111111111</v>
      </c>
      <c r="G261" s="29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19340511</v>
      </c>
      <c r="C262" s="24" t="str">
        <f>INDEX(Data,2,2+MOD(ROWS(C$2:C262)-1,2))</f>
        <v>08.00</v>
      </c>
      <c r="D262" s="38">
        <f t="shared" ca="1" si="21"/>
        <v>760.70459999999991</v>
      </c>
      <c r="E262" s="29">
        <f t="shared" ca="1" si="22"/>
        <v>0</v>
      </c>
      <c r="F262" s="39">
        <f t="shared" ca="1" si="23"/>
        <v>27.222222222222221</v>
      </c>
      <c r="G262" s="29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19340511</v>
      </c>
      <c r="C263" s="24" t="str">
        <f>INDEX(Data,2,2+MOD(ROWS(C$2:C263)-1,2))</f>
        <v>15.00</v>
      </c>
      <c r="D263" s="38">
        <f t="shared" ca="1" si="21"/>
        <v>759.48539999999991</v>
      </c>
      <c r="E263" s="29">
        <f t="shared" ca="1" si="22"/>
        <v>0</v>
      </c>
      <c r="F263" s="39">
        <f t="shared" ca="1" si="23"/>
        <v>28.611111111111111</v>
      </c>
      <c r="G263" s="29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19340512</v>
      </c>
      <c r="C264" s="24" t="str">
        <f>INDEX(Data,2,2+MOD(ROWS(C$2:C264)-1,2))</f>
        <v>08.00</v>
      </c>
      <c r="D264" s="38">
        <f t="shared" ca="1" si="21"/>
        <v>760.95859999999993</v>
      </c>
      <c r="E264" s="29">
        <f t="shared" ca="1" si="22"/>
        <v>0</v>
      </c>
      <c r="F264" s="39">
        <f t="shared" ca="1" si="23"/>
        <v>26.944444444444443</v>
      </c>
      <c r="G264" s="29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19340512</v>
      </c>
      <c r="C265" s="24" t="str">
        <f>INDEX(Data,2,2+MOD(ROWS(C$2:C265)-1,2))</f>
        <v>15.00</v>
      </c>
      <c r="D265" s="38">
        <f t="shared" ca="1" si="21"/>
        <v>758.72339999999997</v>
      </c>
      <c r="E265" s="29">
        <f t="shared" ca="1" si="22"/>
        <v>0</v>
      </c>
      <c r="F265" s="39">
        <f t="shared" ca="1" si="23"/>
        <v>28.611111111111111</v>
      </c>
      <c r="G265" s="29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19340513</v>
      </c>
      <c r="C266" s="24" t="str">
        <f>INDEX(Data,2,2+MOD(ROWS(C$2:C266)-1,2))</f>
        <v>08.00</v>
      </c>
      <c r="D266" s="38">
        <f t="shared" ca="1" si="21"/>
        <v>761.44119999999998</v>
      </c>
      <c r="E266" s="29">
        <f t="shared" ca="1" si="22"/>
        <v>0</v>
      </c>
      <c r="F266" s="39">
        <f t="shared" ca="1" si="23"/>
        <v>26.944444444444443</v>
      </c>
      <c r="G266" s="29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19340513</v>
      </c>
      <c r="C267" s="24" t="str">
        <f>INDEX(Data,2,2+MOD(ROWS(C$2:C267)-1,2))</f>
        <v>15.00</v>
      </c>
      <c r="D267" s="38">
        <f t="shared" ca="1" si="21"/>
        <v>758.77419999999995</v>
      </c>
      <c r="E267" s="29">
        <f t="shared" ca="1" si="22"/>
        <v>0</v>
      </c>
      <c r="F267" s="39">
        <f t="shared" ca="1" si="23"/>
        <v>28.333333333333332</v>
      </c>
      <c r="G267" s="29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19340514</v>
      </c>
      <c r="C268" s="24" t="str">
        <f>INDEX(Data,2,2+MOD(ROWS(C$2:C268)-1,2))</f>
        <v>08.00</v>
      </c>
      <c r="D268" s="38">
        <f t="shared" ca="1" si="21"/>
        <v>762.15239999999994</v>
      </c>
      <c r="E268" s="29">
        <f t="shared" ca="1" si="22"/>
        <v>0</v>
      </c>
      <c r="F268" s="39">
        <f t="shared" ca="1" si="23"/>
        <v>27.5</v>
      </c>
      <c r="G268" s="29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19340514</v>
      </c>
      <c r="C269" s="24" t="str">
        <f>INDEX(Data,2,2+MOD(ROWS(C$2:C269)-1,2))</f>
        <v>15.00</v>
      </c>
      <c r="D269" s="38">
        <f t="shared" ca="1" si="21"/>
        <v>760.75540000000001</v>
      </c>
      <c r="E269" s="29">
        <f t="shared" ca="1" si="22"/>
        <v>0</v>
      </c>
      <c r="F269" s="39">
        <f t="shared" ca="1" si="23"/>
        <v>28.611111111111111</v>
      </c>
      <c r="G269" s="29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19340515</v>
      </c>
      <c r="C270" s="24" t="str">
        <f>INDEX(Data,2,2+MOD(ROWS(C$2:C270)-1,2))</f>
        <v>08.00</v>
      </c>
      <c r="D270" s="38">
        <f t="shared" ca="1" si="21"/>
        <v>761.64440000000002</v>
      </c>
      <c r="E270" s="29">
        <f t="shared" ca="1" si="22"/>
        <v>0</v>
      </c>
      <c r="F270" s="39">
        <f t="shared" ca="1" si="23"/>
        <v>27.5</v>
      </c>
      <c r="G270" s="29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19340515</v>
      </c>
      <c r="C271" s="24" t="str">
        <f>INDEX(Data,2,2+MOD(ROWS(C$2:C271)-1,2))</f>
        <v>15.00</v>
      </c>
      <c r="D271" s="38">
        <f t="shared" ca="1" si="21"/>
        <v>759.99339999999995</v>
      </c>
      <c r="E271" s="29">
        <f t="shared" ca="1" si="22"/>
        <v>0</v>
      </c>
      <c r="F271" s="39">
        <f t="shared" ca="1" si="23"/>
        <v>28.611111111111111</v>
      </c>
      <c r="G271" s="29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19340516</v>
      </c>
      <c r="C272" s="24" t="str">
        <f>INDEX(Data,2,2+MOD(ROWS(C$2:C272)-1,2))</f>
        <v>08.00</v>
      </c>
      <c r="D272" s="38">
        <f t="shared" ca="1" si="21"/>
        <v>761.84759999999994</v>
      </c>
      <c r="E272" s="29">
        <f t="shared" ca="1" si="22"/>
        <v>0</v>
      </c>
      <c r="F272" s="39">
        <f t="shared" ca="1" si="23"/>
        <v>27.777777777777779</v>
      </c>
      <c r="G272" s="29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19340516</v>
      </c>
      <c r="C273" s="24" t="str">
        <f>INDEX(Data,2,2+MOD(ROWS(C$2:C273)-1,2))</f>
        <v>15.00</v>
      </c>
      <c r="D273" s="38">
        <f t="shared" ca="1" si="21"/>
        <v>760.476</v>
      </c>
      <c r="E273" s="29">
        <f t="shared" ca="1" si="22"/>
        <v>0</v>
      </c>
      <c r="F273" s="39">
        <f t="shared" ca="1" si="23"/>
        <v>28.888888888888889</v>
      </c>
      <c r="G273" s="29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19340517</v>
      </c>
      <c r="C274" s="24" t="str">
        <f>INDEX(Data,2,2+MOD(ROWS(C$2:C274)-1,2))</f>
        <v>08.00</v>
      </c>
      <c r="D274" s="38">
        <f t="shared" ca="1" si="21"/>
        <v>761.89839999999992</v>
      </c>
      <c r="E274" s="29">
        <f t="shared" ca="1" si="22"/>
        <v>0</v>
      </c>
      <c r="F274" s="39">
        <f t="shared" ca="1" si="23"/>
        <v>27.5</v>
      </c>
      <c r="G274" s="29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19340517</v>
      </c>
      <c r="C275" s="24" t="str">
        <f>INDEX(Data,2,2+MOD(ROWS(C$2:C275)-1,2))</f>
        <v>15.00</v>
      </c>
      <c r="D275" s="38">
        <f t="shared" ca="1" si="21"/>
        <v>759.94259999999997</v>
      </c>
      <c r="E275" s="29">
        <f t="shared" ca="1" si="22"/>
        <v>0</v>
      </c>
      <c r="F275" s="39">
        <f t="shared" ca="1" si="23"/>
        <v>29.166666666666668</v>
      </c>
      <c r="G275" s="29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19340518</v>
      </c>
      <c r="C276" s="24" t="str">
        <f>INDEX(Data,2,2+MOD(ROWS(C$2:C276)-1,2))</f>
        <v>08.00</v>
      </c>
      <c r="D276" s="38">
        <f t="shared" ca="1" si="21"/>
        <v>761.84759999999994</v>
      </c>
      <c r="E276" s="29">
        <f t="shared" ca="1" si="22"/>
        <v>0</v>
      </c>
      <c r="F276" s="39">
        <f t="shared" ca="1" si="23"/>
        <v>27.777777777777779</v>
      </c>
      <c r="G276" s="29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19340518</v>
      </c>
      <c r="C277" s="24" t="str">
        <f>INDEX(Data,2,2+MOD(ROWS(C$2:C277)-1,2))</f>
        <v>15.00</v>
      </c>
      <c r="D277" s="38">
        <f t="shared" ca="1" si="21"/>
        <v>759.94259999999997</v>
      </c>
      <c r="E277" s="29">
        <f t="shared" ca="1" si="22"/>
        <v>0</v>
      </c>
      <c r="F277" s="39">
        <f t="shared" ca="1" si="23"/>
        <v>29.166666666666668</v>
      </c>
      <c r="G277" s="29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19340519</v>
      </c>
      <c r="C278" s="24" t="str">
        <f>INDEX(Data,2,2+MOD(ROWS(C$2:C278)-1,2))</f>
        <v>08.00</v>
      </c>
      <c r="D278" s="38">
        <f t="shared" ca="1" si="21"/>
        <v>761.0856</v>
      </c>
      <c r="E278" s="29">
        <f t="shared" ca="1" si="22"/>
        <v>0</v>
      </c>
      <c r="F278" s="39">
        <f t="shared" ca="1" si="23"/>
        <v>27.777777777777779</v>
      </c>
      <c r="G278" s="29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19340519</v>
      </c>
      <c r="C279" s="24" t="str">
        <f>INDEX(Data,2,2+MOD(ROWS(C$2:C279)-1,2))</f>
        <v>15.00</v>
      </c>
      <c r="D279" s="38">
        <f t="shared" ca="1" si="21"/>
        <v>759.68859999999995</v>
      </c>
      <c r="E279" s="29">
        <f t="shared" ca="1" si="22"/>
        <v>0</v>
      </c>
      <c r="F279" s="39">
        <f t="shared" ca="1" si="23"/>
        <v>29.166666666666668</v>
      </c>
      <c r="G279" s="29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19340520</v>
      </c>
      <c r="C280" s="24" t="str">
        <f>INDEX(Data,2,2+MOD(ROWS(C$2:C280)-1,2))</f>
        <v>08.00</v>
      </c>
      <c r="D280" s="38">
        <f t="shared" ca="1" si="21"/>
        <v>761.64440000000002</v>
      </c>
      <c r="E280" s="29">
        <f t="shared" ca="1" si="22"/>
        <v>0</v>
      </c>
      <c r="F280" s="39">
        <f t="shared" ca="1" si="23"/>
        <v>27.5</v>
      </c>
      <c r="G280" s="29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19340520</v>
      </c>
      <c r="C281" s="24" t="str">
        <f>INDEX(Data,2,2+MOD(ROWS(C$2:C281)-1,2))</f>
        <v>15.00</v>
      </c>
      <c r="D281" s="38">
        <f t="shared" ca="1" si="21"/>
        <v>759.96799999999996</v>
      </c>
      <c r="E281" s="29">
        <f t="shared" ca="1" si="22"/>
        <v>0</v>
      </c>
      <c r="F281" s="39">
        <f t="shared" ca="1" si="23"/>
        <v>28.888888888888889</v>
      </c>
      <c r="G281" s="29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19340521</v>
      </c>
      <c r="C282" s="24" t="str">
        <f>INDEX(Data,2,2+MOD(ROWS(C$2:C282)-1,2))</f>
        <v>08.00</v>
      </c>
      <c r="D282" s="38">
        <f t="shared" ca="1" si="21"/>
        <v>761.41579999999999</v>
      </c>
      <c r="E282" s="29">
        <f t="shared" ca="1" si="22"/>
        <v>0</v>
      </c>
      <c r="F282" s="39">
        <f t="shared" ca="1" si="23"/>
        <v>27.222222222222221</v>
      </c>
      <c r="G282" s="29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19340521</v>
      </c>
      <c r="C283" s="24" t="str">
        <f>INDEX(Data,2,2+MOD(ROWS(C$2:C283)-1,2))</f>
        <v>15.00</v>
      </c>
      <c r="D283" s="38">
        <f t="shared" ca="1" si="21"/>
        <v>760.32359999999994</v>
      </c>
      <c r="E283" s="29">
        <f t="shared" ca="1" si="22"/>
        <v>0</v>
      </c>
      <c r="F283" s="39">
        <f t="shared" ca="1" si="23"/>
        <v>29.166666666666668</v>
      </c>
      <c r="G283" s="29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19340522</v>
      </c>
      <c r="C284" s="24" t="str">
        <f>INDEX(Data,2,2+MOD(ROWS(C$2:C284)-1,2))</f>
        <v>08.00</v>
      </c>
      <c r="D284" s="38">
        <f t="shared" ca="1" si="21"/>
        <v>761.82219999999995</v>
      </c>
      <c r="E284" s="29">
        <f t="shared" ca="1" si="22"/>
        <v>0</v>
      </c>
      <c r="F284" s="39">
        <f t="shared" ca="1" si="23"/>
        <v>28.055555555555557</v>
      </c>
      <c r="G284" s="29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19340522</v>
      </c>
      <c r="C285" s="24" t="str">
        <f>INDEX(Data,2,2+MOD(ROWS(C$2:C285)-1,2))</f>
        <v>15.00</v>
      </c>
      <c r="D285" s="38">
        <f t="shared" ca="1" si="21"/>
        <v>759.8664</v>
      </c>
      <c r="E285" s="29">
        <f t="shared" ca="1" si="22"/>
        <v>0</v>
      </c>
      <c r="F285" s="39">
        <f t="shared" ca="1" si="23"/>
        <v>29.444444444444443</v>
      </c>
      <c r="G285" s="29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19340523</v>
      </c>
      <c r="C286" s="24" t="str">
        <f>INDEX(Data,2,2+MOD(ROWS(C$2:C286)-1,2))</f>
        <v>08.00</v>
      </c>
      <c r="D286" s="38">
        <f t="shared" ca="1" si="21"/>
        <v>761.13639999999998</v>
      </c>
      <c r="E286" s="29">
        <f t="shared" ca="1" si="22"/>
        <v>0</v>
      </c>
      <c r="F286" s="39">
        <f t="shared" ca="1" si="23"/>
        <v>27.5</v>
      </c>
      <c r="G286" s="29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19340523</v>
      </c>
      <c r="C287" s="24" t="str">
        <f>INDEX(Data,2,2+MOD(ROWS(C$2:C287)-1,2))</f>
        <v>15.00</v>
      </c>
      <c r="D287" s="38">
        <f t="shared" ca="1" si="21"/>
        <v>758.952</v>
      </c>
      <c r="E287" s="29">
        <f t="shared" ca="1" si="22"/>
        <v>0</v>
      </c>
      <c r="F287" s="39">
        <f t="shared" ca="1" si="23"/>
        <v>28.888888888888889</v>
      </c>
      <c r="G287" s="29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19340524</v>
      </c>
      <c r="C288" s="24" t="str">
        <f>INDEX(Data,2,2+MOD(ROWS(C$2:C288)-1,2))</f>
        <v>08.00</v>
      </c>
      <c r="D288" s="38">
        <f t="shared" ca="1" si="21"/>
        <v>760.39979999999991</v>
      </c>
      <c r="E288" s="29">
        <f t="shared" ca="1" si="22"/>
        <v>0</v>
      </c>
      <c r="F288" s="39">
        <f t="shared" ca="1" si="23"/>
        <v>27.5</v>
      </c>
      <c r="G288" s="29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19340524</v>
      </c>
      <c r="C289" s="24" t="str">
        <f>INDEX(Data,2,2+MOD(ROWS(C$2:C289)-1,2))</f>
        <v>15.00</v>
      </c>
      <c r="D289" s="38">
        <f t="shared" ca="1" si="21"/>
        <v>757.91059999999993</v>
      </c>
      <c r="E289" s="29">
        <f t="shared" ca="1" si="22"/>
        <v>0</v>
      </c>
      <c r="F289" s="39">
        <f t="shared" ca="1" si="23"/>
        <v>29.166666666666668</v>
      </c>
      <c r="G289" s="29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19340525</v>
      </c>
      <c r="C290" s="24" t="str">
        <f>INDEX(Data,2,2+MOD(ROWS(C$2:C290)-1,2))</f>
        <v>08.00</v>
      </c>
      <c r="D290" s="38">
        <f t="shared" ca="1" si="21"/>
        <v>759.33299999999997</v>
      </c>
      <c r="E290" s="29">
        <f t="shared" ca="1" si="22"/>
        <v>0</v>
      </c>
      <c r="F290" s="39">
        <f t="shared" ca="1" si="23"/>
        <v>27.777777777777779</v>
      </c>
      <c r="G290" s="29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19340525</v>
      </c>
      <c r="C291" s="24" t="str">
        <f>INDEX(Data,2,2+MOD(ROWS(C$2:C291)-1,2))</f>
        <v>15.00</v>
      </c>
      <c r="D291" s="38">
        <f t="shared" ca="1" si="21"/>
        <v>756.89459999999997</v>
      </c>
      <c r="E291" s="29">
        <f t="shared" ca="1" si="22"/>
        <v>0</v>
      </c>
      <c r="F291" s="39">
        <f t="shared" ca="1" si="23"/>
        <v>29.166666666666668</v>
      </c>
      <c r="G291" s="29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19340526</v>
      </c>
      <c r="C292" s="24" t="str">
        <f>INDEX(Data,2,2+MOD(ROWS(C$2:C292)-1,2))</f>
        <v>08.00</v>
      </c>
      <c r="D292" s="38">
        <f t="shared" ca="1" si="21"/>
        <v>759.02819999999997</v>
      </c>
      <c r="E292" s="29">
        <f t="shared" ca="1" si="22"/>
        <v>0</v>
      </c>
      <c r="F292" s="39">
        <f t="shared" ca="1" si="23"/>
        <v>28.333333333333332</v>
      </c>
      <c r="G292" s="29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19340526</v>
      </c>
      <c r="C293" s="24" t="str">
        <f>INDEX(Data,2,2+MOD(ROWS(C$2:C293)-1,2))</f>
        <v>15.00</v>
      </c>
      <c r="D293" s="38">
        <f t="shared" ca="1" si="21"/>
        <v>757.32639999999992</v>
      </c>
      <c r="E293" s="29">
        <f t="shared" ca="1" si="22"/>
        <v>0</v>
      </c>
      <c r="F293" s="39">
        <f t="shared" ca="1" si="23"/>
        <v>29.722222222222221</v>
      </c>
      <c r="G293" s="29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19340527</v>
      </c>
      <c r="C294" s="24" t="str">
        <f>INDEX(Data,2,2+MOD(ROWS(C$2:C294)-1,2))</f>
        <v>08.00</v>
      </c>
      <c r="D294" s="38">
        <f t="shared" ca="1" si="21"/>
        <v>760.09499999999991</v>
      </c>
      <c r="E294" s="29">
        <f t="shared" ca="1" si="22"/>
        <v>0</v>
      </c>
      <c r="F294" s="39">
        <f t="shared" ca="1" si="23"/>
        <v>27.777777777777779</v>
      </c>
      <c r="G294" s="29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19340527</v>
      </c>
      <c r="C295" s="24" t="str">
        <f>INDEX(Data,2,2+MOD(ROWS(C$2:C295)-1,2))</f>
        <v>15.00</v>
      </c>
      <c r="D295" s="38">
        <f t="shared" ca="1" si="21"/>
        <v>757.85979999999995</v>
      </c>
      <c r="E295" s="29">
        <f t="shared" ca="1" si="22"/>
        <v>0</v>
      </c>
      <c r="F295" s="39">
        <f t="shared" ca="1" si="23"/>
        <v>29.444444444444443</v>
      </c>
      <c r="G295" s="29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19340528</v>
      </c>
      <c r="C296" s="24" t="str">
        <f>INDEX(Data,2,2+MOD(ROWS(C$2:C296)-1,2))</f>
        <v>08.00</v>
      </c>
      <c r="D296" s="38">
        <f t="shared" ca="1" si="21"/>
        <v>760.57759999999996</v>
      </c>
      <c r="E296" s="29">
        <f t="shared" ca="1" si="22"/>
        <v>0</v>
      </c>
      <c r="F296" s="39">
        <f t="shared" ca="1" si="23"/>
        <v>28.055555555555557</v>
      </c>
      <c r="G296" s="29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19340528</v>
      </c>
      <c r="C297" s="24" t="str">
        <f>INDEX(Data,2,2+MOD(ROWS(C$2:C297)-1,2))</f>
        <v>15.00</v>
      </c>
      <c r="D297" s="38">
        <f t="shared" ca="1" si="21"/>
        <v>758.49479999999994</v>
      </c>
      <c r="E297" s="29">
        <f t="shared" ca="1" si="22"/>
        <v>0</v>
      </c>
      <c r="F297" s="39">
        <f t="shared" ca="1" si="23"/>
        <v>30.555555555555557</v>
      </c>
      <c r="G297" s="29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19340529</v>
      </c>
      <c r="C298" s="24" t="str">
        <f>INDEX(Data,2,2+MOD(ROWS(C$2:C298)-1,2))</f>
        <v>08.00</v>
      </c>
      <c r="D298" s="38">
        <f t="shared" ca="1" si="21"/>
        <v>760.83159999999998</v>
      </c>
      <c r="E298" s="29">
        <f t="shared" ca="1" si="22"/>
        <v>0</v>
      </c>
      <c r="F298" s="39">
        <f t="shared" ca="1" si="23"/>
        <v>28.055555555555557</v>
      </c>
      <c r="G298" s="29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19340529</v>
      </c>
      <c r="C299" s="24" t="str">
        <f>INDEX(Data,2,2+MOD(ROWS(C$2:C299)-1,2))</f>
        <v>15.00</v>
      </c>
      <c r="D299" s="38">
        <f t="shared" ca="1" si="21"/>
        <v>758.74879999999996</v>
      </c>
      <c r="E299" s="29">
        <f t="shared" ca="1" si="22"/>
        <v>0</v>
      </c>
      <c r="F299" s="39">
        <f t="shared" ca="1" si="23"/>
        <v>30.555555555555557</v>
      </c>
      <c r="G299" s="29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19340530</v>
      </c>
      <c r="C300" s="24" t="str">
        <f>INDEX(Data,2,2+MOD(ROWS(C$2:C300)-1,2))</f>
        <v>08.00</v>
      </c>
      <c r="D300" s="38">
        <f t="shared" ca="1" si="21"/>
        <v>761.0856</v>
      </c>
      <c r="E300" s="29">
        <f t="shared" ca="1" si="22"/>
        <v>0</v>
      </c>
      <c r="F300" s="39">
        <f t="shared" ca="1" si="23"/>
        <v>27.777777777777779</v>
      </c>
      <c r="G300" s="29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19340530</v>
      </c>
      <c r="C301" s="24" t="str">
        <f>INDEX(Data,2,2+MOD(ROWS(C$2:C301)-1,2))</f>
        <v>15.00</v>
      </c>
      <c r="D301" s="38">
        <f t="shared" ca="1" si="21"/>
        <v>759.38379999999995</v>
      </c>
      <c r="E301" s="29">
        <f t="shared" ca="1" si="22"/>
        <v>0</v>
      </c>
      <c r="F301" s="39">
        <f t="shared" ca="1" si="23"/>
        <v>29.444444444444443</v>
      </c>
      <c r="G301" s="29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19340531</v>
      </c>
      <c r="C302" s="24" t="str">
        <f>INDEX(Data,2,2+MOD(ROWS(C$2:C302)-1,2))</f>
        <v>08.00</v>
      </c>
      <c r="D302" s="38">
        <f t="shared" ca="1" si="21"/>
        <v>761.0856</v>
      </c>
      <c r="E302" s="29">
        <f t="shared" ca="1" si="22"/>
        <v>0</v>
      </c>
      <c r="F302" s="39">
        <f t="shared" ca="1" si="23"/>
        <v>27.777777777777779</v>
      </c>
      <c r="G302" s="29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19340531</v>
      </c>
      <c r="C303" s="24" t="str">
        <f>INDEX(Data,2,2+MOD(ROWS(C$2:C303)-1,2))</f>
        <v>15.00</v>
      </c>
      <c r="D303" s="38">
        <f t="shared" ca="1" si="21"/>
        <v>759.63779999999997</v>
      </c>
      <c r="E303" s="29">
        <f t="shared" ca="1" si="22"/>
        <v>0</v>
      </c>
      <c r="F303" s="39">
        <f t="shared" ca="1" si="23"/>
        <v>29.444444444444443</v>
      </c>
      <c r="G303" s="29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19340601</v>
      </c>
      <c r="C304" s="24" t="str">
        <f>INDEX(Data,2,2+MOD(ROWS(C$2:C304)-1,2))</f>
        <v>08.00</v>
      </c>
      <c r="D304" s="38">
        <f t="shared" ca="1" si="21"/>
        <v>761.33960000000002</v>
      </c>
      <c r="E304" s="29">
        <f t="shared" ca="1" si="22"/>
        <v>0</v>
      </c>
      <c r="F304" s="39">
        <f t="shared" ca="1" si="23"/>
        <v>27.777777777777779</v>
      </c>
      <c r="G304" s="29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19340601</v>
      </c>
      <c r="C305" s="24" t="str">
        <f>INDEX(Data,2,2+MOD(ROWS(C$2:C305)-1,2))</f>
        <v>15.00</v>
      </c>
      <c r="D305" s="38">
        <f t="shared" ca="1" si="21"/>
        <v>759.68859999999995</v>
      </c>
      <c r="E305" s="29">
        <f t="shared" ca="1" si="22"/>
        <v>0</v>
      </c>
      <c r="F305" s="39">
        <f t="shared" ca="1" si="23"/>
        <v>29.166666666666668</v>
      </c>
      <c r="G305" s="29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19340602</v>
      </c>
      <c r="C306" s="24" t="str">
        <f>INDEX(Data,2,2+MOD(ROWS(C$2:C306)-1,2))</f>
        <v>08.00</v>
      </c>
      <c r="D306" s="38">
        <f t="shared" ca="1" si="21"/>
        <v>761.59359999999992</v>
      </c>
      <c r="E306" s="29">
        <f t="shared" ca="1" si="22"/>
        <v>0</v>
      </c>
      <c r="F306" s="39">
        <f t="shared" ca="1" si="23"/>
        <v>27.777777777777779</v>
      </c>
      <c r="G306" s="29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19340602</v>
      </c>
      <c r="C307" s="24" t="str">
        <f>INDEX(Data,2,2+MOD(ROWS(C$2:C307)-1,2))</f>
        <v>15.00</v>
      </c>
      <c r="D307" s="38">
        <f t="shared" ca="1" si="21"/>
        <v>759.8664</v>
      </c>
      <c r="E307" s="29">
        <f t="shared" ca="1" si="22"/>
        <v>0</v>
      </c>
      <c r="F307" s="39">
        <f t="shared" ca="1" si="23"/>
        <v>29.444444444444443</v>
      </c>
      <c r="G307" s="29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19340603</v>
      </c>
      <c r="C308" s="24" t="str">
        <f>INDEX(Data,2,2+MOD(ROWS(C$2:C308)-1,2))</f>
        <v>08.00</v>
      </c>
      <c r="D308" s="38">
        <f t="shared" ca="1" si="21"/>
        <v>761.33960000000002</v>
      </c>
      <c r="E308" s="29">
        <f t="shared" ca="1" si="22"/>
        <v>0</v>
      </c>
      <c r="F308" s="39">
        <f t="shared" ca="1" si="23"/>
        <v>27.777777777777779</v>
      </c>
      <c r="G308" s="29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19340603</v>
      </c>
      <c r="C309" s="24" t="str">
        <f>INDEX(Data,2,2+MOD(ROWS(C$2:C309)-1,2))</f>
        <v>15.00</v>
      </c>
      <c r="D309" s="38">
        <f t="shared" ca="1" si="21"/>
        <v>759.68859999999995</v>
      </c>
      <c r="E309" s="29">
        <f t="shared" ca="1" si="22"/>
        <v>0</v>
      </c>
      <c r="F309" s="39">
        <f t="shared" ca="1" si="23"/>
        <v>29.166666666666668</v>
      </c>
      <c r="G309" s="29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19340604</v>
      </c>
      <c r="C310" s="24" t="str">
        <f>INDEX(Data,2,2+MOD(ROWS(C$2:C310)-1,2))</f>
        <v>08.00</v>
      </c>
      <c r="D310" s="38">
        <f t="shared" ca="1" si="21"/>
        <v>760.85699999999997</v>
      </c>
      <c r="E310" s="29">
        <f t="shared" ca="1" si="22"/>
        <v>0</v>
      </c>
      <c r="F310" s="39">
        <f t="shared" ca="1" si="23"/>
        <v>27.777777777777779</v>
      </c>
      <c r="G310" s="29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19340604</v>
      </c>
      <c r="C311" s="24" t="str">
        <f>INDEX(Data,2,2+MOD(ROWS(C$2:C311)-1,2))</f>
        <v>15.00</v>
      </c>
      <c r="D311" s="38">
        <f t="shared" ca="1" si="21"/>
        <v>759.63779999999997</v>
      </c>
      <c r="E311" s="29">
        <f t="shared" ca="1" si="22"/>
        <v>0</v>
      </c>
      <c r="F311" s="39">
        <f t="shared" ca="1" si="23"/>
        <v>29.444444444444443</v>
      </c>
      <c r="G311" s="29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19340605</v>
      </c>
      <c r="C312" s="24" t="str">
        <f>INDEX(Data,2,2+MOD(ROWS(C$2:C312)-1,2))</f>
        <v>08.00</v>
      </c>
      <c r="D312" s="38">
        <f t="shared" ca="1" si="21"/>
        <v>760.60299999999995</v>
      </c>
      <c r="E312" s="29">
        <f t="shared" ca="1" si="22"/>
        <v>0</v>
      </c>
      <c r="F312" s="39">
        <f t="shared" ca="1" si="23"/>
        <v>27.777777777777779</v>
      </c>
      <c r="G312" s="29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19340605</v>
      </c>
      <c r="C313" s="24" t="str">
        <f>INDEX(Data,2,2+MOD(ROWS(C$2:C313)-1,2))</f>
        <v>15.00</v>
      </c>
      <c r="D313" s="38">
        <f t="shared" ca="1" si="21"/>
        <v>759.10439999999994</v>
      </c>
      <c r="E313" s="29">
        <f t="shared" ca="1" si="22"/>
        <v>0</v>
      </c>
      <c r="F313" s="39">
        <f t="shared" ca="1" si="23"/>
        <v>29.722222222222221</v>
      </c>
      <c r="G313" s="29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19340606</v>
      </c>
      <c r="C314" s="24" t="str">
        <f>INDEX(Data,2,2+MOD(ROWS(C$2:C314)-1,2))</f>
        <v>08.00</v>
      </c>
      <c r="D314" s="38">
        <f t="shared" ca="1" si="21"/>
        <v>760.60299999999995</v>
      </c>
      <c r="E314" s="29">
        <f t="shared" ca="1" si="22"/>
        <v>0</v>
      </c>
      <c r="F314" s="39">
        <f t="shared" ca="1" si="23"/>
        <v>27.777777777777779</v>
      </c>
      <c r="G314" s="29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19340606</v>
      </c>
      <c r="C315" s="24" t="str">
        <f>INDEX(Data,2,2+MOD(ROWS(C$2:C315)-1,2))</f>
        <v>15.00</v>
      </c>
      <c r="D315" s="38">
        <f t="shared" ca="1" si="21"/>
        <v>759.18059999999991</v>
      </c>
      <c r="E315" s="29">
        <f t="shared" ca="1" si="22"/>
        <v>0</v>
      </c>
      <c r="F315" s="39">
        <f t="shared" ca="1" si="23"/>
        <v>29.166666666666668</v>
      </c>
      <c r="G315" s="29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19340607</v>
      </c>
      <c r="C316" s="24" t="str">
        <f>INDEX(Data,2,2+MOD(ROWS(C$2:C316)-1,2))</f>
        <v>08.00</v>
      </c>
      <c r="D316" s="38">
        <f t="shared" ca="1" si="21"/>
        <v>761.0856</v>
      </c>
      <c r="E316" s="29">
        <f t="shared" ca="1" si="22"/>
        <v>0</v>
      </c>
      <c r="F316" s="39">
        <f t="shared" ca="1" si="23"/>
        <v>27.777777777777779</v>
      </c>
      <c r="G316" s="29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19340607</v>
      </c>
      <c r="C317" s="24" t="str">
        <f>INDEX(Data,2,2+MOD(ROWS(C$2:C317)-1,2))</f>
        <v>15.00</v>
      </c>
      <c r="D317" s="38">
        <f t="shared" ca="1" si="21"/>
        <v>759.63779999999997</v>
      </c>
      <c r="E317" s="29">
        <f t="shared" ca="1" si="22"/>
        <v>0</v>
      </c>
      <c r="F317" s="39">
        <f t="shared" ca="1" si="23"/>
        <v>29.444444444444443</v>
      </c>
      <c r="G317" s="29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19340608</v>
      </c>
      <c r="C318" s="24" t="str">
        <f>INDEX(Data,2,2+MOD(ROWS(C$2:C318)-1,2))</f>
        <v>08.00</v>
      </c>
      <c r="D318" s="38">
        <f t="shared" ca="1" si="21"/>
        <v>761.33960000000002</v>
      </c>
      <c r="E318" s="29">
        <f t="shared" ca="1" si="22"/>
        <v>0</v>
      </c>
      <c r="F318" s="39">
        <f t="shared" ca="1" si="23"/>
        <v>27.777777777777779</v>
      </c>
      <c r="G318" s="29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19340608</v>
      </c>
      <c r="C319" s="24" t="str">
        <f>INDEX(Data,2,2+MOD(ROWS(C$2:C319)-1,2))</f>
        <v>15.00</v>
      </c>
      <c r="D319" s="38">
        <f t="shared" ca="1" si="21"/>
        <v>759.35839999999996</v>
      </c>
      <c r="E319" s="29">
        <f t="shared" ca="1" si="22"/>
        <v>0</v>
      </c>
      <c r="F319" s="39">
        <f t="shared" ca="1" si="23"/>
        <v>29.722222222222221</v>
      </c>
      <c r="G319" s="29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19340609</v>
      </c>
      <c r="C320" s="24" t="str">
        <f>INDEX(Data,2,2+MOD(ROWS(C$2:C320)-1,2))</f>
        <v>08.00</v>
      </c>
      <c r="D320" s="38">
        <f t="shared" ca="1" si="21"/>
        <v>760.60299999999995</v>
      </c>
      <c r="E320" s="29">
        <f t="shared" ca="1" si="22"/>
        <v>0</v>
      </c>
      <c r="F320" s="39">
        <f t="shared" ca="1" si="23"/>
        <v>27.777777777777779</v>
      </c>
      <c r="G320" s="29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19340609</v>
      </c>
      <c r="C321" s="24" t="str">
        <f>INDEX(Data,2,2+MOD(ROWS(C$2:C321)-1,2))</f>
        <v>15.00</v>
      </c>
      <c r="D321" s="38">
        <f t="shared" ca="1" si="21"/>
        <v>759.43459999999993</v>
      </c>
      <c r="E321" s="29">
        <f t="shared" ca="1" si="22"/>
        <v>0</v>
      </c>
      <c r="F321" s="39">
        <f t="shared" ca="1" si="23"/>
        <v>29.166666666666668</v>
      </c>
      <c r="G321" s="29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19340610</v>
      </c>
      <c r="C322" s="24" t="str">
        <f>INDEX(Data,2,2+MOD(ROWS(C$2:C322)-1,2))</f>
        <v>08.00</v>
      </c>
      <c r="D322" s="38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761.0856</v>
      </c>
      <c r="E322" s="29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39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27.777777777777779</v>
      </c>
      <c r="G322" s="29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19340610</v>
      </c>
      <c r="C323" s="24" t="str">
        <f>INDEX(Data,2,2+MOD(ROWS(C$2:C323)-1,2))</f>
        <v>15.00</v>
      </c>
      <c r="D323" s="38">
        <f t="shared" ca="1" si="26"/>
        <v>759.63779999999997</v>
      </c>
      <c r="E323" s="29">
        <f t="shared" ca="1" si="27"/>
        <v>0</v>
      </c>
      <c r="F323" s="39">
        <f t="shared" ca="1" si="28"/>
        <v>29.444444444444443</v>
      </c>
      <c r="G323" s="29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19340611</v>
      </c>
      <c r="C324" s="24" t="str">
        <f>INDEX(Data,2,2+MOD(ROWS(C$2:C324)-1,2))</f>
        <v>08.00</v>
      </c>
      <c r="D324" s="38">
        <f t="shared" ca="1" si="26"/>
        <v>760.90779999999995</v>
      </c>
      <c r="E324" s="29">
        <f t="shared" ca="1" si="27"/>
        <v>0</v>
      </c>
      <c r="F324" s="39">
        <f t="shared" ca="1" si="28"/>
        <v>27.5</v>
      </c>
      <c r="G324" s="29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19340611</v>
      </c>
      <c r="C325" s="24" t="str">
        <f>INDEX(Data,2,2+MOD(ROWS(C$2:C325)-1,2))</f>
        <v>15.00</v>
      </c>
      <c r="D325" s="38">
        <f t="shared" ca="1" si="26"/>
        <v>759.53620000000001</v>
      </c>
      <c r="E325" s="29">
        <f t="shared" ca="1" si="27"/>
        <v>0</v>
      </c>
      <c r="F325" s="39">
        <f t="shared" ca="1" si="28"/>
        <v>28.333333333333332</v>
      </c>
      <c r="G325" s="29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19340612</v>
      </c>
      <c r="C326" s="24" t="str">
        <f>INDEX(Data,2,2+MOD(ROWS(C$2:C326)-1,2))</f>
        <v>08.00</v>
      </c>
      <c r="D326" s="38">
        <f t="shared" ca="1" si="26"/>
        <v>761.84759999999994</v>
      </c>
      <c r="E326" s="29">
        <f t="shared" ca="1" si="27"/>
        <v>0</v>
      </c>
      <c r="F326" s="39">
        <f t="shared" ca="1" si="28"/>
        <v>27.777777777777779</v>
      </c>
      <c r="G326" s="29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19340612</v>
      </c>
      <c r="C327" s="24" t="str">
        <f>INDEX(Data,2,2+MOD(ROWS(C$2:C327)-1,2))</f>
        <v>15.00</v>
      </c>
      <c r="D327" s="38">
        <f t="shared" ca="1" si="26"/>
        <v>760.39979999999991</v>
      </c>
      <c r="E327" s="29">
        <f t="shared" ca="1" si="27"/>
        <v>0</v>
      </c>
      <c r="F327" s="39">
        <f t="shared" ca="1" si="28"/>
        <v>29.444444444444443</v>
      </c>
      <c r="G327" s="29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19340613</v>
      </c>
      <c r="C328" s="24" t="str">
        <f>INDEX(Data,2,2+MOD(ROWS(C$2:C328)-1,2))</f>
        <v>08.00</v>
      </c>
      <c r="D328" s="38">
        <f t="shared" ca="1" si="26"/>
        <v>762.35559999999998</v>
      </c>
      <c r="E328" s="29">
        <f t="shared" ca="1" si="27"/>
        <v>0</v>
      </c>
      <c r="F328" s="39">
        <f t="shared" ca="1" si="28"/>
        <v>27.777777777777779</v>
      </c>
      <c r="G328" s="29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19340613</v>
      </c>
      <c r="C329" s="24" t="str">
        <f>INDEX(Data,2,2+MOD(ROWS(C$2:C329)-1,2))</f>
        <v>15.00</v>
      </c>
      <c r="D329" s="38">
        <f t="shared" ca="1" si="26"/>
        <v>760.39979999999991</v>
      </c>
      <c r="E329" s="29">
        <f t="shared" ca="1" si="27"/>
        <v>0</v>
      </c>
      <c r="F329" s="39">
        <f t="shared" ca="1" si="28"/>
        <v>29.444444444444443</v>
      </c>
      <c r="G329" s="29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19340614</v>
      </c>
      <c r="C330" s="24" t="str">
        <f>INDEX(Data,2,2+MOD(ROWS(C$2:C330)-1,2))</f>
        <v>08.00</v>
      </c>
      <c r="D330" s="38">
        <f t="shared" ca="1" si="26"/>
        <v>762.15239999999994</v>
      </c>
      <c r="E330" s="29">
        <f t="shared" ca="1" si="27"/>
        <v>0</v>
      </c>
      <c r="F330" s="39">
        <f t="shared" ca="1" si="28"/>
        <v>27.5</v>
      </c>
      <c r="G330" s="29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19340614</v>
      </c>
      <c r="C331" s="24" t="str">
        <f>INDEX(Data,2,2+MOD(ROWS(C$2:C331)-1,2))</f>
        <v>15.00</v>
      </c>
      <c r="D331" s="38">
        <f t="shared" ca="1" si="26"/>
        <v>760.01879999999994</v>
      </c>
      <c r="E331" s="29">
        <f t="shared" ca="1" si="27"/>
        <v>0</v>
      </c>
      <c r="F331" s="39">
        <f t="shared" ca="1" si="28"/>
        <v>30.555555555555557</v>
      </c>
      <c r="G331" s="29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19340615</v>
      </c>
      <c r="C332" s="24" t="str">
        <f>INDEX(Data,2,2+MOD(ROWS(C$2:C332)-1,2))</f>
        <v>08.00</v>
      </c>
      <c r="D332" s="38">
        <f t="shared" ca="1" si="26"/>
        <v>761.56819999999993</v>
      </c>
      <c r="E332" s="29">
        <f t="shared" ca="1" si="27"/>
        <v>0</v>
      </c>
      <c r="F332" s="39">
        <f t="shared" ca="1" si="28"/>
        <v>28.055555555555557</v>
      </c>
      <c r="G332" s="29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19340615</v>
      </c>
      <c r="C333" s="24" t="str">
        <f>INDEX(Data,2,2+MOD(ROWS(C$2:C333)-1,2))</f>
        <v>15.00</v>
      </c>
      <c r="D333" s="38">
        <f t="shared" ca="1" si="26"/>
        <v>759.43459999999993</v>
      </c>
      <c r="E333" s="29">
        <f t="shared" ca="1" si="27"/>
        <v>0</v>
      </c>
      <c r="F333" s="39">
        <f t="shared" ca="1" si="28"/>
        <v>31.111111111111111</v>
      </c>
      <c r="G333" s="29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19340616</v>
      </c>
      <c r="C334" s="24" t="str">
        <f>INDEX(Data,2,2+MOD(ROWS(C$2:C334)-1,2))</f>
        <v>08.00</v>
      </c>
      <c r="D334" s="38">
        <f t="shared" ca="1" si="26"/>
        <v>760.83159999999998</v>
      </c>
      <c r="E334" s="29">
        <f t="shared" ca="1" si="27"/>
        <v>0</v>
      </c>
      <c r="F334" s="39">
        <f t="shared" ca="1" si="28"/>
        <v>28.055555555555557</v>
      </c>
      <c r="G334" s="29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19340616</v>
      </c>
      <c r="C335" s="24" t="str">
        <f>INDEX(Data,2,2+MOD(ROWS(C$2:C335)-1,2))</f>
        <v>15.00</v>
      </c>
      <c r="D335" s="38">
        <f t="shared" ca="1" si="26"/>
        <v>759.58699999999999</v>
      </c>
      <c r="E335" s="29">
        <f t="shared" ca="1" si="27"/>
        <v>0</v>
      </c>
      <c r="F335" s="39">
        <f t="shared" ca="1" si="28"/>
        <v>30</v>
      </c>
      <c r="G335" s="29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19340617</v>
      </c>
      <c r="C336" s="24" t="str">
        <f>INDEX(Data,2,2+MOD(ROWS(C$2:C336)-1,2))</f>
        <v>08.00</v>
      </c>
      <c r="D336" s="38">
        <f t="shared" ca="1" si="26"/>
        <v>761.33960000000002</v>
      </c>
      <c r="E336" s="29">
        <f t="shared" ca="1" si="27"/>
        <v>0</v>
      </c>
      <c r="F336" s="39">
        <f t="shared" ca="1" si="28"/>
        <v>27.777777777777779</v>
      </c>
      <c r="G336" s="29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19340617</v>
      </c>
      <c r="C337" s="24" t="str">
        <f>INDEX(Data,2,2+MOD(ROWS(C$2:C337)-1,2))</f>
        <v>15.00</v>
      </c>
      <c r="D337" s="38">
        <f t="shared" ca="1" si="26"/>
        <v>760.39979999999991</v>
      </c>
      <c r="E337" s="29">
        <f t="shared" ca="1" si="27"/>
        <v>0</v>
      </c>
      <c r="F337" s="39">
        <f t="shared" ca="1" si="28"/>
        <v>29.444444444444443</v>
      </c>
      <c r="G337" s="29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19340618</v>
      </c>
      <c r="C338" s="24" t="str">
        <f>INDEX(Data,2,2+MOD(ROWS(C$2:C338)-1,2))</f>
        <v>08.00</v>
      </c>
      <c r="D338" s="38">
        <f t="shared" ca="1" si="26"/>
        <v>762.10159999999996</v>
      </c>
      <c r="E338" s="29">
        <f t="shared" ca="1" si="27"/>
        <v>0</v>
      </c>
      <c r="F338" s="39">
        <f t="shared" ca="1" si="28"/>
        <v>27.777777777777779</v>
      </c>
      <c r="G338" s="29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19340618</v>
      </c>
      <c r="C339" s="24" t="str">
        <f>INDEX(Data,2,2+MOD(ROWS(C$2:C339)-1,2))</f>
        <v>15.00</v>
      </c>
      <c r="D339" s="38">
        <f t="shared" ca="1" si="26"/>
        <v>760.85699999999997</v>
      </c>
      <c r="E339" s="29">
        <f t="shared" ca="1" si="27"/>
        <v>0</v>
      </c>
      <c r="F339" s="39">
        <f t="shared" ca="1" si="28"/>
        <v>29.722222222222221</v>
      </c>
      <c r="G339" s="29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19340619</v>
      </c>
      <c r="C340" s="24" t="str">
        <f>INDEX(Data,2,2+MOD(ROWS(C$2:C340)-1,2))</f>
        <v>08.00</v>
      </c>
      <c r="D340" s="38">
        <f t="shared" ca="1" si="26"/>
        <v>761.56819999999993</v>
      </c>
      <c r="E340" s="29">
        <f t="shared" ca="1" si="27"/>
        <v>0</v>
      </c>
      <c r="F340" s="39">
        <f t="shared" ca="1" si="28"/>
        <v>28.055555555555557</v>
      </c>
      <c r="G340" s="29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19340619</v>
      </c>
      <c r="C341" s="24" t="str">
        <f>INDEX(Data,2,2+MOD(ROWS(C$2:C341)-1,2))</f>
        <v>15.00</v>
      </c>
      <c r="D341" s="38">
        <f t="shared" ca="1" si="26"/>
        <v>760.14580000000001</v>
      </c>
      <c r="E341" s="29">
        <f t="shared" ca="1" si="27"/>
        <v>0</v>
      </c>
      <c r="F341" s="39">
        <f t="shared" ca="1" si="28"/>
        <v>29.444444444444443</v>
      </c>
      <c r="G341" s="29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19340620</v>
      </c>
      <c r="C342" s="24" t="str">
        <f>INDEX(Data,2,2+MOD(ROWS(C$2:C342)-1,2))</f>
        <v>08.00</v>
      </c>
      <c r="D342" s="38">
        <f t="shared" ca="1" si="26"/>
        <v>761.64440000000002</v>
      </c>
      <c r="E342" s="29">
        <f t="shared" ca="1" si="27"/>
        <v>0</v>
      </c>
      <c r="F342" s="39">
        <f t="shared" ca="1" si="28"/>
        <v>27.5</v>
      </c>
      <c r="G342" s="29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19340620</v>
      </c>
      <c r="C343" s="24" t="str">
        <f>INDEX(Data,2,2+MOD(ROWS(C$2:C343)-1,2))</f>
        <v>15.00</v>
      </c>
      <c r="D343" s="38">
        <f t="shared" ca="1" si="26"/>
        <v>759.61239999999998</v>
      </c>
      <c r="E343" s="29">
        <f t="shared" ca="1" si="27"/>
        <v>0</v>
      </c>
      <c r="F343" s="39">
        <f t="shared" ca="1" si="28"/>
        <v>29.722222222222221</v>
      </c>
      <c r="G343" s="29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19340621</v>
      </c>
      <c r="C344" s="24" t="str">
        <f>INDEX(Data,2,2+MOD(ROWS(C$2:C344)-1,2))</f>
        <v>08.00</v>
      </c>
      <c r="D344" s="38">
        <f t="shared" ca="1" si="26"/>
        <v>761.59359999999992</v>
      </c>
      <c r="E344" s="29">
        <f t="shared" ca="1" si="27"/>
        <v>0</v>
      </c>
      <c r="F344" s="39">
        <f t="shared" ca="1" si="28"/>
        <v>27.777777777777779</v>
      </c>
      <c r="G344" s="29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19340621</v>
      </c>
      <c r="C345" s="24" t="str">
        <f>INDEX(Data,2,2+MOD(ROWS(C$2:C345)-1,2))</f>
        <v>15.00</v>
      </c>
      <c r="D345" s="38">
        <f t="shared" ca="1" si="26"/>
        <v>760.14580000000001</v>
      </c>
      <c r="E345" s="29">
        <f t="shared" ca="1" si="27"/>
        <v>0</v>
      </c>
      <c r="F345" s="39">
        <f t="shared" ca="1" si="28"/>
        <v>29.444444444444443</v>
      </c>
      <c r="G345" s="29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19340622</v>
      </c>
      <c r="C346" s="24" t="str">
        <f>INDEX(Data,2,2+MOD(ROWS(C$2:C346)-1,2))</f>
        <v>08.00</v>
      </c>
      <c r="D346" s="38">
        <f t="shared" ca="1" si="26"/>
        <v>762.55880000000002</v>
      </c>
      <c r="E346" s="29">
        <f t="shared" ca="1" si="27"/>
        <v>0</v>
      </c>
      <c r="F346" s="39">
        <f t="shared" ca="1" si="28"/>
        <v>28.333333333333332</v>
      </c>
      <c r="G346" s="29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19340622</v>
      </c>
      <c r="C347" s="24" t="str">
        <f>INDEX(Data,2,2+MOD(ROWS(C$2:C347)-1,2))</f>
        <v>15.00</v>
      </c>
      <c r="D347" s="38">
        <f t="shared" ca="1" si="26"/>
        <v>760.34899999999993</v>
      </c>
      <c r="E347" s="29">
        <f t="shared" ca="1" si="27"/>
        <v>0</v>
      </c>
      <c r="F347" s="39">
        <f t="shared" ca="1" si="28"/>
        <v>30</v>
      </c>
      <c r="G347" s="29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19340623</v>
      </c>
      <c r="C348" s="24" t="str">
        <f>INDEX(Data,2,2+MOD(ROWS(C$2:C348)-1,2))</f>
        <v>08.00</v>
      </c>
      <c r="D348" s="38">
        <f t="shared" ca="1" si="26"/>
        <v>762.33019999999999</v>
      </c>
      <c r="E348" s="29">
        <f t="shared" ca="1" si="27"/>
        <v>0</v>
      </c>
      <c r="F348" s="39">
        <f t="shared" ca="1" si="28"/>
        <v>28.055555555555557</v>
      </c>
      <c r="G348" s="29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19340623</v>
      </c>
      <c r="C349" s="24" t="str">
        <f>INDEX(Data,2,2+MOD(ROWS(C$2:C349)-1,2))</f>
        <v>15.00</v>
      </c>
      <c r="D349" s="38">
        <f t="shared" ca="1" si="26"/>
        <v>759.61239999999998</v>
      </c>
      <c r="E349" s="29">
        <f t="shared" ca="1" si="27"/>
        <v>0</v>
      </c>
      <c r="F349" s="39">
        <f t="shared" ca="1" si="28"/>
        <v>29.722222222222221</v>
      </c>
      <c r="G349" s="29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19340624</v>
      </c>
      <c r="C350" s="24" t="str">
        <f>INDEX(Data,2,2+MOD(ROWS(C$2:C350)-1,2))</f>
        <v>08.00</v>
      </c>
      <c r="D350" s="38">
        <f t="shared" ca="1" si="26"/>
        <v>761.84759999999994</v>
      </c>
      <c r="E350" s="29">
        <f t="shared" ca="1" si="27"/>
        <v>0</v>
      </c>
      <c r="F350" s="39">
        <f t="shared" ca="1" si="28"/>
        <v>27.777777777777779</v>
      </c>
      <c r="G350" s="29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19340624</v>
      </c>
      <c r="C351" s="24" t="str">
        <f>INDEX(Data,2,2+MOD(ROWS(C$2:C351)-1,2))</f>
        <v>15.00</v>
      </c>
      <c r="D351" s="38">
        <f t="shared" ca="1" si="26"/>
        <v>760.14580000000001</v>
      </c>
      <c r="E351" s="29">
        <f t="shared" ca="1" si="27"/>
        <v>0</v>
      </c>
      <c r="F351" s="39">
        <f t="shared" ca="1" si="28"/>
        <v>29.444444444444443</v>
      </c>
      <c r="G351" s="29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19340625</v>
      </c>
      <c r="C352" s="24" t="str">
        <f>INDEX(Data,2,2+MOD(ROWS(C$2:C352)-1,2))</f>
        <v>08.00</v>
      </c>
      <c r="D352" s="38">
        <f t="shared" ca="1" si="26"/>
        <v>762.07619999999997</v>
      </c>
      <c r="E352" s="29">
        <f t="shared" ca="1" si="27"/>
        <v>0</v>
      </c>
      <c r="F352" s="39">
        <f t="shared" ca="1" si="28"/>
        <v>28.055555555555557</v>
      </c>
      <c r="G352" s="29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19340625</v>
      </c>
      <c r="C353" s="24" t="str">
        <f>INDEX(Data,2,2+MOD(ROWS(C$2:C353)-1,2))</f>
        <v>15.00</v>
      </c>
      <c r="D353" s="38">
        <f t="shared" ca="1" si="26"/>
        <v>760.65379999999993</v>
      </c>
      <c r="E353" s="29">
        <f t="shared" ca="1" si="27"/>
        <v>0</v>
      </c>
      <c r="F353" s="39">
        <f t="shared" ca="1" si="28"/>
        <v>29.444444444444443</v>
      </c>
      <c r="G353" s="29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19340626</v>
      </c>
      <c r="C354" s="24" t="str">
        <f>INDEX(Data,2,2+MOD(ROWS(C$2:C354)-1,2))</f>
        <v>08.00</v>
      </c>
      <c r="D354" s="38">
        <f t="shared" ca="1" si="26"/>
        <v>761.31419999999991</v>
      </c>
      <c r="E354" s="29">
        <f t="shared" ca="1" si="27"/>
        <v>0</v>
      </c>
      <c r="F354" s="39">
        <f t="shared" ca="1" si="28"/>
        <v>28.055555555555557</v>
      </c>
      <c r="G354" s="29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19340626</v>
      </c>
      <c r="C355" s="24" t="str">
        <f>INDEX(Data,2,2+MOD(ROWS(C$2:C355)-1,2))</f>
        <v>15.00</v>
      </c>
      <c r="D355" s="38">
        <f t="shared" ca="1" si="26"/>
        <v>759.58699999999999</v>
      </c>
      <c r="E355" s="29">
        <f t="shared" ca="1" si="27"/>
        <v>0</v>
      </c>
      <c r="F355" s="39">
        <f t="shared" ca="1" si="28"/>
        <v>30</v>
      </c>
      <c r="G355" s="29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19340627</v>
      </c>
      <c r="C356" s="24" t="str">
        <f>INDEX(Data,2,2+MOD(ROWS(C$2:C356)-1,2))</f>
        <v>08.00</v>
      </c>
      <c r="D356" s="38">
        <f t="shared" ca="1" si="26"/>
        <v>761.31419999999991</v>
      </c>
      <c r="E356" s="29">
        <f t="shared" ca="1" si="27"/>
        <v>0</v>
      </c>
      <c r="F356" s="39">
        <f t="shared" ca="1" si="28"/>
        <v>28.055555555555557</v>
      </c>
      <c r="G356" s="29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19340627</v>
      </c>
      <c r="C357" s="24" t="str">
        <f>INDEX(Data,2,2+MOD(ROWS(C$2:C357)-1,2))</f>
        <v>15.00</v>
      </c>
      <c r="D357" s="38">
        <f t="shared" ca="1" si="26"/>
        <v>759.58699999999999</v>
      </c>
      <c r="E357" s="29">
        <f t="shared" ca="1" si="27"/>
        <v>0</v>
      </c>
      <c r="F357" s="39">
        <f t="shared" ca="1" si="28"/>
        <v>30</v>
      </c>
      <c r="G357" s="29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19340628</v>
      </c>
      <c r="C358" s="24" t="str">
        <f>INDEX(Data,2,2+MOD(ROWS(C$2:C358)-1,2))</f>
        <v>08.00</v>
      </c>
      <c r="D358" s="38">
        <f t="shared" ca="1" si="26"/>
        <v>762.25400000000002</v>
      </c>
      <c r="E358" s="29">
        <f t="shared" ca="1" si="27"/>
        <v>0</v>
      </c>
      <c r="F358" s="39">
        <f t="shared" ca="1" si="28"/>
        <v>26.666666666666668</v>
      </c>
      <c r="G358" s="29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19340628</v>
      </c>
      <c r="C359" s="24" t="str">
        <f>INDEX(Data,2,2+MOD(ROWS(C$2:C359)-1,2))</f>
        <v>15.00</v>
      </c>
      <c r="D359" s="38">
        <f t="shared" ca="1" si="26"/>
        <v>760.60299999999995</v>
      </c>
      <c r="E359" s="29">
        <f t="shared" ca="1" si="27"/>
        <v>0</v>
      </c>
      <c r="F359" s="39">
        <f t="shared" ca="1" si="28"/>
        <v>30</v>
      </c>
      <c r="G359" s="29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19340629</v>
      </c>
      <c r="C360" s="24" t="str">
        <f>INDEX(Data,2,2+MOD(ROWS(C$2:C360)-1,2))</f>
        <v>08.00</v>
      </c>
      <c r="D360" s="38">
        <f t="shared" ca="1" si="26"/>
        <v>761.82219999999995</v>
      </c>
      <c r="E360" s="29">
        <f t="shared" ca="1" si="27"/>
        <v>0</v>
      </c>
      <c r="F360" s="39">
        <f t="shared" ca="1" si="28"/>
        <v>28.055555555555557</v>
      </c>
      <c r="G360" s="29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19340629</v>
      </c>
      <c r="C361" s="24" t="str">
        <f>INDEX(Data,2,2+MOD(ROWS(C$2:C361)-1,2))</f>
        <v>15.00</v>
      </c>
      <c r="D361" s="38">
        <f t="shared" ca="1" si="26"/>
        <v>760.60299999999995</v>
      </c>
      <c r="E361" s="29">
        <f t="shared" ca="1" si="27"/>
        <v>0</v>
      </c>
      <c r="F361" s="39">
        <f t="shared" ca="1" si="28"/>
        <v>30</v>
      </c>
      <c r="G361" s="29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19340630</v>
      </c>
      <c r="C362" s="24" t="str">
        <f>INDEX(Data,2,2+MOD(ROWS(C$2:C362)-1,2))</f>
        <v>08.00</v>
      </c>
      <c r="D362" s="38">
        <f t="shared" ca="1" si="26"/>
        <v>761.56819999999993</v>
      </c>
      <c r="E362" s="29">
        <f t="shared" ca="1" si="27"/>
        <v>0</v>
      </c>
      <c r="F362" s="39">
        <f t="shared" ca="1" si="28"/>
        <v>28.055555555555557</v>
      </c>
      <c r="G362" s="29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19340630</v>
      </c>
      <c r="C363" s="24" t="str">
        <f>INDEX(Data,2,2+MOD(ROWS(C$2:C363)-1,2))</f>
        <v>15.00</v>
      </c>
      <c r="D363" s="38">
        <f t="shared" ca="1" si="26"/>
        <v>759.53620000000001</v>
      </c>
      <c r="E363" s="29">
        <f t="shared" ca="1" si="27"/>
        <v>0</v>
      </c>
      <c r="F363" s="39">
        <f t="shared" ca="1" si="28"/>
        <v>28.333333333333332</v>
      </c>
      <c r="G363" s="29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19340701</v>
      </c>
      <c r="C364" s="24" t="str">
        <f>INDEX(Data,2,2+MOD(ROWS(C$2:C364)-1,2))</f>
        <v>08.00</v>
      </c>
      <c r="D364" s="38">
        <f t="shared" ca="1" si="26"/>
        <v>762.07619999999997</v>
      </c>
      <c r="E364" s="29">
        <f t="shared" ca="1" si="27"/>
        <v>0</v>
      </c>
      <c r="F364" s="39">
        <f t="shared" ca="1" si="28"/>
        <v>28.055555555555557</v>
      </c>
      <c r="G364" s="29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19340701</v>
      </c>
      <c r="C365" s="24" t="str">
        <f>INDEX(Data,2,2+MOD(ROWS(C$2:C365)-1,2))</f>
        <v>15.00</v>
      </c>
      <c r="D365" s="38">
        <f t="shared" ca="1" si="26"/>
        <v>760.14580000000001</v>
      </c>
      <c r="E365" s="29">
        <f t="shared" ca="1" si="27"/>
        <v>0</v>
      </c>
      <c r="F365" s="39">
        <f t="shared" ca="1" si="28"/>
        <v>29.444444444444443</v>
      </c>
      <c r="G365" s="29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19340702</v>
      </c>
      <c r="C366" s="24" t="str">
        <f>INDEX(Data,2,2+MOD(ROWS(C$2:C366)-1,2))</f>
        <v>08.00</v>
      </c>
      <c r="D366" s="38">
        <f t="shared" ca="1" si="26"/>
        <v>761.79679999999996</v>
      </c>
      <c r="E366" s="29">
        <f t="shared" ca="1" si="27"/>
        <v>0</v>
      </c>
      <c r="F366" s="39">
        <f t="shared" ca="1" si="28"/>
        <v>28.333333333333332</v>
      </c>
      <c r="G366" s="29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19340702</v>
      </c>
      <c r="C367" s="24" t="str">
        <f>INDEX(Data,2,2+MOD(ROWS(C$2:C367)-1,2))</f>
        <v>15.00</v>
      </c>
      <c r="D367" s="38">
        <f t="shared" ca="1" si="26"/>
        <v>760.55219999999997</v>
      </c>
      <c r="E367" s="29">
        <f t="shared" ca="1" si="27"/>
        <v>0</v>
      </c>
      <c r="F367" s="39">
        <f t="shared" ca="1" si="28"/>
        <v>30.277777777777779</v>
      </c>
      <c r="G367" s="29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19340703</v>
      </c>
      <c r="C368" s="24" t="str">
        <f>INDEX(Data,2,2+MOD(ROWS(C$2:C368)-1,2))</f>
        <v>08.00</v>
      </c>
      <c r="D368" s="38">
        <f t="shared" ca="1" si="26"/>
        <v>762.83819999999992</v>
      </c>
      <c r="E368" s="29">
        <f t="shared" ca="1" si="27"/>
        <v>0</v>
      </c>
      <c r="F368" s="39">
        <f t="shared" ca="1" si="28"/>
        <v>28.055555555555557</v>
      </c>
      <c r="G368" s="29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19340703</v>
      </c>
      <c r="C369" s="24" t="str">
        <f>INDEX(Data,2,2+MOD(ROWS(C$2:C369)-1,2))</f>
        <v>15.00</v>
      </c>
      <c r="D369" s="38">
        <f t="shared" ca="1" si="26"/>
        <v>761.28879999999992</v>
      </c>
      <c r="E369" s="29">
        <f t="shared" ca="1" si="27"/>
        <v>0</v>
      </c>
      <c r="F369" s="39">
        <f t="shared" ca="1" si="28"/>
        <v>30.277777777777779</v>
      </c>
      <c r="G369" s="29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19340704</v>
      </c>
      <c r="C370" s="24" t="str">
        <f>INDEX(Data,2,2+MOD(ROWS(C$2:C370)-1,2))</f>
        <v>08.00</v>
      </c>
      <c r="D370" s="38">
        <f t="shared" ca="1" si="26"/>
        <v>762.33019999999999</v>
      </c>
      <c r="E370" s="29">
        <f t="shared" ca="1" si="27"/>
        <v>0</v>
      </c>
      <c r="F370" s="39">
        <f t="shared" ca="1" si="28"/>
        <v>28.055555555555557</v>
      </c>
      <c r="G370" s="29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19340704</v>
      </c>
      <c r="C371" s="24" t="str">
        <f>INDEX(Data,2,2+MOD(ROWS(C$2:C371)-1,2))</f>
        <v>15.00</v>
      </c>
      <c r="D371" s="38">
        <f t="shared" ca="1" si="26"/>
        <v>760.34899999999993</v>
      </c>
      <c r="E371" s="29">
        <f t="shared" ca="1" si="27"/>
        <v>0</v>
      </c>
      <c r="F371" s="39">
        <f t="shared" ca="1" si="28"/>
        <v>30</v>
      </c>
      <c r="G371" s="29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19340705</v>
      </c>
      <c r="C372" s="24" t="str">
        <f>INDEX(Data,2,2+MOD(ROWS(C$2:C372)-1,2))</f>
        <v>08.00</v>
      </c>
      <c r="D372" s="38">
        <f t="shared" ca="1" si="26"/>
        <v>761.31419999999991</v>
      </c>
      <c r="E372" s="29">
        <f t="shared" ca="1" si="27"/>
        <v>0</v>
      </c>
      <c r="F372" s="39">
        <f t="shared" ca="1" si="28"/>
        <v>28.055555555555557</v>
      </c>
      <c r="G372" s="29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19340705</v>
      </c>
      <c r="C373" s="24" t="str">
        <f>INDEX(Data,2,2+MOD(ROWS(C$2:C373)-1,2))</f>
        <v>15.00</v>
      </c>
      <c r="D373" s="38">
        <f t="shared" ca="1" si="26"/>
        <v>759.61239999999998</v>
      </c>
      <c r="E373" s="29">
        <f t="shared" ca="1" si="27"/>
        <v>0</v>
      </c>
      <c r="F373" s="39">
        <f t="shared" ca="1" si="28"/>
        <v>29.722222222222221</v>
      </c>
      <c r="G373" s="29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19340706</v>
      </c>
      <c r="C374" s="24" t="str">
        <f>INDEX(Data,2,2+MOD(ROWS(C$2:C374)-1,2))</f>
        <v>08.00</v>
      </c>
      <c r="D374" s="38">
        <f t="shared" ca="1" si="26"/>
        <v>761.59359999999992</v>
      </c>
      <c r="E374" s="29">
        <f t="shared" ca="1" si="27"/>
        <v>0</v>
      </c>
      <c r="F374" s="39">
        <f t="shared" ca="1" si="28"/>
        <v>27.777777777777779</v>
      </c>
      <c r="G374" s="29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19340706</v>
      </c>
      <c r="C375" s="24" t="str">
        <f>INDEX(Data,2,2+MOD(ROWS(C$2:C375)-1,2))</f>
        <v>15.00</v>
      </c>
      <c r="D375" s="38">
        <f t="shared" ca="1" si="26"/>
        <v>759.58699999999999</v>
      </c>
      <c r="E375" s="29">
        <f t="shared" ca="1" si="27"/>
        <v>0</v>
      </c>
      <c r="F375" s="39">
        <f t="shared" ca="1" si="28"/>
        <v>30</v>
      </c>
      <c r="G375" s="29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19340707</v>
      </c>
      <c r="C376" s="24" t="str">
        <f>INDEX(Data,2,2+MOD(ROWS(C$2:C376)-1,2))</f>
        <v>08.00</v>
      </c>
      <c r="D376" s="38">
        <f t="shared" ca="1" si="26"/>
        <v>761.33960000000002</v>
      </c>
      <c r="E376" s="29">
        <f t="shared" ca="1" si="27"/>
        <v>0</v>
      </c>
      <c r="F376" s="39">
        <f t="shared" ca="1" si="28"/>
        <v>27.777777777777779</v>
      </c>
      <c r="G376" s="29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19340707</v>
      </c>
      <c r="C377" s="24" t="str">
        <f>INDEX(Data,2,2+MOD(ROWS(C$2:C377)-1,2))</f>
        <v>15.00</v>
      </c>
      <c r="D377" s="38">
        <f t="shared" ca="1" si="26"/>
        <v>759.61239999999998</v>
      </c>
      <c r="E377" s="29">
        <f t="shared" ca="1" si="27"/>
        <v>0</v>
      </c>
      <c r="F377" s="39">
        <f t="shared" ca="1" si="28"/>
        <v>29.722222222222221</v>
      </c>
      <c r="G377" s="29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19340708</v>
      </c>
      <c r="C378" s="24" t="str">
        <f>INDEX(Data,2,2+MOD(ROWS(C$2:C378)-1,2))</f>
        <v>08.00</v>
      </c>
      <c r="D378" s="38">
        <f t="shared" ca="1" si="26"/>
        <v>761.84759999999994</v>
      </c>
      <c r="E378" s="29">
        <f t="shared" ca="1" si="27"/>
        <v>0</v>
      </c>
      <c r="F378" s="39">
        <f t="shared" ca="1" si="28"/>
        <v>27.777777777777779</v>
      </c>
      <c r="G378" s="29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19340708</v>
      </c>
      <c r="C379" s="24" t="str">
        <f>INDEX(Data,2,2+MOD(ROWS(C$2:C379)-1,2))</f>
        <v>15.00</v>
      </c>
      <c r="D379" s="38">
        <f t="shared" ca="1" si="26"/>
        <v>759.33299999999997</v>
      </c>
      <c r="E379" s="29">
        <f t="shared" ca="1" si="27"/>
        <v>0</v>
      </c>
      <c r="F379" s="39">
        <f t="shared" ca="1" si="28"/>
        <v>30</v>
      </c>
      <c r="G379" s="29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19340709</v>
      </c>
      <c r="C380" s="24" t="str">
        <f>INDEX(Data,2,2+MOD(ROWS(C$2:C380)-1,2))</f>
        <v>08.00</v>
      </c>
      <c r="D380" s="38">
        <f t="shared" ca="1" si="26"/>
        <v>762.35559999999998</v>
      </c>
      <c r="E380" s="29">
        <f t="shared" ca="1" si="27"/>
        <v>0</v>
      </c>
      <c r="F380" s="39">
        <f t="shared" ca="1" si="28"/>
        <v>27.777777777777779</v>
      </c>
      <c r="G380" s="29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19340709</v>
      </c>
      <c r="C381" s="24" t="str">
        <f>INDEX(Data,2,2+MOD(ROWS(C$2:C381)-1,2))</f>
        <v>15.00</v>
      </c>
      <c r="D381" s="38">
        <f t="shared" ca="1" si="26"/>
        <v>760.39979999999991</v>
      </c>
      <c r="E381" s="29">
        <f t="shared" ca="1" si="27"/>
        <v>0</v>
      </c>
      <c r="F381" s="39">
        <f t="shared" ca="1" si="28"/>
        <v>29.444444444444443</v>
      </c>
      <c r="G381" s="29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19340710</v>
      </c>
      <c r="C382" s="24" t="str">
        <f>INDEX(Data,2,2+MOD(ROWS(C$2:C382)-1,2))</f>
        <v>08.00</v>
      </c>
      <c r="D382" s="38">
        <f t="shared" ca="1" si="26"/>
        <v>761.84759999999994</v>
      </c>
      <c r="E382" s="29">
        <f t="shared" ca="1" si="27"/>
        <v>0</v>
      </c>
      <c r="F382" s="39">
        <f t="shared" ca="1" si="28"/>
        <v>27.777777777777779</v>
      </c>
      <c r="G382" s="29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19340710</v>
      </c>
      <c r="C383" s="24" t="str">
        <f>INDEX(Data,2,2+MOD(ROWS(C$2:C383)-1,2))</f>
        <v>15.00</v>
      </c>
      <c r="D383" s="38">
        <f t="shared" ca="1" si="26"/>
        <v>760.09499999999991</v>
      </c>
      <c r="E383" s="29">
        <f t="shared" ca="1" si="27"/>
        <v>0</v>
      </c>
      <c r="F383" s="39">
        <f t="shared" ca="1" si="28"/>
        <v>30</v>
      </c>
      <c r="G383" s="29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19340711</v>
      </c>
      <c r="C384" s="24" t="str">
        <f>INDEX(Data,2,2+MOD(ROWS(C$2:C384)-1,2))</f>
        <v>08.00</v>
      </c>
      <c r="D384" s="38">
        <f t="shared" ca="1" si="26"/>
        <v>761.84759999999994</v>
      </c>
      <c r="E384" s="29">
        <f t="shared" ca="1" si="27"/>
        <v>0</v>
      </c>
      <c r="F384" s="39">
        <f t="shared" ca="1" si="28"/>
        <v>27.777777777777779</v>
      </c>
      <c r="G384" s="29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19340711</v>
      </c>
      <c r="C385" s="24" t="str">
        <f>INDEX(Data,2,2+MOD(ROWS(C$2:C385)-1,2))</f>
        <v>15.00</v>
      </c>
      <c r="D385" s="38">
        <f t="shared" ca="1" si="26"/>
        <v>760.39979999999991</v>
      </c>
      <c r="E385" s="29">
        <f t="shared" ca="1" si="27"/>
        <v>0</v>
      </c>
      <c r="F385" s="39">
        <f t="shared" ca="1" si="28"/>
        <v>29.444444444444443</v>
      </c>
      <c r="G385" s="29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19340712</v>
      </c>
      <c r="C386" s="24" t="str">
        <f>INDEX(Data,2,2+MOD(ROWS(C$2:C386)-1,2))</f>
        <v>08.00</v>
      </c>
      <c r="D386" s="38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762.07619999999997</v>
      </c>
      <c r="E386" s="29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39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28.055555555555557</v>
      </c>
      <c r="G386" s="29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19340712</v>
      </c>
      <c r="C387" s="24" t="str">
        <f>INDEX(Data,2,2+MOD(ROWS(C$2:C387)-1,2))</f>
        <v>15.00</v>
      </c>
      <c r="D387" s="38">
        <f t="shared" ca="1" si="31"/>
        <v>760.83159999999998</v>
      </c>
      <c r="E387" s="29">
        <f t="shared" ca="1" si="32"/>
        <v>0</v>
      </c>
      <c r="F387" s="39">
        <f t="shared" ca="1" si="33"/>
        <v>28.055555555555557</v>
      </c>
      <c r="G387" s="29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19340713</v>
      </c>
      <c r="C388" s="24" t="str">
        <f>INDEX(Data,2,2+MOD(ROWS(C$2:C388)-1,2))</f>
        <v>08.00</v>
      </c>
      <c r="D388" s="38">
        <f t="shared" ca="1" si="31"/>
        <v>761.82219999999995</v>
      </c>
      <c r="E388" s="29">
        <f t="shared" ca="1" si="32"/>
        <v>0</v>
      </c>
      <c r="F388" s="39">
        <f t="shared" ca="1" si="33"/>
        <v>28.055555555555557</v>
      </c>
      <c r="G388" s="29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19340713</v>
      </c>
      <c r="C389" s="24" t="str">
        <f>INDEX(Data,2,2+MOD(ROWS(C$2:C389)-1,2))</f>
        <v>15.00</v>
      </c>
      <c r="D389" s="38">
        <f t="shared" ca="1" si="31"/>
        <v>760.12040000000002</v>
      </c>
      <c r="E389" s="29">
        <f t="shared" ca="1" si="32"/>
        <v>0</v>
      </c>
      <c r="F389" s="39">
        <f t="shared" ca="1" si="33"/>
        <v>29.722222222222221</v>
      </c>
      <c r="G389" s="29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19340714</v>
      </c>
      <c r="C390" s="24" t="str">
        <f>INDEX(Data,2,2+MOD(ROWS(C$2:C390)-1,2))</f>
        <v>08.00</v>
      </c>
      <c r="D390" s="38">
        <f t="shared" ca="1" si="31"/>
        <v>762.07619999999997</v>
      </c>
      <c r="E390" s="29">
        <f t="shared" ca="1" si="32"/>
        <v>0</v>
      </c>
      <c r="F390" s="39">
        <f t="shared" ca="1" si="33"/>
        <v>28.055555555555557</v>
      </c>
      <c r="G390" s="29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19340714</v>
      </c>
      <c r="C391" s="24" t="str">
        <f>INDEX(Data,2,2+MOD(ROWS(C$2:C391)-1,2))</f>
        <v>15.00</v>
      </c>
      <c r="D391" s="38">
        <f t="shared" ca="1" si="31"/>
        <v>760.65379999999993</v>
      </c>
      <c r="E391" s="29">
        <f t="shared" ca="1" si="32"/>
        <v>0</v>
      </c>
      <c r="F391" s="39">
        <f t="shared" ca="1" si="33"/>
        <v>29.444444444444443</v>
      </c>
      <c r="G391" s="29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19340715</v>
      </c>
      <c r="C392" s="24" t="str">
        <f>INDEX(Data,2,2+MOD(ROWS(C$2:C392)-1,2))</f>
        <v>08.00</v>
      </c>
      <c r="D392" s="38">
        <f t="shared" ca="1" si="31"/>
        <v>762.35559999999998</v>
      </c>
      <c r="E392" s="29">
        <f t="shared" ca="1" si="32"/>
        <v>0</v>
      </c>
      <c r="F392" s="39">
        <f t="shared" ca="1" si="33"/>
        <v>27.777777777777779</v>
      </c>
      <c r="G392" s="29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19340715</v>
      </c>
      <c r="C393" s="24" t="str">
        <f>INDEX(Data,2,2+MOD(ROWS(C$2:C393)-1,2))</f>
        <v>15.00</v>
      </c>
      <c r="D393" s="38">
        <f t="shared" ca="1" si="31"/>
        <v>760.65379999999993</v>
      </c>
      <c r="E393" s="29">
        <f t="shared" ca="1" si="32"/>
        <v>0</v>
      </c>
      <c r="F393" s="39">
        <f t="shared" ca="1" si="33"/>
        <v>29.444444444444443</v>
      </c>
      <c r="G393" s="29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19340716</v>
      </c>
      <c r="C394" s="24" t="str">
        <f>INDEX(Data,2,2+MOD(ROWS(C$2:C394)-1,2))</f>
        <v>08.00</v>
      </c>
      <c r="D394" s="38">
        <f t="shared" ca="1" si="31"/>
        <v>762.83819999999992</v>
      </c>
      <c r="E394" s="29">
        <f t="shared" ca="1" si="32"/>
        <v>0</v>
      </c>
      <c r="F394" s="39">
        <f t="shared" ca="1" si="33"/>
        <v>28.055555555555557</v>
      </c>
      <c r="G394" s="29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19340716</v>
      </c>
      <c r="C395" s="24" t="str">
        <f>INDEX(Data,2,2+MOD(ROWS(C$2:C395)-1,2))</f>
        <v>15.00</v>
      </c>
      <c r="D395" s="38">
        <f t="shared" ca="1" si="31"/>
        <v>761.11099999999999</v>
      </c>
      <c r="E395" s="29">
        <f t="shared" ca="1" si="32"/>
        <v>0</v>
      </c>
      <c r="F395" s="39">
        <f t="shared" ca="1" si="33"/>
        <v>29.722222222222221</v>
      </c>
      <c r="G395" s="29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19340717</v>
      </c>
      <c r="C396" s="24" t="str">
        <f>INDEX(Data,2,2+MOD(ROWS(C$2:C396)-1,2))</f>
        <v>08.00</v>
      </c>
      <c r="D396" s="38">
        <f t="shared" ca="1" si="31"/>
        <v>762.3048</v>
      </c>
      <c r="E396" s="29">
        <f t="shared" ca="1" si="32"/>
        <v>0</v>
      </c>
      <c r="F396" s="39">
        <f t="shared" ca="1" si="33"/>
        <v>28.333333333333332</v>
      </c>
      <c r="G396" s="29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19340717</v>
      </c>
      <c r="C397" s="24" t="str">
        <f>INDEX(Data,2,2+MOD(ROWS(C$2:C397)-1,2))</f>
        <v>15.00</v>
      </c>
      <c r="D397" s="38">
        <f t="shared" ca="1" si="31"/>
        <v>760.09499999999991</v>
      </c>
      <c r="E397" s="29">
        <f t="shared" ca="1" si="32"/>
        <v>0</v>
      </c>
      <c r="F397" s="39">
        <f t="shared" ca="1" si="33"/>
        <v>30</v>
      </c>
      <c r="G397" s="29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19340718</v>
      </c>
      <c r="C398" s="24" t="str">
        <f>INDEX(Data,2,2+MOD(ROWS(C$2:C398)-1,2))</f>
        <v>08.00</v>
      </c>
      <c r="D398" s="38">
        <f t="shared" ca="1" si="31"/>
        <v>761.56819999999993</v>
      </c>
      <c r="E398" s="29">
        <f t="shared" ca="1" si="32"/>
        <v>0</v>
      </c>
      <c r="F398" s="39">
        <f t="shared" ca="1" si="33"/>
        <v>28.055555555555557</v>
      </c>
      <c r="G398" s="29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19340718</v>
      </c>
      <c r="C399" s="24" t="str">
        <f>INDEX(Data,2,2+MOD(ROWS(C$2:C399)-1,2))</f>
        <v>15.00</v>
      </c>
      <c r="D399" s="38">
        <f t="shared" ca="1" si="31"/>
        <v>759.8664</v>
      </c>
      <c r="E399" s="29">
        <f t="shared" ca="1" si="32"/>
        <v>0</v>
      </c>
      <c r="F399" s="39">
        <f t="shared" ca="1" si="33"/>
        <v>29.444444444444443</v>
      </c>
      <c r="G399" s="29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19340719</v>
      </c>
      <c r="C400" s="24" t="str">
        <f>INDEX(Data,2,2+MOD(ROWS(C$2:C400)-1,2))</f>
        <v>08.00</v>
      </c>
      <c r="D400" s="38">
        <f t="shared" ca="1" si="31"/>
        <v>761.59359999999992</v>
      </c>
      <c r="E400" s="29">
        <f t="shared" ca="1" si="32"/>
        <v>0</v>
      </c>
      <c r="F400" s="39">
        <f t="shared" ca="1" si="33"/>
        <v>27.777777777777779</v>
      </c>
      <c r="G400" s="29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19340719</v>
      </c>
      <c r="C401" s="24" t="str">
        <f>INDEX(Data,2,2+MOD(ROWS(C$2:C401)-1,2))</f>
        <v>15.00</v>
      </c>
      <c r="D401" s="38">
        <f t="shared" ca="1" si="31"/>
        <v>760.39979999999991</v>
      </c>
      <c r="E401" s="29">
        <f t="shared" ca="1" si="32"/>
        <v>0</v>
      </c>
      <c r="F401" s="39">
        <f t="shared" ca="1" si="33"/>
        <v>29.444444444444443</v>
      </c>
      <c r="G401" s="29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19340720</v>
      </c>
      <c r="C402" s="24" t="str">
        <f>INDEX(Data,2,2+MOD(ROWS(C$2:C402)-1,2))</f>
        <v>08.00</v>
      </c>
      <c r="D402" s="38">
        <f t="shared" ca="1" si="31"/>
        <v>761.31419999999991</v>
      </c>
      <c r="E402" s="29">
        <f t="shared" ca="1" si="32"/>
        <v>0</v>
      </c>
      <c r="F402" s="39">
        <f t="shared" ca="1" si="33"/>
        <v>28.055555555555557</v>
      </c>
      <c r="G402" s="29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19340720</v>
      </c>
      <c r="C403" s="24" t="str">
        <f>INDEX(Data,2,2+MOD(ROWS(C$2:C403)-1,2))</f>
        <v>15.00</v>
      </c>
      <c r="D403" s="38">
        <f t="shared" ca="1" si="31"/>
        <v>759.58699999999999</v>
      </c>
      <c r="E403" s="29">
        <f t="shared" ca="1" si="32"/>
        <v>0</v>
      </c>
      <c r="F403" s="39">
        <f t="shared" ca="1" si="33"/>
        <v>30</v>
      </c>
      <c r="G403" s="29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19340721</v>
      </c>
      <c r="C404" s="24" t="str">
        <f>INDEX(Data,2,2+MOD(ROWS(C$2:C404)-1,2))</f>
        <v>08.00</v>
      </c>
      <c r="D404" s="38">
        <f t="shared" ca="1" si="31"/>
        <v>761.28879999999992</v>
      </c>
      <c r="E404" s="29">
        <f t="shared" ca="1" si="32"/>
        <v>0</v>
      </c>
      <c r="F404" s="39">
        <f t="shared" ca="1" si="33"/>
        <v>28.333333333333332</v>
      </c>
      <c r="G404" s="29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19340721</v>
      </c>
      <c r="C405" s="24" t="str">
        <f>INDEX(Data,2,2+MOD(ROWS(C$2:C405)-1,2))</f>
        <v>15.00</v>
      </c>
      <c r="D405" s="38">
        <f t="shared" ca="1" si="31"/>
        <v>760.14580000000001</v>
      </c>
      <c r="E405" s="29">
        <f t="shared" ca="1" si="32"/>
        <v>0</v>
      </c>
      <c r="F405" s="39">
        <f t="shared" ca="1" si="33"/>
        <v>29.444444444444443</v>
      </c>
      <c r="G405" s="29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19340722</v>
      </c>
      <c r="C406" s="24" t="str">
        <f>INDEX(Data,2,2+MOD(ROWS(C$2:C406)-1,2))</f>
        <v>08.00</v>
      </c>
      <c r="D406" s="38">
        <f t="shared" ca="1" si="31"/>
        <v>761.56819999999993</v>
      </c>
      <c r="E406" s="29">
        <f t="shared" ca="1" si="32"/>
        <v>0</v>
      </c>
      <c r="F406" s="39">
        <f t="shared" ca="1" si="33"/>
        <v>28.055555555555557</v>
      </c>
      <c r="G406" s="29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19340722</v>
      </c>
      <c r="C407" s="24" t="str">
        <f>INDEX(Data,2,2+MOD(ROWS(C$2:C407)-1,2))</f>
        <v>15.00</v>
      </c>
      <c r="D407" s="38">
        <f t="shared" ca="1" si="31"/>
        <v>759.8664</v>
      </c>
      <c r="E407" s="29">
        <f t="shared" ca="1" si="32"/>
        <v>0</v>
      </c>
      <c r="F407" s="39">
        <f t="shared" ca="1" si="33"/>
        <v>29.444444444444443</v>
      </c>
      <c r="G407" s="29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19340723</v>
      </c>
      <c r="C408" s="24" t="str">
        <f>INDEX(Data,2,2+MOD(ROWS(C$2:C408)-1,2))</f>
        <v>08.00</v>
      </c>
      <c r="D408" s="38">
        <f t="shared" ca="1" si="31"/>
        <v>762.07619999999997</v>
      </c>
      <c r="E408" s="29">
        <f t="shared" ca="1" si="32"/>
        <v>0</v>
      </c>
      <c r="F408" s="39">
        <f t="shared" ca="1" si="33"/>
        <v>28.055555555555557</v>
      </c>
      <c r="G408" s="29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19340723</v>
      </c>
      <c r="C409" s="24" t="str">
        <f>INDEX(Data,2,2+MOD(ROWS(C$2:C409)-1,2))</f>
        <v>15.00</v>
      </c>
      <c r="D409" s="38">
        <f t="shared" ca="1" si="31"/>
        <v>760.34899999999993</v>
      </c>
      <c r="E409" s="29">
        <f t="shared" ca="1" si="32"/>
        <v>0</v>
      </c>
      <c r="F409" s="39">
        <f t="shared" ca="1" si="33"/>
        <v>30</v>
      </c>
      <c r="G409" s="29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19340724</v>
      </c>
      <c r="C410" s="24" t="str">
        <f>INDEX(Data,2,2+MOD(ROWS(C$2:C410)-1,2))</f>
        <v>08.00</v>
      </c>
      <c r="D410" s="38">
        <f t="shared" ca="1" si="31"/>
        <v>761.33960000000002</v>
      </c>
      <c r="E410" s="29">
        <f t="shared" ca="1" si="32"/>
        <v>0</v>
      </c>
      <c r="F410" s="39">
        <f t="shared" ca="1" si="33"/>
        <v>27.777777777777779</v>
      </c>
      <c r="G410" s="29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19340724</v>
      </c>
      <c r="C411" s="24" t="str">
        <f>INDEX(Data,2,2+MOD(ROWS(C$2:C411)-1,2))</f>
        <v>15.00</v>
      </c>
      <c r="D411" s="38">
        <f t="shared" ca="1" si="31"/>
        <v>759.61239999999998</v>
      </c>
      <c r="E411" s="29">
        <f t="shared" ca="1" si="32"/>
        <v>0</v>
      </c>
      <c r="F411" s="39">
        <f t="shared" ca="1" si="33"/>
        <v>29.722222222222221</v>
      </c>
      <c r="G411" s="29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19340725</v>
      </c>
      <c r="C412" s="24" t="str">
        <f>INDEX(Data,2,2+MOD(ROWS(C$2:C412)-1,2))</f>
        <v>08.00</v>
      </c>
      <c r="D412" s="38">
        <f t="shared" ca="1" si="31"/>
        <v>761.06020000000001</v>
      </c>
      <c r="E412" s="29">
        <f t="shared" ca="1" si="32"/>
        <v>0</v>
      </c>
      <c r="F412" s="39">
        <f t="shared" ca="1" si="33"/>
        <v>28.055555555555557</v>
      </c>
      <c r="G412" s="29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19340725</v>
      </c>
      <c r="C413" s="24" t="str">
        <f>INDEX(Data,2,2+MOD(ROWS(C$2:C413)-1,2))</f>
        <v>15.00</v>
      </c>
      <c r="D413" s="38">
        <f t="shared" ca="1" si="31"/>
        <v>759.58699999999999</v>
      </c>
      <c r="E413" s="29">
        <f t="shared" ca="1" si="32"/>
        <v>0</v>
      </c>
      <c r="F413" s="39">
        <f t="shared" ca="1" si="33"/>
        <v>30</v>
      </c>
      <c r="G413" s="29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19340726</v>
      </c>
      <c r="C414" s="24" t="str">
        <f>INDEX(Data,2,2+MOD(ROWS(C$2:C414)-1,2))</f>
        <v>08.00</v>
      </c>
      <c r="D414" s="38">
        <f t="shared" ca="1" si="31"/>
        <v>761.56819999999993</v>
      </c>
      <c r="E414" s="29">
        <f t="shared" ca="1" si="32"/>
        <v>0</v>
      </c>
      <c r="F414" s="39">
        <f t="shared" ca="1" si="33"/>
        <v>28.055555555555557</v>
      </c>
      <c r="G414" s="29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19340726</v>
      </c>
      <c r="C415" s="24" t="str">
        <f>INDEX(Data,2,2+MOD(ROWS(C$2:C415)-1,2))</f>
        <v>15.00</v>
      </c>
      <c r="D415" s="38">
        <f t="shared" ca="1" si="31"/>
        <v>759.8664</v>
      </c>
      <c r="E415" s="29">
        <f t="shared" ca="1" si="32"/>
        <v>0</v>
      </c>
      <c r="F415" s="39">
        <f t="shared" ca="1" si="33"/>
        <v>29.444444444444443</v>
      </c>
      <c r="G415" s="29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19340727</v>
      </c>
      <c r="C416" s="24" t="str">
        <f>INDEX(Data,2,2+MOD(ROWS(C$2:C416)-1,2))</f>
        <v>08.00</v>
      </c>
      <c r="D416" s="38">
        <f t="shared" ca="1" si="31"/>
        <v>761.33960000000002</v>
      </c>
      <c r="E416" s="29">
        <f t="shared" ca="1" si="32"/>
        <v>0</v>
      </c>
      <c r="F416" s="39">
        <f t="shared" ca="1" si="33"/>
        <v>27.777777777777779</v>
      </c>
      <c r="G416" s="29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19340727</v>
      </c>
      <c r="C417" s="24" t="str">
        <f>INDEX(Data,2,2+MOD(ROWS(C$2:C417)-1,2))</f>
        <v>15.00</v>
      </c>
      <c r="D417" s="38">
        <f t="shared" ca="1" si="31"/>
        <v>759.58699999999999</v>
      </c>
      <c r="E417" s="29">
        <f t="shared" ca="1" si="32"/>
        <v>0</v>
      </c>
      <c r="F417" s="39">
        <f t="shared" ca="1" si="33"/>
        <v>30</v>
      </c>
      <c r="G417" s="29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19340728</v>
      </c>
      <c r="C418" s="24" t="str">
        <f>INDEX(Data,2,2+MOD(ROWS(C$2:C418)-1,2))</f>
        <v>08.00</v>
      </c>
      <c r="D418" s="38">
        <f t="shared" ca="1" si="31"/>
        <v>762.07619999999997</v>
      </c>
      <c r="E418" s="29">
        <f t="shared" ca="1" si="32"/>
        <v>0</v>
      </c>
      <c r="F418" s="39">
        <f t="shared" ca="1" si="33"/>
        <v>28.055555555555557</v>
      </c>
      <c r="G418" s="29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19340728</v>
      </c>
      <c r="C419" s="24" t="str">
        <f>INDEX(Data,2,2+MOD(ROWS(C$2:C419)-1,2))</f>
        <v>15.00</v>
      </c>
      <c r="D419" s="38">
        <f t="shared" ca="1" si="31"/>
        <v>760.39979999999991</v>
      </c>
      <c r="E419" s="29">
        <f t="shared" ca="1" si="32"/>
        <v>0</v>
      </c>
      <c r="F419" s="39">
        <f t="shared" ca="1" si="33"/>
        <v>29.444444444444443</v>
      </c>
      <c r="G419" s="29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19340729</v>
      </c>
      <c r="C420" s="24" t="str">
        <f>INDEX(Data,2,2+MOD(ROWS(C$2:C420)-1,2))</f>
        <v>08.00</v>
      </c>
      <c r="D420" s="38">
        <f t="shared" ca="1" si="31"/>
        <v>761.84759999999994</v>
      </c>
      <c r="E420" s="29">
        <f t="shared" ca="1" si="32"/>
        <v>0</v>
      </c>
      <c r="F420" s="39">
        <f t="shared" ca="1" si="33"/>
        <v>27.777777777777779</v>
      </c>
      <c r="G420" s="29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19340729</v>
      </c>
      <c r="C421" s="24" t="str">
        <f>INDEX(Data,2,2+MOD(ROWS(C$2:C421)-1,2))</f>
        <v>15.00</v>
      </c>
      <c r="D421" s="38">
        <f t="shared" ca="1" si="31"/>
        <v>760.09499999999991</v>
      </c>
      <c r="E421" s="29">
        <f t="shared" ca="1" si="32"/>
        <v>0</v>
      </c>
      <c r="F421" s="39">
        <f t="shared" ca="1" si="33"/>
        <v>30</v>
      </c>
      <c r="G421" s="29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19340730</v>
      </c>
      <c r="C422" s="24" t="str">
        <f>INDEX(Data,2,2+MOD(ROWS(C$2:C422)-1,2))</f>
        <v>08.00</v>
      </c>
      <c r="D422" s="38">
        <f t="shared" ca="1" si="31"/>
        <v>762.55880000000002</v>
      </c>
      <c r="E422" s="29">
        <f t="shared" ca="1" si="32"/>
        <v>0</v>
      </c>
      <c r="F422" s="39">
        <f t="shared" ca="1" si="33"/>
        <v>28.333333333333332</v>
      </c>
      <c r="G422" s="29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19340730</v>
      </c>
      <c r="C423" s="24" t="str">
        <f>INDEX(Data,2,2+MOD(ROWS(C$2:C423)-1,2))</f>
        <v>15.00</v>
      </c>
      <c r="D423" s="38">
        <f t="shared" ca="1" si="31"/>
        <v>760.65379999999993</v>
      </c>
      <c r="E423" s="29">
        <f t="shared" ca="1" si="32"/>
        <v>0</v>
      </c>
      <c r="F423" s="39">
        <f t="shared" ca="1" si="33"/>
        <v>29.444444444444443</v>
      </c>
      <c r="G423" s="29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19340731</v>
      </c>
      <c r="C424" s="24" t="str">
        <f>INDEX(Data,2,2+MOD(ROWS(C$2:C424)-1,2))</f>
        <v>08.00</v>
      </c>
      <c r="D424" s="38">
        <f t="shared" ca="1" si="31"/>
        <v>762.07619999999997</v>
      </c>
      <c r="E424" s="29">
        <f t="shared" ca="1" si="32"/>
        <v>0</v>
      </c>
      <c r="F424" s="39">
        <f t="shared" ca="1" si="33"/>
        <v>28.055555555555557</v>
      </c>
      <c r="G424" s="29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19340731</v>
      </c>
      <c r="C425" s="24" t="str">
        <f>INDEX(Data,2,2+MOD(ROWS(C$2:C425)-1,2))</f>
        <v>15.00</v>
      </c>
      <c r="D425" s="38">
        <f t="shared" ca="1" si="31"/>
        <v>760.39979999999991</v>
      </c>
      <c r="E425" s="29">
        <f t="shared" ca="1" si="32"/>
        <v>0</v>
      </c>
      <c r="F425" s="39">
        <f t="shared" ca="1" si="33"/>
        <v>29.444444444444443</v>
      </c>
      <c r="G425" s="29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19340801</v>
      </c>
      <c r="C426" s="24" t="str">
        <f>INDEX(Data,2,2+MOD(ROWS(C$2:C426)-1,2))</f>
        <v>08.00</v>
      </c>
      <c r="D426" s="38">
        <f t="shared" ca="1" si="31"/>
        <v>762.3048</v>
      </c>
      <c r="E426" s="29">
        <f t="shared" ca="1" si="32"/>
        <v>0</v>
      </c>
      <c r="F426" s="39">
        <f t="shared" ca="1" si="33"/>
        <v>28.333333333333332</v>
      </c>
      <c r="G426" s="29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19340801</v>
      </c>
      <c r="C427" s="24" t="str">
        <f>INDEX(Data,2,2+MOD(ROWS(C$2:C427)-1,2))</f>
        <v>15.00</v>
      </c>
      <c r="D427" s="38">
        <f t="shared" ca="1" si="31"/>
        <v>760.14580000000001</v>
      </c>
      <c r="E427" s="29">
        <f t="shared" ca="1" si="32"/>
        <v>0</v>
      </c>
      <c r="F427" s="39">
        <f t="shared" ca="1" si="33"/>
        <v>29.444444444444443</v>
      </c>
      <c r="G427" s="29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19340802</v>
      </c>
      <c r="C428" s="24" t="str">
        <f>INDEX(Data,2,2+MOD(ROWS(C$2:C428)-1,2))</f>
        <v>08.00</v>
      </c>
      <c r="D428" s="38">
        <f t="shared" ca="1" si="31"/>
        <v>762.35559999999998</v>
      </c>
      <c r="E428" s="29">
        <f t="shared" ca="1" si="32"/>
        <v>0</v>
      </c>
      <c r="F428" s="39">
        <f t="shared" ca="1" si="33"/>
        <v>27.777777777777779</v>
      </c>
      <c r="G428" s="29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19340802</v>
      </c>
      <c r="C429" s="24" t="str">
        <f>INDEX(Data,2,2+MOD(ROWS(C$2:C429)-1,2))</f>
        <v>15.00</v>
      </c>
      <c r="D429" s="38">
        <f t="shared" ca="1" si="31"/>
        <v>760.60299999999995</v>
      </c>
      <c r="E429" s="29">
        <f t="shared" ca="1" si="32"/>
        <v>0</v>
      </c>
      <c r="F429" s="39">
        <f t="shared" ca="1" si="33"/>
        <v>30</v>
      </c>
      <c r="G429" s="29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19340803</v>
      </c>
      <c r="C430" s="24" t="str">
        <f>INDEX(Data,2,2+MOD(ROWS(C$2:C430)-1,2))</f>
        <v>08.00</v>
      </c>
      <c r="D430" s="38">
        <f t="shared" ca="1" si="31"/>
        <v>762.25400000000002</v>
      </c>
      <c r="E430" s="29">
        <f t="shared" ca="1" si="32"/>
        <v>0</v>
      </c>
      <c r="F430" s="39">
        <f t="shared" ca="1" si="33"/>
        <v>28.611111111111111</v>
      </c>
      <c r="G430" s="29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19340803</v>
      </c>
      <c r="C431" s="24" t="str">
        <f>INDEX(Data,2,2+MOD(ROWS(C$2:C431)-1,2))</f>
        <v>15.00</v>
      </c>
      <c r="D431" s="38">
        <f t="shared" ca="1" si="31"/>
        <v>760.60299999999995</v>
      </c>
      <c r="E431" s="29">
        <f t="shared" ca="1" si="32"/>
        <v>0</v>
      </c>
      <c r="F431" s="39">
        <f t="shared" ca="1" si="33"/>
        <v>30</v>
      </c>
      <c r="G431" s="29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19340804</v>
      </c>
      <c r="C432" s="24" t="str">
        <f>INDEX(Data,2,2+MOD(ROWS(C$2:C432)-1,2))</f>
        <v>08.00</v>
      </c>
      <c r="D432" s="38">
        <f t="shared" ca="1" si="31"/>
        <v>761.74599999999998</v>
      </c>
      <c r="E432" s="29">
        <f t="shared" ca="1" si="32"/>
        <v>0</v>
      </c>
      <c r="F432" s="39">
        <f t="shared" ca="1" si="33"/>
        <v>28.611111111111111</v>
      </c>
      <c r="G432" s="29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19340804</v>
      </c>
      <c r="C433" s="24" t="str">
        <f>INDEX(Data,2,2+MOD(ROWS(C$2:C433)-1,2))</f>
        <v>15.00</v>
      </c>
      <c r="D433" s="38">
        <f t="shared" ca="1" si="31"/>
        <v>759.33299999999997</v>
      </c>
      <c r="E433" s="29">
        <f t="shared" ca="1" si="32"/>
        <v>0</v>
      </c>
      <c r="F433" s="39">
        <f t="shared" ca="1" si="33"/>
        <v>30</v>
      </c>
      <c r="G433" s="29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19340805</v>
      </c>
      <c r="C434" s="24" t="str">
        <f>INDEX(Data,2,2+MOD(ROWS(C$2:C434)-1,2))</f>
        <v>08.00</v>
      </c>
      <c r="D434" s="38">
        <f t="shared" ca="1" si="31"/>
        <v>762.3048</v>
      </c>
      <c r="E434" s="29">
        <f t="shared" ca="1" si="32"/>
        <v>0</v>
      </c>
      <c r="F434" s="39">
        <f t="shared" ca="1" si="33"/>
        <v>28.333333333333332</v>
      </c>
      <c r="G434" s="29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19340805</v>
      </c>
      <c r="C435" s="24" t="str">
        <f>INDEX(Data,2,2+MOD(ROWS(C$2:C435)-1,2))</f>
        <v>15.00</v>
      </c>
      <c r="D435" s="38">
        <f t="shared" ca="1" si="31"/>
        <v>760.14580000000001</v>
      </c>
      <c r="E435" s="29">
        <f t="shared" ca="1" si="32"/>
        <v>0</v>
      </c>
      <c r="F435" s="39">
        <f t="shared" ca="1" si="33"/>
        <v>29.444444444444443</v>
      </c>
      <c r="G435" s="29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19340806</v>
      </c>
      <c r="C436" s="24" t="str">
        <f>INDEX(Data,2,2+MOD(ROWS(C$2:C436)-1,2))</f>
        <v>08.00</v>
      </c>
      <c r="D436" s="38">
        <f t="shared" ca="1" si="31"/>
        <v>762.50799999999992</v>
      </c>
      <c r="E436" s="29">
        <f t="shared" ca="1" si="32"/>
        <v>0</v>
      </c>
      <c r="F436" s="39">
        <f t="shared" ca="1" si="33"/>
        <v>28.611111111111111</v>
      </c>
      <c r="G436" s="29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19340806</v>
      </c>
      <c r="C437" s="24" t="str">
        <f>INDEX(Data,2,2+MOD(ROWS(C$2:C437)-1,2))</f>
        <v>15.00</v>
      </c>
      <c r="D437" s="38">
        <f t="shared" ca="1" si="31"/>
        <v>761.00939999999991</v>
      </c>
      <c r="E437" s="29">
        <f t="shared" ca="1" si="32"/>
        <v>0</v>
      </c>
      <c r="F437" s="39">
        <f t="shared" ca="1" si="33"/>
        <v>30.555555555555557</v>
      </c>
      <c r="G437" s="29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19340807</v>
      </c>
      <c r="C438" s="24" t="str">
        <f>INDEX(Data,2,2+MOD(ROWS(C$2:C438)-1,2))</f>
        <v>08.00</v>
      </c>
      <c r="D438" s="38">
        <f t="shared" ca="1" si="31"/>
        <v>762.3048</v>
      </c>
      <c r="E438" s="29">
        <f t="shared" ca="1" si="32"/>
        <v>0</v>
      </c>
      <c r="F438" s="39">
        <f t="shared" ca="1" si="33"/>
        <v>28.333333333333332</v>
      </c>
      <c r="G438" s="29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19340807</v>
      </c>
      <c r="C439" s="24" t="str">
        <f>INDEX(Data,2,2+MOD(ROWS(C$2:C439)-1,2))</f>
        <v>15.00</v>
      </c>
      <c r="D439" s="38">
        <f t="shared" ca="1" si="31"/>
        <v>760.37439999999992</v>
      </c>
      <c r="E439" s="29">
        <f t="shared" ca="1" si="32"/>
        <v>0</v>
      </c>
      <c r="F439" s="39">
        <f t="shared" ca="1" si="33"/>
        <v>29.722222222222221</v>
      </c>
      <c r="G439" s="29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19340808</v>
      </c>
      <c r="C440" s="24" t="str">
        <f>INDEX(Data,2,2+MOD(ROWS(C$2:C440)-1,2))</f>
        <v>08.00</v>
      </c>
      <c r="D440" s="38">
        <f t="shared" ca="1" si="31"/>
        <v>761.23799999999994</v>
      </c>
      <c r="E440" s="29">
        <f t="shared" ca="1" si="32"/>
        <v>0</v>
      </c>
      <c r="F440" s="39">
        <f t="shared" ca="1" si="33"/>
        <v>28.611111111111111</v>
      </c>
      <c r="G440" s="29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19340808</v>
      </c>
      <c r="C441" s="24" t="str">
        <f>INDEX(Data,2,2+MOD(ROWS(C$2:C441)-1,2))</f>
        <v>15.00</v>
      </c>
      <c r="D441" s="38">
        <f t="shared" ca="1" si="31"/>
        <v>760.09499999999991</v>
      </c>
      <c r="E441" s="29">
        <f t="shared" ca="1" si="32"/>
        <v>0</v>
      </c>
      <c r="F441" s="39">
        <f t="shared" ca="1" si="33"/>
        <v>30</v>
      </c>
      <c r="G441" s="29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19340809</v>
      </c>
      <c r="C442" s="24" t="str">
        <f>INDEX(Data,2,2+MOD(ROWS(C$2:C442)-1,2))</f>
        <v>08.00</v>
      </c>
      <c r="D442" s="38">
        <f t="shared" ca="1" si="31"/>
        <v>762.22859999999991</v>
      </c>
      <c r="E442" s="29">
        <f t="shared" ca="1" si="32"/>
        <v>0</v>
      </c>
      <c r="F442" s="39">
        <f t="shared" ca="1" si="33"/>
        <v>28.888888888888889</v>
      </c>
      <c r="G442" s="29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19340809</v>
      </c>
      <c r="C443" s="24" t="str">
        <f>INDEX(Data,2,2+MOD(ROWS(C$2:C443)-1,2))</f>
        <v>15.00</v>
      </c>
      <c r="D443" s="38">
        <f t="shared" ca="1" si="31"/>
        <v>760.83159999999998</v>
      </c>
      <c r="E443" s="29">
        <f t="shared" ca="1" si="32"/>
        <v>0</v>
      </c>
      <c r="F443" s="39">
        <f t="shared" ca="1" si="33"/>
        <v>30</v>
      </c>
      <c r="G443" s="29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19340810</v>
      </c>
      <c r="C444" s="24" t="str">
        <f>INDEX(Data,2,2+MOD(ROWS(C$2:C444)-1,2))</f>
        <v>08.00</v>
      </c>
      <c r="D444" s="38">
        <f t="shared" ca="1" si="31"/>
        <v>762</v>
      </c>
      <c r="E444" s="29">
        <f t="shared" ca="1" si="32"/>
        <v>0</v>
      </c>
      <c r="F444" s="39">
        <f t="shared" ca="1" si="33"/>
        <v>28.611111111111111</v>
      </c>
      <c r="G444" s="29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19340810</v>
      </c>
      <c r="C445" s="24" t="str">
        <f>INDEX(Data,2,2+MOD(ROWS(C$2:C445)-1,2))</f>
        <v>15.00</v>
      </c>
      <c r="D445" s="38">
        <f t="shared" ca="1" si="31"/>
        <v>760.83159999999998</v>
      </c>
      <c r="E445" s="29">
        <f t="shared" ca="1" si="32"/>
        <v>0</v>
      </c>
      <c r="F445" s="39">
        <f t="shared" ca="1" si="33"/>
        <v>30</v>
      </c>
      <c r="G445" s="29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19340811</v>
      </c>
      <c r="C446" s="24" t="str">
        <f>INDEX(Data,2,2+MOD(ROWS(C$2:C446)-1,2))</f>
        <v>08.00</v>
      </c>
      <c r="D446" s="38">
        <f t="shared" ca="1" si="31"/>
        <v>762</v>
      </c>
      <c r="E446" s="29">
        <f t="shared" ca="1" si="32"/>
        <v>0</v>
      </c>
      <c r="F446" s="39">
        <f t="shared" ca="1" si="33"/>
        <v>28.611111111111111</v>
      </c>
      <c r="G446" s="29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19340811</v>
      </c>
      <c r="C447" s="24" t="str">
        <f>INDEX(Data,2,2+MOD(ROWS(C$2:C447)-1,2))</f>
        <v>15.00</v>
      </c>
      <c r="D447" s="38">
        <f t="shared" ca="1" si="31"/>
        <v>760.83159999999998</v>
      </c>
      <c r="E447" s="29">
        <f t="shared" ca="1" si="32"/>
        <v>0</v>
      </c>
      <c r="F447" s="39">
        <f t="shared" ca="1" si="33"/>
        <v>30</v>
      </c>
      <c r="G447" s="29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19340812</v>
      </c>
      <c r="C448" s="24" t="str">
        <f>INDEX(Data,2,2+MOD(ROWS(C$2:C448)-1,2))</f>
        <v>08.00</v>
      </c>
      <c r="D448" s="38">
        <f t="shared" ca="1" si="31"/>
        <v>762.22859999999991</v>
      </c>
      <c r="E448" s="29">
        <f t="shared" ca="1" si="32"/>
        <v>0</v>
      </c>
      <c r="F448" s="39">
        <f t="shared" ca="1" si="33"/>
        <v>28.888888888888889</v>
      </c>
      <c r="G448" s="29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19340812</v>
      </c>
      <c r="C449" s="24" t="str">
        <f>INDEX(Data,2,2+MOD(ROWS(C$2:C449)-1,2))</f>
        <v>15.00</v>
      </c>
      <c r="D449" s="38">
        <f t="shared" ca="1" si="31"/>
        <v>760.83159999999998</v>
      </c>
      <c r="E449" s="29">
        <f t="shared" ca="1" si="32"/>
        <v>0</v>
      </c>
      <c r="F449" s="39">
        <f t="shared" ca="1" si="33"/>
        <v>30</v>
      </c>
      <c r="G449" s="29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19340813</v>
      </c>
      <c r="C450" s="24" t="str">
        <f>INDEX(Data,2,2+MOD(ROWS(C$2:C450)-1,2))</f>
        <v>08.00</v>
      </c>
      <c r="D450" s="38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762.48259999999993</v>
      </c>
      <c r="E450" s="29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39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28.888888888888889</v>
      </c>
      <c r="G450" s="29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19340813</v>
      </c>
      <c r="C451" s="24" t="str">
        <f>INDEX(Data,2,2+MOD(ROWS(C$2:C451)-1,2))</f>
        <v>15.00</v>
      </c>
      <c r="D451" s="38">
        <f t="shared" ca="1" si="36"/>
        <v>760.83159999999998</v>
      </c>
      <c r="E451" s="29">
        <f t="shared" ca="1" si="37"/>
        <v>0</v>
      </c>
      <c r="F451" s="39">
        <f t="shared" ca="1" si="38"/>
        <v>30</v>
      </c>
      <c r="G451" s="29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19340814</v>
      </c>
      <c r="C452" s="24" t="str">
        <f>INDEX(Data,2,2+MOD(ROWS(C$2:C452)-1,2))</f>
        <v>08.00</v>
      </c>
      <c r="D452" s="38">
        <f t="shared" ca="1" si="36"/>
        <v>762.25400000000002</v>
      </c>
      <c r="E452" s="29">
        <f t="shared" ca="1" si="37"/>
        <v>0</v>
      </c>
      <c r="F452" s="39">
        <f t="shared" ca="1" si="38"/>
        <v>28.611111111111111</v>
      </c>
      <c r="G452" s="29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19340814</v>
      </c>
      <c r="C453" s="24" t="str">
        <f>INDEX(Data,2,2+MOD(ROWS(C$2:C453)-1,2))</f>
        <v>15.00</v>
      </c>
      <c r="D453" s="38">
        <f t="shared" ca="1" si="36"/>
        <v>760.29819999999995</v>
      </c>
      <c r="E453" s="29">
        <f t="shared" ca="1" si="37"/>
        <v>0</v>
      </c>
      <c r="F453" s="39">
        <f t="shared" ca="1" si="38"/>
        <v>30.277777777777779</v>
      </c>
      <c r="G453" s="29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19340815</v>
      </c>
      <c r="C454" s="24" t="str">
        <f>INDEX(Data,2,2+MOD(ROWS(C$2:C454)-1,2))</f>
        <v>08.00</v>
      </c>
      <c r="D454" s="38">
        <f t="shared" ca="1" si="36"/>
        <v>762</v>
      </c>
      <c r="E454" s="29">
        <f t="shared" ca="1" si="37"/>
        <v>0</v>
      </c>
      <c r="F454" s="39">
        <f t="shared" ca="1" si="38"/>
        <v>28.611111111111111</v>
      </c>
      <c r="G454" s="29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19340815</v>
      </c>
      <c r="C455" s="24" t="str">
        <f>INDEX(Data,2,2+MOD(ROWS(C$2:C455)-1,2))</f>
        <v>15.00</v>
      </c>
      <c r="D455" s="38">
        <f t="shared" ca="1" si="36"/>
        <v>760.88239999999996</v>
      </c>
      <c r="E455" s="29">
        <f t="shared" ca="1" si="37"/>
        <v>0</v>
      </c>
      <c r="F455" s="39">
        <f t="shared" ca="1" si="38"/>
        <v>29.444444444444443</v>
      </c>
      <c r="G455" s="29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19340816</v>
      </c>
      <c r="C456" s="24" t="str">
        <f>INDEX(Data,2,2+MOD(ROWS(C$2:C456)-1,2))</f>
        <v>08.00</v>
      </c>
      <c r="D456" s="38">
        <f t="shared" ca="1" si="36"/>
        <v>762.50799999999992</v>
      </c>
      <c r="E456" s="29">
        <f t="shared" ca="1" si="37"/>
        <v>0</v>
      </c>
      <c r="F456" s="39">
        <f t="shared" ca="1" si="38"/>
        <v>28.611111111111111</v>
      </c>
      <c r="G456" s="29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19340816</v>
      </c>
      <c r="C457" s="24" t="str">
        <f>INDEX(Data,2,2+MOD(ROWS(C$2:C457)-1,2))</f>
        <v>15.00</v>
      </c>
      <c r="D457" s="38">
        <f t="shared" ca="1" si="36"/>
        <v>760.7808</v>
      </c>
      <c r="E457" s="29">
        <f t="shared" ca="1" si="37"/>
        <v>0</v>
      </c>
      <c r="F457" s="39">
        <f t="shared" ca="1" si="38"/>
        <v>30.277777777777779</v>
      </c>
      <c r="G457" s="29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19340817</v>
      </c>
      <c r="C458" s="24" t="str">
        <f>INDEX(Data,2,2+MOD(ROWS(C$2:C458)-1,2))</f>
        <v>08.00</v>
      </c>
      <c r="D458" s="38">
        <f t="shared" ca="1" si="36"/>
        <v>762.25400000000002</v>
      </c>
      <c r="E458" s="29">
        <f t="shared" ca="1" si="37"/>
        <v>0</v>
      </c>
      <c r="F458" s="39">
        <f t="shared" ca="1" si="38"/>
        <v>28.611111111111111</v>
      </c>
      <c r="G458" s="29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19340817</v>
      </c>
      <c r="C459" s="24" t="str">
        <f>INDEX(Data,2,2+MOD(ROWS(C$2:C459)-1,2))</f>
        <v>15.00</v>
      </c>
      <c r="D459" s="38">
        <f t="shared" ca="1" si="36"/>
        <v>760.83159999999998</v>
      </c>
      <c r="E459" s="29">
        <f t="shared" ca="1" si="37"/>
        <v>0</v>
      </c>
      <c r="F459" s="39">
        <f t="shared" ca="1" si="38"/>
        <v>30</v>
      </c>
      <c r="G459" s="29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19340818</v>
      </c>
      <c r="C460" s="24" t="str">
        <f>INDEX(Data,2,2+MOD(ROWS(C$2:C460)-1,2))</f>
        <v>08.00</v>
      </c>
      <c r="D460" s="38">
        <f t="shared" ca="1" si="36"/>
        <v>762.99059999999997</v>
      </c>
      <c r="E460" s="29">
        <f t="shared" ca="1" si="37"/>
        <v>0</v>
      </c>
      <c r="F460" s="39">
        <f t="shared" ca="1" si="38"/>
        <v>28.888888888888889</v>
      </c>
      <c r="G460" s="29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19340818</v>
      </c>
      <c r="C461" s="24" t="str">
        <f>INDEX(Data,2,2+MOD(ROWS(C$2:C461)-1,2))</f>
        <v>15.00</v>
      </c>
      <c r="D461" s="38">
        <f t="shared" ca="1" si="36"/>
        <v>761.46659999999997</v>
      </c>
      <c r="E461" s="29">
        <f t="shared" ca="1" si="37"/>
        <v>0</v>
      </c>
      <c r="F461" s="39">
        <f t="shared" ca="1" si="38"/>
        <v>28.888888888888889</v>
      </c>
      <c r="G461" s="29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19340819</v>
      </c>
      <c r="C462" s="24" t="str">
        <f>INDEX(Data,2,2+MOD(ROWS(C$2:C462)-1,2))</f>
        <v>08.00</v>
      </c>
      <c r="D462" s="38">
        <f t="shared" ca="1" si="36"/>
        <v>762.25400000000002</v>
      </c>
      <c r="E462" s="29">
        <f t="shared" ca="1" si="37"/>
        <v>0</v>
      </c>
      <c r="F462" s="39">
        <f t="shared" ca="1" si="38"/>
        <v>28.611111111111111</v>
      </c>
      <c r="G462" s="29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19340819</v>
      </c>
      <c r="C463" s="24" t="str">
        <f>INDEX(Data,2,2+MOD(ROWS(C$2:C463)-1,2))</f>
        <v>15.00</v>
      </c>
      <c r="D463" s="38">
        <f t="shared" ca="1" si="36"/>
        <v>760.14580000000001</v>
      </c>
      <c r="E463" s="29">
        <f t="shared" ca="1" si="37"/>
        <v>0</v>
      </c>
      <c r="F463" s="39">
        <f t="shared" ca="1" si="38"/>
        <v>29.444444444444443</v>
      </c>
      <c r="G463" s="29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19340820</v>
      </c>
      <c r="C464" s="24" t="str">
        <f>INDEX(Data,2,2+MOD(ROWS(C$2:C464)-1,2))</f>
        <v>08.00</v>
      </c>
      <c r="D464" s="38">
        <f t="shared" ca="1" si="36"/>
        <v>762.05079999999998</v>
      </c>
      <c r="E464" s="29">
        <f t="shared" ca="1" si="37"/>
        <v>0</v>
      </c>
      <c r="F464" s="39">
        <f t="shared" ca="1" si="38"/>
        <v>28.333333333333332</v>
      </c>
      <c r="G464" s="29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19340820</v>
      </c>
      <c r="C465" s="24" t="str">
        <f>INDEX(Data,2,2+MOD(ROWS(C$2:C465)-1,2))</f>
        <v>15.00</v>
      </c>
      <c r="D465" s="38">
        <f t="shared" ca="1" si="36"/>
        <v>759.58699999999999</v>
      </c>
      <c r="E465" s="29">
        <f t="shared" ca="1" si="37"/>
        <v>0</v>
      </c>
      <c r="F465" s="39">
        <f t="shared" ca="1" si="38"/>
        <v>30</v>
      </c>
      <c r="G465" s="29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19340821</v>
      </c>
      <c r="C466" s="24" t="str">
        <f>INDEX(Data,2,2+MOD(ROWS(C$2:C466)-1,2))</f>
        <v>08.00</v>
      </c>
      <c r="D466" s="38">
        <f t="shared" ca="1" si="36"/>
        <v>760.98399999999992</v>
      </c>
      <c r="E466" s="29">
        <f t="shared" ca="1" si="37"/>
        <v>0</v>
      </c>
      <c r="F466" s="39">
        <f t="shared" ca="1" si="38"/>
        <v>28.611111111111111</v>
      </c>
      <c r="G466" s="29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19340821</v>
      </c>
      <c r="C467" s="24" t="str">
        <f>INDEX(Data,2,2+MOD(ROWS(C$2:C467)-1,2))</f>
        <v>15.00</v>
      </c>
      <c r="D467" s="38">
        <f t="shared" ca="1" si="36"/>
        <v>759.10439999999994</v>
      </c>
      <c r="E467" s="29">
        <f t="shared" ca="1" si="37"/>
        <v>0</v>
      </c>
      <c r="F467" s="39">
        <f t="shared" ca="1" si="38"/>
        <v>29.722222222222221</v>
      </c>
      <c r="G467" s="29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19340822</v>
      </c>
      <c r="C468" s="24" t="str">
        <f>INDEX(Data,2,2+MOD(ROWS(C$2:C468)-1,2))</f>
        <v>08.00</v>
      </c>
      <c r="D468" s="38">
        <f t="shared" ca="1" si="36"/>
        <v>760.75540000000001</v>
      </c>
      <c r="E468" s="29">
        <f t="shared" ca="1" si="37"/>
        <v>0</v>
      </c>
      <c r="F468" s="39">
        <f t="shared" ca="1" si="38"/>
        <v>28.611111111111111</v>
      </c>
      <c r="G468" s="29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19340822</v>
      </c>
      <c r="C469" s="24" t="str">
        <f>INDEX(Data,2,2+MOD(ROWS(C$2:C469)-1,2))</f>
        <v>15.00</v>
      </c>
      <c r="D469" s="38">
        <f t="shared" ca="1" si="36"/>
        <v>758.52019999999993</v>
      </c>
      <c r="E469" s="29">
        <f t="shared" ca="1" si="37"/>
        <v>0</v>
      </c>
      <c r="F469" s="39">
        <f t="shared" ca="1" si="38"/>
        <v>30.277777777777779</v>
      </c>
      <c r="G469" s="29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19340823</v>
      </c>
      <c r="C470" s="24" t="str">
        <f>INDEX(Data,2,2+MOD(ROWS(C$2:C470)-1,2))</f>
        <v>08.00</v>
      </c>
      <c r="D470" s="38">
        <f t="shared" ca="1" si="36"/>
        <v>760.476</v>
      </c>
      <c r="E470" s="29">
        <f t="shared" ca="1" si="37"/>
        <v>0</v>
      </c>
      <c r="F470" s="39">
        <f t="shared" ca="1" si="38"/>
        <v>28.888888888888889</v>
      </c>
      <c r="G470" s="29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19340823</v>
      </c>
      <c r="C471" s="24" t="str">
        <f>INDEX(Data,2,2+MOD(ROWS(C$2:C471)-1,2))</f>
        <v>15.00</v>
      </c>
      <c r="D471" s="38">
        <f t="shared" ca="1" si="36"/>
        <v>758.52019999999993</v>
      </c>
      <c r="E471" s="29">
        <f t="shared" ca="1" si="37"/>
        <v>0</v>
      </c>
      <c r="F471" s="39">
        <f t="shared" ca="1" si="38"/>
        <v>30.277777777777779</v>
      </c>
      <c r="G471" s="29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19340824</v>
      </c>
      <c r="C472" s="24" t="str">
        <f>INDEX(Data,2,2+MOD(ROWS(C$2:C472)-1,2))</f>
        <v>08.00</v>
      </c>
      <c r="D472" s="38">
        <f t="shared" ca="1" si="36"/>
        <v>760.95859999999993</v>
      </c>
      <c r="E472" s="29">
        <f t="shared" ca="1" si="37"/>
        <v>0</v>
      </c>
      <c r="F472" s="39">
        <f t="shared" ca="1" si="38"/>
        <v>28.888888888888889</v>
      </c>
      <c r="G472" s="29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19340824</v>
      </c>
      <c r="C473" s="24" t="str">
        <f>INDEX(Data,2,2+MOD(ROWS(C$2:C473)-1,2))</f>
        <v>15.00</v>
      </c>
      <c r="D473" s="38">
        <f t="shared" ca="1" si="36"/>
        <v>759.00279999999998</v>
      </c>
      <c r="E473" s="29">
        <f t="shared" ca="1" si="37"/>
        <v>0</v>
      </c>
      <c r="F473" s="39">
        <f t="shared" ca="1" si="38"/>
        <v>28.888888888888889</v>
      </c>
      <c r="G473" s="29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19340825</v>
      </c>
      <c r="C474" s="24" t="str">
        <f>INDEX(Data,2,2+MOD(ROWS(C$2:C474)-1,2))</f>
        <v>08.00</v>
      </c>
      <c r="D474" s="38">
        <f t="shared" ca="1" si="36"/>
        <v>760.22199999999998</v>
      </c>
      <c r="E474" s="29">
        <f t="shared" ca="1" si="37"/>
        <v>0</v>
      </c>
      <c r="F474" s="39">
        <f t="shared" ca="1" si="38"/>
        <v>28.888888888888889</v>
      </c>
      <c r="G474" s="29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19340825</v>
      </c>
      <c r="C475" s="24" t="str">
        <f>INDEX(Data,2,2+MOD(ROWS(C$2:C475)-1,2))</f>
        <v>15.00</v>
      </c>
      <c r="D475" s="38">
        <f t="shared" ca="1" si="36"/>
        <v>758.72339999999997</v>
      </c>
      <c r="E475" s="29">
        <f t="shared" ca="1" si="37"/>
        <v>0</v>
      </c>
      <c r="F475" s="39">
        <f t="shared" ca="1" si="38"/>
        <v>30.833333333333332</v>
      </c>
      <c r="G475" s="29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19340826</v>
      </c>
      <c r="C476" s="24" t="str">
        <f>INDEX(Data,2,2+MOD(ROWS(C$2:C476)-1,2))</f>
        <v>08.00</v>
      </c>
      <c r="D476" s="38">
        <f t="shared" ca="1" si="36"/>
        <v>761.23799999999994</v>
      </c>
      <c r="E476" s="29">
        <f t="shared" ca="1" si="37"/>
        <v>0</v>
      </c>
      <c r="F476" s="39">
        <f t="shared" ca="1" si="38"/>
        <v>28.611111111111111</v>
      </c>
      <c r="G476" s="29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19340826</v>
      </c>
      <c r="C477" s="24" t="str">
        <f>INDEX(Data,2,2+MOD(ROWS(C$2:C477)-1,2))</f>
        <v>15.00</v>
      </c>
      <c r="D477" s="38">
        <f t="shared" ca="1" si="36"/>
        <v>759.58699999999999</v>
      </c>
      <c r="E477" s="29">
        <f t="shared" ca="1" si="37"/>
        <v>0</v>
      </c>
      <c r="F477" s="39">
        <f t="shared" ca="1" si="38"/>
        <v>30</v>
      </c>
      <c r="G477" s="29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19340827</v>
      </c>
      <c r="C478" s="24" t="str">
        <f>INDEX(Data,2,2+MOD(ROWS(C$2:C478)-1,2))</f>
        <v>08.00</v>
      </c>
      <c r="D478" s="38">
        <f t="shared" ca="1" si="36"/>
        <v>762.3048</v>
      </c>
      <c r="E478" s="29">
        <f t="shared" ca="1" si="37"/>
        <v>0</v>
      </c>
      <c r="F478" s="39">
        <f t="shared" ca="1" si="38"/>
        <v>28.333333333333332</v>
      </c>
      <c r="G478" s="29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19340827</v>
      </c>
      <c r="C479" s="24" t="str">
        <f>INDEX(Data,2,2+MOD(ROWS(C$2:C479)-1,2))</f>
        <v>15.00</v>
      </c>
      <c r="D479" s="38">
        <f t="shared" ca="1" si="36"/>
        <v>760.04419999999993</v>
      </c>
      <c r="E479" s="29">
        <f t="shared" ca="1" si="37"/>
        <v>0</v>
      </c>
      <c r="F479" s="39">
        <f t="shared" ca="1" si="38"/>
        <v>30.277777777777779</v>
      </c>
      <c r="G479" s="29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19340828</v>
      </c>
      <c r="C480" s="24" t="str">
        <f>INDEX(Data,2,2+MOD(ROWS(C$2:C480)-1,2))</f>
        <v>08.00</v>
      </c>
      <c r="D480" s="38">
        <f t="shared" ca="1" si="36"/>
        <v>761.74599999999998</v>
      </c>
      <c r="E480" s="29">
        <f t="shared" ca="1" si="37"/>
        <v>0</v>
      </c>
      <c r="F480" s="39">
        <f t="shared" ca="1" si="38"/>
        <v>28.611111111111111</v>
      </c>
      <c r="G480" s="29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19340828</v>
      </c>
      <c r="C481" s="24" t="str">
        <f>INDEX(Data,2,2+MOD(ROWS(C$2:C481)-1,2))</f>
        <v>15.00</v>
      </c>
      <c r="D481" s="38">
        <f t="shared" ca="1" si="36"/>
        <v>759.53620000000001</v>
      </c>
      <c r="E481" s="29">
        <f t="shared" ca="1" si="37"/>
        <v>0</v>
      </c>
      <c r="F481" s="39">
        <f t="shared" ca="1" si="38"/>
        <v>30.277777777777779</v>
      </c>
      <c r="G481" s="29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19340829</v>
      </c>
      <c r="C482" s="24" t="str">
        <f>INDEX(Data,2,2+MOD(ROWS(C$2:C482)-1,2))</f>
        <v>08.00</v>
      </c>
      <c r="D482" s="38">
        <f t="shared" ca="1" si="36"/>
        <v>761.74599999999998</v>
      </c>
      <c r="E482" s="29">
        <f t="shared" ca="1" si="37"/>
        <v>0</v>
      </c>
      <c r="F482" s="39">
        <f t="shared" ca="1" si="38"/>
        <v>28.611111111111111</v>
      </c>
      <c r="G482" s="29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19340829</v>
      </c>
      <c r="C483" s="24" t="str">
        <f>INDEX(Data,2,2+MOD(ROWS(C$2:C483)-1,2))</f>
        <v>15.00</v>
      </c>
      <c r="D483" s="38">
        <f t="shared" ca="1" si="36"/>
        <v>759.33299999999997</v>
      </c>
      <c r="E483" s="29">
        <f t="shared" ca="1" si="37"/>
        <v>0</v>
      </c>
      <c r="F483" s="39">
        <f t="shared" ca="1" si="38"/>
        <v>30</v>
      </c>
      <c r="G483" s="29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19340830</v>
      </c>
      <c r="C484" s="24" t="str">
        <f>INDEX(Data,2,2+MOD(ROWS(C$2:C484)-1,2))</f>
        <v>08.00</v>
      </c>
      <c r="D484" s="38">
        <f t="shared" ca="1" si="36"/>
        <v>760.98399999999992</v>
      </c>
      <c r="E484" s="29">
        <f t="shared" ca="1" si="37"/>
        <v>0</v>
      </c>
      <c r="F484" s="39">
        <f t="shared" ca="1" si="38"/>
        <v>28.611111111111111</v>
      </c>
      <c r="G484" s="29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19340830</v>
      </c>
      <c r="C485" s="24" t="str">
        <f>INDEX(Data,2,2+MOD(ROWS(C$2:C485)-1,2))</f>
        <v>15.00</v>
      </c>
      <c r="D485" s="38">
        <f t="shared" ca="1" si="36"/>
        <v>758.77419999999995</v>
      </c>
      <c r="E485" s="29">
        <f t="shared" ca="1" si="37"/>
        <v>0</v>
      </c>
      <c r="F485" s="39">
        <f t="shared" ca="1" si="38"/>
        <v>30.277777777777779</v>
      </c>
      <c r="G485" s="29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19340831</v>
      </c>
      <c r="C486" s="24" t="str">
        <f>INDEX(Data,2,2+MOD(ROWS(C$2:C486)-1,2))</f>
        <v>08.00</v>
      </c>
      <c r="D486" s="38">
        <f t="shared" ca="1" si="36"/>
        <v>761.23799999999994</v>
      </c>
      <c r="E486" s="29">
        <f t="shared" ca="1" si="37"/>
        <v>0</v>
      </c>
      <c r="F486" s="39">
        <f t="shared" ca="1" si="38"/>
        <v>28.611111111111111</v>
      </c>
      <c r="G486" s="29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19340831</v>
      </c>
      <c r="C487" s="24" t="str">
        <f>INDEX(Data,2,2+MOD(ROWS(C$2:C487)-1,2))</f>
        <v>15.00</v>
      </c>
      <c r="D487" s="38">
        <f t="shared" ca="1" si="36"/>
        <v>759.33299999999997</v>
      </c>
      <c r="E487" s="29">
        <f t="shared" ca="1" si="37"/>
        <v>0</v>
      </c>
      <c r="F487" s="39">
        <f t="shared" ca="1" si="38"/>
        <v>30</v>
      </c>
      <c r="G487" s="29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19340901</v>
      </c>
      <c r="C488" s="24" t="str">
        <f>INDEX(Data,2,2+MOD(ROWS(C$2:C488)-1,2))</f>
        <v>08.00</v>
      </c>
      <c r="D488" s="38">
        <f t="shared" ca="1" si="36"/>
        <v>761.28879999999992</v>
      </c>
      <c r="E488" s="29">
        <f t="shared" ca="1" si="37"/>
        <v>0</v>
      </c>
      <c r="F488" s="39">
        <f t="shared" ca="1" si="38"/>
        <v>28.333333333333332</v>
      </c>
      <c r="G488" s="29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19340901</v>
      </c>
      <c r="C489" s="24" t="str">
        <f>INDEX(Data,2,2+MOD(ROWS(C$2:C489)-1,2))</f>
        <v>15.00</v>
      </c>
      <c r="D489" s="38">
        <f t="shared" ca="1" si="36"/>
        <v>759.02819999999997</v>
      </c>
      <c r="E489" s="29">
        <f t="shared" ca="1" si="37"/>
        <v>0</v>
      </c>
      <c r="F489" s="39">
        <f t="shared" ca="1" si="38"/>
        <v>30.277777777777779</v>
      </c>
      <c r="G489" s="29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19340902</v>
      </c>
      <c r="C490" s="24" t="str">
        <f>INDEX(Data,2,2+MOD(ROWS(C$2:C490)-1,2))</f>
        <v>08.00</v>
      </c>
      <c r="D490" s="38">
        <f t="shared" ca="1" si="36"/>
        <v>761.23799999999994</v>
      </c>
      <c r="E490" s="29">
        <f t="shared" ca="1" si="37"/>
        <v>0</v>
      </c>
      <c r="F490" s="39">
        <f t="shared" ca="1" si="38"/>
        <v>28.611111111111111</v>
      </c>
      <c r="G490" s="29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19340902</v>
      </c>
      <c r="C491" s="24" t="str">
        <f>INDEX(Data,2,2+MOD(ROWS(C$2:C491)-1,2))</f>
        <v>15.00</v>
      </c>
      <c r="D491" s="38">
        <f t="shared" ca="1" si="36"/>
        <v>758.77419999999995</v>
      </c>
      <c r="E491" s="29">
        <f t="shared" ca="1" si="37"/>
        <v>0</v>
      </c>
      <c r="F491" s="39">
        <f t="shared" ca="1" si="38"/>
        <v>30.277777777777779</v>
      </c>
      <c r="G491" s="29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19340903</v>
      </c>
      <c r="C492" s="24" t="str">
        <f>INDEX(Data,2,2+MOD(ROWS(C$2:C492)-1,2))</f>
        <v>08.00</v>
      </c>
      <c r="D492" s="38">
        <f t="shared" ca="1" si="36"/>
        <v>761.49199999999996</v>
      </c>
      <c r="E492" s="29">
        <f t="shared" ca="1" si="37"/>
        <v>0</v>
      </c>
      <c r="F492" s="39">
        <f t="shared" ca="1" si="38"/>
        <v>28.611111111111111</v>
      </c>
      <c r="G492" s="29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19340903</v>
      </c>
      <c r="C493" s="24" t="str">
        <f>INDEX(Data,2,2+MOD(ROWS(C$2:C493)-1,2))</f>
        <v>15.00</v>
      </c>
      <c r="D493" s="38">
        <f t="shared" ca="1" si="36"/>
        <v>759.00279999999998</v>
      </c>
      <c r="E493" s="29">
        <f t="shared" ca="1" si="37"/>
        <v>0</v>
      </c>
      <c r="F493" s="39">
        <f t="shared" ca="1" si="38"/>
        <v>30.555555555555557</v>
      </c>
      <c r="G493" s="29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19340904</v>
      </c>
      <c r="C494" s="24" t="str">
        <f>INDEX(Data,2,2+MOD(ROWS(C$2:C494)-1,2))</f>
        <v>08.00</v>
      </c>
      <c r="D494" s="38">
        <f t="shared" ca="1" si="36"/>
        <v>762.05079999999998</v>
      </c>
      <c r="E494" s="29">
        <f t="shared" ca="1" si="37"/>
        <v>0</v>
      </c>
      <c r="F494" s="39">
        <f t="shared" ca="1" si="38"/>
        <v>28.333333333333332</v>
      </c>
      <c r="G494" s="29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19340904</v>
      </c>
      <c r="C495" s="24" t="str">
        <f>INDEX(Data,2,2+MOD(ROWS(C$2:C495)-1,2))</f>
        <v>15.00</v>
      </c>
      <c r="D495" s="38">
        <f t="shared" ca="1" si="36"/>
        <v>759.58699999999999</v>
      </c>
      <c r="E495" s="29">
        <f t="shared" ca="1" si="37"/>
        <v>0</v>
      </c>
      <c r="F495" s="39">
        <f t="shared" ca="1" si="38"/>
        <v>30</v>
      </c>
      <c r="G495" s="29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19340905</v>
      </c>
      <c r="C496" s="24" t="str">
        <f>INDEX(Data,2,2+MOD(ROWS(C$2:C496)-1,2))</f>
        <v>08.00</v>
      </c>
      <c r="D496" s="38">
        <f t="shared" ca="1" si="36"/>
        <v>760.60299999999995</v>
      </c>
      <c r="E496" s="29">
        <f t="shared" ca="1" si="37"/>
        <v>0</v>
      </c>
      <c r="F496" s="39">
        <f t="shared" ca="1" si="38"/>
        <v>30</v>
      </c>
      <c r="G496" s="29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19340905</v>
      </c>
      <c r="C497" s="24" t="str">
        <f>INDEX(Data,2,2+MOD(ROWS(C$2:C497)-1,2))</f>
        <v>15.00</v>
      </c>
      <c r="D497" s="38">
        <f t="shared" ca="1" si="36"/>
        <v>759.10439999999994</v>
      </c>
      <c r="E497" s="29">
        <f t="shared" ca="1" si="37"/>
        <v>0</v>
      </c>
      <c r="F497" s="39">
        <f t="shared" ca="1" si="38"/>
        <v>29.722222222222221</v>
      </c>
      <c r="G497" s="29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19340906</v>
      </c>
      <c r="C498" s="24" t="str">
        <f>INDEX(Data,2,2+MOD(ROWS(C$2:C498)-1,2))</f>
        <v>08.00</v>
      </c>
      <c r="D498" s="38">
        <f t="shared" ca="1" si="36"/>
        <v>760.04419999999993</v>
      </c>
      <c r="E498" s="29">
        <f t="shared" ca="1" si="37"/>
        <v>0</v>
      </c>
      <c r="F498" s="39">
        <f t="shared" ca="1" si="38"/>
        <v>28.333333333333332</v>
      </c>
      <c r="G498" s="29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19340906</v>
      </c>
      <c r="C499" s="24" t="str">
        <f>INDEX(Data,2,2+MOD(ROWS(C$2:C499)-1,2))</f>
        <v>15.00</v>
      </c>
      <c r="D499" s="38">
        <f t="shared" ca="1" si="36"/>
        <v>758.06299999999999</v>
      </c>
      <c r="E499" s="29">
        <f t="shared" ca="1" si="37"/>
        <v>0</v>
      </c>
      <c r="F499" s="39">
        <f t="shared" ca="1" si="38"/>
        <v>30</v>
      </c>
      <c r="G499" s="29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19340907</v>
      </c>
      <c r="C500" s="24" t="str">
        <f>INDEX(Data,2,2+MOD(ROWS(C$2:C500)-1,2))</f>
        <v>08.00</v>
      </c>
      <c r="D500" s="38">
        <f t="shared" ca="1" si="36"/>
        <v>759.99339999999995</v>
      </c>
      <c r="E500" s="29">
        <f t="shared" ca="1" si="37"/>
        <v>0</v>
      </c>
      <c r="F500" s="39">
        <f t="shared" ca="1" si="38"/>
        <v>28.611111111111111</v>
      </c>
      <c r="G500" s="29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19340907</v>
      </c>
      <c r="C501" s="24" t="str">
        <f>INDEX(Data,2,2+MOD(ROWS(C$2:C501)-1,2))</f>
        <v>15.00</v>
      </c>
      <c r="D501" s="38">
        <f t="shared" ca="1" si="36"/>
        <v>758.69799999999998</v>
      </c>
      <c r="E501" s="29">
        <f t="shared" ca="1" si="37"/>
        <v>0</v>
      </c>
      <c r="F501" s="39">
        <f t="shared" ca="1" si="38"/>
        <v>28.888888888888889</v>
      </c>
      <c r="G501" s="29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19340908</v>
      </c>
      <c r="C502" s="24" t="str">
        <f>INDEX(Data,2,2+MOD(ROWS(C$2:C502)-1,2))</f>
        <v>08.00</v>
      </c>
      <c r="D502" s="38">
        <f t="shared" ca="1" si="36"/>
        <v>760.85699999999997</v>
      </c>
      <c r="E502" s="29">
        <f t="shared" ca="1" si="37"/>
        <v>0</v>
      </c>
      <c r="F502" s="39">
        <f t="shared" ca="1" si="38"/>
        <v>27.777777777777779</v>
      </c>
      <c r="G502" s="29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19340908</v>
      </c>
      <c r="C503" s="24" t="str">
        <f>INDEX(Data,2,2+MOD(ROWS(C$2:C503)-1,2))</f>
        <v>15.00</v>
      </c>
      <c r="D503" s="38">
        <f t="shared" ca="1" si="36"/>
        <v>759.35839999999996</v>
      </c>
      <c r="E503" s="29">
        <f t="shared" ca="1" si="37"/>
        <v>0</v>
      </c>
      <c r="F503" s="39">
        <f t="shared" ca="1" si="38"/>
        <v>29.722222222222221</v>
      </c>
      <c r="G503" s="29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19340909</v>
      </c>
      <c r="C504" s="24" t="str">
        <f>INDEX(Data,2,2+MOD(ROWS(C$2:C504)-1,2))</f>
        <v>08.00</v>
      </c>
      <c r="D504" s="38">
        <f t="shared" ca="1" si="36"/>
        <v>761.23799999999994</v>
      </c>
      <c r="E504" s="29">
        <f t="shared" ca="1" si="37"/>
        <v>0</v>
      </c>
      <c r="F504" s="39">
        <f t="shared" ca="1" si="38"/>
        <v>28.611111111111111</v>
      </c>
      <c r="G504" s="29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19340909</v>
      </c>
      <c r="C505" s="24" t="str">
        <f>INDEX(Data,2,2+MOD(ROWS(C$2:C505)-1,2))</f>
        <v>15.00</v>
      </c>
      <c r="D505" s="38">
        <f t="shared" ca="1" si="36"/>
        <v>759.07899999999995</v>
      </c>
      <c r="E505" s="29">
        <f t="shared" ca="1" si="37"/>
        <v>0</v>
      </c>
      <c r="F505" s="39">
        <f t="shared" ca="1" si="38"/>
        <v>30</v>
      </c>
      <c r="G505" s="29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19340910</v>
      </c>
      <c r="C506" s="24" t="str">
        <f>INDEX(Data,2,2+MOD(ROWS(C$2:C506)-1,2))</f>
        <v>08.00</v>
      </c>
      <c r="D506" s="38">
        <f t="shared" ca="1" si="36"/>
        <v>761.23799999999994</v>
      </c>
      <c r="E506" s="29">
        <f t="shared" ca="1" si="37"/>
        <v>0</v>
      </c>
      <c r="F506" s="39">
        <f t="shared" ca="1" si="38"/>
        <v>28.611111111111111</v>
      </c>
      <c r="G506" s="29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19340910</v>
      </c>
      <c r="C507" s="24" t="str">
        <f>INDEX(Data,2,2+MOD(ROWS(C$2:C507)-1,2))</f>
        <v>15.00</v>
      </c>
      <c r="D507" s="38">
        <f t="shared" ca="1" si="36"/>
        <v>759.58699999999999</v>
      </c>
      <c r="E507" s="29">
        <f t="shared" ca="1" si="37"/>
        <v>0</v>
      </c>
      <c r="F507" s="39">
        <f t="shared" ca="1" si="38"/>
        <v>30</v>
      </c>
      <c r="G507" s="29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19340911</v>
      </c>
      <c r="C508" s="24" t="str">
        <f>INDEX(Data,2,2+MOD(ROWS(C$2:C508)-1,2))</f>
        <v>08.00</v>
      </c>
      <c r="D508" s="38">
        <f t="shared" ca="1" si="36"/>
        <v>761.03480000000002</v>
      </c>
      <c r="E508" s="29">
        <f t="shared" ca="1" si="37"/>
        <v>0</v>
      </c>
      <c r="F508" s="39">
        <f t="shared" ca="1" si="38"/>
        <v>28.333333333333332</v>
      </c>
      <c r="G508" s="29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19340911</v>
      </c>
      <c r="C509" s="24" t="str">
        <f>INDEX(Data,2,2+MOD(ROWS(C$2:C509)-1,2))</f>
        <v>15.00</v>
      </c>
      <c r="D509" s="38">
        <f t="shared" ca="1" si="36"/>
        <v>759.07899999999995</v>
      </c>
      <c r="E509" s="29">
        <f t="shared" ca="1" si="37"/>
        <v>0</v>
      </c>
      <c r="F509" s="39">
        <f t="shared" ca="1" si="38"/>
        <v>30</v>
      </c>
      <c r="G509" s="29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19340912</v>
      </c>
      <c r="C510" s="24" t="str">
        <f>INDEX(Data,2,2+MOD(ROWS(C$2:C510)-1,2))</f>
        <v>08.00</v>
      </c>
      <c r="D510" s="38">
        <f t="shared" ca="1" si="36"/>
        <v>760.80619999999999</v>
      </c>
      <c r="E510" s="29">
        <f t="shared" ca="1" si="37"/>
        <v>0</v>
      </c>
      <c r="F510" s="39">
        <f t="shared" ca="1" si="38"/>
        <v>28.333333333333332</v>
      </c>
      <c r="G510" s="29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19340912</v>
      </c>
      <c r="C511" s="24" t="str">
        <f>INDEX(Data,2,2+MOD(ROWS(C$2:C511)-1,2))</f>
        <v>15.00</v>
      </c>
      <c r="D511" s="38">
        <f t="shared" ca="1" si="36"/>
        <v>758.08839999999998</v>
      </c>
      <c r="E511" s="29">
        <f t="shared" ca="1" si="37"/>
        <v>0</v>
      </c>
      <c r="F511" s="39">
        <f t="shared" ca="1" si="38"/>
        <v>29.722222222222221</v>
      </c>
      <c r="G511" s="29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19340913</v>
      </c>
      <c r="C512" s="24" t="str">
        <f>INDEX(Data,2,2+MOD(ROWS(C$2:C512)-1,2))</f>
        <v>08.00</v>
      </c>
      <c r="D512" s="38">
        <f t="shared" ca="1" si="36"/>
        <v>760.22199999999998</v>
      </c>
      <c r="E512" s="29">
        <f t="shared" ca="1" si="37"/>
        <v>0</v>
      </c>
      <c r="F512" s="39">
        <f t="shared" ca="1" si="38"/>
        <v>28.888888888888889</v>
      </c>
      <c r="G512" s="29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19340913</v>
      </c>
      <c r="C513" s="24" t="str">
        <f>INDEX(Data,2,2+MOD(ROWS(C$2:C513)-1,2))</f>
        <v>15.00</v>
      </c>
      <c r="D513" s="38">
        <f t="shared" ca="1" si="36"/>
        <v>757.98680000000002</v>
      </c>
      <c r="E513" s="29">
        <f t="shared" ca="1" si="37"/>
        <v>0</v>
      </c>
      <c r="F513" s="39">
        <f t="shared" ca="1" si="38"/>
        <v>30.555555555555557</v>
      </c>
      <c r="G513" s="29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19340914</v>
      </c>
      <c r="C514" s="24" t="str">
        <f>INDEX(Data,2,2+MOD(ROWS(C$2:C514)-1,2))</f>
        <v>08.00</v>
      </c>
      <c r="D514" s="38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760.73</v>
      </c>
      <c r="E514" s="29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39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28.888888888888889</v>
      </c>
      <c r="G514" s="29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19340914</v>
      </c>
      <c r="C515" s="24" t="str">
        <f>INDEX(Data,2,2+MOD(ROWS(C$2:C515)-1,2))</f>
        <v>15.00</v>
      </c>
      <c r="D515" s="38">
        <f t="shared" ca="1" si="41"/>
        <v>759.28219999999999</v>
      </c>
      <c r="E515" s="29">
        <f t="shared" ca="1" si="42"/>
        <v>0</v>
      </c>
      <c r="F515" s="39">
        <f t="shared" ca="1" si="43"/>
        <v>30.277777777777779</v>
      </c>
      <c r="G515" s="29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19340915</v>
      </c>
      <c r="C516" s="24" t="str">
        <f>INDEX(Data,2,2+MOD(ROWS(C$2:C516)-1,2))</f>
        <v>08.00</v>
      </c>
      <c r="D516" s="38">
        <f t="shared" ca="1" si="41"/>
        <v>761.74599999999998</v>
      </c>
      <c r="E516" s="29">
        <f t="shared" ca="1" si="42"/>
        <v>0</v>
      </c>
      <c r="F516" s="39">
        <f t="shared" ca="1" si="43"/>
        <v>28.611111111111111</v>
      </c>
      <c r="G516" s="29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19340915</v>
      </c>
      <c r="C517" s="24" t="str">
        <f>INDEX(Data,2,2+MOD(ROWS(C$2:C517)-1,2))</f>
        <v>15.00</v>
      </c>
      <c r="D517" s="38">
        <f t="shared" ca="1" si="41"/>
        <v>759.28219999999999</v>
      </c>
      <c r="E517" s="29">
        <f t="shared" ca="1" si="42"/>
        <v>0</v>
      </c>
      <c r="F517" s="39">
        <f t="shared" ca="1" si="43"/>
        <v>30.277777777777779</v>
      </c>
      <c r="G517" s="29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19340916</v>
      </c>
      <c r="C518" s="24" t="str">
        <f>INDEX(Data,2,2+MOD(ROWS(C$2:C518)-1,2))</f>
        <v>08.00</v>
      </c>
      <c r="D518" s="38">
        <f t="shared" ca="1" si="41"/>
        <v>760.98399999999992</v>
      </c>
      <c r="E518" s="29">
        <f t="shared" ca="1" si="42"/>
        <v>0</v>
      </c>
      <c r="F518" s="39">
        <f t="shared" ca="1" si="43"/>
        <v>28.611111111111111</v>
      </c>
      <c r="G518" s="29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19340916</v>
      </c>
      <c r="C519" s="24" t="str">
        <f>INDEX(Data,2,2+MOD(ROWS(C$2:C519)-1,2))</f>
        <v>15.00</v>
      </c>
      <c r="D519" s="38">
        <f t="shared" ca="1" si="41"/>
        <v>758.77419999999995</v>
      </c>
      <c r="E519" s="29">
        <f t="shared" ca="1" si="42"/>
        <v>0</v>
      </c>
      <c r="F519" s="39">
        <f t="shared" ca="1" si="43"/>
        <v>30.277777777777779</v>
      </c>
      <c r="G519" s="29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19340917</v>
      </c>
      <c r="C520" s="24" t="str">
        <f>INDEX(Data,2,2+MOD(ROWS(C$2:C520)-1,2))</f>
        <v>08.00</v>
      </c>
      <c r="D520" s="38">
        <f t="shared" ca="1" si="41"/>
        <v>760.29819999999995</v>
      </c>
      <c r="E520" s="29">
        <f t="shared" ca="1" si="42"/>
        <v>0</v>
      </c>
      <c r="F520" s="39">
        <f t="shared" ca="1" si="43"/>
        <v>28.333333333333332</v>
      </c>
      <c r="G520" s="29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19340917</v>
      </c>
      <c r="C521" s="24" t="str">
        <f>INDEX(Data,2,2+MOD(ROWS(C$2:C521)-1,2))</f>
        <v>15.00</v>
      </c>
      <c r="D521" s="38">
        <f t="shared" ca="1" si="41"/>
        <v>757.75819999999999</v>
      </c>
      <c r="E521" s="29">
        <f t="shared" ca="1" si="42"/>
        <v>0</v>
      </c>
      <c r="F521" s="39">
        <f t="shared" ca="1" si="43"/>
        <v>30.277777777777779</v>
      </c>
      <c r="G521" s="29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19340918</v>
      </c>
      <c r="C522" s="24" t="str">
        <f>INDEX(Data,2,2+MOD(ROWS(C$2:C522)-1,2))</f>
        <v>08.00</v>
      </c>
      <c r="D522" s="38">
        <f t="shared" ca="1" si="41"/>
        <v>760.476</v>
      </c>
      <c r="E522" s="29">
        <f t="shared" ca="1" si="42"/>
        <v>0</v>
      </c>
      <c r="F522" s="39">
        <f t="shared" ca="1" si="43"/>
        <v>28.888888888888889</v>
      </c>
      <c r="G522" s="29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19340918</v>
      </c>
      <c r="C523" s="24" t="str">
        <f>INDEX(Data,2,2+MOD(ROWS(C$2:C523)-1,2))</f>
        <v>15.00</v>
      </c>
      <c r="D523" s="38">
        <f t="shared" ca="1" si="41"/>
        <v>757.75819999999999</v>
      </c>
      <c r="E523" s="29">
        <f t="shared" ca="1" si="42"/>
        <v>0</v>
      </c>
      <c r="F523" s="39">
        <f t="shared" ca="1" si="43"/>
        <v>30.277777777777779</v>
      </c>
      <c r="G523" s="29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19340919</v>
      </c>
      <c r="C524" s="24" t="str">
        <f>INDEX(Data,2,2+MOD(ROWS(C$2:C524)-1,2))</f>
        <v>08.00</v>
      </c>
      <c r="D524" s="38">
        <f t="shared" ca="1" si="41"/>
        <v>760.39979999999991</v>
      </c>
      <c r="E524" s="29">
        <f t="shared" ca="1" si="42"/>
        <v>0</v>
      </c>
      <c r="F524" s="39">
        <f t="shared" ca="1" si="43"/>
        <v>29.444444444444443</v>
      </c>
      <c r="G524" s="29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19340919</v>
      </c>
      <c r="C525" s="24" t="str">
        <f>INDEX(Data,2,2+MOD(ROWS(C$2:C525)-1,2))</f>
        <v>15.00</v>
      </c>
      <c r="D525" s="38">
        <f t="shared" ca="1" si="41"/>
        <v>757.98680000000002</v>
      </c>
      <c r="E525" s="29">
        <f t="shared" ca="1" si="42"/>
        <v>0</v>
      </c>
      <c r="F525" s="39">
        <f t="shared" ca="1" si="43"/>
        <v>30.555555555555557</v>
      </c>
      <c r="G525" s="29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19340920</v>
      </c>
      <c r="C526" s="24" t="str">
        <f>INDEX(Data,2,2+MOD(ROWS(C$2:C526)-1,2))</f>
        <v>08.00</v>
      </c>
      <c r="D526" s="38">
        <f t="shared" ca="1" si="41"/>
        <v>760.45060000000001</v>
      </c>
      <c r="E526" s="29">
        <f t="shared" ca="1" si="42"/>
        <v>0</v>
      </c>
      <c r="F526" s="39">
        <f t="shared" ca="1" si="43"/>
        <v>29.166666666666668</v>
      </c>
      <c r="G526" s="29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19340920</v>
      </c>
      <c r="C527" s="24" t="str">
        <f>INDEX(Data,2,2+MOD(ROWS(C$2:C527)-1,2))</f>
        <v>15.00</v>
      </c>
      <c r="D527" s="38">
        <f t="shared" ca="1" si="41"/>
        <v>758.06299999999999</v>
      </c>
      <c r="E527" s="29">
        <f t="shared" ca="1" si="42"/>
        <v>0</v>
      </c>
      <c r="F527" s="39">
        <f t="shared" ca="1" si="43"/>
        <v>30</v>
      </c>
      <c r="G527" s="29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19340921</v>
      </c>
      <c r="C528" s="24" t="str">
        <f>INDEX(Data,2,2+MOD(ROWS(C$2:C528)-1,2))</f>
        <v>08.00</v>
      </c>
      <c r="D528" s="38">
        <f t="shared" ca="1" si="41"/>
        <v>759.96799999999996</v>
      </c>
      <c r="E528" s="29">
        <f t="shared" ca="1" si="42"/>
        <v>0</v>
      </c>
      <c r="F528" s="39">
        <f t="shared" ca="1" si="43"/>
        <v>28.888888888888889</v>
      </c>
      <c r="G528" s="29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19340921</v>
      </c>
      <c r="C529" s="24" t="str">
        <f>INDEX(Data,2,2+MOD(ROWS(C$2:C529)-1,2))</f>
        <v>15.00</v>
      </c>
      <c r="D529" s="38">
        <f t="shared" ca="1" si="41"/>
        <v>757.50419999999997</v>
      </c>
      <c r="E529" s="29">
        <f t="shared" ca="1" si="42"/>
        <v>0</v>
      </c>
      <c r="F529" s="39">
        <f t="shared" ca="1" si="43"/>
        <v>30.277777777777779</v>
      </c>
      <c r="G529" s="29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19340922</v>
      </c>
      <c r="C530" s="24" t="str">
        <f>INDEX(Data,2,2+MOD(ROWS(C$2:C530)-1,2))</f>
        <v>08.00</v>
      </c>
      <c r="D530" s="38">
        <f t="shared" ca="1" si="41"/>
        <v>760.98399999999992</v>
      </c>
      <c r="E530" s="29">
        <f t="shared" ca="1" si="42"/>
        <v>0</v>
      </c>
      <c r="F530" s="39">
        <f t="shared" ca="1" si="43"/>
        <v>28.333333333333332</v>
      </c>
      <c r="G530" s="29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19340922</v>
      </c>
      <c r="C531" s="24" t="str">
        <f>INDEX(Data,2,2+MOD(ROWS(C$2:C531)-1,2))</f>
        <v>15.00</v>
      </c>
      <c r="D531" s="38">
        <f t="shared" ca="1" si="41"/>
        <v>759.68859999999995</v>
      </c>
      <c r="E531" s="29">
        <f t="shared" ca="1" si="42"/>
        <v>0</v>
      </c>
      <c r="F531" s="39">
        <f t="shared" ca="1" si="43"/>
        <v>29.166666666666668</v>
      </c>
      <c r="G531" s="29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19340923</v>
      </c>
      <c r="C532" s="24" t="str">
        <f>INDEX(Data,2,2+MOD(ROWS(C$2:C532)-1,2))</f>
        <v>08.00</v>
      </c>
      <c r="D532" s="38">
        <f t="shared" ca="1" si="41"/>
        <v>762.3048</v>
      </c>
      <c r="E532" s="29">
        <f t="shared" ca="1" si="42"/>
        <v>0</v>
      </c>
      <c r="F532" s="39">
        <f t="shared" ca="1" si="43"/>
        <v>28.333333333333332</v>
      </c>
      <c r="G532" s="29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19340923</v>
      </c>
      <c r="C533" s="24" t="str">
        <f>INDEX(Data,2,2+MOD(ROWS(C$2:C533)-1,2))</f>
        <v>15.00</v>
      </c>
      <c r="D533" s="38">
        <f t="shared" ca="1" si="41"/>
        <v>759.89179999999999</v>
      </c>
      <c r="E533" s="29">
        <f t="shared" ca="1" si="42"/>
        <v>0</v>
      </c>
      <c r="F533" s="39">
        <f t="shared" ca="1" si="43"/>
        <v>29.444444444444443</v>
      </c>
      <c r="G533" s="29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19340924</v>
      </c>
      <c r="C534" s="24" t="str">
        <f>INDEX(Data,2,2+MOD(ROWS(C$2:C534)-1,2))</f>
        <v>08.00</v>
      </c>
      <c r="D534" s="38">
        <f t="shared" ca="1" si="41"/>
        <v>761.54279999999994</v>
      </c>
      <c r="E534" s="29">
        <f t="shared" ca="1" si="42"/>
        <v>0</v>
      </c>
      <c r="F534" s="39">
        <f t="shared" ca="1" si="43"/>
        <v>28.333333333333332</v>
      </c>
      <c r="G534" s="29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19340924</v>
      </c>
      <c r="C535" s="24" t="str">
        <f>INDEX(Data,2,2+MOD(ROWS(C$2:C535)-1,2))</f>
        <v>15.00</v>
      </c>
      <c r="D535" s="38">
        <f t="shared" ca="1" si="41"/>
        <v>759.07899999999995</v>
      </c>
      <c r="E535" s="29">
        <f t="shared" ca="1" si="42"/>
        <v>0</v>
      </c>
      <c r="F535" s="39">
        <f t="shared" ca="1" si="43"/>
        <v>30</v>
      </c>
      <c r="G535" s="29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19340925</v>
      </c>
      <c r="C536" s="24" t="str">
        <f>INDEX(Data,2,2+MOD(ROWS(C$2:C536)-1,2))</f>
        <v>08.00</v>
      </c>
      <c r="D536" s="38">
        <f t="shared" ca="1" si="41"/>
        <v>761.06020000000001</v>
      </c>
      <c r="E536" s="29">
        <f t="shared" ca="1" si="42"/>
        <v>0</v>
      </c>
      <c r="F536" s="39">
        <f t="shared" ca="1" si="43"/>
        <v>28.333333333333332</v>
      </c>
      <c r="G536" s="29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19340925</v>
      </c>
      <c r="C537" s="24" t="str">
        <f>INDEX(Data,2,2+MOD(ROWS(C$2:C537)-1,2))</f>
        <v>15.00</v>
      </c>
      <c r="D537" s="38">
        <f t="shared" ca="1" si="41"/>
        <v>757.80899999999997</v>
      </c>
      <c r="E537" s="29">
        <f t="shared" ca="1" si="42"/>
        <v>0</v>
      </c>
      <c r="F537" s="39">
        <f t="shared" ca="1" si="43"/>
        <v>30</v>
      </c>
      <c r="G537" s="29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19340926</v>
      </c>
      <c r="C538" s="24" t="str">
        <f>INDEX(Data,2,2+MOD(ROWS(C$2:C538)-1,2))</f>
        <v>08.00</v>
      </c>
      <c r="D538" s="38">
        <f t="shared" ca="1" si="41"/>
        <v>760.24739999999997</v>
      </c>
      <c r="E538" s="29">
        <f t="shared" ca="1" si="42"/>
        <v>0</v>
      </c>
      <c r="F538" s="39">
        <f t="shared" ca="1" si="43"/>
        <v>28.611111111111111</v>
      </c>
      <c r="G538" s="29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19340926</v>
      </c>
      <c r="C539" s="24" t="str">
        <f>INDEX(Data,2,2+MOD(ROWS(C$2:C539)-1,2))</f>
        <v>15.00</v>
      </c>
      <c r="D539" s="38">
        <f t="shared" ca="1" si="41"/>
        <v>758.57099999999991</v>
      </c>
      <c r="E539" s="29">
        <f t="shared" ca="1" si="42"/>
        <v>0</v>
      </c>
      <c r="F539" s="39">
        <f t="shared" ca="1" si="43"/>
        <v>30</v>
      </c>
      <c r="G539" s="29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19340927</v>
      </c>
      <c r="C540" s="24" t="str">
        <f>INDEX(Data,2,2+MOD(ROWS(C$2:C540)-1,2))</f>
        <v>08.00</v>
      </c>
      <c r="D540" s="38">
        <f t="shared" ca="1" si="41"/>
        <v>760.95859999999993</v>
      </c>
      <c r="E540" s="29">
        <f t="shared" ca="1" si="42"/>
        <v>0</v>
      </c>
      <c r="F540" s="39">
        <f t="shared" ca="1" si="43"/>
        <v>28.888888888888889</v>
      </c>
      <c r="G540" s="29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19340927</v>
      </c>
      <c r="C541" s="24" t="str">
        <f>INDEX(Data,2,2+MOD(ROWS(C$2:C541)-1,2))</f>
        <v>15.00</v>
      </c>
      <c r="D541" s="38">
        <f t="shared" ca="1" si="41"/>
        <v>759.02819999999997</v>
      </c>
      <c r="E541" s="29">
        <f t="shared" ca="1" si="42"/>
        <v>0</v>
      </c>
      <c r="F541" s="39">
        <f t="shared" ca="1" si="43"/>
        <v>30.277777777777779</v>
      </c>
      <c r="G541" s="29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19340928</v>
      </c>
      <c r="C542" s="24" t="str">
        <f>INDEX(Data,2,2+MOD(ROWS(C$2:C542)-1,2))</f>
        <v>08.00</v>
      </c>
      <c r="D542" s="38">
        <f t="shared" ca="1" si="41"/>
        <v>760.50139999999999</v>
      </c>
      <c r="E542" s="29">
        <f t="shared" ca="1" si="42"/>
        <v>0</v>
      </c>
      <c r="F542" s="39">
        <f t="shared" ca="1" si="43"/>
        <v>28.611111111111111</v>
      </c>
      <c r="G542" s="29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19340928</v>
      </c>
      <c r="C543" s="24" t="str">
        <f>INDEX(Data,2,2+MOD(ROWS(C$2:C543)-1,2))</f>
        <v>15.00</v>
      </c>
      <c r="D543" s="38">
        <f t="shared" ca="1" si="41"/>
        <v>758.01220000000001</v>
      </c>
      <c r="E543" s="29">
        <f t="shared" ca="1" si="42"/>
        <v>0</v>
      </c>
      <c r="F543" s="39">
        <f t="shared" ca="1" si="43"/>
        <v>30.277777777777779</v>
      </c>
      <c r="G543" s="29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19340929</v>
      </c>
      <c r="C544" s="24" t="str">
        <f>INDEX(Data,2,2+MOD(ROWS(C$2:C544)-1,2))</f>
        <v>08.00</v>
      </c>
      <c r="D544" s="38">
        <f t="shared" ca="1" si="41"/>
        <v>760.95859999999993</v>
      </c>
      <c r="E544" s="29">
        <f t="shared" ca="1" si="42"/>
        <v>0</v>
      </c>
      <c r="F544" s="39">
        <f t="shared" ca="1" si="43"/>
        <v>28.888888888888889</v>
      </c>
      <c r="G544" s="29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19340929</v>
      </c>
      <c r="C545" s="24" t="str">
        <f>INDEX(Data,2,2+MOD(ROWS(C$2:C545)-1,2))</f>
        <v>15.00</v>
      </c>
      <c r="D545" s="38">
        <f t="shared" ca="1" si="41"/>
        <v>758.82499999999993</v>
      </c>
      <c r="E545" s="29">
        <f t="shared" ca="1" si="42"/>
        <v>0</v>
      </c>
      <c r="F545" s="39">
        <f t="shared" ca="1" si="43"/>
        <v>30</v>
      </c>
      <c r="G545" s="29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19340930</v>
      </c>
      <c r="C546" s="24" t="str">
        <f>INDEX(Data,2,2+MOD(ROWS(C$2:C546)-1,2))</f>
        <v>08.00</v>
      </c>
      <c r="D546" s="38">
        <f t="shared" ca="1" si="41"/>
        <v>761.49199999999996</v>
      </c>
      <c r="E546" s="29">
        <f t="shared" ca="1" si="42"/>
        <v>0</v>
      </c>
      <c r="F546" s="39">
        <f t="shared" ca="1" si="43"/>
        <v>28.611111111111111</v>
      </c>
      <c r="G546" s="29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19340930</v>
      </c>
      <c r="C547" s="24" t="str">
        <f>INDEX(Data,2,2+MOD(ROWS(C$2:C547)-1,2))</f>
        <v>15.00</v>
      </c>
      <c r="D547" s="38">
        <f t="shared" ca="1" si="41"/>
        <v>759.00279999999998</v>
      </c>
      <c r="E547" s="29">
        <f t="shared" ca="1" si="42"/>
        <v>0</v>
      </c>
      <c r="F547" s="39">
        <f t="shared" ca="1" si="43"/>
        <v>30.555555555555557</v>
      </c>
      <c r="G547" s="29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19341001</v>
      </c>
      <c r="C548" s="24" t="str">
        <f>INDEX(Data,2,2+MOD(ROWS(C$2:C548)-1,2))</f>
        <v>08.00</v>
      </c>
      <c r="D548" s="38">
        <f t="shared" ca="1" si="41"/>
        <v>760.19659999999999</v>
      </c>
      <c r="E548" s="29">
        <f t="shared" ca="1" si="42"/>
        <v>0</v>
      </c>
      <c r="F548" s="39">
        <f t="shared" ca="1" si="43"/>
        <v>29.166666666666668</v>
      </c>
      <c r="G548" s="29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19341001</v>
      </c>
      <c r="C549" s="24" t="str">
        <f>INDEX(Data,2,2+MOD(ROWS(C$2:C549)-1,2))</f>
        <v>15.00</v>
      </c>
      <c r="D549" s="38">
        <f t="shared" ca="1" si="41"/>
        <v>757.22479999999996</v>
      </c>
      <c r="E549" s="29">
        <f t="shared" ca="1" si="42"/>
        <v>0</v>
      </c>
      <c r="F549" s="39">
        <f t="shared" ca="1" si="43"/>
        <v>30.555555555555557</v>
      </c>
      <c r="G549" s="29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19341002</v>
      </c>
      <c r="C550" s="24" t="str">
        <f>INDEX(Data,2,2+MOD(ROWS(C$2:C550)-1,2))</f>
        <v>08.00</v>
      </c>
      <c r="D550" s="38">
        <f t="shared" ca="1" si="41"/>
        <v>760.70459999999991</v>
      </c>
      <c r="E550" s="29">
        <f t="shared" ca="1" si="42"/>
        <v>0</v>
      </c>
      <c r="F550" s="39">
        <f t="shared" ca="1" si="43"/>
        <v>29.166666666666668</v>
      </c>
      <c r="G550" s="29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19341002</v>
      </c>
      <c r="C551" s="24" t="str">
        <f>INDEX(Data,2,2+MOD(ROWS(C$2:C551)-1,2))</f>
        <v>15.00</v>
      </c>
      <c r="D551" s="38">
        <f t="shared" ca="1" si="41"/>
        <v>757.22479999999996</v>
      </c>
      <c r="E551" s="29">
        <f t="shared" ca="1" si="42"/>
        <v>0</v>
      </c>
      <c r="F551" s="39">
        <f t="shared" ca="1" si="43"/>
        <v>30.555555555555557</v>
      </c>
      <c r="G551" s="29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19341003</v>
      </c>
      <c r="C552" s="24" t="str">
        <f>INDEX(Data,2,2+MOD(ROWS(C$2:C552)-1,2))</f>
        <v>08.00</v>
      </c>
      <c r="D552" s="38">
        <f t="shared" ca="1" si="41"/>
        <v>760.73</v>
      </c>
      <c r="E552" s="29">
        <f t="shared" ca="1" si="42"/>
        <v>0</v>
      </c>
      <c r="F552" s="39">
        <f t="shared" ca="1" si="43"/>
        <v>28.888888888888889</v>
      </c>
      <c r="G552" s="29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19341003</v>
      </c>
      <c r="C553" s="24" t="str">
        <f>INDEX(Data,2,2+MOD(ROWS(C$2:C553)-1,2))</f>
        <v>15.00</v>
      </c>
      <c r="D553" s="38">
        <f t="shared" ca="1" si="41"/>
        <v>757.70740000000001</v>
      </c>
      <c r="E553" s="29">
        <f t="shared" ca="1" si="42"/>
        <v>0</v>
      </c>
      <c r="F553" s="39">
        <f t="shared" ca="1" si="43"/>
        <v>30.833333333333332</v>
      </c>
      <c r="G553" s="29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19341004</v>
      </c>
      <c r="C554" s="24" t="str">
        <f>INDEX(Data,2,2+MOD(ROWS(C$2:C554)-1,2))</f>
        <v>08.00</v>
      </c>
      <c r="D554" s="38">
        <f t="shared" ca="1" si="41"/>
        <v>760.85699999999997</v>
      </c>
      <c r="E554" s="29">
        <f t="shared" ca="1" si="42"/>
        <v>0</v>
      </c>
      <c r="F554" s="39">
        <f t="shared" ca="1" si="43"/>
        <v>27.777777777777779</v>
      </c>
      <c r="G554" s="29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19341004</v>
      </c>
      <c r="C555" s="24" t="str">
        <f>INDEX(Data,2,2+MOD(ROWS(C$2:C555)-1,2))</f>
        <v>15.00</v>
      </c>
      <c r="D555" s="38">
        <f t="shared" ca="1" si="41"/>
        <v>758.11379999999997</v>
      </c>
      <c r="E555" s="29">
        <f t="shared" ca="1" si="42"/>
        <v>0</v>
      </c>
      <c r="F555" s="39">
        <f t="shared" ca="1" si="43"/>
        <v>29.444444444444443</v>
      </c>
      <c r="G555" s="29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19341005</v>
      </c>
      <c r="C556" s="24" t="str">
        <f>INDEX(Data,2,2+MOD(ROWS(C$2:C556)-1,2))</f>
        <v>08.00</v>
      </c>
      <c r="D556" s="38">
        <f t="shared" ca="1" si="41"/>
        <v>761.97460000000001</v>
      </c>
      <c r="E556" s="29">
        <f t="shared" ca="1" si="42"/>
        <v>0</v>
      </c>
      <c r="F556" s="39">
        <f t="shared" ca="1" si="43"/>
        <v>28.888888888888889</v>
      </c>
      <c r="G556" s="29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19341005</v>
      </c>
      <c r="C557" s="24" t="str">
        <f>INDEX(Data,2,2+MOD(ROWS(C$2:C557)-1,2))</f>
        <v>15.00</v>
      </c>
      <c r="D557" s="38">
        <f t="shared" ca="1" si="41"/>
        <v>759.00279999999998</v>
      </c>
      <c r="E557" s="29">
        <f t="shared" ca="1" si="42"/>
        <v>0</v>
      </c>
      <c r="F557" s="39">
        <f t="shared" ca="1" si="43"/>
        <v>30.555555555555557</v>
      </c>
      <c r="G557" s="29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19341006</v>
      </c>
      <c r="C558" s="24" t="str">
        <f>INDEX(Data,2,2+MOD(ROWS(C$2:C558)-1,2))</f>
        <v>08.00</v>
      </c>
      <c r="D558" s="38">
        <f t="shared" ca="1" si="41"/>
        <v>761.97460000000001</v>
      </c>
      <c r="E558" s="29">
        <f t="shared" ca="1" si="42"/>
        <v>0</v>
      </c>
      <c r="F558" s="39">
        <f t="shared" ca="1" si="43"/>
        <v>28.888888888888889</v>
      </c>
      <c r="G558" s="29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19341006</v>
      </c>
      <c r="C559" s="24" t="str">
        <f>INDEX(Data,2,2+MOD(ROWS(C$2:C559)-1,2))</f>
        <v>15.00</v>
      </c>
      <c r="D559" s="38">
        <f t="shared" ca="1" si="41"/>
        <v>759.76479999999992</v>
      </c>
      <c r="E559" s="29">
        <f t="shared" ca="1" si="42"/>
        <v>0</v>
      </c>
      <c r="F559" s="39">
        <f t="shared" ca="1" si="43"/>
        <v>30.555555555555557</v>
      </c>
      <c r="G559" s="29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19341007</v>
      </c>
      <c r="C560" s="24" t="str">
        <f>INDEX(Data,2,2+MOD(ROWS(C$2:C560)-1,2))</f>
        <v>08.00</v>
      </c>
      <c r="D560" s="38">
        <f t="shared" ca="1" si="41"/>
        <v>761.49199999999996</v>
      </c>
      <c r="E560" s="29">
        <f t="shared" ca="1" si="42"/>
        <v>0</v>
      </c>
      <c r="F560" s="39">
        <f t="shared" ca="1" si="43"/>
        <v>28.611111111111111</v>
      </c>
      <c r="G560" s="29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19341007</v>
      </c>
      <c r="C561" s="24" t="str">
        <f>INDEX(Data,2,2+MOD(ROWS(C$2:C561)-1,2))</f>
        <v>15.00</v>
      </c>
      <c r="D561" s="38">
        <f t="shared" ca="1" si="41"/>
        <v>759.58699999999999</v>
      </c>
      <c r="E561" s="29">
        <f t="shared" ca="1" si="42"/>
        <v>0</v>
      </c>
      <c r="F561" s="39">
        <f t="shared" ca="1" si="43"/>
        <v>30</v>
      </c>
      <c r="G561" s="29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19341008</v>
      </c>
      <c r="C562" s="24" t="str">
        <f>INDEX(Data,2,2+MOD(ROWS(C$2:C562)-1,2))</f>
        <v>08.00</v>
      </c>
      <c r="D562" s="38">
        <f t="shared" ca="1" si="41"/>
        <v>762</v>
      </c>
      <c r="E562" s="29">
        <f t="shared" ca="1" si="42"/>
        <v>0</v>
      </c>
      <c r="F562" s="39">
        <f t="shared" ca="1" si="43"/>
        <v>28.611111111111111</v>
      </c>
      <c r="G562" s="29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19341008</v>
      </c>
      <c r="C563" s="24" t="str">
        <f>INDEX(Data,2,2+MOD(ROWS(C$2:C563)-1,2))</f>
        <v>15.00</v>
      </c>
      <c r="D563" s="38">
        <f t="shared" ca="1" si="41"/>
        <v>759.07899999999995</v>
      </c>
      <c r="E563" s="29">
        <f t="shared" ca="1" si="42"/>
        <v>0</v>
      </c>
      <c r="F563" s="39">
        <f t="shared" ca="1" si="43"/>
        <v>30</v>
      </c>
      <c r="G563" s="29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19341009</v>
      </c>
      <c r="C564" s="24" t="str">
        <f>INDEX(Data,2,2+MOD(ROWS(C$2:C564)-1,2))</f>
        <v>08.00</v>
      </c>
      <c r="D564" s="38">
        <f t="shared" ca="1" si="41"/>
        <v>760.95859999999993</v>
      </c>
      <c r="E564" s="29">
        <f t="shared" ca="1" si="42"/>
        <v>0</v>
      </c>
      <c r="F564" s="39">
        <f t="shared" ca="1" si="43"/>
        <v>28.888888888888889</v>
      </c>
      <c r="G564" s="29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19341009</v>
      </c>
      <c r="C565" s="24" t="str">
        <f>INDEX(Data,2,2+MOD(ROWS(C$2:C565)-1,2))</f>
        <v>15.00</v>
      </c>
      <c r="D565" s="38">
        <f t="shared" ca="1" si="41"/>
        <v>758.57099999999991</v>
      </c>
      <c r="E565" s="29">
        <f t="shared" ca="1" si="42"/>
        <v>0</v>
      </c>
      <c r="F565" s="39">
        <f t="shared" ca="1" si="43"/>
        <v>30</v>
      </c>
      <c r="G565" s="29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19341010</v>
      </c>
      <c r="C566" s="24" t="str">
        <f>INDEX(Data,2,2+MOD(ROWS(C$2:C566)-1,2))</f>
        <v>08.00</v>
      </c>
      <c r="D566" s="38">
        <f t="shared" ca="1" si="41"/>
        <v>761.49199999999996</v>
      </c>
      <c r="E566" s="29">
        <f t="shared" ca="1" si="42"/>
        <v>0</v>
      </c>
      <c r="F566" s="39">
        <f t="shared" ca="1" si="43"/>
        <v>28.611111111111111</v>
      </c>
      <c r="G566" s="29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19341010</v>
      </c>
      <c r="C567" s="24" t="str">
        <f>INDEX(Data,2,2+MOD(ROWS(C$2:C567)-1,2))</f>
        <v>15.00</v>
      </c>
      <c r="D567" s="38">
        <f t="shared" ca="1" si="41"/>
        <v>759.10439999999994</v>
      </c>
      <c r="E567" s="29">
        <f t="shared" ca="1" si="42"/>
        <v>0</v>
      </c>
      <c r="F567" s="39">
        <f t="shared" ca="1" si="43"/>
        <v>29.722222222222221</v>
      </c>
      <c r="G567" s="29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19341011</v>
      </c>
      <c r="C568" s="24" t="str">
        <f>INDEX(Data,2,2+MOD(ROWS(C$2:C568)-1,2))</f>
        <v>08.00</v>
      </c>
      <c r="D568" s="38">
        <f t="shared" ca="1" si="41"/>
        <v>760.73</v>
      </c>
      <c r="E568" s="29">
        <f t="shared" ca="1" si="42"/>
        <v>0</v>
      </c>
      <c r="F568" s="39">
        <f t="shared" ca="1" si="43"/>
        <v>28.888888888888889</v>
      </c>
      <c r="G568" s="29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19341011</v>
      </c>
      <c r="C569" s="24" t="str">
        <f>INDEX(Data,2,2+MOD(ROWS(C$2:C569)-1,2))</f>
        <v>15.00</v>
      </c>
      <c r="D569" s="38">
        <f t="shared" ca="1" si="41"/>
        <v>757.75819999999999</v>
      </c>
      <c r="E569" s="29">
        <f t="shared" ca="1" si="42"/>
        <v>0</v>
      </c>
      <c r="F569" s="39">
        <f t="shared" ca="1" si="43"/>
        <v>30.277777777777779</v>
      </c>
      <c r="G569" s="29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19341012</v>
      </c>
      <c r="C570" s="24" t="str">
        <f>INDEX(Data,2,2+MOD(ROWS(C$2:C570)-1,2))</f>
        <v>08.00</v>
      </c>
      <c r="D570" s="38">
        <f t="shared" ca="1" si="41"/>
        <v>759.23140000000001</v>
      </c>
      <c r="E570" s="29">
        <f t="shared" ca="1" si="42"/>
        <v>0</v>
      </c>
      <c r="F570" s="39">
        <f t="shared" ca="1" si="43"/>
        <v>28.611111111111111</v>
      </c>
      <c r="G570" s="29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19341012</v>
      </c>
      <c r="C571" s="24" t="str">
        <f>INDEX(Data,2,2+MOD(ROWS(C$2:C571)-1,2))</f>
        <v>15.00</v>
      </c>
      <c r="D571" s="38">
        <f t="shared" ca="1" si="41"/>
        <v>755.70079999999996</v>
      </c>
      <c r="E571" s="29">
        <f t="shared" ca="1" si="42"/>
        <v>0</v>
      </c>
      <c r="F571" s="39">
        <f t="shared" ca="1" si="43"/>
        <v>30.555555555555557</v>
      </c>
      <c r="G571" s="29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19341013</v>
      </c>
      <c r="C572" s="24" t="str">
        <f>INDEX(Data,2,2+MOD(ROWS(C$2:C572)-1,2))</f>
        <v>08.00</v>
      </c>
      <c r="D572" s="38">
        <f t="shared" ca="1" si="41"/>
        <v>760.55219999999997</v>
      </c>
      <c r="E572" s="29">
        <f t="shared" ca="1" si="42"/>
        <v>0</v>
      </c>
      <c r="F572" s="39">
        <f t="shared" ca="1" si="43"/>
        <v>28.333333333333332</v>
      </c>
      <c r="G572" s="29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19341013</v>
      </c>
      <c r="C573" s="24" t="str">
        <f>INDEX(Data,2,2+MOD(ROWS(C$2:C573)-1,2))</f>
        <v>15.00</v>
      </c>
      <c r="D573" s="38">
        <f t="shared" ca="1" si="41"/>
        <v>757.04700000000003</v>
      </c>
      <c r="E573" s="29">
        <f t="shared" ca="1" si="42"/>
        <v>0</v>
      </c>
      <c r="F573" s="39">
        <f t="shared" ca="1" si="43"/>
        <v>30</v>
      </c>
      <c r="G573" s="29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19341014</v>
      </c>
      <c r="C574" s="24" t="str">
        <f>INDEX(Data,2,2+MOD(ROWS(C$2:C574)-1,2))</f>
        <v>08.00</v>
      </c>
      <c r="D574" s="38">
        <f t="shared" ca="1" si="41"/>
        <v>760.476</v>
      </c>
      <c r="E574" s="29">
        <f t="shared" ca="1" si="42"/>
        <v>0</v>
      </c>
      <c r="F574" s="39">
        <f t="shared" ca="1" si="43"/>
        <v>28.888888888888889</v>
      </c>
      <c r="G574" s="29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19341014</v>
      </c>
      <c r="C575" s="24" t="str">
        <f>INDEX(Data,2,2+MOD(ROWS(C$2:C575)-1,2))</f>
        <v>15.00</v>
      </c>
      <c r="D575" s="38">
        <f t="shared" ca="1" si="41"/>
        <v>757.80899999999997</v>
      </c>
      <c r="E575" s="29">
        <f t="shared" ca="1" si="42"/>
        <v>0</v>
      </c>
      <c r="F575" s="39">
        <f t="shared" ca="1" si="43"/>
        <v>30</v>
      </c>
      <c r="G575" s="29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19341015</v>
      </c>
      <c r="C576" s="24" t="str">
        <f>INDEX(Data,2,2+MOD(ROWS(C$2:C576)-1,2))</f>
        <v>08.00</v>
      </c>
      <c r="D576" s="38">
        <f t="shared" ca="1" si="41"/>
        <v>759.71399999999994</v>
      </c>
      <c r="E576" s="29">
        <f t="shared" ca="1" si="42"/>
        <v>0</v>
      </c>
      <c r="F576" s="39">
        <f t="shared" ca="1" si="43"/>
        <v>28.888888888888889</v>
      </c>
      <c r="G576" s="29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19341015</v>
      </c>
      <c r="C577" s="24" t="str">
        <f>INDEX(Data,2,2+MOD(ROWS(C$2:C577)-1,2))</f>
        <v>15.00</v>
      </c>
      <c r="D577" s="38">
        <f t="shared" ca="1" si="41"/>
        <v>757.30099999999993</v>
      </c>
      <c r="E577" s="29">
        <f t="shared" ca="1" si="42"/>
        <v>0</v>
      </c>
      <c r="F577" s="39">
        <f t="shared" ca="1" si="43"/>
        <v>30</v>
      </c>
      <c r="G577" s="29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19341016</v>
      </c>
      <c r="C578" s="24" t="str">
        <f>INDEX(Data,2,2+MOD(ROWS(C$2:C578)-1,2))</f>
        <v>08.00</v>
      </c>
      <c r="D578" s="38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760.22199999999998</v>
      </c>
      <c r="E578" s="29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39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28.888888888888889</v>
      </c>
      <c r="G578" s="29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19341016</v>
      </c>
      <c r="C579" s="24" t="str">
        <f>INDEX(Data,2,2+MOD(ROWS(C$2:C579)-1,2))</f>
        <v>15.00</v>
      </c>
      <c r="D579" s="38">
        <f t="shared" ca="1" si="46"/>
        <v>757.80899999999997</v>
      </c>
      <c r="E579" s="29">
        <f t="shared" ca="1" si="47"/>
        <v>0</v>
      </c>
      <c r="F579" s="39">
        <f t="shared" ca="1" si="48"/>
        <v>30</v>
      </c>
      <c r="G579" s="29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19341017</v>
      </c>
      <c r="C580" s="24" t="str">
        <f>INDEX(Data,2,2+MOD(ROWS(C$2:C580)-1,2))</f>
        <v>08.00</v>
      </c>
      <c r="D580" s="38">
        <f t="shared" ca="1" si="46"/>
        <v>760.476</v>
      </c>
      <c r="E580" s="29">
        <f t="shared" ca="1" si="47"/>
        <v>0</v>
      </c>
      <c r="F580" s="39">
        <f t="shared" ca="1" si="48"/>
        <v>28.888888888888889</v>
      </c>
      <c r="G580" s="29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19341017</v>
      </c>
      <c r="C581" s="24" t="str">
        <f>INDEX(Data,2,2+MOD(ROWS(C$2:C581)-1,2))</f>
        <v>15.00</v>
      </c>
      <c r="D581" s="38">
        <f t="shared" ca="1" si="46"/>
        <v>758.06299999999999</v>
      </c>
      <c r="E581" s="29">
        <f t="shared" ca="1" si="47"/>
        <v>0</v>
      </c>
      <c r="F581" s="39">
        <f t="shared" ca="1" si="48"/>
        <v>30</v>
      </c>
      <c r="G581" s="29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19341018</v>
      </c>
      <c r="C582" s="24" t="str">
        <f>INDEX(Data,2,2+MOD(ROWS(C$2:C582)-1,2))</f>
        <v>08.00</v>
      </c>
      <c r="D582" s="38">
        <f t="shared" ca="1" si="46"/>
        <v>759.71399999999994</v>
      </c>
      <c r="E582" s="29">
        <f t="shared" ca="1" si="47"/>
        <v>0</v>
      </c>
      <c r="F582" s="39">
        <f t="shared" ca="1" si="48"/>
        <v>28.888888888888889</v>
      </c>
      <c r="G582" s="29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19341018</v>
      </c>
      <c r="C583" s="24" t="str">
        <f>INDEX(Data,2,2+MOD(ROWS(C$2:C583)-1,2))</f>
        <v>15.00</v>
      </c>
      <c r="D583" s="38">
        <f t="shared" ca="1" si="46"/>
        <v>757.55499999999995</v>
      </c>
      <c r="E583" s="29">
        <f t="shared" ca="1" si="47"/>
        <v>0</v>
      </c>
      <c r="F583" s="39">
        <f t="shared" ca="1" si="48"/>
        <v>30</v>
      </c>
      <c r="G583" s="29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19341019</v>
      </c>
      <c r="C584" s="24" t="str">
        <f>INDEX(Data,2,2+MOD(ROWS(C$2:C584)-1,2))</f>
        <v>08.00</v>
      </c>
      <c r="D584" s="38">
        <f t="shared" ca="1" si="46"/>
        <v>759.96799999999996</v>
      </c>
      <c r="E584" s="29">
        <f t="shared" ca="1" si="47"/>
        <v>0</v>
      </c>
      <c r="F584" s="39">
        <f t="shared" ca="1" si="48"/>
        <v>28.888888888888889</v>
      </c>
      <c r="G584" s="29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19341019</v>
      </c>
      <c r="C585" s="24" t="str">
        <f>INDEX(Data,2,2+MOD(ROWS(C$2:C585)-1,2))</f>
        <v>15.00</v>
      </c>
      <c r="D585" s="38">
        <f t="shared" ca="1" si="46"/>
        <v>758.06299999999999</v>
      </c>
      <c r="E585" s="29">
        <f t="shared" ca="1" si="47"/>
        <v>0</v>
      </c>
      <c r="F585" s="39">
        <f t="shared" ca="1" si="48"/>
        <v>30</v>
      </c>
      <c r="G585" s="29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19341020</v>
      </c>
      <c r="C586" s="24" t="str">
        <f>INDEX(Data,2,2+MOD(ROWS(C$2:C586)-1,2))</f>
        <v>08.00</v>
      </c>
      <c r="D586" s="38">
        <f t="shared" ca="1" si="46"/>
        <v>760.60299999999995</v>
      </c>
      <c r="E586" s="29">
        <f t="shared" ca="1" si="47"/>
        <v>0</v>
      </c>
      <c r="F586" s="39">
        <f t="shared" ca="1" si="48"/>
        <v>27.777777777777779</v>
      </c>
      <c r="G586" s="29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19341020</v>
      </c>
      <c r="C587" s="24" t="str">
        <f>INDEX(Data,2,2+MOD(ROWS(C$2:C587)-1,2))</f>
        <v>15.00</v>
      </c>
      <c r="D587" s="38">
        <f t="shared" ca="1" si="46"/>
        <v>758.36779999999999</v>
      </c>
      <c r="E587" s="29">
        <f t="shared" ca="1" si="47"/>
        <v>0</v>
      </c>
      <c r="F587" s="39">
        <f t="shared" ca="1" si="48"/>
        <v>29.444444444444443</v>
      </c>
      <c r="G587" s="29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19341021</v>
      </c>
      <c r="C588" s="24" t="str">
        <f>INDEX(Data,2,2+MOD(ROWS(C$2:C588)-1,2))</f>
        <v>08.00</v>
      </c>
      <c r="D588" s="38">
        <f t="shared" ca="1" si="46"/>
        <v>760.83159999999998</v>
      </c>
      <c r="E588" s="29">
        <f t="shared" ca="1" si="47"/>
        <v>0</v>
      </c>
      <c r="F588" s="39">
        <f t="shared" ca="1" si="48"/>
        <v>28.055555555555557</v>
      </c>
      <c r="G588" s="29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19341021</v>
      </c>
      <c r="C589" s="24" t="str">
        <f>INDEX(Data,2,2+MOD(ROWS(C$2:C589)-1,2))</f>
        <v>15.00</v>
      </c>
      <c r="D589" s="38">
        <f t="shared" ca="1" si="46"/>
        <v>758.06299999999999</v>
      </c>
      <c r="E589" s="29">
        <f t="shared" ca="1" si="47"/>
        <v>0</v>
      </c>
      <c r="F589" s="39">
        <f t="shared" ca="1" si="48"/>
        <v>30</v>
      </c>
      <c r="G589" s="29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19341022</v>
      </c>
      <c r="C590" s="24" t="str">
        <f>INDEX(Data,2,2+MOD(ROWS(C$2:C590)-1,2))</f>
        <v>08.00</v>
      </c>
      <c r="D590" s="38">
        <f t="shared" ca="1" si="46"/>
        <v>760.24739999999997</v>
      </c>
      <c r="E590" s="29">
        <f t="shared" ca="1" si="47"/>
        <v>0</v>
      </c>
      <c r="F590" s="39">
        <f t="shared" ca="1" si="48"/>
        <v>28.611111111111111</v>
      </c>
      <c r="G590" s="29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19341022</v>
      </c>
      <c r="C591" s="24" t="str">
        <f>INDEX(Data,2,2+MOD(ROWS(C$2:C591)-1,2))</f>
        <v>15.00</v>
      </c>
      <c r="D591" s="38">
        <f t="shared" ca="1" si="46"/>
        <v>757.35180000000003</v>
      </c>
      <c r="E591" s="29">
        <f t="shared" ca="1" si="47"/>
        <v>0</v>
      </c>
      <c r="F591" s="39">
        <f t="shared" ca="1" si="48"/>
        <v>29.444444444444443</v>
      </c>
      <c r="G591" s="29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19341023</v>
      </c>
      <c r="C592" s="24" t="str">
        <f>INDEX(Data,2,2+MOD(ROWS(C$2:C592)-1,2))</f>
        <v>08.00</v>
      </c>
      <c r="D592" s="38">
        <f t="shared" ca="1" si="46"/>
        <v>760.04419999999993</v>
      </c>
      <c r="E592" s="29">
        <f t="shared" ca="1" si="47"/>
        <v>0</v>
      </c>
      <c r="F592" s="39">
        <f t="shared" ca="1" si="48"/>
        <v>28.333333333333332</v>
      </c>
      <c r="G592" s="29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19341023</v>
      </c>
      <c r="C593" s="24" t="str">
        <f>INDEX(Data,2,2+MOD(ROWS(C$2:C593)-1,2))</f>
        <v>15.00</v>
      </c>
      <c r="D593" s="38">
        <f t="shared" ca="1" si="46"/>
        <v>756.64059999999995</v>
      </c>
      <c r="E593" s="29">
        <f t="shared" ca="1" si="47"/>
        <v>0</v>
      </c>
      <c r="F593" s="39">
        <f t="shared" ca="1" si="48"/>
        <v>29.166666666666668</v>
      </c>
      <c r="G593" s="29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19341024</v>
      </c>
      <c r="C594" s="24" t="str">
        <f>INDEX(Data,2,2+MOD(ROWS(C$2:C594)-1,2))</f>
        <v>08.00</v>
      </c>
      <c r="D594" s="38">
        <f t="shared" ca="1" si="46"/>
        <v>759.23140000000001</v>
      </c>
      <c r="E594" s="29">
        <f t="shared" ca="1" si="47"/>
        <v>0</v>
      </c>
      <c r="F594" s="39">
        <f t="shared" ca="1" si="48"/>
        <v>28.611111111111111</v>
      </c>
      <c r="G594" s="29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19341024</v>
      </c>
      <c r="C595" s="24" t="str">
        <f>INDEX(Data,2,2+MOD(ROWS(C$2:C595)-1,2))</f>
        <v>15.00</v>
      </c>
      <c r="D595" s="38">
        <f t="shared" ca="1" si="46"/>
        <v>756.97079999999994</v>
      </c>
      <c r="E595" s="29">
        <f t="shared" ca="1" si="47"/>
        <v>0</v>
      </c>
      <c r="F595" s="39">
        <f t="shared" ca="1" si="48"/>
        <v>30.555555555555557</v>
      </c>
      <c r="G595" s="29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19341025</v>
      </c>
      <c r="C596" s="24" t="str">
        <f>INDEX(Data,2,2+MOD(ROWS(C$2:C596)-1,2))</f>
        <v>08.00</v>
      </c>
      <c r="D596" s="38">
        <f t="shared" ca="1" si="46"/>
        <v>760.476</v>
      </c>
      <c r="E596" s="29">
        <f t="shared" ca="1" si="47"/>
        <v>0</v>
      </c>
      <c r="F596" s="39">
        <f t="shared" ca="1" si="48"/>
        <v>28.888888888888889</v>
      </c>
      <c r="G596" s="29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19341025</v>
      </c>
      <c r="C597" s="24" t="str">
        <f>INDEX(Data,2,2+MOD(ROWS(C$2:C597)-1,2))</f>
        <v>15.00</v>
      </c>
      <c r="D597" s="38">
        <f t="shared" ca="1" si="46"/>
        <v>759.02819999999997</v>
      </c>
      <c r="E597" s="29">
        <f t="shared" ca="1" si="47"/>
        <v>0</v>
      </c>
      <c r="F597" s="39">
        <f t="shared" ca="1" si="48"/>
        <v>30.277777777777779</v>
      </c>
      <c r="G597" s="29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19341026</v>
      </c>
      <c r="C598" s="24" t="str">
        <f>INDEX(Data,2,2+MOD(ROWS(C$2:C598)-1,2))</f>
        <v>08.00</v>
      </c>
      <c r="D598" s="38">
        <f t="shared" ca="1" si="46"/>
        <v>762.20319999999992</v>
      </c>
      <c r="E598" s="29">
        <f t="shared" ca="1" si="47"/>
        <v>0</v>
      </c>
      <c r="F598" s="39">
        <f t="shared" ca="1" si="48"/>
        <v>29.166666666666668</v>
      </c>
      <c r="G598" s="29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19341026</v>
      </c>
      <c r="C599" s="24" t="str">
        <f>INDEX(Data,2,2+MOD(ROWS(C$2:C599)-1,2))</f>
        <v>15.00</v>
      </c>
      <c r="D599" s="38">
        <f t="shared" ca="1" si="46"/>
        <v>759.79019999999991</v>
      </c>
      <c r="E599" s="29">
        <f t="shared" ca="1" si="47"/>
        <v>0</v>
      </c>
      <c r="F599" s="39">
        <f t="shared" ca="1" si="48"/>
        <v>30.277777777777779</v>
      </c>
      <c r="G599" s="29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19341027</v>
      </c>
      <c r="C600" s="24" t="str">
        <f>INDEX(Data,2,2+MOD(ROWS(C$2:C600)-1,2))</f>
        <v>08.00</v>
      </c>
      <c r="D600" s="38">
        <f t="shared" ca="1" si="46"/>
        <v>762.22859999999991</v>
      </c>
      <c r="E600" s="29">
        <f t="shared" ca="1" si="47"/>
        <v>0</v>
      </c>
      <c r="F600" s="39">
        <f t="shared" ca="1" si="48"/>
        <v>28.888888888888889</v>
      </c>
      <c r="G600" s="29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19341027</v>
      </c>
      <c r="C601" s="24" t="str">
        <f>INDEX(Data,2,2+MOD(ROWS(C$2:C601)-1,2))</f>
        <v>15.00</v>
      </c>
      <c r="D601" s="38">
        <f t="shared" ca="1" si="46"/>
        <v>759.61239999999998</v>
      </c>
      <c r="E601" s="29">
        <f t="shared" ca="1" si="47"/>
        <v>0</v>
      </c>
      <c r="F601" s="39">
        <f t="shared" ca="1" si="48"/>
        <v>29.444444444444443</v>
      </c>
      <c r="G601" s="29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19341028</v>
      </c>
      <c r="C602" s="24" t="str">
        <f>INDEX(Data,2,2+MOD(ROWS(C$2:C602)-1,2))</f>
        <v>08.00</v>
      </c>
      <c r="D602" s="38">
        <f t="shared" ca="1" si="46"/>
        <v>761.06020000000001</v>
      </c>
      <c r="E602" s="29">
        <f t="shared" ca="1" si="47"/>
        <v>0</v>
      </c>
      <c r="F602" s="39">
        <f t="shared" ca="1" si="48"/>
        <v>28.055555555555557</v>
      </c>
      <c r="G602" s="29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19341028</v>
      </c>
      <c r="C603" s="24" t="str">
        <f>INDEX(Data,2,2+MOD(ROWS(C$2:C603)-1,2))</f>
        <v>15.00</v>
      </c>
      <c r="D603" s="38">
        <f t="shared" ca="1" si="46"/>
        <v>759.18059999999991</v>
      </c>
      <c r="E603" s="29">
        <f t="shared" ca="1" si="47"/>
        <v>0</v>
      </c>
      <c r="F603" s="39">
        <f t="shared" ca="1" si="48"/>
        <v>28.888888888888889</v>
      </c>
      <c r="G603" s="29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19341029</v>
      </c>
      <c r="C604" s="24" t="str">
        <f>INDEX(Data,2,2+MOD(ROWS(C$2:C604)-1,2))</f>
        <v>08.00</v>
      </c>
      <c r="D604" s="38">
        <f t="shared" ca="1" si="46"/>
        <v>762</v>
      </c>
      <c r="E604" s="29">
        <f t="shared" ca="1" si="47"/>
        <v>0</v>
      </c>
      <c r="F604" s="39">
        <f t="shared" ca="1" si="48"/>
        <v>28.611111111111111</v>
      </c>
      <c r="G604" s="29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19341029</v>
      </c>
      <c r="C605" s="24" t="str">
        <f>INDEX(Data,2,2+MOD(ROWS(C$2:C605)-1,2))</f>
        <v>15.00</v>
      </c>
      <c r="D605" s="38">
        <f t="shared" ca="1" si="46"/>
        <v>759.58699999999999</v>
      </c>
      <c r="E605" s="29">
        <f t="shared" ca="1" si="47"/>
        <v>0</v>
      </c>
      <c r="F605" s="39">
        <f t="shared" ca="1" si="48"/>
        <v>30</v>
      </c>
      <c r="G605" s="29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19341030</v>
      </c>
      <c r="C606" s="24" t="str">
        <f>INDEX(Data,2,2+MOD(ROWS(C$2:C606)-1,2))</f>
        <v>08.00</v>
      </c>
      <c r="D606" s="38">
        <f t="shared" ca="1" si="46"/>
        <v>762.76199999999994</v>
      </c>
      <c r="E606" s="29">
        <f t="shared" ca="1" si="47"/>
        <v>0</v>
      </c>
      <c r="F606" s="39">
        <f t="shared" ca="1" si="48"/>
        <v>28.611111111111111</v>
      </c>
      <c r="G606" s="29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19341030</v>
      </c>
      <c r="C607" s="24" t="str">
        <f>INDEX(Data,2,2+MOD(ROWS(C$2:C607)-1,2))</f>
        <v>15.00</v>
      </c>
      <c r="D607" s="38">
        <f t="shared" ca="1" si="46"/>
        <v>760.34899999999993</v>
      </c>
      <c r="E607" s="29">
        <f t="shared" ca="1" si="47"/>
        <v>0</v>
      </c>
      <c r="F607" s="39">
        <f t="shared" ca="1" si="48"/>
        <v>30</v>
      </c>
      <c r="G607" s="29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19341031</v>
      </c>
      <c r="C608" s="24" t="str">
        <f>INDEX(Data,2,2+MOD(ROWS(C$2:C608)-1,2))</f>
        <v>08.00</v>
      </c>
      <c r="D608" s="38">
        <f t="shared" ca="1" si="46"/>
        <v>762.22859999999991</v>
      </c>
      <c r="E608" s="29">
        <f t="shared" ca="1" si="47"/>
        <v>0</v>
      </c>
      <c r="F608" s="39">
        <f t="shared" ca="1" si="48"/>
        <v>28.888888888888889</v>
      </c>
      <c r="G608" s="29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19341031</v>
      </c>
      <c r="C609" s="24" t="str">
        <f>INDEX(Data,2,2+MOD(ROWS(C$2:C609)-1,2))</f>
        <v>15.00</v>
      </c>
      <c r="D609" s="38">
        <f t="shared" ca="1" si="46"/>
        <v>759.84100000000001</v>
      </c>
      <c r="E609" s="29">
        <f t="shared" ca="1" si="47"/>
        <v>0</v>
      </c>
      <c r="F609" s="39">
        <f t="shared" ca="1" si="48"/>
        <v>30</v>
      </c>
      <c r="G609" s="29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19341101</v>
      </c>
      <c r="C610" s="24" t="str">
        <f>INDEX(Data,2,2+MOD(ROWS(C$2:C610)-1,2))</f>
        <v>08.00</v>
      </c>
      <c r="D610" s="38">
        <f t="shared" ca="1" si="46"/>
        <v>761.21259999999995</v>
      </c>
      <c r="E610" s="29">
        <f t="shared" ca="1" si="47"/>
        <v>0</v>
      </c>
      <c r="F610" s="39">
        <f t="shared" ca="1" si="48"/>
        <v>28.888888888888889</v>
      </c>
      <c r="G610" s="29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19341101</v>
      </c>
      <c r="C611" s="24" t="str">
        <f>INDEX(Data,2,2+MOD(ROWS(C$2:C611)-1,2))</f>
        <v>15.00</v>
      </c>
      <c r="D611" s="38">
        <f t="shared" ca="1" si="46"/>
        <v>758.82499999999993</v>
      </c>
      <c r="E611" s="29">
        <f t="shared" ca="1" si="47"/>
        <v>0</v>
      </c>
      <c r="F611" s="39">
        <f t="shared" ca="1" si="48"/>
        <v>30</v>
      </c>
      <c r="G611" s="29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19341102</v>
      </c>
      <c r="C612" s="24" t="str">
        <f>INDEX(Data,2,2+MOD(ROWS(C$2:C612)-1,2))</f>
        <v>08.00</v>
      </c>
      <c r="D612" s="38">
        <f t="shared" ca="1" si="46"/>
        <v>760.73</v>
      </c>
      <c r="E612" s="29">
        <f t="shared" ca="1" si="47"/>
        <v>0</v>
      </c>
      <c r="F612" s="39">
        <f t="shared" ca="1" si="48"/>
        <v>28.888888888888889</v>
      </c>
      <c r="G612" s="29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19341102</v>
      </c>
      <c r="C613" s="24" t="str">
        <f>INDEX(Data,2,2+MOD(ROWS(C$2:C613)-1,2))</f>
        <v>15.00</v>
      </c>
      <c r="D613" s="38">
        <f t="shared" ca="1" si="46"/>
        <v>758.59640000000002</v>
      </c>
      <c r="E613" s="29">
        <f t="shared" ca="1" si="47"/>
        <v>0</v>
      </c>
      <c r="F613" s="39">
        <f t="shared" ca="1" si="48"/>
        <v>29.722222222222221</v>
      </c>
      <c r="G613" s="29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19341103</v>
      </c>
      <c r="C614" s="24" t="str">
        <f>INDEX(Data,2,2+MOD(ROWS(C$2:C614)-1,2))</f>
        <v>08.00</v>
      </c>
      <c r="D614" s="38">
        <f t="shared" ca="1" si="46"/>
        <v>760.55219999999997</v>
      </c>
      <c r="E614" s="29">
        <f t="shared" ca="1" si="47"/>
        <v>0</v>
      </c>
      <c r="F614" s="39">
        <f t="shared" ca="1" si="48"/>
        <v>28.333333333333332</v>
      </c>
      <c r="G614" s="29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19341103</v>
      </c>
      <c r="C615" s="24" t="str">
        <f>INDEX(Data,2,2+MOD(ROWS(C$2:C615)-1,2))</f>
        <v>15.00</v>
      </c>
      <c r="D615" s="38">
        <f t="shared" ca="1" si="46"/>
        <v>758.31700000000001</v>
      </c>
      <c r="E615" s="29">
        <f t="shared" ca="1" si="47"/>
        <v>0</v>
      </c>
      <c r="F615" s="39">
        <f t="shared" ca="1" si="48"/>
        <v>30</v>
      </c>
      <c r="G615" s="29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19341104</v>
      </c>
      <c r="C616" s="24" t="str">
        <f>INDEX(Data,2,2+MOD(ROWS(C$2:C616)-1,2))</f>
        <v>08.00</v>
      </c>
      <c r="D616" s="38">
        <f t="shared" ca="1" si="46"/>
        <v>761.03480000000002</v>
      </c>
      <c r="E616" s="29">
        <f t="shared" ca="1" si="47"/>
        <v>0</v>
      </c>
      <c r="F616" s="39">
        <f t="shared" ca="1" si="48"/>
        <v>28.333333333333332</v>
      </c>
      <c r="G616" s="29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19341104</v>
      </c>
      <c r="C617" s="24" t="str">
        <f>INDEX(Data,2,2+MOD(ROWS(C$2:C617)-1,2))</f>
        <v>15.00</v>
      </c>
      <c r="D617" s="38">
        <f t="shared" ca="1" si="46"/>
        <v>758.62180000000001</v>
      </c>
      <c r="E617" s="29">
        <f t="shared" ca="1" si="47"/>
        <v>0</v>
      </c>
      <c r="F617" s="39">
        <f t="shared" ca="1" si="48"/>
        <v>29.444444444444443</v>
      </c>
      <c r="G617" s="29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19341105</v>
      </c>
      <c r="C618" s="24" t="str">
        <f>INDEX(Data,2,2+MOD(ROWS(C$2:C618)-1,2))</f>
        <v>08.00</v>
      </c>
      <c r="D618" s="38">
        <f t="shared" ca="1" si="46"/>
        <v>761.49199999999996</v>
      </c>
      <c r="E618" s="29">
        <f t="shared" ca="1" si="47"/>
        <v>0</v>
      </c>
      <c r="F618" s="39">
        <f t="shared" ca="1" si="48"/>
        <v>28.611111111111111</v>
      </c>
      <c r="G618" s="29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19341105</v>
      </c>
      <c r="C619" s="24" t="str">
        <f>INDEX(Data,2,2+MOD(ROWS(C$2:C619)-1,2))</f>
        <v>15.00</v>
      </c>
      <c r="D619" s="38">
        <f t="shared" ca="1" si="46"/>
        <v>758.92660000000001</v>
      </c>
      <c r="E619" s="29">
        <f t="shared" ca="1" si="47"/>
        <v>0</v>
      </c>
      <c r="F619" s="39">
        <f t="shared" ca="1" si="48"/>
        <v>29.166666666666668</v>
      </c>
      <c r="G619" s="29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19341106</v>
      </c>
      <c r="C620" s="24" t="str">
        <f>INDEX(Data,2,2+MOD(ROWS(C$2:C620)-1,2))</f>
        <v>08.00</v>
      </c>
      <c r="D620" s="38">
        <f t="shared" ca="1" si="46"/>
        <v>760.55219999999997</v>
      </c>
      <c r="E620" s="29">
        <f t="shared" ca="1" si="47"/>
        <v>0</v>
      </c>
      <c r="F620" s="39">
        <f t="shared" ca="1" si="48"/>
        <v>28.333333333333332</v>
      </c>
      <c r="G620" s="29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19341106</v>
      </c>
      <c r="C621" s="24" t="str">
        <f>INDEX(Data,2,2+MOD(ROWS(C$2:C621)-1,2))</f>
        <v>15.00</v>
      </c>
      <c r="D621" s="38">
        <f t="shared" ca="1" si="46"/>
        <v>758.06299999999999</v>
      </c>
      <c r="E621" s="29">
        <f t="shared" ca="1" si="47"/>
        <v>0</v>
      </c>
      <c r="F621" s="39">
        <f t="shared" ca="1" si="48"/>
        <v>30</v>
      </c>
      <c r="G621" s="29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19341107</v>
      </c>
      <c r="C622" s="24" t="str">
        <f>INDEX(Data,2,2+MOD(ROWS(C$2:C622)-1,2))</f>
        <v>08.00</v>
      </c>
      <c r="D622" s="38">
        <f t="shared" ca="1" si="46"/>
        <v>759.79019999999991</v>
      </c>
      <c r="E622" s="29">
        <f t="shared" ca="1" si="47"/>
        <v>0</v>
      </c>
      <c r="F622" s="39">
        <f t="shared" ca="1" si="48"/>
        <v>28.333333333333332</v>
      </c>
      <c r="G622" s="29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19341107</v>
      </c>
      <c r="C623" s="24" t="str">
        <f>INDEX(Data,2,2+MOD(ROWS(C$2:C623)-1,2))</f>
        <v>15.00</v>
      </c>
      <c r="D623" s="38">
        <f t="shared" ca="1" si="46"/>
        <v>757.55499999999995</v>
      </c>
      <c r="E623" s="29">
        <f t="shared" ca="1" si="47"/>
        <v>0</v>
      </c>
      <c r="F623" s="39">
        <f t="shared" ca="1" si="48"/>
        <v>30</v>
      </c>
      <c r="G623" s="29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19341108</v>
      </c>
      <c r="C624" s="24" t="str">
        <f>INDEX(Data,2,2+MOD(ROWS(C$2:C624)-1,2))</f>
        <v>08.00</v>
      </c>
      <c r="D624" s="38">
        <f t="shared" ca="1" si="46"/>
        <v>760.24739999999997</v>
      </c>
      <c r="E624" s="29">
        <f t="shared" ca="1" si="47"/>
        <v>0</v>
      </c>
      <c r="F624" s="39">
        <f t="shared" ca="1" si="48"/>
        <v>28.611111111111111</v>
      </c>
      <c r="G624" s="29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19341108</v>
      </c>
      <c r="C625" s="24" t="str">
        <f>INDEX(Data,2,2+MOD(ROWS(C$2:C625)-1,2))</f>
        <v>15.00</v>
      </c>
      <c r="D625" s="38">
        <f t="shared" ca="1" si="46"/>
        <v>758.08839999999998</v>
      </c>
      <c r="E625" s="29">
        <f t="shared" ca="1" si="47"/>
        <v>0</v>
      </c>
      <c r="F625" s="39">
        <f t="shared" ca="1" si="48"/>
        <v>29.722222222222221</v>
      </c>
      <c r="G625" s="29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19341109</v>
      </c>
      <c r="C626" s="24" t="str">
        <f>INDEX(Data,2,2+MOD(ROWS(C$2:C626)-1,2))</f>
        <v>08.00</v>
      </c>
      <c r="D626" s="38">
        <f t="shared" ca="1" si="46"/>
        <v>761.26339999999993</v>
      </c>
      <c r="E626" s="29">
        <f t="shared" ca="1" si="47"/>
        <v>0</v>
      </c>
      <c r="F626" s="39">
        <f t="shared" ca="1" si="48"/>
        <v>28.611111111111111</v>
      </c>
      <c r="G626" s="29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19341109</v>
      </c>
      <c r="C627" s="24" t="str">
        <f>INDEX(Data,2,2+MOD(ROWS(C$2:C627)-1,2))</f>
        <v>15.00</v>
      </c>
      <c r="D627" s="38">
        <f t="shared" ca="1" si="46"/>
        <v>759.07899999999995</v>
      </c>
      <c r="E627" s="29">
        <f t="shared" ca="1" si="47"/>
        <v>0</v>
      </c>
      <c r="F627" s="39">
        <f t="shared" ca="1" si="48"/>
        <v>30</v>
      </c>
      <c r="G627" s="29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19341110</v>
      </c>
      <c r="C628" s="24" t="str">
        <f>INDEX(Data,2,2+MOD(ROWS(C$2:C628)-1,2))</f>
        <v>08.00</v>
      </c>
      <c r="D628" s="38">
        <f t="shared" ca="1" si="46"/>
        <v>761.79679999999996</v>
      </c>
      <c r="E628" s="29">
        <f t="shared" ca="1" si="47"/>
        <v>0</v>
      </c>
      <c r="F628" s="39">
        <f t="shared" ca="1" si="48"/>
        <v>28.333333333333332</v>
      </c>
      <c r="G628" s="29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19341110</v>
      </c>
      <c r="C629" s="24" t="str">
        <f>INDEX(Data,2,2+MOD(ROWS(C$2:C629)-1,2))</f>
        <v>15.00</v>
      </c>
      <c r="D629" s="38">
        <f t="shared" ca="1" si="46"/>
        <v>759.02819999999997</v>
      </c>
      <c r="E629" s="29">
        <f t="shared" ca="1" si="47"/>
        <v>0</v>
      </c>
      <c r="F629" s="39">
        <f t="shared" ca="1" si="48"/>
        <v>30.277777777777779</v>
      </c>
      <c r="G629" s="29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19341111</v>
      </c>
      <c r="C630" s="24" t="str">
        <f>INDEX(Data,2,2+MOD(ROWS(C$2:C630)-1,2))</f>
        <v>08.00</v>
      </c>
      <c r="D630" s="38">
        <f t="shared" ca="1" si="46"/>
        <v>760.80619999999999</v>
      </c>
      <c r="E630" s="29">
        <f t="shared" ca="1" si="47"/>
        <v>0</v>
      </c>
      <c r="F630" s="39">
        <f t="shared" ca="1" si="48"/>
        <v>28.333333333333332</v>
      </c>
      <c r="G630" s="29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19341111</v>
      </c>
      <c r="C631" s="24" t="str">
        <f>INDEX(Data,2,2+MOD(ROWS(C$2:C631)-1,2))</f>
        <v>15.00</v>
      </c>
      <c r="D631" s="38">
        <f t="shared" ca="1" si="46"/>
        <v>757.58039999999994</v>
      </c>
      <c r="E631" s="29">
        <f t="shared" ca="1" si="47"/>
        <v>0</v>
      </c>
      <c r="F631" s="39">
        <f t="shared" ca="1" si="48"/>
        <v>29.722222222222221</v>
      </c>
      <c r="G631" s="29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19341112</v>
      </c>
      <c r="C632" s="24" t="str">
        <f>INDEX(Data,2,2+MOD(ROWS(C$2:C632)-1,2))</f>
        <v>08.00</v>
      </c>
      <c r="D632" s="38">
        <f t="shared" ca="1" si="46"/>
        <v>760.24739999999997</v>
      </c>
      <c r="E632" s="29">
        <f t="shared" ca="1" si="47"/>
        <v>0</v>
      </c>
      <c r="F632" s="39">
        <f t="shared" ca="1" si="48"/>
        <v>28.611111111111111</v>
      </c>
      <c r="G632" s="29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19341112</v>
      </c>
      <c r="C633" s="24" t="str">
        <f>INDEX(Data,2,2+MOD(ROWS(C$2:C633)-1,2))</f>
        <v>15.00</v>
      </c>
      <c r="D633" s="38">
        <f t="shared" ca="1" si="46"/>
        <v>757.50419999999997</v>
      </c>
      <c r="E633" s="29">
        <f t="shared" ca="1" si="47"/>
        <v>0</v>
      </c>
      <c r="F633" s="39">
        <f t="shared" ca="1" si="48"/>
        <v>30.277777777777779</v>
      </c>
      <c r="G633" s="29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19341113</v>
      </c>
      <c r="C634" s="24" t="str">
        <f>INDEX(Data,2,2+MOD(ROWS(C$2:C634)-1,2))</f>
        <v>08.00</v>
      </c>
      <c r="D634" s="38">
        <f t="shared" ca="1" si="46"/>
        <v>760.50139999999999</v>
      </c>
      <c r="E634" s="29">
        <f t="shared" ca="1" si="47"/>
        <v>0</v>
      </c>
      <c r="F634" s="39">
        <f t="shared" ca="1" si="48"/>
        <v>28.611111111111111</v>
      </c>
      <c r="G634" s="29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19341113</v>
      </c>
      <c r="C635" s="24" t="str">
        <f>INDEX(Data,2,2+MOD(ROWS(C$2:C635)-1,2))</f>
        <v>15.00</v>
      </c>
      <c r="D635" s="38">
        <f t="shared" ca="1" si="46"/>
        <v>757.58039999999994</v>
      </c>
      <c r="E635" s="29">
        <f t="shared" ca="1" si="47"/>
        <v>0</v>
      </c>
      <c r="F635" s="39">
        <f t="shared" ca="1" si="48"/>
        <v>29.722222222222221</v>
      </c>
      <c r="G635" s="29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19341114</v>
      </c>
      <c r="C636" s="24" t="str">
        <f>INDEX(Data,2,2+MOD(ROWS(C$2:C636)-1,2))</f>
        <v>08.00</v>
      </c>
      <c r="D636" s="38">
        <f t="shared" ca="1" si="46"/>
        <v>760.24739999999997</v>
      </c>
      <c r="E636" s="29">
        <f t="shared" ca="1" si="47"/>
        <v>0</v>
      </c>
      <c r="F636" s="39">
        <f t="shared" ca="1" si="48"/>
        <v>28.611111111111111</v>
      </c>
      <c r="G636" s="29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19341114</v>
      </c>
      <c r="C637" s="24" t="str">
        <f>INDEX(Data,2,2+MOD(ROWS(C$2:C637)-1,2))</f>
        <v>15.00</v>
      </c>
      <c r="D637" s="38">
        <f t="shared" ca="1" si="46"/>
        <v>757.30099999999993</v>
      </c>
      <c r="E637" s="29">
        <f t="shared" ca="1" si="47"/>
        <v>0</v>
      </c>
      <c r="F637" s="39">
        <f t="shared" ca="1" si="48"/>
        <v>30</v>
      </c>
      <c r="G637" s="29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19341115</v>
      </c>
      <c r="C638" s="24" t="str">
        <f>INDEX(Data,2,2+MOD(ROWS(C$2:C638)-1,2))</f>
        <v>08.00</v>
      </c>
      <c r="D638" s="38">
        <f t="shared" ca="1" si="46"/>
        <v>760.24739999999997</v>
      </c>
      <c r="E638" s="29">
        <f t="shared" ca="1" si="47"/>
        <v>0</v>
      </c>
      <c r="F638" s="39">
        <f t="shared" ca="1" si="48"/>
        <v>28.611111111111111</v>
      </c>
      <c r="G638" s="29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19341115</v>
      </c>
      <c r="C639" s="24" t="str">
        <f>INDEX(Data,2,2+MOD(ROWS(C$2:C639)-1,2))</f>
        <v>15.00</v>
      </c>
      <c r="D639" s="38">
        <f t="shared" ca="1" si="46"/>
        <v>757.65660000000003</v>
      </c>
      <c r="E639" s="29">
        <f t="shared" ca="1" si="47"/>
        <v>0</v>
      </c>
      <c r="F639" s="39">
        <f t="shared" ca="1" si="48"/>
        <v>29.166666666666668</v>
      </c>
      <c r="G639" s="29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19341116</v>
      </c>
      <c r="C640" s="24" t="str">
        <f>INDEX(Data,2,2+MOD(ROWS(C$2:C640)-1,2))</f>
        <v>08.00</v>
      </c>
      <c r="D640" s="38">
        <f t="shared" ca="1" si="46"/>
        <v>760.55219999999997</v>
      </c>
      <c r="E640" s="29">
        <f t="shared" ca="1" si="47"/>
        <v>0</v>
      </c>
      <c r="F640" s="39">
        <f t="shared" ca="1" si="48"/>
        <v>28.333333333333332</v>
      </c>
      <c r="G640" s="29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19341116</v>
      </c>
      <c r="C641" s="24" t="str">
        <f>INDEX(Data,2,2+MOD(ROWS(C$2:C641)-1,2))</f>
        <v>15.00</v>
      </c>
      <c r="D641" s="38">
        <f t="shared" ca="1" si="46"/>
        <v>758.36779999999999</v>
      </c>
      <c r="E641" s="29">
        <f t="shared" ca="1" si="47"/>
        <v>0</v>
      </c>
      <c r="F641" s="39">
        <f t="shared" ca="1" si="48"/>
        <v>29.444444444444443</v>
      </c>
      <c r="G641" s="29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19341117</v>
      </c>
      <c r="C642" s="24" t="str">
        <f>INDEX(Data,2,2+MOD(ROWS(C$2:C642)-1,2))</f>
        <v>08.00</v>
      </c>
      <c r="D642" s="38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760.83159999999998</v>
      </c>
      <c r="E642" s="29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39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28.055555555555557</v>
      </c>
      <c r="G642" s="29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19341117</v>
      </c>
      <c r="C643" s="24" t="str">
        <f>INDEX(Data,2,2+MOD(ROWS(C$2:C643)-1,2))</f>
        <v>15.00</v>
      </c>
      <c r="D643" s="38">
        <f t="shared" ca="1" si="51"/>
        <v>758.16459999999995</v>
      </c>
      <c r="E643" s="29">
        <f t="shared" ca="1" si="52"/>
        <v>0</v>
      </c>
      <c r="F643" s="39">
        <f t="shared" ca="1" si="53"/>
        <v>29.166666666666668</v>
      </c>
      <c r="G643" s="29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19341118</v>
      </c>
      <c r="C644" s="24" t="str">
        <f>INDEX(Data,2,2+MOD(ROWS(C$2:C644)-1,2))</f>
        <v>08.00</v>
      </c>
      <c r="D644" s="38">
        <f t="shared" ca="1" si="51"/>
        <v>760.55219999999997</v>
      </c>
      <c r="E644" s="29">
        <f t="shared" ca="1" si="52"/>
        <v>0</v>
      </c>
      <c r="F644" s="39">
        <f t="shared" ca="1" si="53"/>
        <v>28.333333333333332</v>
      </c>
      <c r="G644" s="29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19341118</v>
      </c>
      <c r="C645" s="24" t="str">
        <f>INDEX(Data,2,2+MOD(ROWS(C$2:C645)-1,2))</f>
        <v>15.00</v>
      </c>
      <c r="D645" s="38">
        <f t="shared" ca="1" si="51"/>
        <v>758.06299999999999</v>
      </c>
      <c r="E645" s="29">
        <f t="shared" ca="1" si="52"/>
        <v>0</v>
      </c>
      <c r="F645" s="39">
        <f t="shared" ca="1" si="53"/>
        <v>30</v>
      </c>
      <c r="G645" s="29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19341119</v>
      </c>
      <c r="C646" s="24" t="str">
        <f>INDEX(Data,2,2+MOD(ROWS(C$2:C646)-1,2))</f>
        <v>08.00</v>
      </c>
      <c r="D646" s="38">
        <f t="shared" ca="1" si="51"/>
        <v>760.29819999999995</v>
      </c>
      <c r="E646" s="29">
        <f t="shared" ca="1" si="52"/>
        <v>0</v>
      </c>
      <c r="F646" s="39">
        <f t="shared" ca="1" si="53"/>
        <v>28.333333333333332</v>
      </c>
      <c r="G646" s="29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19341119</v>
      </c>
      <c r="C647" s="24" t="str">
        <f>INDEX(Data,2,2+MOD(ROWS(C$2:C647)-1,2))</f>
        <v>15.00</v>
      </c>
      <c r="D647" s="38">
        <f t="shared" ca="1" si="51"/>
        <v>757.60579999999993</v>
      </c>
      <c r="E647" s="29">
        <f t="shared" ca="1" si="52"/>
        <v>0</v>
      </c>
      <c r="F647" s="39">
        <f t="shared" ca="1" si="53"/>
        <v>29.444444444444443</v>
      </c>
      <c r="G647" s="29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19341120</v>
      </c>
      <c r="C648" s="24" t="str">
        <f>INDEX(Data,2,2+MOD(ROWS(C$2:C648)-1,2))</f>
        <v>08.00</v>
      </c>
      <c r="D648" s="38">
        <f t="shared" ca="1" si="51"/>
        <v>759.58699999999999</v>
      </c>
      <c r="E648" s="29">
        <f t="shared" ca="1" si="52"/>
        <v>0</v>
      </c>
      <c r="F648" s="39">
        <f t="shared" ca="1" si="53"/>
        <v>27.777777777777779</v>
      </c>
      <c r="G648" s="29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19341120</v>
      </c>
      <c r="C649" s="24" t="str">
        <f>INDEX(Data,2,2+MOD(ROWS(C$2:C649)-1,2))</f>
        <v>15.00</v>
      </c>
      <c r="D649" s="38">
        <f t="shared" ca="1" si="51"/>
        <v>757.17399999999998</v>
      </c>
      <c r="E649" s="29">
        <f t="shared" ca="1" si="52"/>
        <v>0</v>
      </c>
      <c r="F649" s="39">
        <f t="shared" ca="1" si="53"/>
        <v>28.888888888888889</v>
      </c>
      <c r="G649" s="29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19341121</v>
      </c>
      <c r="C650" s="24" t="str">
        <f>INDEX(Data,2,2+MOD(ROWS(C$2:C650)-1,2))</f>
        <v>08.00</v>
      </c>
      <c r="D650" s="38">
        <f t="shared" ca="1" si="51"/>
        <v>759.30759999999998</v>
      </c>
      <c r="E650" s="29">
        <f t="shared" ca="1" si="52"/>
        <v>0</v>
      </c>
      <c r="F650" s="39">
        <f t="shared" ca="1" si="53"/>
        <v>28.055555555555557</v>
      </c>
      <c r="G650" s="29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19341121</v>
      </c>
      <c r="C651" s="24" t="str">
        <f>INDEX(Data,2,2+MOD(ROWS(C$2:C651)-1,2))</f>
        <v>15.00</v>
      </c>
      <c r="D651" s="38">
        <f t="shared" ca="1" si="51"/>
        <v>756.89459999999997</v>
      </c>
      <c r="E651" s="29">
        <f t="shared" ca="1" si="52"/>
        <v>0</v>
      </c>
      <c r="F651" s="39">
        <f t="shared" ca="1" si="53"/>
        <v>29.166666666666668</v>
      </c>
      <c r="G651" s="29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19341122</v>
      </c>
      <c r="C652" s="24" t="str">
        <f>INDEX(Data,2,2+MOD(ROWS(C$2:C652)-1,2))</f>
        <v>08.00</v>
      </c>
      <c r="D652" s="38">
        <f t="shared" ca="1" si="51"/>
        <v>759.30759999999998</v>
      </c>
      <c r="E652" s="29">
        <f t="shared" ca="1" si="52"/>
        <v>0</v>
      </c>
      <c r="F652" s="39">
        <f t="shared" ca="1" si="53"/>
        <v>28.055555555555557</v>
      </c>
      <c r="G652" s="29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19341122</v>
      </c>
      <c r="C653" s="24" t="str">
        <f>INDEX(Data,2,2+MOD(ROWS(C$2:C653)-1,2))</f>
        <v>15.00</v>
      </c>
      <c r="D653" s="38">
        <f t="shared" ca="1" si="51"/>
        <v>756.99619999999993</v>
      </c>
      <c r="E653" s="29">
        <f t="shared" ca="1" si="52"/>
        <v>0</v>
      </c>
      <c r="F653" s="39">
        <f t="shared" ca="1" si="53"/>
        <v>28.888888888888889</v>
      </c>
      <c r="G653" s="29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19341123</v>
      </c>
      <c r="C654" s="24" t="str">
        <f>INDEX(Data,2,2+MOD(ROWS(C$2:C654)-1,2))</f>
        <v>08.00</v>
      </c>
      <c r="D654" s="38">
        <f t="shared" ca="1" si="51"/>
        <v>759.84100000000001</v>
      </c>
      <c r="E654" s="29">
        <f t="shared" ca="1" si="52"/>
        <v>0</v>
      </c>
      <c r="F654" s="39">
        <f t="shared" ca="1" si="53"/>
        <v>27.777777777777779</v>
      </c>
      <c r="G654" s="29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19341123</v>
      </c>
      <c r="C655" s="24" t="str">
        <f>INDEX(Data,2,2+MOD(ROWS(C$2:C655)-1,2))</f>
        <v>15.00</v>
      </c>
      <c r="D655" s="38">
        <f t="shared" ca="1" si="51"/>
        <v>757.30099999999993</v>
      </c>
      <c r="E655" s="29">
        <f t="shared" ca="1" si="52"/>
        <v>0</v>
      </c>
      <c r="F655" s="39">
        <f t="shared" ca="1" si="53"/>
        <v>27.777777777777779</v>
      </c>
      <c r="G655" s="29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19341124</v>
      </c>
      <c r="C656" s="24" t="str">
        <f>INDEX(Data,2,2+MOD(ROWS(C$2:C656)-1,2))</f>
        <v>08.00</v>
      </c>
      <c r="D656" s="38">
        <f t="shared" ca="1" si="51"/>
        <v>759.89179999999999</v>
      </c>
      <c r="E656" s="29">
        <f t="shared" ca="1" si="52"/>
        <v>0</v>
      </c>
      <c r="F656" s="39">
        <f t="shared" ca="1" si="53"/>
        <v>27.5</v>
      </c>
      <c r="G656" s="29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19341124</v>
      </c>
      <c r="C657" s="24" t="str">
        <f>INDEX(Data,2,2+MOD(ROWS(C$2:C657)-1,2))</f>
        <v>15.00</v>
      </c>
      <c r="D657" s="38">
        <f t="shared" ca="1" si="51"/>
        <v>757.14859999999999</v>
      </c>
      <c r="E657" s="29">
        <f t="shared" ca="1" si="52"/>
        <v>0</v>
      </c>
      <c r="F657" s="39">
        <f t="shared" ca="1" si="53"/>
        <v>29.166666666666668</v>
      </c>
      <c r="G657" s="29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19341125</v>
      </c>
      <c r="C658" s="24" t="str">
        <f>INDEX(Data,2,2+MOD(ROWS(C$2:C658)-1,2))</f>
        <v>08.00</v>
      </c>
      <c r="D658" s="38">
        <f t="shared" ca="1" si="51"/>
        <v>759.81560000000002</v>
      </c>
      <c r="E658" s="29">
        <f t="shared" ca="1" si="52"/>
        <v>0</v>
      </c>
      <c r="F658" s="39">
        <f t="shared" ca="1" si="53"/>
        <v>28.055555555555557</v>
      </c>
      <c r="G658" s="29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19341125</v>
      </c>
      <c r="C659" s="24" t="str">
        <f>INDEX(Data,2,2+MOD(ROWS(C$2:C659)-1,2))</f>
        <v>15.00</v>
      </c>
      <c r="D659" s="38">
        <f t="shared" ca="1" si="51"/>
        <v>757.30099999999993</v>
      </c>
      <c r="E659" s="29">
        <f t="shared" ca="1" si="52"/>
        <v>0</v>
      </c>
      <c r="F659" s="39">
        <f t="shared" ca="1" si="53"/>
        <v>27.777777777777779</v>
      </c>
      <c r="G659" s="29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19341126</v>
      </c>
      <c r="C660" s="24" t="str">
        <f>INDEX(Data,2,2+MOD(ROWS(C$2:C660)-1,2))</f>
        <v>08.00</v>
      </c>
      <c r="D660" s="38">
        <f t="shared" ca="1" si="51"/>
        <v>759.02819999999997</v>
      </c>
      <c r="E660" s="29">
        <f t="shared" ca="1" si="52"/>
        <v>0</v>
      </c>
      <c r="F660" s="39">
        <f t="shared" ca="1" si="53"/>
        <v>26.111111111111111</v>
      </c>
      <c r="G660" s="29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19341126</v>
      </c>
      <c r="C661" s="24" t="str">
        <f>INDEX(Data,2,2+MOD(ROWS(C$2:C661)-1,2))</f>
        <v>15.00</v>
      </c>
      <c r="D661" s="38">
        <f t="shared" ca="1" si="51"/>
        <v>755.54840000000002</v>
      </c>
      <c r="E661" s="29">
        <f t="shared" ca="1" si="52"/>
        <v>0</v>
      </c>
      <c r="F661" s="39">
        <f t="shared" ca="1" si="53"/>
        <v>27.777777777777779</v>
      </c>
      <c r="G661" s="29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19341127</v>
      </c>
      <c r="C662" s="24" t="str">
        <f>INDEX(Data,2,2+MOD(ROWS(C$2:C662)-1,2))</f>
        <v>08.00</v>
      </c>
      <c r="D662" s="38">
        <f t="shared" ca="1" si="51"/>
        <v>757.91059999999993</v>
      </c>
      <c r="E662" s="29">
        <f t="shared" ca="1" si="52"/>
        <v>0</v>
      </c>
      <c r="F662" s="39">
        <f t="shared" ca="1" si="53"/>
        <v>26.944444444444443</v>
      </c>
      <c r="G662" s="29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19341127</v>
      </c>
      <c r="C663" s="24" t="str">
        <f>INDEX(Data,2,2+MOD(ROWS(C$2:C663)-1,2))</f>
        <v>15.00</v>
      </c>
      <c r="D663" s="38">
        <f t="shared" ca="1" si="51"/>
        <v>755.54840000000002</v>
      </c>
      <c r="E663" s="29">
        <f t="shared" ca="1" si="52"/>
        <v>0</v>
      </c>
      <c r="F663" s="39">
        <f t="shared" ca="1" si="53"/>
        <v>27.777777777777779</v>
      </c>
      <c r="G663" s="29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19341128</v>
      </c>
      <c r="C664" s="24" t="str">
        <f>INDEX(Data,2,2+MOD(ROWS(C$2:C664)-1,2))</f>
        <v>08.00</v>
      </c>
      <c r="D664" s="38">
        <f t="shared" ca="1" si="51"/>
        <v>757.91059999999993</v>
      </c>
      <c r="E664" s="29">
        <f t="shared" ca="1" si="52"/>
        <v>0</v>
      </c>
      <c r="F664" s="39">
        <f t="shared" ca="1" si="53"/>
        <v>26.944444444444443</v>
      </c>
      <c r="G664" s="29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19341128</v>
      </c>
      <c r="C665" s="24" t="str">
        <f>INDEX(Data,2,2+MOD(ROWS(C$2:C665)-1,2))</f>
        <v>15.00</v>
      </c>
      <c r="D665" s="38">
        <f t="shared" ca="1" si="51"/>
        <v>755.95479999999998</v>
      </c>
      <c r="E665" s="29">
        <f t="shared" ca="1" si="52"/>
        <v>0</v>
      </c>
      <c r="F665" s="39">
        <f t="shared" ca="1" si="53"/>
        <v>26.666666666666668</v>
      </c>
      <c r="G665" s="29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19341129</v>
      </c>
      <c r="C666" s="24" t="str">
        <f>INDEX(Data,2,2+MOD(ROWS(C$2:C666)-1,2))</f>
        <v>08.00</v>
      </c>
      <c r="D666" s="38">
        <f t="shared" ca="1" si="51"/>
        <v>758.72339999999997</v>
      </c>
      <c r="E666" s="29">
        <f t="shared" ca="1" si="52"/>
        <v>0</v>
      </c>
      <c r="F666" s="39">
        <f t="shared" ca="1" si="53"/>
        <v>26.666666666666668</v>
      </c>
      <c r="G666" s="29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19341129</v>
      </c>
      <c r="C667" s="24" t="str">
        <f>INDEX(Data,2,2+MOD(ROWS(C$2:C667)-1,2))</f>
        <v>15.00</v>
      </c>
      <c r="D667" s="38">
        <f t="shared" ca="1" si="51"/>
        <v>756.18340000000001</v>
      </c>
      <c r="E667" s="29">
        <f t="shared" ca="1" si="52"/>
        <v>0</v>
      </c>
      <c r="F667" s="39">
        <f t="shared" ca="1" si="53"/>
        <v>26.666666666666668</v>
      </c>
      <c r="G667" s="29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19341130</v>
      </c>
      <c r="C668" s="24" t="str">
        <f>INDEX(Data,2,2+MOD(ROWS(C$2:C668)-1,2))</f>
        <v>08.00</v>
      </c>
      <c r="D668" s="38">
        <f t="shared" ca="1" si="51"/>
        <v>761.36500000000001</v>
      </c>
      <c r="E668" s="29">
        <f t="shared" ca="1" si="52"/>
        <v>0</v>
      </c>
      <c r="F668" s="39">
        <f t="shared" ca="1" si="53"/>
        <v>25.555555555555557</v>
      </c>
      <c r="G668" s="29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19341130</v>
      </c>
      <c r="C669" s="24" t="str">
        <f>INDEX(Data,2,2+MOD(ROWS(C$2:C669)-1,2))</f>
        <v>15.00</v>
      </c>
      <c r="D669" s="38">
        <f t="shared" ca="1" si="51"/>
        <v>758.82499999999993</v>
      </c>
      <c r="E669" s="29">
        <f t="shared" ca="1" si="52"/>
        <v>0</v>
      </c>
      <c r="F669" s="39">
        <f t="shared" ca="1" si="53"/>
        <v>27.777777777777779</v>
      </c>
      <c r="G669" s="29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19341201</v>
      </c>
      <c r="C670" s="24" t="str">
        <f>INDEX(Data,2,2+MOD(ROWS(C$2:C670)-1,2))</f>
        <v>08.00</v>
      </c>
      <c r="D670" s="38">
        <f t="shared" ca="1" si="51"/>
        <v>761.92379999999991</v>
      </c>
      <c r="E670" s="29">
        <f t="shared" ca="1" si="52"/>
        <v>0</v>
      </c>
      <c r="F670" s="39">
        <f t="shared" ca="1" si="53"/>
        <v>27.222222222222221</v>
      </c>
      <c r="G670" s="29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19341201</v>
      </c>
      <c r="C671" s="24" t="str">
        <f>INDEX(Data,2,2+MOD(ROWS(C$2:C671)-1,2))</f>
        <v>15.00</v>
      </c>
      <c r="D671" s="38">
        <f t="shared" ca="1" si="51"/>
        <v>759.99339999999995</v>
      </c>
      <c r="E671" s="29">
        <f t="shared" ca="1" si="52"/>
        <v>0</v>
      </c>
      <c r="F671" s="39">
        <f t="shared" ca="1" si="53"/>
        <v>28.611111111111111</v>
      </c>
      <c r="G671" s="29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19341202</v>
      </c>
      <c r="C672" s="24" t="str">
        <f>INDEX(Data,2,2+MOD(ROWS(C$2:C672)-1,2))</f>
        <v>08.00</v>
      </c>
      <c r="D672" s="38">
        <f t="shared" ca="1" si="51"/>
        <v>762.68579999999997</v>
      </c>
      <c r="E672" s="29">
        <f t="shared" ca="1" si="52"/>
        <v>0</v>
      </c>
      <c r="F672" s="39">
        <f t="shared" ca="1" si="53"/>
        <v>27.222222222222221</v>
      </c>
      <c r="G672" s="29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19341202</v>
      </c>
      <c r="C673" s="24" t="str">
        <f>INDEX(Data,2,2+MOD(ROWS(C$2:C673)-1,2))</f>
        <v>15.00</v>
      </c>
      <c r="D673" s="38">
        <f t="shared" ca="1" si="51"/>
        <v>760.50139999999999</v>
      </c>
      <c r="E673" s="29">
        <f t="shared" ca="1" si="52"/>
        <v>0</v>
      </c>
      <c r="F673" s="39">
        <f t="shared" ca="1" si="53"/>
        <v>28.611111111111111</v>
      </c>
      <c r="G673" s="29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19341203</v>
      </c>
      <c r="C674" s="24" t="str">
        <f>INDEX(Data,2,2+MOD(ROWS(C$2:C674)-1,2))</f>
        <v>08.00</v>
      </c>
      <c r="D674" s="38">
        <f t="shared" ca="1" si="51"/>
        <v>762</v>
      </c>
      <c r="E674" s="29">
        <f t="shared" ca="1" si="52"/>
        <v>0</v>
      </c>
      <c r="F674" s="39">
        <f t="shared" ca="1" si="53"/>
        <v>26.666666666666668</v>
      </c>
      <c r="G674" s="29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19341203</v>
      </c>
      <c r="C675" s="24" t="str">
        <f>INDEX(Data,2,2+MOD(ROWS(C$2:C675)-1,2))</f>
        <v>15.00</v>
      </c>
      <c r="D675" s="38">
        <f t="shared" ca="1" si="51"/>
        <v>759.30759999999998</v>
      </c>
      <c r="E675" s="29">
        <f t="shared" ca="1" si="52"/>
        <v>0</v>
      </c>
      <c r="F675" s="39">
        <f t="shared" ca="1" si="53"/>
        <v>28.055555555555557</v>
      </c>
      <c r="G675" s="29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19341204</v>
      </c>
      <c r="C676" s="24" t="str">
        <f>INDEX(Data,2,2+MOD(ROWS(C$2:C676)-1,2))</f>
        <v>08.00</v>
      </c>
      <c r="D676" s="38">
        <f t="shared" ca="1" si="51"/>
        <v>761.16179999999997</v>
      </c>
      <c r="E676" s="29">
        <f t="shared" ca="1" si="52"/>
        <v>0</v>
      </c>
      <c r="F676" s="39">
        <f t="shared" ca="1" si="53"/>
        <v>27.222222222222221</v>
      </c>
      <c r="G676" s="29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19341204</v>
      </c>
      <c r="C677" s="24" t="str">
        <f>INDEX(Data,2,2+MOD(ROWS(C$2:C677)-1,2))</f>
        <v>15.00</v>
      </c>
      <c r="D677" s="38">
        <f t="shared" ca="1" si="51"/>
        <v>758.62180000000001</v>
      </c>
      <c r="E677" s="29">
        <f t="shared" ca="1" si="52"/>
        <v>0</v>
      </c>
      <c r="F677" s="39">
        <f t="shared" ca="1" si="53"/>
        <v>29.444444444444443</v>
      </c>
      <c r="G677" s="29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19341205</v>
      </c>
      <c r="C678" s="24" t="str">
        <f>INDEX(Data,2,2+MOD(ROWS(C$2:C678)-1,2))</f>
        <v>08.00</v>
      </c>
      <c r="D678" s="38">
        <f t="shared" ca="1" si="51"/>
        <v>761.3904</v>
      </c>
      <c r="E678" s="29">
        <f t="shared" ca="1" si="52"/>
        <v>0</v>
      </c>
      <c r="F678" s="39">
        <f t="shared" ca="1" si="53"/>
        <v>27.5</v>
      </c>
      <c r="G678" s="29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19341205</v>
      </c>
      <c r="C679" s="24" t="str">
        <f>INDEX(Data,2,2+MOD(ROWS(C$2:C679)-1,2))</f>
        <v>15.00</v>
      </c>
      <c r="D679" s="38">
        <f t="shared" ca="1" si="51"/>
        <v>758.87579999999991</v>
      </c>
      <c r="E679" s="29">
        <f t="shared" ca="1" si="52"/>
        <v>0</v>
      </c>
      <c r="F679" s="39">
        <f t="shared" ca="1" si="53"/>
        <v>29.444444444444443</v>
      </c>
      <c r="G679" s="29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19341206</v>
      </c>
      <c r="C680" s="24" t="str">
        <f>INDEX(Data,2,2+MOD(ROWS(C$2:C680)-1,2))</f>
        <v>08.00</v>
      </c>
      <c r="D680" s="38">
        <f t="shared" ca="1" si="51"/>
        <v>761.33960000000002</v>
      </c>
      <c r="E680" s="29">
        <f t="shared" ca="1" si="52"/>
        <v>0</v>
      </c>
      <c r="F680" s="39">
        <f t="shared" ca="1" si="53"/>
        <v>27.777777777777779</v>
      </c>
      <c r="G680" s="29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19341206</v>
      </c>
      <c r="C681" s="24" t="str">
        <f>INDEX(Data,2,2+MOD(ROWS(C$2:C681)-1,2))</f>
        <v>15.00</v>
      </c>
      <c r="D681" s="38">
        <f t="shared" ca="1" si="51"/>
        <v>758.67259999999999</v>
      </c>
      <c r="E681" s="29">
        <f t="shared" ca="1" si="52"/>
        <v>0</v>
      </c>
      <c r="F681" s="39">
        <f t="shared" ca="1" si="53"/>
        <v>29.166666666666668</v>
      </c>
      <c r="G681" s="29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19341207</v>
      </c>
      <c r="C682" s="24" t="str">
        <f>INDEX(Data,2,2+MOD(ROWS(C$2:C682)-1,2))</f>
        <v>08.00</v>
      </c>
      <c r="D682" s="38">
        <f t="shared" ca="1" si="51"/>
        <v>761.0856</v>
      </c>
      <c r="E682" s="29">
        <f t="shared" ca="1" si="52"/>
        <v>0</v>
      </c>
      <c r="F682" s="39">
        <f t="shared" ca="1" si="53"/>
        <v>27.777777777777779</v>
      </c>
      <c r="G682" s="29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19341207</v>
      </c>
      <c r="C683" s="24" t="str">
        <f>INDEX(Data,2,2+MOD(ROWS(C$2:C683)-1,2))</f>
        <v>15.00</v>
      </c>
      <c r="D683" s="38">
        <f t="shared" ca="1" si="51"/>
        <v>758.92660000000001</v>
      </c>
      <c r="E683" s="29">
        <f t="shared" ca="1" si="52"/>
        <v>0</v>
      </c>
      <c r="F683" s="39">
        <f t="shared" ca="1" si="53"/>
        <v>29.166666666666668</v>
      </c>
      <c r="G683" s="29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19341208</v>
      </c>
      <c r="C684" s="24" t="str">
        <f>INDEX(Data,2,2+MOD(ROWS(C$2:C684)-1,2))</f>
        <v>08.00</v>
      </c>
      <c r="D684" s="38">
        <f t="shared" ca="1" si="51"/>
        <v>761.0856</v>
      </c>
      <c r="E684" s="29">
        <f t="shared" ca="1" si="52"/>
        <v>0</v>
      </c>
      <c r="F684" s="39">
        <f t="shared" ca="1" si="53"/>
        <v>27.777777777777779</v>
      </c>
      <c r="G684" s="29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19341208</v>
      </c>
      <c r="C685" s="24" t="str">
        <f>INDEX(Data,2,2+MOD(ROWS(C$2:C685)-1,2))</f>
        <v>15.00</v>
      </c>
      <c r="D685" s="38">
        <f t="shared" ca="1" si="51"/>
        <v>758.62180000000001</v>
      </c>
      <c r="E685" s="29">
        <f t="shared" ca="1" si="52"/>
        <v>0</v>
      </c>
      <c r="F685" s="39">
        <f t="shared" ca="1" si="53"/>
        <v>29.444444444444443</v>
      </c>
      <c r="G685" s="29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19341209</v>
      </c>
      <c r="C686" s="24" t="str">
        <f>INDEX(Data,2,2+MOD(ROWS(C$2:C686)-1,2))</f>
        <v>08.00</v>
      </c>
      <c r="D686" s="38">
        <f t="shared" ca="1" si="51"/>
        <v>761.3904</v>
      </c>
      <c r="E686" s="29">
        <f t="shared" ca="1" si="52"/>
        <v>0</v>
      </c>
      <c r="F686" s="39">
        <f t="shared" ca="1" si="53"/>
        <v>27.5</v>
      </c>
      <c r="G686" s="29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19341209</v>
      </c>
      <c r="C687" s="24" t="str">
        <f>INDEX(Data,2,2+MOD(ROWS(C$2:C687)-1,2))</f>
        <v>15.00</v>
      </c>
      <c r="D687" s="38">
        <f t="shared" ca="1" si="51"/>
        <v>758.67259999999999</v>
      </c>
      <c r="E687" s="29">
        <f t="shared" ca="1" si="52"/>
        <v>0</v>
      </c>
      <c r="F687" s="39">
        <f t="shared" ca="1" si="53"/>
        <v>29.166666666666668</v>
      </c>
      <c r="G687" s="29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19341210</v>
      </c>
      <c r="C688" s="24" t="str">
        <f>INDEX(Data,2,2+MOD(ROWS(C$2:C688)-1,2))</f>
        <v>08.00</v>
      </c>
      <c r="D688" s="38">
        <f t="shared" ca="1" si="51"/>
        <v>761.84759999999994</v>
      </c>
      <c r="E688" s="29">
        <f t="shared" ca="1" si="52"/>
        <v>0</v>
      </c>
      <c r="F688" s="39">
        <f t="shared" ca="1" si="53"/>
        <v>27.777777777777779</v>
      </c>
      <c r="G688" s="29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19341210</v>
      </c>
      <c r="C689" s="24" t="str">
        <f>INDEX(Data,2,2+MOD(ROWS(C$2:C689)-1,2))</f>
        <v>15.00</v>
      </c>
      <c r="D689" s="38">
        <f t="shared" ca="1" si="51"/>
        <v>759.43459999999993</v>
      </c>
      <c r="E689" s="29">
        <f t="shared" ca="1" si="52"/>
        <v>0</v>
      </c>
      <c r="F689" s="39">
        <f t="shared" ca="1" si="53"/>
        <v>29.166666666666668</v>
      </c>
      <c r="G689" s="29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19341211</v>
      </c>
      <c r="C690" s="24" t="str">
        <f>INDEX(Data,2,2+MOD(ROWS(C$2:C690)-1,2))</f>
        <v>08.00</v>
      </c>
      <c r="D690" s="38">
        <f t="shared" ca="1" si="51"/>
        <v>761.33960000000002</v>
      </c>
      <c r="E690" s="29">
        <f t="shared" ca="1" si="52"/>
        <v>0</v>
      </c>
      <c r="F690" s="39">
        <f t="shared" ca="1" si="53"/>
        <v>27.777777777777779</v>
      </c>
      <c r="G690" s="29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19341211</v>
      </c>
      <c r="C691" s="24" t="str">
        <f>INDEX(Data,2,2+MOD(ROWS(C$2:C691)-1,2))</f>
        <v>15.00</v>
      </c>
      <c r="D691" s="38">
        <f t="shared" ca="1" si="51"/>
        <v>758.67259999999999</v>
      </c>
      <c r="E691" s="29">
        <f t="shared" ca="1" si="52"/>
        <v>0</v>
      </c>
      <c r="F691" s="39">
        <f t="shared" ca="1" si="53"/>
        <v>29.166666666666668</v>
      </c>
      <c r="G691" s="29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19341212</v>
      </c>
      <c r="C692" s="24" t="str">
        <f>INDEX(Data,2,2+MOD(ROWS(C$2:C692)-1,2))</f>
        <v>08.00</v>
      </c>
      <c r="D692" s="38">
        <f t="shared" ca="1" si="51"/>
        <v>761.0856</v>
      </c>
      <c r="E692" s="29">
        <f t="shared" ca="1" si="52"/>
        <v>0</v>
      </c>
      <c r="F692" s="39">
        <f t="shared" ca="1" si="53"/>
        <v>27.777777777777779</v>
      </c>
      <c r="G692" s="29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19341212</v>
      </c>
      <c r="C693" s="24" t="str">
        <f>INDEX(Data,2,2+MOD(ROWS(C$2:C693)-1,2))</f>
        <v>15.00</v>
      </c>
      <c r="D693" s="38">
        <f t="shared" ca="1" si="51"/>
        <v>759.20600000000002</v>
      </c>
      <c r="E693" s="29">
        <f t="shared" ca="1" si="52"/>
        <v>0</v>
      </c>
      <c r="F693" s="39">
        <f t="shared" ca="1" si="53"/>
        <v>28.888888888888889</v>
      </c>
      <c r="G693" s="29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19341213</v>
      </c>
      <c r="C694" s="24" t="str">
        <f>INDEX(Data,2,2+MOD(ROWS(C$2:C694)-1,2))</f>
        <v>08.00</v>
      </c>
      <c r="D694" s="38">
        <f t="shared" ca="1" si="51"/>
        <v>762.17779999999993</v>
      </c>
      <c r="E694" s="29">
        <f t="shared" ca="1" si="52"/>
        <v>0</v>
      </c>
      <c r="F694" s="39">
        <f t="shared" ca="1" si="53"/>
        <v>27.222222222222221</v>
      </c>
      <c r="G694" s="29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19341213</v>
      </c>
      <c r="C695" s="24" t="str">
        <f>INDEX(Data,2,2+MOD(ROWS(C$2:C695)-1,2))</f>
        <v>15.00</v>
      </c>
      <c r="D695" s="38">
        <f t="shared" ca="1" si="51"/>
        <v>759.73939999999993</v>
      </c>
      <c r="E695" s="29">
        <f t="shared" ca="1" si="52"/>
        <v>0</v>
      </c>
      <c r="F695" s="39">
        <f t="shared" ca="1" si="53"/>
        <v>28.333333333333332</v>
      </c>
      <c r="G695" s="29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19341214</v>
      </c>
      <c r="C696" s="24" t="str">
        <f>INDEX(Data,2,2+MOD(ROWS(C$2:C696)-1,2))</f>
        <v>08.00</v>
      </c>
      <c r="D696" s="38">
        <f t="shared" ca="1" si="51"/>
        <v>762</v>
      </c>
      <c r="E696" s="29">
        <f t="shared" ca="1" si="52"/>
        <v>0</v>
      </c>
      <c r="F696" s="39">
        <f t="shared" ca="1" si="53"/>
        <v>26.666666666666668</v>
      </c>
      <c r="G696" s="29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19341214</v>
      </c>
      <c r="C697" s="24" t="str">
        <f>INDEX(Data,2,2+MOD(ROWS(C$2:C697)-1,2))</f>
        <v>15.00</v>
      </c>
      <c r="D697" s="38">
        <f t="shared" ca="1" si="51"/>
        <v>759.94259999999997</v>
      </c>
      <c r="E697" s="29">
        <f t="shared" ca="1" si="52"/>
        <v>0</v>
      </c>
      <c r="F697" s="39">
        <f t="shared" ca="1" si="53"/>
        <v>26.944444444444443</v>
      </c>
      <c r="G697" s="29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19341215</v>
      </c>
      <c r="C698" s="24" t="str">
        <f>INDEX(Data,2,2+MOD(ROWS(C$2:C698)-1,2))</f>
        <v>08.00</v>
      </c>
      <c r="D698" s="38">
        <f t="shared" ca="1" si="51"/>
        <v>761.94920000000002</v>
      </c>
      <c r="E698" s="29">
        <f t="shared" ca="1" si="52"/>
        <v>0</v>
      </c>
      <c r="F698" s="39">
        <f t="shared" ca="1" si="53"/>
        <v>26.944444444444443</v>
      </c>
      <c r="G698" s="29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19341215</v>
      </c>
      <c r="C699" s="24" t="str">
        <f>INDEX(Data,2,2+MOD(ROWS(C$2:C699)-1,2))</f>
        <v>15.00</v>
      </c>
      <c r="D699" s="38">
        <f t="shared" ca="1" si="51"/>
        <v>760.06959999999992</v>
      </c>
      <c r="E699" s="29">
        <f t="shared" ca="1" si="52"/>
        <v>0</v>
      </c>
      <c r="F699" s="39">
        <f t="shared" ca="1" si="53"/>
        <v>28.055555555555557</v>
      </c>
      <c r="G699" s="29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19341216</v>
      </c>
      <c r="C700" s="24" t="str">
        <f>INDEX(Data,2,2+MOD(ROWS(C$2:C700)-1,2))</f>
        <v>08.00</v>
      </c>
      <c r="D700" s="38">
        <f t="shared" ca="1" si="51"/>
        <v>762.76199999999994</v>
      </c>
      <c r="E700" s="29">
        <f t="shared" ca="1" si="52"/>
        <v>0</v>
      </c>
      <c r="F700" s="39">
        <f t="shared" ca="1" si="53"/>
        <v>26.666666666666668</v>
      </c>
      <c r="G700" s="29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19341216</v>
      </c>
      <c r="C701" s="24" t="str">
        <f>INDEX(Data,2,2+MOD(ROWS(C$2:C701)-1,2))</f>
        <v>15.00</v>
      </c>
      <c r="D701" s="38">
        <f t="shared" ca="1" si="51"/>
        <v>760.50139999999999</v>
      </c>
      <c r="E701" s="29">
        <f t="shared" ca="1" si="52"/>
        <v>0</v>
      </c>
      <c r="F701" s="39">
        <f t="shared" ca="1" si="53"/>
        <v>28.611111111111111</v>
      </c>
      <c r="G701" s="29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19341217</v>
      </c>
      <c r="C702" s="24" t="str">
        <f>INDEX(Data,2,2+MOD(ROWS(C$2:C702)-1,2))</f>
        <v>08.00</v>
      </c>
      <c r="D702" s="38">
        <f t="shared" ca="1" si="51"/>
        <v>762.33019999999999</v>
      </c>
      <c r="E702" s="29">
        <f t="shared" ca="1" si="52"/>
        <v>0</v>
      </c>
      <c r="F702" s="39">
        <f t="shared" ca="1" si="53"/>
        <v>26.111111111111111</v>
      </c>
      <c r="G702" s="29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19341217</v>
      </c>
      <c r="C703" s="24" t="str">
        <f>INDEX(Data,2,2+MOD(ROWS(C$2:C703)-1,2))</f>
        <v>15.00</v>
      </c>
      <c r="D703" s="38">
        <f t="shared" ca="1" si="51"/>
        <v>759.89179999999999</v>
      </c>
      <c r="E703" s="29">
        <f t="shared" ca="1" si="52"/>
        <v>0</v>
      </c>
      <c r="F703" s="39">
        <f t="shared" ca="1" si="53"/>
        <v>27.5</v>
      </c>
      <c r="G703" s="29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19341218</v>
      </c>
      <c r="C704" s="24" t="str">
        <f>INDEX(Data,2,2+MOD(ROWS(C$2:C704)-1,2))</f>
        <v>08.00</v>
      </c>
      <c r="D704" s="38">
        <f t="shared" ca="1" si="51"/>
        <v>762.07619999999997</v>
      </c>
      <c r="E704" s="29">
        <f t="shared" ca="1" si="52"/>
        <v>0</v>
      </c>
      <c r="F704" s="39">
        <f t="shared" ca="1" si="53"/>
        <v>26.111111111111111</v>
      </c>
      <c r="G704" s="29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19341218</v>
      </c>
      <c r="C705" s="24" t="str">
        <f>INDEX(Data,2,2+MOD(ROWS(C$2:C705)-1,2))</f>
        <v>15.00</v>
      </c>
      <c r="D705" s="38">
        <f t="shared" ca="1" si="51"/>
        <v>760.1712</v>
      </c>
      <c r="E705" s="29">
        <f t="shared" ca="1" si="52"/>
        <v>0</v>
      </c>
      <c r="F705" s="39">
        <f t="shared" ca="1" si="53"/>
        <v>27.222222222222221</v>
      </c>
      <c r="G705" s="29">
        <f t="shared" ca="1" si="54"/>
        <v>0</v>
      </c>
    </row>
    <row r="706" spans="1:7" x14ac:dyDescent="0.25">
      <c r="A706" s="11">
        <f t="shared" ref="A706:A731" si="55">INDEX(Stations,2,1)</f>
        <v>44</v>
      </c>
      <c r="B706" t="str">
        <f ca="1">TEXT(DATE(YEAR(Invoer!$A$5),1,1)+INT((ROWS(B$2:B706)-1)/2),"jjjjmmdd")</f>
        <v>19341219</v>
      </c>
      <c r="C706" s="24" t="str">
        <f>INDEX(Data,2,2+MOD(ROWS(C$2:C706)-1,2))</f>
        <v>08.00</v>
      </c>
      <c r="D706" s="38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762.6096</v>
      </c>
      <c r="E706" s="29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39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25.833333333333332</v>
      </c>
      <c r="G706" s="29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19341219</v>
      </c>
      <c r="C707" s="24" t="str">
        <f>INDEX(Data,2,2+MOD(ROWS(C$2:C707)-1,2))</f>
        <v>15.00</v>
      </c>
      <c r="D707" s="38">
        <f t="shared" ca="1" si="56"/>
        <v>760.34899999999993</v>
      </c>
      <c r="E707" s="29">
        <f t="shared" ca="1" si="57"/>
        <v>0</v>
      </c>
      <c r="F707" s="39">
        <f t="shared" ca="1" si="58"/>
        <v>27.777777777777779</v>
      </c>
      <c r="G707" s="29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19341220</v>
      </c>
      <c r="C708" s="24" t="str">
        <f>INDEX(Data,2,2+MOD(ROWS(C$2:C708)-1,2))</f>
        <v>08.00</v>
      </c>
      <c r="D708" s="38">
        <f t="shared" ca="1" si="56"/>
        <v>762.27940000000001</v>
      </c>
      <c r="E708" s="29">
        <f t="shared" ca="1" si="57"/>
        <v>0</v>
      </c>
      <c r="F708" s="39">
        <f t="shared" ca="1" si="58"/>
        <v>26.388888888888889</v>
      </c>
      <c r="G708" s="29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19341220</v>
      </c>
      <c r="C709" s="24" t="str">
        <f>INDEX(Data,2,2+MOD(ROWS(C$2:C709)-1,2))</f>
        <v>15.00</v>
      </c>
      <c r="D709" s="38">
        <f t="shared" ca="1" si="56"/>
        <v>760.70459999999991</v>
      </c>
      <c r="E709" s="29">
        <f t="shared" ca="1" si="57"/>
        <v>0</v>
      </c>
      <c r="F709" s="39">
        <f t="shared" ca="1" si="58"/>
        <v>26.944444444444443</v>
      </c>
      <c r="G709" s="29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19341221</v>
      </c>
      <c r="C710" s="24" t="str">
        <f>INDEX(Data,2,2+MOD(ROWS(C$2:C710)-1,2))</f>
        <v>08.00</v>
      </c>
      <c r="D710" s="38">
        <f t="shared" ca="1" si="56"/>
        <v>762.35559999999998</v>
      </c>
      <c r="E710" s="29">
        <f t="shared" ca="1" si="57"/>
        <v>0</v>
      </c>
      <c r="F710" s="39">
        <f t="shared" ca="1" si="58"/>
        <v>25.833333333333332</v>
      </c>
      <c r="G710" s="29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19341221</v>
      </c>
      <c r="C711" s="24" t="str">
        <f>INDEX(Data,2,2+MOD(ROWS(C$2:C711)-1,2))</f>
        <v>15.00</v>
      </c>
      <c r="D711" s="38">
        <f t="shared" ca="1" si="56"/>
        <v>759.84100000000001</v>
      </c>
      <c r="E711" s="29">
        <f t="shared" ca="1" si="57"/>
        <v>0</v>
      </c>
      <c r="F711" s="39">
        <f t="shared" ca="1" si="58"/>
        <v>27.777777777777779</v>
      </c>
      <c r="G711" s="29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19341222</v>
      </c>
      <c r="C712" s="24" t="str">
        <f>INDEX(Data,2,2+MOD(ROWS(C$2:C712)-1,2))</f>
        <v>08.00</v>
      </c>
      <c r="D712" s="38">
        <f t="shared" ca="1" si="56"/>
        <v>761.51739999999995</v>
      </c>
      <c r="E712" s="29">
        <f t="shared" ca="1" si="57"/>
        <v>0</v>
      </c>
      <c r="F712" s="39">
        <f t="shared" ca="1" si="58"/>
        <v>26.388888888888889</v>
      </c>
      <c r="G712" s="29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19341222</v>
      </c>
      <c r="C713" s="24" t="str">
        <f>INDEX(Data,2,2+MOD(ROWS(C$2:C713)-1,2))</f>
        <v>15.00</v>
      </c>
      <c r="D713" s="38">
        <f t="shared" ca="1" si="56"/>
        <v>760.19659999999999</v>
      </c>
      <c r="E713" s="29">
        <f t="shared" ca="1" si="57"/>
        <v>0</v>
      </c>
      <c r="F713" s="39">
        <f t="shared" ca="1" si="58"/>
        <v>26.944444444444443</v>
      </c>
      <c r="G713" s="29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19341223</v>
      </c>
      <c r="C714" s="24" t="str">
        <f>INDEX(Data,2,2+MOD(ROWS(C$2:C714)-1,2))</f>
        <v>08.00</v>
      </c>
      <c r="D714" s="38">
        <f t="shared" ca="1" si="56"/>
        <v>761.84759999999994</v>
      </c>
      <c r="E714" s="29">
        <f t="shared" ca="1" si="57"/>
        <v>0</v>
      </c>
      <c r="F714" s="39">
        <f t="shared" ca="1" si="58"/>
        <v>25.833333333333332</v>
      </c>
      <c r="G714" s="29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19341223</v>
      </c>
      <c r="C715" s="24" t="str">
        <f>INDEX(Data,2,2+MOD(ROWS(C$2:C715)-1,2))</f>
        <v>15.00</v>
      </c>
      <c r="D715" s="38">
        <f t="shared" ca="1" si="56"/>
        <v>759.76479999999992</v>
      </c>
      <c r="E715" s="29">
        <f t="shared" ca="1" si="57"/>
        <v>0</v>
      </c>
      <c r="F715" s="39">
        <f t="shared" ca="1" si="58"/>
        <v>26.388888888888889</v>
      </c>
      <c r="G715" s="29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19341224</v>
      </c>
      <c r="C716" s="24" t="str">
        <f>INDEX(Data,2,2+MOD(ROWS(C$2:C716)-1,2))</f>
        <v>08.00</v>
      </c>
      <c r="D716" s="38">
        <f t="shared" ca="1" si="56"/>
        <v>762.07619999999997</v>
      </c>
      <c r="E716" s="29">
        <f t="shared" ca="1" si="57"/>
        <v>0</v>
      </c>
      <c r="F716" s="39">
        <f t="shared" ca="1" si="58"/>
        <v>26.111111111111111</v>
      </c>
      <c r="G716" s="29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19341224</v>
      </c>
      <c r="C717" s="24" t="str">
        <f>INDEX(Data,2,2+MOD(ROWS(C$2:C717)-1,2))</f>
        <v>15.00</v>
      </c>
      <c r="D717" s="38">
        <f t="shared" ca="1" si="56"/>
        <v>759.84100000000001</v>
      </c>
      <c r="E717" s="29">
        <f t="shared" ca="1" si="57"/>
        <v>0</v>
      </c>
      <c r="F717" s="39">
        <f t="shared" ca="1" si="58"/>
        <v>27.777777777777779</v>
      </c>
      <c r="G717" s="29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19341225</v>
      </c>
      <c r="C718" s="24" t="str">
        <f>INDEX(Data,2,2+MOD(ROWS(C$2:C718)-1,2))</f>
        <v>08.00</v>
      </c>
      <c r="D718" s="38">
        <f t="shared" ca="1" si="56"/>
        <v>761.82219999999995</v>
      </c>
      <c r="E718" s="29">
        <f t="shared" ca="1" si="57"/>
        <v>0</v>
      </c>
      <c r="F718" s="39">
        <f t="shared" ca="1" si="58"/>
        <v>26.111111111111111</v>
      </c>
      <c r="G718" s="29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19341225</v>
      </c>
      <c r="C719" s="24" t="str">
        <f>INDEX(Data,2,2+MOD(ROWS(C$2:C719)-1,2))</f>
        <v>15.00</v>
      </c>
      <c r="D719" s="38">
        <f t="shared" ca="1" si="56"/>
        <v>759.89179999999999</v>
      </c>
      <c r="E719" s="29">
        <f t="shared" ca="1" si="57"/>
        <v>0</v>
      </c>
      <c r="F719" s="39">
        <f t="shared" ca="1" si="58"/>
        <v>27.5</v>
      </c>
      <c r="G719" s="29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19341226</v>
      </c>
      <c r="C720" s="24" t="str">
        <f>INDEX(Data,2,2+MOD(ROWS(C$2:C720)-1,2))</f>
        <v>08.00</v>
      </c>
      <c r="D720" s="38">
        <f t="shared" ca="1" si="56"/>
        <v>761.94920000000002</v>
      </c>
      <c r="E720" s="29">
        <f t="shared" ca="1" si="57"/>
        <v>0</v>
      </c>
      <c r="F720" s="39">
        <f t="shared" ca="1" si="58"/>
        <v>26.944444444444443</v>
      </c>
      <c r="G720" s="29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19341226</v>
      </c>
      <c r="C721" s="24" t="str">
        <f>INDEX(Data,2,2+MOD(ROWS(C$2:C721)-1,2))</f>
        <v>15.00</v>
      </c>
      <c r="D721" s="38">
        <f t="shared" ca="1" si="56"/>
        <v>759.76479999999992</v>
      </c>
      <c r="E721" s="29">
        <f t="shared" ca="1" si="57"/>
        <v>0</v>
      </c>
      <c r="F721" s="39">
        <f t="shared" ca="1" si="58"/>
        <v>26.388888888888889</v>
      </c>
      <c r="G721" s="29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19341227</v>
      </c>
      <c r="C722" s="24" t="str">
        <f>INDEX(Data,2,2+MOD(ROWS(C$2:C722)-1,2))</f>
        <v>08.00</v>
      </c>
      <c r="D722" s="38">
        <f t="shared" ca="1" si="56"/>
        <v>759.48539999999991</v>
      </c>
      <c r="E722" s="29">
        <f t="shared" ca="1" si="57"/>
        <v>0</v>
      </c>
      <c r="F722" s="39">
        <f t="shared" ca="1" si="58"/>
        <v>26.388888888888889</v>
      </c>
      <c r="G722" s="29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19341227</v>
      </c>
      <c r="C723" s="24" t="str">
        <f>INDEX(Data,2,2+MOD(ROWS(C$2:C723)-1,2))</f>
        <v>15.00</v>
      </c>
      <c r="D723" s="38">
        <f t="shared" ca="1" si="56"/>
        <v>759.63779999999997</v>
      </c>
      <c r="E723" s="29">
        <f t="shared" ca="1" si="57"/>
        <v>0</v>
      </c>
      <c r="F723" s="39">
        <f t="shared" ca="1" si="58"/>
        <v>27.5</v>
      </c>
      <c r="G723" s="29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19341228</v>
      </c>
      <c r="C724" s="24" t="str">
        <f>INDEX(Data,2,2+MOD(ROWS(C$2:C724)-1,2))</f>
        <v>08.00</v>
      </c>
      <c r="D724" s="38">
        <f t="shared" ca="1" si="56"/>
        <v>762.35559999999998</v>
      </c>
      <c r="E724" s="29">
        <f t="shared" ca="1" si="57"/>
        <v>0</v>
      </c>
      <c r="F724" s="39">
        <f t="shared" ca="1" si="58"/>
        <v>25.833333333333332</v>
      </c>
      <c r="G724" s="29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19341228</v>
      </c>
      <c r="C725" s="24" t="str">
        <f>INDEX(Data,2,2+MOD(ROWS(C$2:C725)-1,2))</f>
        <v>15.00</v>
      </c>
      <c r="D725" s="38">
        <f t="shared" ca="1" si="56"/>
        <v>760.19659999999999</v>
      </c>
      <c r="E725" s="29">
        <f t="shared" ca="1" si="57"/>
        <v>0</v>
      </c>
      <c r="F725" s="39">
        <f t="shared" ca="1" si="58"/>
        <v>26.944444444444443</v>
      </c>
      <c r="G725" s="29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19341229</v>
      </c>
      <c r="C726" s="24" t="str">
        <f>INDEX(Data,2,2+MOD(ROWS(C$2:C726)-1,2))</f>
        <v>08.00</v>
      </c>
      <c r="D726" s="38">
        <f t="shared" ca="1" si="56"/>
        <v>761.82219999999995</v>
      </c>
      <c r="E726" s="29">
        <f t="shared" ca="1" si="57"/>
        <v>0</v>
      </c>
      <c r="F726" s="39">
        <f t="shared" ca="1" si="58"/>
        <v>26.111111111111111</v>
      </c>
      <c r="G726" s="29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19341229</v>
      </c>
      <c r="C727" s="24" t="str">
        <f>INDEX(Data,2,2+MOD(ROWS(C$2:C727)-1,2))</f>
        <v>15.00</v>
      </c>
      <c r="D727" s="38">
        <f t="shared" ca="1" si="56"/>
        <v>759.68859999999995</v>
      </c>
      <c r="E727" s="29">
        <f t="shared" ca="1" si="57"/>
        <v>0</v>
      </c>
      <c r="F727" s="39">
        <f t="shared" ca="1" si="58"/>
        <v>26.944444444444443</v>
      </c>
      <c r="G727" s="29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19341230</v>
      </c>
      <c r="C728" s="24" t="str">
        <f>INDEX(Data,2,2+MOD(ROWS(C$2:C728)-1,2))</f>
        <v>08.00</v>
      </c>
      <c r="D728" s="38">
        <f t="shared" ca="1" si="56"/>
        <v>761.51739999999995</v>
      </c>
      <c r="E728" s="29">
        <f t="shared" ca="1" si="57"/>
        <v>0</v>
      </c>
      <c r="F728" s="39">
        <f t="shared" ca="1" si="58"/>
        <v>26.388888888888889</v>
      </c>
      <c r="G728" s="29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19341230</v>
      </c>
      <c r="C729" s="24" t="str">
        <f>INDEX(Data,2,2+MOD(ROWS(C$2:C729)-1,2))</f>
        <v>15.00</v>
      </c>
      <c r="D729" s="38">
        <f t="shared" ca="1" si="56"/>
        <v>759.76479999999992</v>
      </c>
      <c r="E729" s="29">
        <f t="shared" ca="1" si="57"/>
        <v>0</v>
      </c>
      <c r="F729" s="39">
        <f t="shared" ca="1" si="58"/>
        <v>26.388888888888889</v>
      </c>
      <c r="G729" s="29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19341231</v>
      </c>
      <c r="C730" s="24" t="str">
        <f>INDEX(Data,2,2+MOD(ROWS(C$2:C730)-1,2))</f>
        <v>08.00</v>
      </c>
      <c r="D730" s="38">
        <f t="shared" ca="1" si="56"/>
        <v>761.84759999999994</v>
      </c>
      <c r="E730" s="29">
        <f t="shared" ca="1" si="57"/>
        <v>0</v>
      </c>
      <c r="F730" s="39">
        <f t="shared" ca="1" si="58"/>
        <v>25.833333333333332</v>
      </c>
      <c r="G730" s="29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19341231</v>
      </c>
      <c r="C731" s="24" t="str">
        <f>INDEX(Data,2,2+MOD(ROWS(C$2:C731)-1,2))</f>
        <v>15.00</v>
      </c>
      <c r="D731" s="38">
        <f t="shared" ca="1" si="56"/>
        <v>759.66319999999996</v>
      </c>
      <c r="E731" s="29">
        <f t="shared" ca="1" si="57"/>
        <v>0</v>
      </c>
      <c r="F731" s="39">
        <f t="shared" ca="1" si="58"/>
        <v>27.222222222222221</v>
      </c>
      <c r="G731" s="29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1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044, 19340101, 1,    0, 00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044, 19340102, 1,    0, 00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044, 19340103, 1,    0, 00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044, 19340104, 1,    0, 00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044, 19340105, 1,   43, 00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044, 19340106, 1,  152, 00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044, 19340107, 1,    0, 00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044, 19340108, 1,  740, 00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044, 19340109, 1,  106, 00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044, 19340110, 1,  124, 00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044, 19340111, 1,    2, 00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044, 19340112, 1,    0, 00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044, 19340113, 1,   20, 00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044, 19340114, 1,   38, 00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044, 19340115, 1,    0, 00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044, 19340116, 1,  100, 00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044, 19340117, 1,   28, 00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044, 19340118, 1,    0, 00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044, 19340119, 1,    0, 00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044, 19340120, 1,    0, 00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044, 19340121, 1,    0, 00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044, 19340122, 1,    0, 00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044, 19340123, 1,    0, 00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044, 19340124, 1,    0, 00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044, 19340125, 1,    0, 00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044, 19340126, 1,   52, 00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044, 19340127, 1,   33, 00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044, 19340128, 1,    0, 00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044, 19340129, 1,    0, 00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044, 19340130, 1,    0, 00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044, 19340131, 1,    0, 00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044, 19340201, 1,    0, 00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044, 19340202, 1,    0, 00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044, 19340203, 1,    0, 00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044, 19340204, 1,    0, 00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044, 19340205, 1,   46, 00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044, 19340206, 1,    0, 00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044, 19340207, 1,    0, 00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044, 19340208, 1,    0, 00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044, 19340209, 1,    0, 00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044, 19340210, 1,    0, 00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044, 19340211, 1,    0, 00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044, 19340212, 1,    0, 00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044, 19340213, 1,    0, 00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044, 19340214, 1,    0, 00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044, 19340215, 1,    0, 00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044, 19340216, 1,    0, 00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044, 19340217, 1,    0, 00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044, 19340218, 1,    0, 00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044, 19340219, 1,    0, 00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044, 19340220, 1,    0, 00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044, 19340221, 1,    0, 00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044, 19340222, 1,    0, 00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044, 19340223, 1,    0, 00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044, 19340224, 1,    0, 00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044, 19340225, 1,   36, 00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044, 19340226, 1,   46, 00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044, 19340227, 1,    0, 00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044, 19340228, 1,    0, 00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044, 19340301, 1,    0, 00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044, 19340302, 1,    0, 00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044, 19340303, 1,    0, 00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044, 19340304, 1,    0, 00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044, 19340305, 1,    0, 00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044, 19340306, 1,    0, 00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044, 19340307, 1,    0, 00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044, 19340308, 1,    0, 00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044, 19340309, 1,    0, 00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044, 19340310, 1,    0, 00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044, 19340311, 1,    0, 00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044, 19340312, 1,    0, 00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044, 19340313, 1,    0, 00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044, 19340314, 1,    0, 00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044, 19340315, 1,    0, 00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044, 19340316, 1,    0, 00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044, 19340317, 1,    0, 00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044, 19340318, 1,    0, 00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044, 19340319, 1,    0, 00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044, 19340320, 1,    0, 00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044, 19340321, 1,    0, 00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044, 19340322, 1,    0, 00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044, 19340323, 1,    0, 00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044, 19340324, 1,    0, 00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044, 19340325, 1,    0, 00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044, 19340326, 1,    0, 00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044, 19340327, 1,    0, 00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044, 19340328, 1,    0, 00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044, 19340329, 1,    0, 00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044, 19340330, 1,    0, 00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044, 19340331, 1,   29, 00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044, 19340401, 1,    0, 00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044, 19340402, 1,    0, 00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044, 19340403, 1,    0, 00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044, 19340404, 1,    0, 00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044, 19340405, 1,    0, 00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044, 19340406, 1,    0, 00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044, 19340407, 1,    0, 00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044, 19340408, 1,    0, 00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044, 19340409, 1,    0, 00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044, 19340410, 1,    0, 00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044, 19340411, 1,    0, 00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044, 19340412, 1,    0, 00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044, 19340413, 1,    0, 00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044, 19340414, 1,    0, 00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044, 19340415, 1,    0, 00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044, 19340416, 1,    0, 00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044, 19340417, 1,    0, 00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044, 19340418, 1,    0, 00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044, 19340419, 1,    0, 00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044, 19340420, 1,    0, 00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044, 19340421, 1,    0, 00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044, 19340422, 1,    0, 00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044, 19340423, 1,    0, 00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044, 19340424, 1,    0, 00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044, 19340425, 1,    0, 00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044, 19340426, 1,    0, 00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044, 19340427, 1,    0, 00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044, 19340428, 1,    0, 00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044, 19340429, 1,    0, 00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044, 19340430, 1,    0, 00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044, 19340501, 1,    0, 00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044, 19340502, 1,    0, 00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044, 19340503, 1,    0, 00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044, 19340504, 1,    0, 00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044, 19340505, 1,    0, 00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044, 19340506, 1,    0, 00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044, 19340507, 1,    0, 00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044, 19340508, 1,    0, 00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044, 19340509, 1,    0, 00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044, 19340510, 1,    0, 00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044, 19340511, 1,    0, 00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044, 19340512, 1,    0, 00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044, 19340513, 1,    0, 00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044, 19340514, 1,    0, 00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044, 19340515, 1,    0, 00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044, 19340516, 1,    0, 00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044, 19340517, 1,    0, 00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044, 19340518, 1,    0, 00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044, 19340519, 1,    0, 00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044, 19340520, 1,    0, 00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044, 19340521, 1,    0, 00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044, 19340522, 1,    0, 00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044, 19340523, 1,   18, 00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044, 19340524, 1,    0, 00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044, 19340525, 1,    0, 00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044, 19340526, 1,    0, 00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044, 19340527, 1,    0, 00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044, 19340528, 1,    0, 00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044, 19340529, 1,    0, 00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044, 19340530, 1,    0, 00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044, 19340531, 1,    0, 00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044, 19340601, 1,    0, 00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044, 19340602, 1,    0, 00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044, 19340603, 1,    0, 00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044, 19340604, 1,    0, 00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044, 19340605, 1,    0, 00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044, 19340606, 1,    0, 00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044, 19340607, 1,    0, 00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044, 19340608, 1,    0, 00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044, 19340609, 1,    0, 00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044, 19340610, 1,    0, 00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044, 19340611, 1,    0, 00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044, 19340612, 1,    0, 00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044, 19340613, 1,    0, 00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044, 19340614, 1,    0, 00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044, 19340615, 1,    0, 00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044, 19340616, 1,    0, 00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044, 19340617, 1,    0, 00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044, 19340618, 1,    0, 00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044, 19340619, 1,    0, 00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044, 19340620, 1,    0, 00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044, 19340621, 1,    0, 00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044, 19340622, 1,    0, 00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044, 19340623, 1,    0, 00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044, 19340624, 1,    0, 00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044, 19340625, 1,    0, 00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044, 19340626, 1,    0, 00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044, 19340627, 1,    0, 00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044, 19340628, 1,    4, 00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044, 19340629, 1,    0, 00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044, 19340630, 1,    0, 00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044, 19340701, 1,    0, 00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044, 19340702, 1,    0, 00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044, 19340703, 1,    0, 00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044, 19340704, 1,    0, 00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044, 19340705, 1,    0, 00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044, 19340706, 1,   23, 00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044, 19340707, 1,    0, 00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044, 19340708, 1,    0, 00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044, 19340709, 1,    0, 00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044, 19340710, 1,    0, 00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044, 19340711, 1,    0, 00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044, 19340712, 1,    0, 00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044, 19340713, 1,    0, 00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044, 19340714, 1,    0, 00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044, 19340715, 1,    0, 00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044, 19340716, 1,    0, 00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044, 19340717, 1,    0, 00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044, 19340718, 1,    0, 00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044, 19340719, 1,    0, 00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044, 19340720, 1,    0, 00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044, 19340721, 1,    0, 00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044, 19340722, 1,    0, 00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044, 19340723, 1,    0, 00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044, 19340724, 1,    0, 00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044, 19340725, 1,    0, 00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044, 19340726, 1,    0, 00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044, 19340727, 1,    0, 00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044, 19340728, 1,    0, 00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044, 19340729, 1,    0, 00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044, 19340730, 1,    0, 00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044, 19340731, 1,    0, 00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044, 19340801, 1,    0, 00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044, 19340802, 1,    0, 00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044, 19340803, 1,    0, 00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044, 19340804, 1,    0, 00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044, 19340805, 1,    0, 00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044, 19340806, 1,    0, 00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044, 19340807, 1,    0, 00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044, 19340808, 1,    0, 00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044, 19340809, 1,    0, 00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044, 19340810, 1,    0, 00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044, 19340811, 1,    0, 00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044, 19340812, 1,    0, 00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044, 19340813, 1,    0, 00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044, 19340814, 1,    0, 00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044, 19340815, 1,    0, 00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044, 19340816, 1,    0, 00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044, 19340817, 1,    0, 00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044, 19340818, 1,   14, 00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044, 19340819, 1,   38, 00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044, 19340820, 1,    0, 00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044, 19340821, 1,    0, 00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044, 19340822, 1,    0, 00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044, 19340823, 1,    0, 00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044, 19340824, 1,    0, 00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044, 19340825, 1,    0, 00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044, 19340826, 1,    0, 00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044, 19340827, 1,    0, 00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044, 19340828, 1,    0, 00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044, 19340829, 1,    0, 00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044, 19340830, 1,    0, 00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044, 19340831, 1,    0, 00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044, 19340901, 1,    0, 00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044, 19340902, 1,    0, 00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044, 19340903, 1,    0, 00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044, 19340904, 1,    0, 00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044, 19340905, 1,    0, 00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044, 19340906, 1,    0, 00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044, 19340907, 1,   33, 00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044, 19340908, 1,    8, 00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044, 19340909, 1,    0, 00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044, 19340910, 1,    0, 00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044, 19340911, 1,    0, 00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044, 19340912, 1,    0, 00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044, 19340913, 1,    0, 00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044, 19340914, 1,    0, 00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044, 19340915, 1,    0, 00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044, 19340916, 1,   24, 00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044, 19340917, 1,    0, 00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044, 19340918, 1,    0, 00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044, 19340919, 1,    0, 00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044, 19340920, 1,    0, 00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044, 19340921, 1,    0, 00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044, 19340922, 1,    0, 00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044, 19340923, 1,    0, 00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044, 19340924, 1,    0, 00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044, 19340925, 1,   22, 00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044, 19340926, 1,    0, 00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044, 19340927, 1,    0, 00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044, 19340928, 1,    0, 00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044, 19340929, 1,    0, 00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044, 19340930, 1,    0, 00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044, 19341001, 1,    0, 00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044, 19341002, 1,    0, 00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044, 19341003, 1,    0, 00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044, 19341004, 1,   95, 00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044, 19341005, 1,    0, 00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044, 19341006, 1,    0, 00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044, 19341007, 1,    0, 00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044, 19341008, 1,   23, 00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044, 19341009, 1,    0, 00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044, 19341010, 1,    0, 00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044, 19341011, 1,    0, 00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044, 19341012, 1,   10, 00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044, 19341013, 1,  213, 00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044, 19341014, 1,    0, 00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044, 19341015, 1,    0, 00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044, 19341016, 1,    0, 00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044, 19341017, 1,    0, 00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044, 19341018, 1,   23, 00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044, 19341019, 1,    0, 00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044, 19341020, 1,   93, 00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044, 19341021, 1,    0, 00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044, 19341022, 1,    0, 00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044, 19341023, 1,    0, 00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044, 19341024, 1,    0, 00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044, 19341025, 1,    0, 00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044, 19341026, 1,    0, 00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044, 19341027, 1,    0, 00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044, 19341028, 1,    0, 00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044, 19341029, 1,    0, 00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044, 19341030, 1,    0, 00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044, 19341031, 1,    0, 00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044, 19341101, 1,    0, 00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044, 19341102, 1,    0, 00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044, 19341103, 1,   30, 00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044, 19341104, 1,    0, 00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044, 19341105, 1,   47, 00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044, 19341106, 1,    0, 00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044, 19341107, 1,    0, 00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044, 19341108, 1,    0, 00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044, 19341109, 1,    0, 00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044, 19341110, 1,    0, 00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044, 19341111, 1,    0, 00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044, 19341112, 1,    0, 00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044, 19341113, 1,    0, 00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044, 19341114, 1,    0, 00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044, 19341115, 1,    0, 00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044, 19341116, 1,    0, 00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044, 19341117, 1,    0, 00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044, 19341118, 1,   11, 00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044, 19341119, 1,    0, 00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044, 19341120, 1,   82, 00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044, 19341121, 1,    0, 00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044, 19341122, 1,  215, 00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044, 19341123, 1,  223, 00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044, 19341124, 1,   20, 00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044, 19341125, 1,    0, 00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044, 19341126, 1,   70, 00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044, 19341127, 1,   35, 00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044, 19341128, 1,  156, 00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044, 19341129, 1,  623, 00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044, 19341130, 1,   56, 00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044, 19341201, 1,   13, 00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044, 19341202, 1,    0, 00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044, 19341203, 1,   85, 00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044, 19341204, 1,    0, 00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044, 19341205, 1,    0, 00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044, 19341206, 1,    0, 00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044, 19341207, 1,    0, 00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044, 19341208, 1,    0, 00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044, 19341209, 1,    0, 00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044, 19341210, 1,    0, 00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044, 19341211, 1,    0, 00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044, 19341212, 1,    0, 00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044, 19341213, 1,    0, 00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044, 19341214, 1,  101, 00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044, 19341215, 1,   67, 00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044, 19341216, 1,   96, 00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044, 19341217, 1,    0, 00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044, 19341218, 1,   75, 00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044, 19341219, 1,    0, 00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044, 19341220, 1,   58, 00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044, 19341221, 1,   78, 00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044, 19341222, 1,    0, 00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044, 19341223, 1,  157, 00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044, 19341224, 1,    0, 00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044, 19341225, 1,    0, 00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044, 19341226, 1,    0, 00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044, 19341227, 1,    0, 00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044, 19341228, 1,   60, 00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044, 19341229, 1,    0, 00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044, 19341230, 1,    0, 00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044, 19341231, 1,    0, 00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042, 19340101, 1,   30, 00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042, 19340102, 1,   75, 00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042, 19340103, 1,    0, 00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042, 19340104, 1,    0, 00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042, 19340105, 1,    0, 00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042, 19340106, 1,  175, 00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042, 19340107, 1,    0, 00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042, 19340108, 1,  357, 00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042, 19340109, 1,  184, 00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042, 19340110, 1,  429, 00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042, 19340111, 1,    0, 00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042, 19340112, 1,    0, 00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042, 19340113, 1,   70, 00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042, 19340114, 1,  165, 00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042, 19340115, 1,   66, 00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042, 19340116, 1,    0, 00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042, 19340117, 1,   82, 00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042, 19340118, 1,    0, 00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042, 19340119, 1,    0, 00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042, 19340120, 1,    0, 00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042, 19340121, 1,    0, 00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042, 19340122, 1,    0, 00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042, 19340123, 1,    0, 00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042, 19340124, 1,    0, 00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042, 19340125, 1,    0, 00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042, 19340126, 1,    0, 00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042, 19340127, 1,   40, 00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042, 19340128, 1,    0, 00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042, 19340129, 1,    0, 00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042, 19340130, 1,    0, 00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042, 19340131, 1,    0, 00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042, 19340201, 1,    0, 00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042, 19340202, 1,    0, 00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042, 19340203, 1,    0, 00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042, 19340204, 1,    0, 00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042, 19340205, 1,    0, 00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042, 19340206, 1,    0, 00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042, 19340207, 1,    0, 00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042, 19340208, 1,    0, 00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042, 19340209, 1,    0, 00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042, 19340210, 1,    0, 00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042, 19340211, 1,    0, 00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042, 19340212, 1,    0, 00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042, 19340213, 1,    0, 00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042, 19340214, 1,    0, 00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042, 19340215, 1,    0, 00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042, 19340216, 1,    0, 00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042, 19340217, 1,    0, 00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042, 19340218, 1,    0, 00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042, 19340219, 1,    0, 00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042, 19340220, 1,    0, 00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042, 19340221, 1,    0, 00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042, 19340222, 1,    0, 00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042, 19340223, 1,    0, 00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042, 19340224, 1,    0, 00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042, 19340225, 1,    0, 00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042, 19340226, 1,    0, 00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042, 19340227, 1,   43, 00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042, 19340228, 1,    0, 00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042, 19340301, 1,    0, 00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042, 19340302, 1,    0, 00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042, 19340303, 1,    0, 00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042, 19340304, 1,    0, 00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042, 19340305, 1,    0, 00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042, 19340306, 1,    0, 00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042, 19340307, 1,    0, 00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042, 19340308, 1,    0, 00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042, 19340309, 1,    0, 00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042, 19340310, 1,    0, 00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042, 19340311, 1,    0, 00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042, 19340312, 1,    0, 00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042, 19340313, 1,    0, 00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042, 19340314, 1,    0, 00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042, 19340315, 1,    0, 00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042, 19340316, 1,    0, 00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042, 19340317, 1,    0, 00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042, 19340318, 1,   60, 00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042, 19340319, 1,    0, 00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042, 19340320, 1,    0, 00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042, 19340321, 1,    0, 00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042, 19340322, 1,    0, 00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042, 19340323, 1,    0, 00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042, 19340324, 1,    0, 00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042, 19340325, 1,    0, 00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042, 19340326, 1,   37, 00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042, 19340327, 1,    0, 00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042, 19340328, 1,    0, 00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042, 19340329, 1,    0, 00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042, 19340330, 1,  140, 00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042, 19340331, 1,    0, 00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042, 19340401, 1,   34, 00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042, 19340402, 1,    0, 00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042, 19340403, 1,    0, 00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042, 19340404, 1,    0, 00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042, 19340405, 1,    0, 00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042, 19340406, 1,    0, 00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042, 19340407, 1,    0, 00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042, 19340408, 1,    0, 00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042, 19340409, 1,    0, 00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042, 19340410, 1,    0, 00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042, 19340411, 1,    0, 00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042, 19340412, 1,    0, 00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042, 19340413, 1,    0, 00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042, 19340414, 1,    0, 00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042, 19340415, 1,    0, 00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042, 19340416, 1,    0, 00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042, 19340417, 1,    0, 00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042, 19340418, 1,    0, 00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042, 19340419, 1,    0, 00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042, 19340420, 1,    0, 00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042, 19340421, 1,    0, 00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042, 19340422, 1,    0, 00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042, 19340423, 1,    0, 00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042, 19340424, 1,    0, 00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042, 19340425, 1,    0, 00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042, 19340426, 1,    0, 00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042, 19340427, 1,    0, 00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042, 19340428, 1,    0, 00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042, 19340429, 1,    0, 00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042, 19340430, 1,    0, 00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042, 19340501, 1,    0, 00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042, 19340502, 1,    0, 00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042, 19340503, 1,    0, 00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042, 19340504, 1,    0, 00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042, 19340505, 1,    0, 00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042, 19340506, 1,    0, 00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042, 19340507, 1,    0, 00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042, 19340508, 1,    0, 00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042, 19340509, 1,    0, 00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042, 19340510, 1,    0, 00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042, 19340511, 1,    0, 00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042, 19340512, 1,    0, 00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042, 19340513, 1,    0, 00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042, 19340514, 1,    0, 00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042, 19340515, 1,    0, 00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042, 19340516, 1,    0, 00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042, 19340517, 1,    0, 00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042, 19340518, 1,    0, 00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042, 19340519, 1,    0, 00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042, 19340520, 1,    0, 00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042, 19340521, 1,    0, 00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042, 19340522, 1,    0, 00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042, 19340523, 1,    0, 00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042, 19340524, 1,    0, 00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042, 19340525, 1,    0, 00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042, 19340526, 1,    0, 00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042, 19340527, 1,    0, 00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042, 19340528, 1,    0, 00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042, 19340529, 1,    0, 00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042, 19340530, 1,    0, 00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042, 19340531, 1,    0, 00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042, 19340601, 1,    0, 00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042, 19340602, 1,    0, 00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042, 19340603, 1,    0, 00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042, 19340604, 1,    0, 00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042, 19340605, 1,    0, 00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042, 19340606, 1,    0, 00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042, 19340607, 1,    0, 00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042, 19340608, 1,    0, 00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042, 19340609, 1,    0, 00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042, 19340610, 1,    0, 00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042, 19340611, 1,    0, 00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042, 19340612, 1,    0, 00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042, 19340613, 1,    0, 00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042, 19340614, 1,    0, 00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042, 19340615, 1,    0, 00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042, 19340616, 1,    0, 00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042, 19340617, 1,    0, 00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042, 19340618, 1,    0, 00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042, 19340619, 1,    0, 00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042, 19340620, 1,    0, 00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042, 19340621, 1,    0, 00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042, 19340622, 1,    0, 00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042, 19340623, 1,    0, 00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042, 19340624, 1,    0, 00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042, 19340625, 1,    0, 00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042, 19340626, 1,    0, 00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042, 19340627, 1,    0, 00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042, 19340628, 1,   20, 00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042, 19340629, 1,   16, 00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042, 19340630, 1,    0, 00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042, 19340701, 1,    0, 00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042, 19340702, 1,    0, 00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042, 19340703, 1,    0, 00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042, 19340704, 1,   32, 00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042, 19340705, 1,    0, 00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042, 19340706, 1,    0, 00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042, 19340707, 1,    0, 00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042, 19340708, 1,    0, 00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042, 19340709, 1,    0, 00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042, 19340710, 1,    0, 00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042, 19340711, 1,    0, 00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042, 19340712, 1,    0, 00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042, 19340713, 1,    0, 00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042, 19340714, 1,    0, 00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042, 19340715, 1,    0, 00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042, 19340716, 1,    0, 00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042, 19340717, 1,    0, 00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042, 19340718, 1,   20, 00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042, 19340719, 1,    0, 00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042, 19340720, 1,    0, 00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042, 19340721, 1,    0, 00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042, 19340722, 1,    0, 00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042, 19340723, 1,    0, 00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042, 19340724, 1,    0, 00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042, 19340725, 1,    0, 00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042, 19340726, 1,    0, 00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042, 19340727, 1,    0, 00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042, 19340728, 1,    0, 00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042, 19340729, 1,    0, 00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042, 19340730, 1,    0, 00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042, 19340731, 1,    0, 00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042, 19340801, 1,    0, 00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042, 19340802, 1,    0, 00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042, 19340803, 1,   20, 00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042, 19340804, 1,    0, 00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042, 19340805, 1,    0, 00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042, 19340806, 1,    0, 00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042, 19340807, 1,    0, 00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042, 19340808, 1,    0, 00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042, 19340809, 1,    0, 00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042, 19340810, 1,    0, 00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042, 19340811, 1,    0, 00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042, 19340812, 1,    0, 00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042, 19340813, 1,    0, 00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042, 19340814, 1,    0, 00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042, 19340815, 1,    0, 00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042, 19340816, 1,    0, 00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042, 19340817, 1,    0, 00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042, 19340818, 1,    0, 00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042, 19340819, 1,   26, 00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042, 19340820, 1,   40, 00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042, 19340821, 1,   37, 00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042, 19340822, 1,    0, 00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042, 19340823, 1,    0, 00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042, 19340824, 1,    0, 00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042, 19340825, 1,    0, 00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042, 19340826, 1,    0, 00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042, 19340827, 1,    0, 00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042, 19340828, 1,    0, 00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042, 19340829, 1,    0, 00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042, 19340830, 1,    0, 00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042, 19340831, 1,    0, 00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042, 19340901, 1,    0, 00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042, 19340902, 1,    0, 00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042, 19340903, 1,    0, 00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042, 19340904, 1,    0, 00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042, 19340905, 1,    0, 00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042, 19340906, 1,    0, 00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042, 19340907, 1,   85, 00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042, 19340908, 1,   56, 00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042, 19340909, 1,    0, 00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042, 19340910, 1,    0, 00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042, 19340911, 1,    0, 00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042, 19340912, 1,    0, 00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042, 19340913, 1,    0, 00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042, 19340914, 1,    0, 00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042, 19340915, 1,    0, 00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042, 19340916, 1,    0, 00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042, 19340917, 1,    0, 00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042, 19340918, 1,    0, 00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042, 19340919, 1,    0, 00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042, 19340920, 1,    0, 00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042, 19340921, 1,    0, 00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042, 19340922, 1,    0, 00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042, 19340923, 1,    0, 00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042, 19340924, 1,    0, 00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042, 19340925, 1,    0, 00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042, 19340926, 1,    0, 00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042, 19340927, 1,    0, 00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042, 19340928, 1,    0, 00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042, 19340929, 1,    0, 00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042, 19340930, 1,    0, 00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042, 19341001, 1,    0, 00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042, 19341002, 1,    0, 00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042, 19341003, 1,    0, 00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042, 19341004, 1,  187, 00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042, 19341005, 1,    0, 00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042, 19341006, 1,    0, 00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042, 19341007, 1,    0, 00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042, 19341008, 1,   15, 00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042, 19341009, 1,    0, 00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042, 19341010, 1,    0, 00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042, 19341011, 1,    0, 00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042, 19341012, 1,    0, 00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042, 19341013, 1,  233, 00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042, 19341014, 1,    0, 00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042, 19341015, 1,    0, 00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042, 19341016, 1,   32, 00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042, 19341017, 1,    0, 00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042, 19341018, 1,   35, 00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042, 19341019, 1,   55, 00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042, 19341020, 1,  314, 00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042, 19341021, 1,    0, 00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042, 19341022, 1,    0, 00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042, 19341023, 1,    0, 00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042, 19341024, 1,    0, 00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042, 19341025, 1,    0, 00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042, 19341026, 1,    0, 00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042, 19341027, 1,    0, 00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042, 19341028, 1,    0, 00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042, 19341029, 1,    0, 00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042, 19341030, 1,    0, 00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042, 19341031, 1,    0, 00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042, 19341101, 1,   42, 00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042, 19341102, 1,    0, 00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042, 19341103, 1,    0, 00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042, 19341104, 1,    0, 00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042, 19341105, 1,   58, 00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042, 19341106, 1,    0, 00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042, 19341107, 1,    0, 00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042, 19341108, 1,    0, 00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042, 19341109, 1,    0, 00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042, 19341110, 1,    0, 00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042, 19341111, 1,    0, 00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042, 19341112, 1,    0, 00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042, 19341113, 1,    0, 00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042, 19341114, 1,    0, 00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042, 19341115, 1,   13, 00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042, 19341116, 1,    0, 00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042, 19341117, 1,    0, 00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042, 19341118, 1,   87, 00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042, 19341119, 1,   35, 00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042, 19341120, 1,  184, 00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042, 19341121, 1,  471, 00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042, 19341122, 1,  345, 00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042, 19341123, 1,    0, 00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042, 19341124, 1,   70, 00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042, 19341125, 1,    0, 00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042, 19341126, 1,  779, 00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042, 19341127, 1,   36, 00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042, 19341128, 1,  727, 00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042, 19341129, 1,  846, 00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042, 19341130, 1,  190, 00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042, 19341201, 1,    0, 00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042, 19341202, 1,    0, 00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042, 19341203, 1,   86, 00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042, 19341204, 1,   25, 00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042, 19341205, 1,   20, 00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042, 19341206, 1,   30, 00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042, 19341207, 1,    0, 00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042, 19341208, 1,    0, 00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042, 19341209, 1,    0, 00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042, 19341210, 1,    0, 00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042, 19341211, 1,    0, 00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042, 19341212, 1,    0, 00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042, 19341213, 1,    0, 00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042, 19341214, 1,   25, 00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042, 19341215, 1,   36, 00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042, 19341216, 1,  203, 00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042, 19341217, 1,    0, 00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042, 19341218, 1,   57, 00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042, 19341219, 1,    0, 00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042, 19341220, 1,    0, 00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042, 19341221, 1,   30, 00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042, 19341222, 1,    0, 00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042, 19341223, 1,  167, 00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042, 19341224, 1,    0, 00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042, 19341225, 1,    0, 00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042, 19341226, 1,    0, 00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042, 19341227, 1,    0, 00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042, 19341228, 1,  105, 00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042, 19341229, 1,    0, 00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042, 19341230, 1,    0, 00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042, 19341231, 1,    0, 00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044, 19340101, 08.00, 7622, 00,  269, 00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044, 19340101, 15.00, 7601, 00,  278, 00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044, 19340102, 08.00, 7616, 00,  261, 00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044, 19340102, 15.00, 7589, 00,  269, 00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044, 19340103, 08.00, 7609, 00,  256, 00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044, 19340103, 15.00, 7592, 00,  269, 00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044, 19340104, 08.00, 7614, 00,  253, 00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044, 19340104, 15.00, 7594, 00,  272, 00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044, 19340105, 08.00, 7612, 00,  253, 00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044, 19340105, 15.00, 7594, 00,  269, 00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044, 19340106, 08.00, 7612, 00,  253, 00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044, 19340106, 15.00, 7603, 00,  261, 00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044, 19340107, 08.00, 7615, 00,  264, 00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044, 19340107, 15.00, 7597, 00,  267, 00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044, 19340108, 08.00, 7619, 00,  250, 00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044, 19340108, 15.00, 7594, 00,  250, 00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044, 19340109, 08.00, 7607, 00,  250, 00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044, 19340109, 15.00, 7586, 00,  256, 00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044, 19340110, 08.00, 7615, 00,  244, 00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044, 19340110, 15.00, 7594, 00,  272, 00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044, 19340111, 08.00, 7616, 00,  256, 00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044, 19340111, 15.00, 7602, 00,  267, 00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044, 19340112, 08.00, 7626, 00,  256, 00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044, 19340112, 15.00, 7584, 00,  269, 00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044, 19340113, 08.00, 7627, 00,  247, 00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044, 19340113, 15.00, 7606, 00,  261, 00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044, 19340114, 08.00, 7619, 00,  250, 00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044, 19340114, 15.00, 7597, 00,  267, 00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044, 19340115, 08.00, 7624, 00,  256, 00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044, 19340115, 15.00, 7605, 00,  267, 00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044, 19340116, 08.00, 7624, 00,  256, 00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044, 19340116, 15.00, 7604, 00,  256, 00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044, 19340117, 08.00, 7617, 00,  253, 00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044, 19340117, 15.00, 7600, 00,  267, 00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044, 19340118, 08.00, 7614, 00,  253, 00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044, 19340118, 15.00, 7597, 00,  272, 00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044, 19340119, 08.00, 7618, 00,  261, 00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044, 19340119, 15.00, 7599, 00,  272, 00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044, 19340120, 08.00, 7618, 00,  258, 00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044, 19340120, 15.00, 7599, 00,  272, 00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044, 19340121, 08.00, 7614, 00,  253, 00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044, 19340121, 15.00, 7597, 00,  267, 00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044, 19340122, 08.00, 7619, 00,  256, 00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044, 19340122, 15.00, 7597, 00,  269, 00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044, 19340123, 08.00, 7624, 00,  256, 00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044, 19340123, 15.00, 7602, 00,  272, 00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044, 19340124, 08.00, 7626, 00,  256, 00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044, 19340124, 15.00, 7606, 00,  278, 00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044, 19340125, 08.00, 7631, 00,  256, 00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044, 19340125, 15.00, 7610, 00,  264, 00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044, 19340126, 08.00, 7630, 00,  244, 00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044, 19340126, 15.00, 7612, 00,  269, 00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044, 19340127, 08.00, 7635, 00,  247, 00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044, 19340127, 15.00, 7615, 00,  267, 00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044, 19340128, 08.00, 7626, 00,  258, 00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044, 19340128, 15.00, 7604, 00,  272, 00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044, 19340129, 08.00, 7622, 00,  253, 00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044, 19340129, 15.00, 7602, 00,  267, 00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044, 19340130, 08.00, 7621, 00,  256, 00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044, 19340130, 15.00, 7605, 00,  269, 00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044, 19340131, 08.00, 7631, 00,  261, 00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044, 19340131, 15.00, 7612, 00,  272, 00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044, 19340201, 08.00, 7626, 00,  256, 00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044, 19340201, 15.00, 7612, 00,  272, 00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044, 19340202, 08.00, 7624, 00,  253, 00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044, 19340202, 15.00, 7604, 00,  269, 00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044, 19340203, 08.00, 7624, 00,  256, 00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044, 19340203, 15.00, 7609, 00,  272, 00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044, 19340204, 08.00, 7627, 00,  253, 00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044, 19340204, 15.00, 7607, 00,  275, 00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044, 19340205, 08.00, 7630, 00,  250, 00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044, 19340205, 15.00, 7605, 00,  264, 00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044, 19340206, 08.00, 7627, 00,  253, 00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044, 19340206, 15.00, 7604, 00,  272, 00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044, 19340207, 08.00, 7629, 00,  256, 00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044, 19340207, 15.00, 7612, 00,  272, 00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044, 19340208, 08.00, 7634, 00,  256, 00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044, 19340208, 15.00, 7614, 00,  269, 00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044, 19340209, 08.00, 7634, 00,  258, 00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044, 19340209, 15.00, 7610, 00,  264, 00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044, 19340210, 08.00, 7634, 00,  258, 00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044, 19340210, 15.00, 7616, 00,  275, 00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044, 19340211, 08.00, 7631, 00,  256, 00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044, 19340211, 15.00, 7612, 00,  272, 00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044, 19340212, 08.00, 7634, 00,  253, 00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044, 19340212, 15.00, 7609, 00,  272, 00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044, 19340213, 08.00, 7631, 00,  258, 00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044, 19340213, 15.00, 7609, 00,  275, 00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044, 19340214, 08.00, 7639, 00,  261, 00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044, 19340214, 15.00, 7619, 00,  275, 00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044, 19340215, 08.00, 7636, 00,  258, 00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044, 19340215, 15.00, 7611, 00,  275, 00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044, 19340216, 08.00, 7624, 00,  256, 00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044, 19340216, 15.00, 7601, 00,  275, 00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044, 19340217, 08.00, 7619, 00,  256, 00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044, 19340217, 15.00, 7597, 00,  272, 00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044, 19340218, 08.00, 7624, 00,  258, 00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044, 19340218, 15.00, 7599, 00,  272, 00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044, 19340219, 08.00, 7626, 00,  256, 00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044, 19340219, 15.00, 7597, 00,  269, 00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044, 19340220, 08.00, 7627, 00,  250, 00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044, 19340220, 15.00, 7607, 00,  272, 00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044, 19340221, 08.00, 7631, 00,  261, 00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044, 19340221, 15.00, 7612, 00,  272, 00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044, 19340222, 08.00, 7631, 00,  261, 00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044, 19340222, 15.00, 7613, 00,  278, 00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044, 19340223, 08.00, 7633, 00,  267, 00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044, 19340223, 15.00, 7622, 00,  272, 00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044, 19340224, 08.00, 7636, 00,  258, 00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044, 19340224, 15.00, 7616, 00,  275, 00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044, 19340225, 08.00, 7630, 00,  264, 00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044, 19340225, 15.00, 7612, 00,  272, 00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044, 19340226, 08.00, 7634, 00,  256, 00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044, 19340226, 15.00, 7622, 00,  272, 00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044, 19340227, 08.00, 7650, 00,  253, 00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044, 19340227, 15.00, 7632, 00,  275, 00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044, 19340228, 08.00, 7644, 00,  258, 00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044, 19340228, 15.00, 7629, 00,  272, 00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044, 19340301, 08.00, 7641, 00,  258, 00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044, 19340301, 15.00, 7626, 00,  278, 00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044, 19340302, 08.00, 7640, 00,  253, 00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044, 19340302, 15.00, 7622, 00,  272, 00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044, 19340303, 08.00, 7637, 00,  256, 00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044, 19340303, 15.00, 7622, 00,  272, 00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044, 19340304, 08.00, 7640, 00,  253, 00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044, 19340304, 15.00, 7624, 00,  275, 00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044, 19340305, 08.00, 7639, 00,  256, 00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044, 19340305, 15.00, 7621, 00,  278, 00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044, 19340306, 08.00, 7639, 00,  258, 00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044, 19340306, 15.00, 7617, 00,  269, 00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044, 19340307, 08.00, 7639, 00,  256, 00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044, 19340307, 15.00, 7618, 00,  278, 00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044, 19340308, 08.00, 7642, 00,  256, 00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044, 19340308, 15.00, 7616, 00,  278, 00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044, 19340309, 08.00, 7636, 00,  261, 00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044, 19340309, 15.00, 7613, 00,  278, 00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044, 19340310, 08.00, 7623, 00,  264, 00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044, 19340310, 15.00, 7601, 00,  278, 00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044, 19340311, 08.00, 7626, 00,  261, 00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044, 19340311, 15.00, 7604, 00,  275, 00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044, 19340312, 08.00, 7623, 00,  261, 00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044, 19340312, 15.00, 7606, 00,  278, 00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044, 19340313, 08.00, 7624, 00,  258, 00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044, 19340313, 15.00, 7596, 00,  278, 00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044, 19340314, 08.00, 7610, 00,  267, 00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044, 19340314, 15.00, 7583, 00,  278, 00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044, 19340315, 08.00, 7613, 00,  264, 00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044, 19340315, 15.00, 7593, 00,  258, 00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044, 19340316, 08.00, 7611, 00,  261, 00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044, 19340316, 15.00, 7600, 00,  286, 00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044, 19340317, 08.00, 7634, 00,  275, 00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044, 19340317, 15.00, 7613, 00,  283, 00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044, 19340318, 08.00, 7612, 00,  267, 00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044, 19340318, 15.00, 7591, 00,  275, 00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044, 19340319, 08.00, 7616, 00,  261, 00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044, 19340319, 15.00, 7598, 00,  278, 00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044, 19340320, 08.00, 7618, 00,  261, 00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044, 19340320, 15.00, 7600, 00,  283, 00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044, 19340321, 08.00, 7623, 00,  264, 00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044, 19340321, 15.00, 7593, 00,  278, 00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044, 19340322, 08.00, 7615, 00,  264, 00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044, 19340322, 15.00, 7591, 00,  275, 00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044, 19340323, 08.00, 7610, 00,  264, 00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044, 19340323, 15.00, 7593, 00,  278, 00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044, 19340324, 08.00, 7608, 00,  267, 00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044, 19340324, 15.00, 7588, 00,  281, 00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044, 19340325, 08.00, 7615, 00,  267, 00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044, 19340325, 15.00, 7591, 00,  278, 00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044, 19340326, 08.00, 7619, 00,  269, 00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044, 19340326, 15.00, 7598, 00,  283, 00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044, 19340327, 08.00, 7616, 00,  261, 00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044, 19340327, 15.00, 7598, 00,  278, 00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044, 19340328, 08.00, 7613, 00,  264, 00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044, 19340328, 15.00, 7588, 00,  283, 00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044, 19340329, 08.00, 7615, 00,  267, 00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044, 19340329, 15.00, 7590, 00,  283, 00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044, 19340330, 08.00, 7623, 00,  267, 00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044, 19340330, 15.00, 7598, 00,  278, 00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044, 19340331, 08.00, 7626, 00,  261, 00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044, 19340331, 15.00, 7593, 00,  278, 00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044, 19340401, 08.00, 7623, 00,  264, 00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044, 19340401, 15.00, 7593, 00,  278, 00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044, 19340402, 08.00, 7616, 00,  261, 00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044, 19340402, 15.00, 7588, 00,  283, 00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044, 19340403, 08.00, 7617, 00,  267, 00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044, 19340403, 15.00, 7593, 00,  281, 00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044, 19340404, 08.00, 7610, 00,  264, 00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044, 19340404, 15.00, 7586, 00,  278, 00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044, 19340405, 08.00, 7608, 00,  264, 00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044, 19340405, 15.00, 7588, 00,  283, 00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044, 19340406, 08.00, 7625, 00,  269, 00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044, 19340406, 15.00, 7593, 00,  283, 00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044, 19340407, 08.00, 7615, 00,  269, 00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044, 19340407, 15.00, 7596, 00,  278, 00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044, 19340408, 08.00, 7619, 00,  267, 00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044, 19340408, 15.00, 7591, 00,  278, 00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044, 19340409, 08.00, 7619, 00,  269, 00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044, 19340409, 15.00, 7596, 00,  281, 00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044, 19340410, 08.00, 7617, 00,  267, 00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044, 19340410, 15.00, 7588, 00,  283, 00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044, 19340411, 08.00, 7612, 00,  269, 00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044, 19340411, 15.00, 7585, 00,  283, 00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044, 19340412, 08.00, 7610, 00,  267, 00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044, 19340412, 15.00, 7577, 00,  286, 00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044, 19340413, 08.00, 7607, 00,  272, 00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044, 19340413, 15.00, 7579, 00,  292, 00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044, 19340414, 08.00, 7612, 00,  272, 00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044, 19340414, 15.00, 7590, 00,  286, 00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044, 19340415, 08.00, 7617, 00,  267, 00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044, 19340415, 15.00, 7585, 00,  283, 00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044, 19340416, 08.00, 7625, 00,  267, 00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044, 19340416, 15.00, 7601, 00,  281, 00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044, 19340417, 08.00, 7632, 00,  269, 00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044, 19340417, 15.00, 7613, 00,  283, 00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044, 19340418, 08.00, 7632, 00,  269, 00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044, 19340418, 15.00, 7608, 00,  283, 00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044, 19340419, 08.00, 7630, 00,  269, 00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044, 19340419, 15.00, 7606, 00,  281, 00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044, 19340420, 08.00, 7624, 00,  272, 00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044, 19340420, 15.00, 7600, 00,  283, 00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044, 19340421, 08.00, 7627, 00,  269, 00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044, 19340421, 15.00, 7598, 00,  283, 00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044, 19340422, 08.00, 7625, 00,  267, 00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044, 19340422, 15.00, 7600, 00,  283, 00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044, 19340423, 08.00, 7622, 00,  272, 00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044, 19340423, 15.00, 7601, 00,  281, 00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044, 19340424, 08.00, 7617, 00,  269, 00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044, 19340424, 15.00, 7593, 00,  281, 00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044, 19340425, 08.00, 7617, 00,  269, 00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044, 19340425, 15.00, 7595, 00,  283, 00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044, 19340426, 08.00, 7619, 00,  269, 00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044, 19340426, 15.00, 7595, 00,  283, 00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044, 19340427, 08.00, 7622, 00,  272, 00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044, 19340427, 15.00, 7597, 00,  286, 00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044, 19340428, 08.00, 7619, 00,  269, 00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044, 19340428, 15.00, 7600, 00,  283, 00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044, 19340429, 08.00, 7622, 00,  269, 00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044, 19340429, 15.00, 7593, 00,  281, 00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044, 19340430, 08.00, 7619, 00,  272, 00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044, 19340430, 15.00, 7598, 00,  283, 00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044, 19340501, 08.00, 7617, 00,  269, 00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044, 19340501, 15.00, 7593, 00,  283, 00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044, 19340502, 08.00, 7610, 00,  269, 00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044, 19340502, 15.00, 7595, 00,  286, 00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044, 19340503, 08.00, 7622, 00,  272, 00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044, 19340503, 15.00, 7600, 00,  286, 00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044, 19340504, 08.00, 7625, 00,  269, 00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044, 19340504, 15.00, 7592, 00,  289, 00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044, 19340505, 08.00, 7617, 00,  269, 00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044, 19340505, 15.00, 7600, 00,  286, 00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044, 19340506, 08.00, 7612, 00,  272, 00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044, 19340506, 15.00, 7595, 00,  283, 00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044, 19340507, 08.00, 7607, 00,  272, 00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044, 19340507, 15.00, 7587, 00,  286, 00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044, 19340508, 08.00, 7619, 00,  272, 00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044, 19340508, 15.00, 7596, 00,  294, 00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044, 19340509, 08.00, 7619, 00,  272, 00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044, 19340509, 15.00, 7595, 00,  289, 00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044, 19340510, 08.00, 7610, 00,  269, 00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044, 19340510, 15.00, 7587, 00,  286, 00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044, 19340511, 08.00, 7607, 00,  272, 00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044, 19340511, 15.00, 7595, 00,  286, 00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044, 19340512, 08.00, 7610, 00,  269, 00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044, 19340512, 15.00, 7587, 00,  286, 00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044, 19340513, 08.00, 7614, 00,  269, 00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044, 19340513, 15.00, 7588, 00,  283, 00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044, 19340514, 08.00, 7622, 00,  275, 00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044, 19340514, 15.00, 7608, 00,  286, 00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044, 19340515, 08.00, 7616, 00,  275, 00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044, 19340515, 15.00, 7600, 00,  286, 00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044, 19340516, 08.00, 7618, 00,  278, 00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044, 19340516, 15.00, 7605, 00,  289, 00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044, 19340517, 08.00, 7619, 00,  275, 00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044, 19340517, 15.00, 7599, 00,  292, 00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044, 19340518, 08.00, 7618, 00,  278, 00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044, 19340518, 15.00, 7599, 00,  292, 00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044, 19340519, 08.00, 7611, 00,  278, 00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044, 19340519, 15.00, 7597, 00,  292, 00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044, 19340520, 08.00, 7616, 00,  275, 00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044, 19340520, 15.00, 7600, 00,  289, 00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044, 19340521, 08.00, 7614, 00,  272, 00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044, 19340521, 15.00, 7603, 00,  292, 00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044, 19340522, 08.00, 7618, 00,  281, 00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044, 19340522, 15.00, 7599, 00,  294, 00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044, 19340523, 08.00, 7611, 00,  275, 00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044, 19340523, 15.00, 7590, 00,  289, 00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044, 19340524, 08.00, 7604, 00,  275, 00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044, 19340524, 15.00, 7579, 00,  292, 00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044, 19340525, 08.00, 7593, 00,  278, 00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044, 19340525, 15.00, 7569, 00,  292, 00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044, 19340526, 08.00, 7590, 00,  283, 00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044, 19340526, 15.00, 7573, 00,  297, 00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044, 19340527, 08.00, 7601, 00,  278, 00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044, 19340527, 15.00, 7579, 00,  294, 00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044, 19340528, 08.00, 7606, 00,  281, 00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044, 19340528, 15.00, 7585, 00,  306, 00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044, 19340529, 08.00, 7608, 00,  281, 00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044, 19340529, 15.00, 7587, 00,  306, 00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044, 19340530, 08.00, 7611, 00,  278, 00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044, 19340530, 15.00, 7594, 00,  294, 00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044, 19340531, 08.00, 7611, 00,  278, 00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044, 19340531, 15.00, 7596, 00,  294, 00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044, 19340601, 08.00, 7613, 00,  278, 00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044, 19340601, 15.00, 7597, 00,  292, 00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044, 19340602, 08.00, 7616, 00,  278, 00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044, 19340602, 15.00, 7599, 00,  294, 00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044, 19340603, 08.00, 7613, 00,  278, 00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044, 19340603, 15.00, 7597, 00,  292, 00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044, 19340604, 08.00, 7609, 00,  278, 00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044, 19340604, 15.00, 7596, 00,  294, 00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044, 19340605, 08.00, 7606, 00,  278, 00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044, 19340605, 15.00, 7591, 00,  297, 00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044, 19340606, 08.00, 7606, 00,  278, 00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044, 19340606, 15.00, 7592, 00,  292, 00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044, 19340607, 08.00, 7611, 00,  278, 00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044, 19340607, 15.00, 7596, 00,  294, 00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044, 19340608, 08.00, 7613, 00,  278, 00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044, 19340608, 15.00, 7594, 00,  297, 00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044, 19340609, 08.00, 7606, 00,  278, 00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044, 19340609, 15.00, 7594, 00,  292, 00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044, 19340610, 08.00, 7611, 00,  278, 00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044, 19340610, 15.00, 7596, 00,  294, 00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044, 19340611, 08.00, 7609, 00,  275, 00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044, 19340611, 15.00, 7595, 00,  283, 00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044, 19340612, 08.00, 7618, 00,  278, 00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044, 19340612, 15.00, 7604, 00,  294, 00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044, 19340613, 08.00, 7624, 00,  278, 00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044, 19340613, 15.00, 7604, 00,  294, 00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044, 19340614, 08.00, 7622, 00,  275, 00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044, 19340614, 15.00, 7600, 00,  306, 00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044, 19340615, 08.00, 7616, 00,  281, 00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044, 19340615, 15.00, 7594, 00,  311, 00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044, 19340616, 08.00, 7608, 00,  281, 00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044, 19340616, 15.00, 7596, 00,  300, 00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044, 19340617, 08.00, 7613, 00,  278, 00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044, 19340617, 15.00, 7604, 00,  294, 00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044, 19340618, 08.00, 7621, 00,  278, 00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044, 19340618, 15.00, 7609, 00,  297, 00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044, 19340619, 08.00, 7616, 00,  281, 00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044, 19340619, 15.00, 7601, 00,  294, 00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044, 19340620, 08.00, 7616, 00,  275, 00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044, 19340620, 15.00, 7596, 00,  297, 00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044, 19340621, 08.00, 7616, 00,  278, 00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044, 19340621, 15.00, 7601, 00,  294, 00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044, 19340622, 08.00, 7626, 00,  283, 00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044, 19340622, 15.00, 7603, 00,  300, 00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044, 19340623, 08.00, 7623, 00,  281, 00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044, 19340623, 15.00, 7596, 00,  297, 00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044, 19340624, 08.00, 7618, 00,  278, 00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044, 19340624, 15.00, 7601, 00,  294, 00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044, 19340625, 08.00, 7621, 00,  281, 00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044, 19340625, 15.00, 7607, 00,  294, 00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044, 19340626, 08.00, 7613, 00,  281, 00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044, 19340626, 15.00, 7596, 00,  300, 00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044, 19340627, 08.00, 7613, 00,  281, 00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044, 19340627, 15.00, 7596, 00,  300, 00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044, 19340628, 08.00, 7623, 00,  267, 00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044, 19340628, 15.00, 7606, 00,  300, 00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044, 19340629, 08.00, 7618, 00,  281, 00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044, 19340629, 15.00, 7606, 00,  300, 00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044, 19340630, 08.00, 7616, 00,  281, 00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044, 19340630, 15.00, 7595, 00,  283, 00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044, 19340701, 08.00, 7621, 00,  281, 00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044, 19340701, 15.00, 7601, 00,  294, 00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044, 19340702, 08.00, 7618, 00,  283, 00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044, 19340702, 15.00, 7606, 00,  303, 00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044, 19340703, 08.00, 7628, 00,  281, 00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044, 19340703, 15.00, 7613, 00,  303, 00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044, 19340704, 08.00, 7623, 00,  281, 00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044, 19340704, 15.00, 7603, 00,  300, 00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044, 19340705, 08.00, 7613, 00,  281, 00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044, 19340705, 15.00, 7596, 00,  297, 00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044, 19340706, 08.00, 7616, 00,  278, 00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044, 19340706, 15.00, 7596, 00,  300, 00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044, 19340707, 08.00, 7613, 00,  278, 00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044, 19340707, 15.00, 7596, 00,  297, 00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044, 19340708, 08.00, 7618, 00,  278, 00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044, 19340708, 15.00, 7593, 00,  300, 00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044, 19340709, 08.00, 7624, 00,  278, 00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044, 19340709, 15.00, 7604, 00,  294, 00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044, 19340710, 08.00, 7618, 00,  278, 00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044, 19340710, 15.00, 7601, 00,  300, 00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044, 19340711, 08.00, 7618, 00,  278, 00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044, 19340711, 15.00, 7604, 00,  294, 00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044, 19340712, 08.00, 7621, 00,  281, 00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044, 19340712, 15.00, 7608, 00,  281, 00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044, 19340713, 08.00, 7618, 00,  281, 00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044, 19340713, 15.00, 7601, 00,  297, 00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044, 19340714, 08.00, 7621, 00,  281, 00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044, 19340714, 15.00, 7607, 00,  294, 00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044, 19340715, 08.00, 7624, 00,  278, 00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044, 19340715, 15.00, 7607, 00,  294, 00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044, 19340716, 08.00, 7628, 00,  281, 00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044, 19340716, 15.00, 7611, 00,  297, 00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044, 19340717, 08.00, 7623, 00,  283, 00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044, 19340717, 15.00, 7601, 00,  300, 00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044, 19340718, 08.00, 7616, 00,  281, 00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044, 19340718, 15.00, 7599, 00,  294, 00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044, 19340719, 08.00, 7616, 00,  278, 00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044, 19340719, 15.00, 7604, 00,  294, 00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044, 19340720, 08.00, 7613, 00,  281, 00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044, 19340720, 15.00, 7596, 00,  300, 00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044, 19340721, 08.00, 7613, 00,  283, 00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044, 19340721, 15.00, 7601, 00,  294, 00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044, 19340722, 08.00, 7616, 00,  281, 00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044, 19340722, 15.00, 7599, 00,  294, 00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044, 19340723, 08.00, 7621, 00,  281, 00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044, 19340723, 15.00, 7603, 00,  300, 00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044, 19340724, 08.00, 7613, 00,  278, 00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044, 19340724, 15.00, 7596, 00,  297, 00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044, 19340725, 08.00, 7611, 00,  281, 00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044, 19340725, 15.00, 7596, 00,  300, 00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044, 19340726, 08.00, 7616, 00,  281, 00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044, 19340726, 15.00, 7599, 00,  294, 00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044, 19340727, 08.00, 7613, 00,  278, 00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044, 19340727, 15.00, 7596, 00,  300, 00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044, 19340728, 08.00, 7621, 00,  281, 00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044, 19340728, 15.00, 7604, 00,  294, 00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044, 19340729, 08.00, 7618, 00,  278, 00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044, 19340729, 15.00, 7601, 00,  300, 00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044, 19340730, 08.00, 7626, 00,  283, 00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044, 19340730, 15.00, 7607, 00,  294, 00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044, 19340731, 08.00, 7621, 00,  281, 00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044, 19340731, 15.00, 7604, 00,  294, 00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044, 19340801, 08.00, 7623, 00,  283, 00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044, 19340801, 15.00, 7601, 00,  294, 00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044, 19340802, 08.00, 7624, 00,  278, 00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044, 19340802, 15.00, 7606, 00,  300, 00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044, 19340803, 08.00, 7623, 00,  286, 00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044, 19340803, 15.00, 7606, 00,  300, 00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044, 19340804, 08.00, 7617, 00,  286, 00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044, 19340804, 15.00, 7593, 00,  300, 00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044, 19340805, 08.00, 7623, 00,  283, 00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044, 19340805, 15.00, 7601, 00,  294, 00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044, 19340806, 08.00, 7625, 00,  286, 00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044, 19340806, 15.00, 7610, 00,  306, 00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044, 19340807, 08.00, 7623, 00,  283, 00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044, 19340807, 15.00, 7604, 00,  297, 00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044, 19340808, 08.00, 7612, 00,  286, 00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044, 19340808, 15.00, 7601, 00,  300, 00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044, 19340809, 08.00, 7622, 00,  289, 00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044, 19340809, 15.00, 7608, 00,  300, 00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044, 19340810, 08.00, 7620, 00,  286, 00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044, 19340810, 15.00, 7608, 00,  300, 00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044, 19340811, 08.00, 7620, 00,  286, 00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044, 19340811, 15.00, 7608, 00,  300, 00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044, 19340812, 08.00, 7622, 00,  289, 00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044, 19340812, 15.00, 7608, 00,  300, 00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044, 19340813, 08.00, 7625, 00,  289, 00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044, 19340813, 15.00, 7608, 00,  300, 00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044, 19340814, 08.00, 7623, 00,  286, 00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044, 19340814, 15.00, 7603, 00,  303, 00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044, 19340815, 08.00, 7620, 00,  286, 00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044, 19340815, 15.00, 7609, 00,  294, 00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044, 19340816, 08.00, 7625, 00,  286, 00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044, 19340816, 15.00, 7608, 00,  303, 00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044, 19340817, 08.00, 7623, 00,  286, 00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044, 19340817, 15.00, 7608, 00,  300, 00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044, 19340818, 08.00, 7630, 00,  289, 00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044, 19340818, 15.00, 7615, 00,  289, 00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044, 19340819, 08.00, 7623, 00,  286, 00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044, 19340819, 15.00, 7601, 00,  294, 00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044, 19340820, 08.00, 7621, 00,  283, 00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044, 19340820, 15.00, 7596, 00,  300, 00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044, 19340821, 08.00, 7610, 00,  286, 00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044, 19340821, 15.00, 7591, 00,  297, 00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044, 19340822, 08.00, 7608, 00,  286, 00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044, 19340822, 15.00, 7585, 00,  303, 00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044, 19340823, 08.00, 7605, 00,  289, 00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044, 19340823, 15.00, 7585, 00,  303, 00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044, 19340824, 08.00, 7610, 00,  289, 00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044, 19340824, 15.00, 7590, 00,  289, 00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044, 19340825, 08.00, 7602, 00,  289, 00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044, 19340825, 15.00, 7587, 00,  308, 00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044, 19340826, 08.00, 7612, 00,  286, 00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044, 19340826, 15.00, 7596, 00,  300, 00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044, 19340827, 08.00, 7623, 00,  283, 00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044, 19340827, 15.00, 7600, 00,  303, 00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044, 19340828, 08.00, 7617, 00,  286, 00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044, 19340828, 15.00, 7595, 00,  303, 00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044, 19340829, 08.00, 7617, 00,  286, 00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044, 19340829, 15.00, 7593, 00,  300, 00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044, 19340830, 08.00, 7610, 00,  286, 00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044, 19340830, 15.00, 7588, 00,  303, 00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044, 19340831, 08.00, 7612, 00,  286, 00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044, 19340831, 15.00, 7593, 00,  300, 00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044, 19340901, 08.00, 7613, 00,  283, 00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044, 19340901, 15.00, 7590, 00,  303, 00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044, 19340902, 08.00, 7612, 00,  286, 00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044, 19340902, 15.00, 7588, 00,  303, 00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044, 19340903, 08.00, 7615, 00,  286, 00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044, 19340903, 15.00, 7590, 00,  306, 00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044, 19340904, 08.00, 7621, 00,  283, 00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044, 19340904, 15.00, 7596, 00,  300, 00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044, 19340905, 08.00, 7606, 00,  300, 00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044, 19340905, 15.00, 7591, 00,  297, 00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044, 19340906, 08.00, 7600, 00,  283, 00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044, 19340906, 15.00, 7581, 00,  300, 00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044, 19340907, 08.00, 7600, 00,  286, 00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044, 19340907, 15.00, 7587, 00,  289, 00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044, 19340908, 08.00, 7609, 00,  278, 00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044, 19340908, 15.00, 7594, 00,  297, 00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044, 19340909, 08.00, 7612, 00,  286, 00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044, 19340909, 15.00, 7591, 00,  300, 00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044, 19340910, 08.00, 7612, 00,  286, 00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044, 19340910, 15.00, 7596, 00,  300, 00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044, 19340911, 08.00, 7610, 00,  283, 00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044, 19340911, 15.00, 7591, 00,  300, 00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044, 19340912, 08.00, 7608, 00,  283, 00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044, 19340912, 15.00, 7581, 00,  297, 00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044, 19340913, 08.00, 7602, 00,  289, 00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044, 19340913, 15.00, 7580, 00,  306, 00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044, 19340914, 08.00, 7607, 00,  289, 00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044, 19340914, 15.00, 7593, 00,  303, 00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044, 19340915, 08.00, 7617, 00,  286, 00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044, 19340915, 15.00, 7593, 00,  303, 00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044, 19340916, 08.00, 7610, 00,  286, 00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044, 19340916, 15.00, 7588, 00,  303, 00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044, 19340917, 08.00, 7603, 00,  283, 00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044, 19340917, 15.00, 7578, 00,  303, 00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044, 19340918, 08.00, 7605, 00,  289, 00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044, 19340918, 15.00, 7578, 00,  303, 00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044, 19340919, 08.00, 7604, 00,  294, 00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044, 19340919, 15.00, 7580, 00,  306, 00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044, 19340920, 08.00, 7605, 00,  292, 00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044, 19340920, 15.00, 7581, 00,  300, 00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044, 19340921, 08.00, 7600, 00,  289, 00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044, 19340921, 15.00, 7575, 00,  303, 00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044, 19340922, 08.00, 7610, 00,  283, 00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044, 19340922, 15.00, 7597, 00,  292, 00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044, 19340923, 08.00, 7623, 00,  283, 00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044, 19340923, 15.00, 7599, 00,  294, 00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044, 19340924, 08.00, 7615, 00,  283, 00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044, 19340924, 15.00, 7591, 00,  300, 00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044, 19340925, 08.00, 7611, 00,  283, 00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044, 19340925, 15.00, 7578, 00,  300, 00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044, 19340926, 08.00, 7602, 00,  286, 00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044, 19340926, 15.00, 7586, 00,  300, 00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044, 19340927, 08.00, 7610, 00,  289, 00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044, 19340927, 15.00, 7590, 00,  303, 00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044, 19340928, 08.00, 7605, 00,  286, 00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044, 19340928, 15.00, 7580, 00,  303, 00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044, 19340929, 08.00, 7610, 00,  289, 00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044, 19340929, 15.00, 7588, 00,  300, 00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044, 19340930, 08.00, 7615, 00,  286, 00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044, 19340930, 15.00, 7590, 00,  306, 00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044, 19341001, 08.00, 7602, 00,  292, 00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044, 19341001, 15.00, 7572, 00,  306, 00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044, 19341002, 08.00, 7607, 00,  292, 00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044, 19341002, 15.00, 7572, 00,  306, 00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044, 19341003, 08.00, 7607, 00,  289, 00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044, 19341003, 15.00, 7577, 00,  308, 00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044, 19341004, 08.00, 7609, 00,  278, 00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044, 19341004, 15.00, 7581, 00,  294, 00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044, 19341005, 08.00, 7620, 00,  289, 00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044, 19341005, 15.00, 7590, 00,  306, 00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044, 19341006, 08.00, 7620, 00,  289, 00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044, 19341006, 15.00, 7598, 00,  306, 00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044, 19341007, 08.00, 7615, 00,  286, 00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044, 19341007, 15.00, 7596, 00,  300, 00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044, 19341008, 08.00, 7620, 00,  286, 00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044, 19341008, 15.00, 7591, 00,  300, 00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044, 19341009, 08.00, 7610, 00,  289, 00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044, 19341009, 15.00, 7586, 00,  300, 00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044, 19341010, 08.00, 7615, 00,  286, 00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044, 19341010, 15.00, 7591, 00,  297, 00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044, 19341011, 08.00, 7607, 00,  289, 00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044, 19341011, 15.00, 7578, 00,  303, 00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044, 19341012, 08.00, 7592, 00,  286, 00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044, 19341012, 15.00, 7557, 00,  306, 00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044, 19341013, 08.00, 7606, 00,  283, 00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044, 19341013, 15.00, 7570, 00,  300, 00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044, 19341014, 08.00, 7605, 00,  289, 00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044, 19341014, 15.00, 7578, 00,  300, 00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044, 19341015, 08.00, 7597, 00,  289, 00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044, 19341015, 15.00, 7573, 00,  300, 00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044, 19341016, 08.00, 7602, 00,  289, 00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044, 19341016, 15.00, 7578, 00,  300, 00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044, 19341017, 08.00, 7605, 00,  289, 00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044, 19341017, 15.00, 7581, 00,  300, 00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044, 19341018, 08.00, 7597, 00,  289, 00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044, 19341018, 15.00, 7576, 00,  300, 00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044, 19341019, 08.00, 7600, 00,  289, 00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044, 19341019, 15.00, 7581, 00,  300, 00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044, 19341020, 08.00, 7606, 00,  278, 00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044, 19341020, 15.00, 7584, 00,  294, 00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044, 19341021, 08.00, 7608, 00,  281, 00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044, 19341021, 15.00, 7581, 00,  300, 00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044, 19341022, 08.00, 7602, 00,  286, 00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044, 19341022, 15.00, 7574, 00,  294, 00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044, 19341023, 08.00, 7600, 00,  283, 00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044, 19341023, 15.00, 7566, 00,  292, 00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044, 19341024, 08.00, 7592, 00,  286, 00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044, 19341024, 15.00, 7570, 00,  306, 00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044, 19341025, 08.00, 7605, 00,  289, 00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044, 19341025, 15.00, 7590, 00,  303, 00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044, 19341026, 08.00, 7622, 00,  292, 00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044, 19341026, 15.00, 7598, 00,  303, 00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044, 19341027, 08.00, 7622, 00,  289, 00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044, 19341027, 15.00, 7596, 00,  294, 00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044, 19341028, 08.00, 7611, 00,  281, 00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044, 19341028, 15.00, 7592, 00,  289, 00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044, 19341029, 08.00, 7620, 00,  286, 00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044, 19341029, 15.00, 7596, 00,  300, 00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044, 19341030, 08.00, 7628, 00,  286, 00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044, 19341030, 15.00, 7603, 00,  300, 00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044, 19341031, 08.00, 7622, 00,  289, 00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044, 19341031, 15.00, 7598, 00,  300, 00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044, 19341101, 08.00, 7612, 00,  289, 00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044, 19341101, 15.00, 7588, 00,  300, 00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044, 19341102, 08.00, 7607, 00,  289, 00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044, 19341102, 15.00, 7586, 00,  297, 00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044, 19341103, 08.00, 7606, 00,  283, 00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044, 19341103, 15.00, 7583, 00,  300, 00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044, 19341104, 08.00, 7610, 00,  283, 00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044, 19341104, 15.00, 7586, 00,  294, 00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044, 19341105, 08.00, 7615, 00,  286, 00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044, 19341105, 15.00, 7589, 00,  292, 00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044, 19341106, 08.00, 7606, 00,  283, 00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044, 19341106, 15.00, 7581, 00,  300, 00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044, 19341107, 08.00, 7598, 00,  283, 00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044, 19341107, 15.00, 7576, 00,  300, 00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044, 19341108, 08.00, 7602, 00,  286, 00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044, 19341108, 15.00, 7581, 00,  297, 00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044, 19341109, 08.00, 7613, 00,  286, 00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044, 19341109, 15.00, 7591, 00,  300, 00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044, 19341110, 08.00, 7618, 00,  283, 00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044, 19341110, 15.00, 7590, 00,  303, 00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044, 19341111, 08.00, 7608, 00,  283, 00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044, 19341111, 15.00, 7576, 00,  297, 00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044, 19341112, 08.00, 7602, 00,  286, 00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044, 19341112, 15.00, 7575, 00,  303, 00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044, 19341113, 08.00, 7605, 00,  286, 00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044, 19341113, 15.00, 7576, 00,  297, 00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044, 19341114, 08.00, 7602, 00,  286, 00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044, 19341114, 15.00, 7573, 00,  300, 00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044, 19341115, 08.00, 7602, 00,  286, 00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044, 19341115, 15.00, 7577, 00,  292, 00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044, 19341116, 08.00, 7606, 00,  283, 00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044, 19341116, 15.00, 7584, 00,  294, 00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044, 19341117, 08.00, 7608, 00,  281, 00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044, 19341117, 15.00, 7582, 00,  292, 00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044, 19341118, 08.00, 7606, 00,  283, 00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044, 19341118, 15.00, 7581, 00,  300, 00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044, 19341119, 08.00, 7603, 00,  283, 00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044, 19341119, 15.00, 7576, 00,  294, 00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044, 19341120, 08.00, 7596, 00,  278, 00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044, 19341120, 15.00, 7572, 00,  289, 00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044, 19341121, 08.00, 7593, 00,  281, 00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044, 19341121, 15.00, 7569, 00,  292, 00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044, 19341122, 08.00, 7593, 00,  281, 00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044, 19341122, 15.00, 7570, 00,  289, 00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044, 19341123, 08.00, 7598, 00,  278, 00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044, 19341123, 15.00, 7573, 00,  278, 00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044, 19341124, 08.00, 7599, 00,  275, 00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044, 19341124, 15.00, 7571, 00,  292, 00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044, 19341125, 08.00, 7598, 00,  281, 00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044, 19341125, 15.00, 7573, 00,  278, 00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044, 19341126, 08.00, 7590, 00,  261, 00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044, 19341126, 15.00, 7555, 00,  278, 00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044, 19341127, 08.00, 7579, 00,  269, 00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044, 19341127, 15.00, 7555, 00,  278, 00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044, 19341128, 08.00, 7579, 00,  269, 00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044, 19341128, 15.00, 7560, 00,  267, 00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044, 19341129, 08.00, 7587, 00,  267, 00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044, 19341129, 15.00, 7562, 00,  267, 00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044, 19341130, 08.00, 7614, 00,  256, 00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044, 19341130, 15.00, 7588, 00,  278, 00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044, 19341201, 08.00, 7619, 00,  272, 00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044, 19341201, 15.00, 7600, 00,  286, 00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044, 19341202, 08.00, 7627, 00,  272, 00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044, 19341202, 15.00, 7605, 00,  286, 00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044, 19341203, 08.00, 7620, 00,  267, 00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044, 19341203, 15.00, 7593, 00,  281, 00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044, 19341204, 08.00, 7612, 00,  272, 00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044, 19341204, 15.00, 7586, 00,  294, 00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044, 19341205, 08.00, 7614, 00,  275, 00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044, 19341205, 15.00, 7589, 00,  294, 00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044, 19341206, 08.00, 7613, 00,  278, 00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044, 19341206, 15.00, 7587, 00,  292, 00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044, 19341207, 08.00, 7611, 00,  278, 00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044, 19341207, 15.00, 7589, 00,  292, 00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044, 19341208, 08.00, 7611, 00,  278, 00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044, 19341208, 15.00, 7586, 00,  294, 00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044, 19341209, 08.00, 7614, 00,  275, 00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044, 19341209, 15.00, 7587, 00,  292, 00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044, 19341210, 08.00, 7618, 00,  278, 00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044, 19341210, 15.00, 7594, 00,  292, 00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044, 19341211, 08.00, 7613, 00,  278, 00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044, 19341211, 15.00, 7587, 00,  292, 00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044, 19341212, 08.00, 7611, 00,  278, 00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044, 19341212, 15.00, 7592, 00,  289, 00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044, 19341213, 08.00, 7622, 00,  272, 00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044, 19341213, 15.00, 7597, 00,  283, 00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044, 19341214, 08.00, 7620, 00,  267, 00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044, 19341214, 15.00, 7599, 00,  269, 00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044, 19341215, 08.00, 7619, 00,  269, 00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044, 19341215, 15.00, 7601, 00,  281, 00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044, 19341216, 08.00, 7628, 00,  267, 00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044, 19341216, 15.00, 7605, 00,  286, 00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044, 19341217, 08.00, 7623, 00,  261, 00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044, 19341217, 15.00, 7599, 00,  275, 00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044, 19341218, 08.00, 7621, 00,  261, 00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044, 19341218, 15.00, 7602, 00,  272, 00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044, 19341219, 08.00, 7626, 00,  258, 00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044, 19341219, 15.00, 7603, 00,  278, 00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044, 19341220, 08.00, 7623, 00,  264, 00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044, 19341220, 15.00, 7607, 00,  269, 00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044, 19341221, 08.00, 7624, 00,  258, 00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044, 19341221, 15.00, 7598, 00,  278, 00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044, 19341222, 08.00, 7615, 00,  264, 00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044, 19341222, 15.00, 7602, 00,  269, 00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044, 19341223, 08.00, 7618, 00,  258, 00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044, 19341223, 15.00, 7598, 00,  264, 00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044, 19341224, 08.00, 7621, 00,  261, 00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044, 19341224, 15.00, 7598, 00,  278, 00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044, 19341225, 08.00, 7618, 00,  261, 00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044, 19341225, 15.00, 7599, 00,  275, 00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044, 19341226, 08.00, 7619, 00,  269, 00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044, 19341226, 15.00, 7598, 00,  264, 00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044, 19341227, 08.00, 7595, 00,  264, 00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044, 19341227, 15.00, 7596, 00,  275, 00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044, 19341228, 08.00, 7624, 00,  258, 00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044, 19341228, 15.00, 7602, 00,  269, 00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044, 19341229, 08.00, 7618, 00,  261, 00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044, 19341229, 15.00, 7597, 00,  269, 00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044, 19341230, 08.00, 7615, 00,  264, 00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044, 19341230, 15.00, 7598, 00,  264, 00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044, 19341231, 08.00, 7618, 00,  258, 00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044, 19341231, 15.00, 7597, 00,  272, 00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2015-10-14T09:40:00Z</dcterms:modified>
</cp:coreProperties>
</file>