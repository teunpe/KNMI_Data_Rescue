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Invoer!$A$2:$H$382</definedName>
    <definedName name="Catalogus">Info!$J$3:$Q$6</definedName>
    <definedName name="Data">Invoer!$A$3:$H$382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Info!$D$4:$E$8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" i="6" l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2" i="3"/>
  <c r="A1097" i="3" l="1"/>
  <c r="A1098" i="3"/>
  <c r="A1099" i="3"/>
  <c r="B66" i="1"/>
  <c r="F6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2" i="3" l="1"/>
  <c r="H382" i="1" l="1"/>
  <c r="G382" i="1"/>
  <c r="F382" i="1"/>
  <c r="H350" i="1"/>
  <c r="G350" i="1"/>
  <c r="F350" i="1"/>
  <c r="H319" i="1"/>
  <c r="G319" i="1"/>
  <c r="F319" i="1"/>
  <c r="H287" i="1"/>
  <c r="G287" i="1"/>
  <c r="F287" i="1"/>
  <c r="H256" i="1"/>
  <c r="G256" i="1"/>
  <c r="F256" i="1"/>
  <c r="H224" i="1"/>
  <c r="G224" i="1"/>
  <c r="F224" i="1"/>
  <c r="H192" i="1"/>
  <c r="G192" i="1"/>
  <c r="F192" i="1"/>
  <c r="H161" i="1"/>
  <c r="G161" i="1"/>
  <c r="F161" i="1"/>
  <c r="H129" i="1"/>
  <c r="G129" i="1"/>
  <c r="F129" i="1"/>
  <c r="H98" i="1"/>
  <c r="G98" i="1"/>
  <c r="F98" i="1"/>
  <c r="H66" i="1"/>
  <c r="G66" i="1"/>
  <c r="H36" i="1"/>
  <c r="G36" i="1"/>
  <c r="F36" i="1"/>
  <c r="A1" i="5" l="1"/>
  <c r="E350" i="1" l="1"/>
  <c r="D350" i="1"/>
  <c r="C350" i="1"/>
  <c r="B350" i="1"/>
  <c r="E287" i="1"/>
  <c r="D287" i="1"/>
  <c r="C287" i="1"/>
  <c r="B287" i="1"/>
  <c r="E192" i="1"/>
  <c r="D192" i="1"/>
  <c r="C192" i="1"/>
  <c r="B192" i="1"/>
  <c r="E129" i="1"/>
  <c r="D129" i="1"/>
  <c r="C129" i="1"/>
  <c r="B129" i="1"/>
  <c r="E98" i="1"/>
  <c r="D98" i="1"/>
  <c r="C98" i="1"/>
  <c r="B98" i="1"/>
  <c r="E66" i="1"/>
  <c r="D66" i="1"/>
  <c r="C66" i="1"/>
  <c r="E382" i="1"/>
  <c r="D382" i="1"/>
  <c r="C382" i="1"/>
  <c r="B382" i="1"/>
  <c r="E319" i="1"/>
  <c r="D319" i="1"/>
  <c r="C319" i="1"/>
  <c r="B319" i="1"/>
  <c r="E256" i="1"/>
  <c r="D256" i="1"/>
  <c r="C256" i="1"/>
  <c r="B256" i="1"/>
  <c r="E224" i="1"/>
  <c r="D224" i="1"/>
  <c r="C224" i="1"/>
  <c r="B224" i="1"/>
  <c r="E161" i="1"/>
  <c r="D161" i="1"/>
  <c r="C161" i="1"/>
  <c r="B161" i="1"/>
  <c r="C36" i="1"/>
  <c r="D36" i="1"/>
  <c r="E36" i="1"/>
  <c r="B36" i="1"/>
  <c r="A5" i="1"/>
  <c r="B1097" i="3" l="1"/>
  <c r="B1099" i="3"/>
  <c r="B1098" i="3"/>
  <c r="B1097" i="2"/>
  <c r="B1098" i="2"/>
  <c r="B1099" i="2"/>
  <c r="A1098" i="2"/>
  <c r="A1099" i="2"/>
  <c r="A1097" i="2"/>
  <c r="B4" i="3"/>
  <c r="G4" i="3" s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G3" i="3" s="1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G1066" i="3" l="1"/>
  <c r="G1091" i="3"/>
  <c r="G1075" i="3"/>
  <c r="G1053" i="3"/>
  <c r="G1021" i="3"/>
  <c r="G1076" i="3"/>
  <c r="G1043" i="3"/>
  <c r="G1017" i="3"/>
  <c r="G1093" i="3"/>
  <c r="G1077" i="3"/>
  <c r="G1057" i="3"/>
  <c r="G1025" i="3"/>
  <c r="G1082" i="3"/>
  <c r="G1031" i="3"/>
  <c r="G1052" i="3"/>
  <c r="G1036" i="3"/>
  <c r="G1020" i="3"/>
  <c r="G1096" i="3"/>
  <c r="G1055" i="3"/>
  <c r="G1087" i="3"/>
  <c r="G1071" i="3"/>
  <c r="G1045" i="3"/>
  <c r="G1088" i="3"/>
  <c r="G1068" i="3"/>
  <c r="G1035" i="3"/>
  <c r="G1092" i="3"/>
  <c r="G1089" i="3"/>
  <c r="G1073" i="3"/>
  <c r="G1049" i="3"/>
  <c r="G1094" i="3"/>
  <c r="G1070" i="3"/>
  <c r="G1023" i="3"/>
  <c r="G1048" i="3"/>
  <c r="G1032" i="3"/>
  <c r="G1016" i="3"/>
  <c r="G1000" i="3"/>
  <c r="G984" i="3"/>
  <c r="G968" i="3"/>
  <c r="G952" i="3"/>
  <c r="G936" i="3"/>
  <c r="G920" i="3"/>
  <c r="G904" i="3"/>
  <c r="G888" i="3"/>
  <c r="G872" i="3"/>
  <c r="G856" i="3"/>
  <c r="G840" i="3"/>
  <c r="G824" i="3"/>
  <c r="G808" i="3"/>
  <c r="G1013" i="3"/>
  <c r="G997" i="3"/>
  <c r="G981" i="3"/>
  <c r="G965" i="3"/>
  <c r="G949" i="3"/>
  <c r="G933" i="3"/>
  <c r="G917" i="3"/>
  <c r="G901" i="3"/>
  <c r="G885" i="3"/>
  <c r="G869" i="3"/>
  <c r="G853" i="3"/>
  <c r="G837" i="3"/>
  <c r="G821" i="3"/>
  <c r="G805" i="3"/>
  <c r="G1062" i="3"/>
  <c r="G1046" i="3"/>
  <c r="G1030" i="3"/>
  <c r="G1014" i="3"/>
  <c r="G998" i="3"/>
  <c r="G982" i="3"/>
  <c r="G1078" i="3"/>
  <c r="G1047" i="3"/>
  <c r="G1083" i="3"/>
  <c r="G1067" i="3"/>
  <c r="G1037" i="3"/>
  <c r="G1084" i="3"/>
  <c r="G1064" i="3"/>
  <c r="G1027" i="3"/>
  <c r="G1072" i="3"/>
  <c r="G1085" i="3"/>
  <c r="G1069" i="3"/>
  <c r="G1041" i="3"/>
  <c r="G1090" i="3"/>
  <c r="G1063" i="3"/>
  <c r="G1060" i="3"/>
  <c r="G1044" i="3"/>
  <c r="G1028" i="3"/>
  <c r="G1012" i="3"/>
  <c r="G996" i="3"/>
  <c r="G980" i="3"/>
  <c r="G964" i="3"/>
  <c r="G948" i="3"/>
  <c r="G932" i="3"/>
  <c r="G916" i="3"/>
  <c r="G900" i="3"/>
  <c r="G884" i="3"/>
  <c r="G868" i="3"/>
  <c r="G1074" i="3"/>
  <c r="G1095" i="3"/>
  <c r="G1079" i="3"/>
  <c r="G1061" i="3"/>
  <c r="G1029" i="3"/>
  <c r="G1080" i="3"/>
  <c r="G1059" i="3"/>
  <c r="G1019" i="3"/>
  <c r="G1051" i="3"/>
  <c r="G1081" i="3"/>
  <c r="G1065" i="3"/>
  <c r="G1033" i="3"/>
  <c r="G1086" i="3"/>
  <c r="G1039" i="3"/>
  <c r="G1056" i="3"/>
  <c r="G1040" i="3"/>
  <c r="G1024" i="3"/>
  <c r="G1008" i="3"/>
  <c r="G992" i="3"/>
  <c r="G976" i="3"/>
  <c r="G960" i="3"/>
  <c r="G944" i="3"/>
  <c r="G928" i="3"/>
  <c r="G912" i="3"/>
  <c r="G896" i="3"/>
  <c r="G880" i="3"/>
  <c r="G864" i="3"/>
  <c r="G848" i="3"/>
  <c r="G832" i="3"/>
  <c r="G816" i="3"/>
  <c r="G1004" i="3"/>
  <c r="G988" i="3"/>
  <c r="G972" i="3"/>
  <c r="G956" i="3"/>
  <c r="G940" i="3"/>
  <c r="G924" i="3"/>
  <c r="G908" i="3"/>
  <c r="G892" i="3"/>
  <c r="G876" i="3"/>
  <c r="G860" i="3"/>
  <c r="G844" i="3"/>
  <c r="G828" i="3"/>
  <c r="G812" i="3"/>
  <c r="G783" i="3"/>
  <c r="G1001" i="3"/>
  <c r="G985" i="3"/>
  <c r="G969" i="3"/>
  <c r="G953" i="3"/>
  <c r="G937" i="3"/>
  <c r="G921" i="3"/>
  <c r="G905" i="3"/>
  <c r="G889" i="3"/>
  <c r="G873" i="3"/>
  <c r="G857" i="3"/>
  <c r="G841" i="3"/>
  <c r="G825" i="3"/>
  <c r="G809" i="3"/>
  <c r="G781" i="3"/>
  <c r="G1050" i="3"/>
  <c r="G1034" i="3"/>
  <c r="G1018" i="3"/>
  <c r="G1002" i="3"/>
  <c r="G986" i="3"/>
  <c r="G970" i="3"/>
  <c r="G954" i="3"/>
  <c r="G938" i="3"/>
  <c r="G922" i="3"/>
  <c r="G906" i="3"/>
  <c r="G890" i="3"/>
  <c r="G874" i="3"/>
  <c r="G858" i="3"/>
  <c r="G842" i="3"/>
  <c r="G826" i="3"/>
  <c r="G810" i="3"/>
  <c r="G787" i="3"/>
  <c r="G1007" i="3"/>
  <c r="G991" i="3"/>
  <c r="G975" i="3"/>
  <c r="G959" i="3"/>
  <c r="G943" i="3"/>
  <c r="G927" i="3"/>
  <c r="G911" i="3"/>
  <c r="G895" i="3"/>
  <c r="G879" i="3"/>
  <c r="G863" i="3"/>
  <c r="G847" i="3"/>
  <c r="G831" i="3"/>
  <c r="G815" i="3"/>
  <c r="G793" i="3"/>
  <c r="G796" i="3"/>
  <c r="G780" i="3"/>
  <c r="G764" i="3"/>
  <c r="G748" i="3"/>
  <c r="G732" i="3"/>
  <c r="G716" i="3"/>
  <c r="G700" i="3"/>
  <c r="G684" i="3"/>
  <c r="G668" i="3"/>
  <c r="G641" i="3"/>
  <c r="G773" i="3"/>
  <c r="G757" i="3"/>
  <c r="G741" i="3"/>
  <c r="G725" i="3"/>
  <c r="G709" i="3"/>
  <c r="G693" i="3"/>
  <c r="G677" i="3"/>
  <c r="G655" i="3"/>
  <c r="G802" i="3"/>
  <c r="G786" i="3"/>
  <c r="G770" i="3"/>
  <c r="G754" i="3"/>
  <c r="G738" i="3"/>
  <c r="G722" i="3"/>
  <c r="G706" i="3"/>
  <c r="G690" i="3"/>
  <c r="G674" i="3"/>
  <c r="G653" i="3"/>
  <c r="G775" i="3"/>
  <c r="G759" i="3"/>
  <c r="G743" i="3"/>
  <c r="G727" i="3"/>
  <c r="G711" i="3"/>
  <c r="G695" i="3"/>
  <c r="G679" i="3"/>
  <c r="G663" i="3"/>
  <c r="G635" i="3"/>
  <c r="G654" i="3"/>
  <c r="G638" i="3"/>
  <c r="G622" i="3"/>
  <c r="G606" i="3"/>
  <c r="G590" i="3"/>
  <c r="G574" i="3"/>
  <c r="G558" i="3"/>
  <c r="G542" i="3"/>
  <c r="G514" i="3"/>
  <c r="G611" i="3"/>
  <c r="G595" i="3"/>
  <c r="G579" i="3"/>
  <c r="G563" i="3"/>
  <c r="G547" i="3"/>
  <c r="G522" i="3"/>
  <c r="G648" i="3"/>
  <c r="G632" i="3"/>
  <c r="G616" i="3"/>
  <c r="G600" i="3"/>
  <c r="G584" i="3"/>
  <c r="G568" i="3"/>
  <c r="G552" i="3"/>
  <c r="G536" i="3"/>
  <c r="G617" i="3"/>
  <c r="G601" i="3"/>
  <c r="G585" i="3"/>
  <c r="G569" i="3"/>
  <c r="G553" i="3"/>
  <c r="G534" i="3"/>
  <c r="G508" i="3"/>
  <c r="G492" i="3"/>
  <c r="G476" i="3"/>
  <c r="G460" i="3"/>
  <c r="G444" i="3"/>
  <c r="G428" i="3"/>
  <c r="G412" i="3"/>
  <c r="G529" i="3"/>
  <c r="G513" i="3"/>
  <c r="G497" i="3"/>
  <c r="G481" i="3"/>
  <c r="G465" i="3"/>
  <c r="G449" i="3"/>
  <c r="G433" i="3"/>
  <c r="G417" i="3"/>
  <c r="G506" i="3"/>
  <c r="G490" i="3"/>
  <c r="G474" i="3"/>
  <c r="G458" i="3"/>
  <c r="G442" i="3"/>
  <c r="G426" i="3"/>
  <c r="G409" i="3"/>
  <c r="G531" i="3"/>
  <c r="G515" i="3"/>
  <c r="G499" i="3"/>
  <c r="G483" i="3"/>
  <c r="G467" i="3"/>
  <c r="G451" i="3"/>
  <c r="G435" i="3"/>
  <c r="G419" i="3"/>
  <c r="G408" i="3"/>
  <c r="G392" i="3"/>
  <c r="G376" i="3"/>
  <c r="G360" i="3"/>
  <c r="G344" i="3"/>
  <c r="G328" i="3"/>
  <c r="G312" i="3"/>
  <c r="G296" i="3"/>
  <c r="G266" i="3"/>
  <c r="G385" i="3"/>
  <c r="G369" i="3"/>
  <c r="G353" i="3"/>
  <c r="G337" i="3"/>
  <c r="G321" i="3"/>
  <c r="G305" i="3"/>
  <c r="G966" i="3"/>
  <c r="G950" i="3"/>
  <c r="G934" i="3"/>
  <c r="G918" i="3"/>
  <c r="G902" i="3"/>
  <c r="G886" i="3"/>
  <c r="G870" i="3"/>
  <c r="G854" i="3"/>
  <c r="G838" i="3"/>
  <c r="G822" i="3"/>
  <c r="G806" i="3"/>
  <c r="G779" i="3"/>
  <c r="G1003" i="3"/>
  <c r="G987" i="3"/>
  <c r="G971" i="3"/>
  <c r="G955" i="3"/>
  <c r="G939" i="3"/>
  <c r="G923" i="3"/>
  <c r="G907" i="3"/>
  <c r="G891" i="3"/>
  <c r="G875" i="3"/>
  <c r="G859" i="3"/>
  <c r="G843" i="3"/>
  <c r="G827" i="3"/>
  <c r="G811" i="3"/>
  <c r="G785" i="3"/>
  <c r="G792" i="3"/>
  <c r="G776" i="3"/>
  <c r="G760" i="3"/>
  <c r="G744" i="3"/>
  <c r="G728" i="3"/>
  <c r="G712" i="3"/>
  <c r="G696" i="3"/>
  <c r="G680" i="3"/>
  <c r="G664" i="3"/>
  <c r="G633" i="3"/>
  <c r="G769" i="3"/>
  <c r="G753" i="3"/>
  <c r="G737" i="3"/>
  <c r="G721" i="3"/>
  <c r="G705" i="3"/>
  <c r="G689" i="3"/>
  <c r="G673" i="3"/>
  <c r="G647" i="3"/>
  <c r="G798" i="3"/>
  <c r="G782" i="3"/>
  <c r="G766" i="3"/>
  <c r="G750" i="3"/>
  <c r="G734" i="3"/>
  <c r="G718" i="3"/>
  <c r="G702" i="3"/>
  <c r="G686" i="3"/>
  <c r="G670" i="3"/>
  <c r="G645" i="3"/>
  <c r="G771" i="3"/>
  <c r="G755" i="3"/>
  <c r="G739" i="3"/>
  <c r="G723" i="3"/>
  <c r="G707" i="3"/>
  <c r="G691" i="3"/>
  <c r="G675" i="3"/>
  <c r="G659" i="3"/>
  <c r="G627" i="3"/>
  <c r="G650" i="3"/>
  <c r="G634" i="3"/>
  <c r="G618" i="3"/>
  <c r="G602" i="3"/>
  <c r="G586" i="3"/>
  <c r="G570" i="3"/>
  <c r="G554" i="3"/>
  <c r="G532" i="3"/>
  <c r="G623" i="3"/>
  <c r="G607" i="3"/>
  <c r="G591" i="3"/>
  <c r="G575" i="3"/>
  <c r="G559" i="3"/>
  <c r="G543" i="3"/>
  <c r="G660" i="3"/>
  <c r="G644" i="3"/>
  <c r="G628" i="3"/>
  <c r="G612" i="3"/>
  <c r="G596" i="3"/>
  <c r="G580" i="3"/>
  <c r="G564" i="3"/>
  <c r="G548" i="3"/>
  <c r="G528" i="3"/>
  <c r="G613" i="3"/>
  <c r="G597" i="3"/>
  <c r="G581" i="3"/>
  <c r="G565" i="3"/>
  <c r="G549" i="3"/>
  <c r="G526" i="3"/>
  <c r="G504" i="3"/>
  <c r="G488" i="3"/>
  <c r="G472" i="3"/>
  <c r="G456" i="3"/>
  <c r="G440" i="3"/>
  <c r="G424" i="3"/>
  <c r="G405" i="3"/>
  <c r="G525" i="3"/>
  <c r="G509" i="3"/>
  <c r="G493" i="3"/>
  <c r="G477" i="3"/>
  <c r="G461" i="3"/>
  <c r="G445" i="3"/>
  <c r="G429" i="3"/>
  <c r="G413" i="3"/>
  <c r="G502" i="3"/>
  <c r="G486" i="3"/>
  <c r="G470" i="3"/>
  <c r="G454" i="3"/>
  <c r="G438" i="3"/>
  <c r="G422" i="3"/>
  <c r="G401" i="3"/>
  <c r="G527" i="3"/>
  <c r="G511" i="3"/>
  <c r="G495" i="3"/>
  <c r="G479" i="3"/>
  <c r="G463" i="3"/>
  <c r="G447" i="3"/>
  <c r="G431" i="3"/>
  <c r="G415" i="3"/>
  <c r="G404" i="3"/>
  <c r="G388" i="3"/>
  <c r="G372" i="3"/>
  <c r="G356" i="3"/>
  <c r="G340" i="3"/>
  <c r="G324" i="3"/>
  <c r="G308" i="3"/>
  <c r="G290" i="3"/>
  <c r="G397" i="3"/>
  <c r="G381" i="3"/>
  <c r="G365" i="3"/>
  <c r="G349" i="3"/>
  <c r="G333" i="3"/>
  <c r="G317" i="3"/>
  <c r="G301" i="3"/>
  <c r="G280" i="3"/>
  <c r="G406" i="3"/>
  <c r="G852" i="3"/>
  <c r="G836" i="3"/>
  <c r="G820" i="3"/>
  <c r="G799" i="3"/>
  <c r="G1009" i="3"/>
  <c r="G993" i="3"/>
  <c r="G977" i="3"/>
  <c r="G961" i="3"/>
  <c r="G945" i="3"/>
  <c r="G929" i="3"/>
  <c r="G913" i="3"/>
  <c r="G897" i="3"/>
  <c r="G881" i="3"/>
  <c r="G865" i="3"/>
  <c r="G849" i="3"/>
  <c r="G833" i="3"/>
  <c r="G817" i="3"/>
  <c r="G797" i="3"/>
  <c r="G1058" i="3"/>
  <c r="G1042" i="3"/>
  <c r="G1026" i="3"/>
  <c r="G1010" i="3"/>
  <c r="G994" i="3"/>
  <c r="G978" i="3"/>
  <c r="G962" i="3"/>
  <c r="G946" i="3"/>
  <c r="G930" i="3"/>
  <c r="G914" i="3"/>
  <c r="G898" i="3"/>
  <c r="G882" i="3"/>
  <c r="G866" i="3"/>
  <c r="G850" i="3"/>
  <c r="G834" i="3"/>
  <c r="G818" i="3"/>
  <c r="G803" i="3"/>
  <c r="G1015" i="3"/>
  <c r="G999" i="3"/>
  <c r="G983" i="3"/>
  <c r="G967" i="3"/>
  <c r="G951" i="3"/>
  <c r="G935" i="3"/>
  <c r="G919" i="3"/>
  <c r="G903" i="3"/>
  <c r="G887" i="3"/>
  <c r="G871" i="3"/>
  <c r="G855" i="3"/>
  <c r="G839" i="3"/>
  <c r="G823" i="3"/>
  <c r="G807" i="3"/>
  <c r="G804" i="3"/>
  <c r="G788" i="3"/>
  <c r="G772" i="3"/>
  <c r="G756" i="3"/>
  <c r="G740" i="3"/>
  <c r="G724" i="3"/>
  <c r="G708" i="3"/>
  <c r="G692" i="3"/>
  <c r="G676" i="3"/>
  <c r="G657" i="3"/>
  <c r="G625" i="3"/>
  <c r="G765" i="3"/>
  <c r="G749" i="3"/>
  <c r="G733" i="3"/>
  <c r="G717" i="3"/>
  <c r="G701" i="3"/>
  <c r="G685" i="3"/>
  <c r="G669" i="3"/>
  <c r="G639" i="3"/>
  <c r="G794" i="3"/>
  <c r="G778" i="3"/>
  <c r="G762" i="3"/>
  <c r="G746" i="3"/>
  <c r="G730" i="3"/>
  <c r="G714" i="3"/>
  <c r="G698" i="3"/>
  <c r="G682" i="3"/>
  <c r="G666" i="3"/>
  <c r="G637" i="3"/>
  <c r="G767" i="3"/>
  <c r="G751" i="3"/>
  <c r="G735" i="3"/>
  <c r="G719" i="3"/>
  <c r="G703" i="3"/>
  <c r="G687" i="3"/>
  <c r="G671" i="3"/>
  <c r="G651" i="3"/>
  <c r="G662" i="3"/>
  <c r="G646" i="3"/>
  <c r="G630" i="3"/>
  <c r="G614" i="3"/>
  <c r="G598" i="3"/>
  <c r="G582" i="3"/>
  <c r="G566" i="3"/>
  <c r="G550" i="3"/>
  <c r="G524" i="3"/>
  <c r="G619" i="3"/>
  <c r="G603" i="3"/>
  <c r="G587" i="3"/>
  <c r="G571" i="3"/>
  <c r="G555" i="3"/>
  <c r="G538" i="3"/>
  <c r="G656" i="3"/>
  <c r="G640" i="3"/>
  <c r="G624" i="3"/>
  <c r="G608" i="3"/>
  <c r="G592" i="3"/>
  <c r="G576" i="3"/>
  <c r="G560" i="3"/>
  <c r="G544" i="3"/>
  <c r="G520" i="3"/>
  <c r="G609" i="3"/>
  <c r="G593" i="3"/>
  <c r="G577" i="3"/>
  <c r="G561" i="3"/>
  <c r="G545" i="3"/>
  <c r="G518" i="3"/>
  <c r="G500" i="3"/>
  <c r="G484" i="3"/>
  <c r="G468" i="3"/>
  <c r="G452" i="3"/>
  <c r="G436" i="3"/>
  <c r="G420" i="3"/>
  <c r="G537" i="3"/>
  <c r="G521" i="3"/>
  <c r="G505" i="3"/>
  <c r="G489" i="3"/>
  <c r="G473" i="3"/>
  <c r="G457" i="3"/>
  <c r="G441" i="3"/>
  <c r="G425" i="3"/>
  <c r="G403" i="3"/>
  <c r="G498" i="3"/>
  <c r="G482" i="3"/>
  <c r="G466" i="3"/>
  <c r="G450" i="3"/>
  <c r="G434" i="3"/>
  <c r="G418" i="3"/>
  <c r="G539" i="3"/>
  <c r="G523" i="3"/>
  <c r="G507" i="3"/>
  <c r="G491" i="3"/>
  <c r="G475" i="3"/>
  <c r="G459" i="3"/>
  <c r="G443" i="3"/>
  <c r="G427" i="3"/>
  <c r="G411" i="3"/>
  <c r="G400" i="3"/>
  <c r="G384" i="3"/>
  <c r="G368" i="3"/>
  <c r="G352" i="3"/>
  <c r="G336" i="3"/>
  <c r="G320" i="3"/>
  <c r="G304" i="3"/>
  <c r="G282" i="3"/>
  <c r="G393" i="3"/>
  <c r="G377" i="3"/>
  <c r="G361" i="3"/>
  <c r="G345" i="3"/>
  <c r="G329" i="3"/>
  <c r="G313" i="3"/>
  <c r="G297" i="3"/>
  <c r="G272" i="3"/>
  <c r="G402" i="3"/>
  <c r="G791" i="3"/>
  <c r="G1005" i="3"/>
  <c r="G989" i="3"/>
  <c r="G973" i="3"/>
  <c r="G957" i="3"/>
  <c r="G941" i="3"/>
  <c r="G925" i="3"/>
  <c r="G909" i="3"/>
  <c r="G893" i="3"/>
  <c r="G877" i="3"/>
  <c r="G861" i="3"/>
  <c r="G845" i="3"/>
  <c r="G829" i="3"/>
  <c r="G813" i="3"/>
  <c r="G789" i="3"/>
  <c r="G1054" i="3"/>
  <c r="G1038" i="3"/>
  <c r="G1022" i="3"/>
  <c r="G1006" i="3"/>
  <c r="G990" i="3"/>
  <c r="G974" i="3"/>
  <c r="G958" i="3"/>
  <c r="G942" i="3"/>
  <c r="G926" i="3"/>
  <c r="G910" i="3"/>
  <c r="G894" i="3"/>
  <c r="G878" i="3"/>
  <c r="G862" i="3"/>
  <c r="G846" i="3"/>
  <c r="G830" i="3"/>
  <c r="G814" i="3"/>
  <c r="G795" i="3"/>
  <c r="G1011" i="3"/>
  <c r="G995" i="3"/>
  <c r="G979" i="3"/>
  <c r="G963" i="3"/>
  <c r="G947" i="3"/>
  <c r="G931" i="3"/>
  <c r="G915" i="3"/>
  <c r="G899" i="3"/>
  <c r="G883" i="3"/>
  <c r="G867" i="3"/>
  <c r="G851" i="3"/>
  <c r="G835" i="3"/>
  <c r="G819" i="3"/>
  <c r="G801" i="3"/>
  <c r="G800" i="3"/>
  <c r="G784" i="3"/>
  <c r="G768" i="3"/>
  <c r="G752" i="3"/>
  <c r="G736" i="3"/>
  <c r="G720" i="3"/>
  <c r="G704" i="3"/>
  <c r="G688" i="3"/>
  <c r="G672" i="3"/>
  <c r="G649" i="3"/>
  <c r="G777" i="3"/>
  <c r="G761" i="3"/>
  <c r="G745" i="3"/>
  <c r="G729" i="3"/>
  <c r="G713" i="3"/>
  <c r="G697" i="3"/>
  <c r="G681" i="3"/>
  <c r="G665" i="3"/>
  <c r="G631" i="3"/>
  <c r="G790" i="3"/>
  <c r="G774" i="3"/>
  <c r="G758" i="3"/>
  <c r="G742" i="3"/>
  <c r="G726" i="3"/>
  <c r="G710" i="3"/>
  <c r="G694" i="3"/>
  <c r="G678" i="3"/>
  <c r="G661" i="3"/>
  <c r="G629" i="3"/>
  <c r="G763" i="3"/>
  <c r="G747" i="3"/>
  <c r="G731" i="3"/>
  <c r="G715" i="3"/>
  <c r="G699" i="3"/>
  <c r="G683" i="3"/>
  <c r="G667" i="3"/>
  <c r="G643" i="3"/>
  <c r="G658" i="3"/>
  <c r="G642" i="3"/>
  <c r="G626" i="3"/>
  <c r="G610" i="3"/>
  <c r="G594" i="3"/>
  <c r="G578" i="3"/>
  <c r="G562" i="3"/>
  <c r="G546" i="3"/>
  <c r="G516" i="3"/>
  <c r="G615" i="3"/>
  <c r="G599" i="3"/>
  <c r="G583" i="3"/>
  <c r="G567" i="3"/>
  <c r="G551" i="3"/>
  <c r="G530" i="3"/>
  <c r="G652" i="3"/>
  <c r="G636" i="3"/>
  <c r="G620" i="3"/>
  <c r="G604" i="3"/>
  <c r="G588" i="3"/>
  <c r="G572" i="3"/>
  <c r="G556" i="3"/>
  <c r="G540" i="3"/>
  <c r="G621" i="3"/>
  <c r="G605" i="3"/>
  <c r="G589" i="3"/>
  <c r="G573" i="3"/>
  <c r="G557" i="3"/>
  <c r="G541" i="3"/>
  <c r="G512" i="3"/>
  <c r="G496" i="3"/>
  <c r="G480" i="3"/>
  <c r="G464" i="3"/>
  <c r="G448" i="3"/>
  <c r="G432" i="3"/>
  <c r="G416" i="3"/>
  <c r="G533" i="3"/>
  <c r="G517" i="3"/>
  <c r="G501" i="3"/>
  <c r="G485" i="3"/>
  <c r="G469" i="3"/>
  <c r="G453" i="3"/>
  <c r="G437" i="3"/>
  <c r="G421" i="3"/>
  <c r="G510" i="3"/>
  <c r="G494" i="3"/>
  <c r="G478" i="3"/>
  <c r="G462" i="3"/>
  <c r="G446" i="3"/>
  <c r="G430" i="3"/>
  <c r="G414" i="3"/>
  <c r="G535" i="3"/>
  <c r="G519" i="3"/>
  <c r="G503" i="3"/>
  <c r="G487" i="3"/>
  <c r="G471" i="3"/>
  <c r="G455" i="3"/>
  <c r="G439" i="3"/>
  <c r="G423" i="3"/>
  <c r="G407" i="3"/>
  <c r="G396" i="3"/>
  <c r="G380" i="3"/>
  <c r="G364" i="3"/>
  <c r="G348" i="3"/>
  <c r="G332" i="3"/>
  <c r="G316" i="3"/>
  <c r="G300" i="3"/>
  <c r="G274" i="3"/>
  <c r="G389" i="3"/>
  <c r="G373" i="3"/>
  <c r="G357" i="3"/>
  <c r="G341" i="3"/>
  <c r="G325" i="3"/>
  <c r="G309" i="3"/>
  <c r="G293" i="3"/>
  <c r="G264" i="3"/>
  <c r="G398" i="3"/>
  <c r="G288" i="3"/>
  <c r="G410" i="3"/>
  <c r="G394" i="3"/>
  <c r="G378" i="3"/>
  <c r="G362" i="3"/>
  <c r="G346" i="3"/>
  <c r="G330" i="3"/>
  <c r="G314" i="3"/>
  <c r="G298" i="3"/>
  <c r="G270" i="3"/>
  <c r="G391" i="3"/>
  <c r="G375" i="3"/>
  <c r="G359" i="3"/>
  <c r="G343" i="3"/>
  <c r="G327" i="3"/>
  <c r="G311" i="3"/>
  <c r="G295" i="3"/>
  <c r="G268" i="3"/>
  <c r="G281" i="3"/>
  <c r="G265" i="3"/>
  <c r="G249" i="3"/>
  <c r="G233" i="3"/>
  <c r="G217" i="3"/>
  <c r="G201" i="3"/>
  <c r="G258" i="3"/>
  <c r="G242" i="3"/>
  <c r="G226" i="3"/>
  <c r="G210" i="3"/>
  <c r="G194" i="3"/>
  <c r="G283" i="3"/>
  <c r="G267" i="3"/>
  <c r="G251" i="3"/>
  <c r="G235" i="3"/>
  <c r="G219" i="3"/>
  <c r="G203" i="3"/>
  <c r="G186" i="3"/>
  <c r="G244" i="3"/>
  <c r="G228" i="3"/>
  <c r="G212" i="3"/>
  <c r="G196" i="3"/>
  <c r="G179" i="3"/>
  <c r="G163" i="3"/>
  <c r="G147" i="3"/>
  <c r="G127" i="3"/>
  <c r="G180" i="3"/>
  <c r="G164" i="3"/>
  <c r="G148" i="3"/>
  <c r="G132" i="3"/>
  <c r="G189" i="3"/>
  <c r="G173" i="3"/>
  <c r="G157" i="3"/>
  <c r="G141" i="3"/>
  <c r="G123" i="3"/>
  <c r="G178" i="3"/>
  <c r="G162" i="3"/>
  <c r="G146" i="3"/>
  <c r="G129" i="3"/>
  <c r="G128" i="3"/>
  <c r="G112" i="3"/>
  <c r="G96" i="3"/>
  <c r="G80" i="3"/>
  <c r="G101" i="3"/>
  <c r="G85" i="3"/>
  <c r="G70" i="3"/>
  <c r="G126" i="3"/>
  <c r="G110" i="3"/>
  <c r="G94" i="3"/>
  <c r="G78" i="3"/>
  <c r="G103" i="3"/>
  <c r="G87" i="3"/>
  <c r="G71" i="3"/>
  <c r="G65" i="3"/>
  <c r="G49" i="3"/>
  <c r="G33" i="3"/>
  <c r="G17" i="3"/>
  <c r="G50" i="3"/>
  <c r="G34" i="3"/>
  <c r="G18" i="3"/>
  <c r="G67" i="3"/>
  <c r="G51" i="3"/>
  <c r="G35" i="3"/>
  <c r="G19" i="3"/>
  <c r="G44" i="3"/>
  <c r="G28" i="3"/>
  <c r="G12" i="3"/>
  <c r="G390" i="3"/>
  <c r="G374" i="3"/>
  <c r="G358" i="3"/>
  <c r="G342" i="3"/>
  <c r="G326" i="3"/>
  <c r="G310" i="3"/>
  <c r="G294" i="3"/>
  <c r="G262" i="3"/>
  <c r="G387" i="3"/>
  <c r="G371" i="3"/>
  <c r="G355" i="3"/>
  <c r="G339" i="3"/>
  <c r="G323" i="3"/>
  <c r="G307" i="3"/>
  <c r="G292" i="3"/>
  <c r="G260" i="3"/>
  <c r="G277" i="3"/>
  <c r="G261" i="3"/>
  <c r="G245" i="3"/>
  <c r="G229" i="3"/>
  <c r="G213" i="3"/>
  <c r="G197" i="3"/>
  <c r="G254" i="3"/>
  <c r="G238" i="3"/>
  <c r="G222" i="3"/>
  <c r="G206" i="3"/>
  <c r="G188" i="3"/>
  <c r="G279" i="3"/>
  <c r="G263" i="3"/>
  <c r="G247" i="3"/>
  <c r="G231" i="3"/>
  <c r="G215" i="3"/>
  <c r="G199" i="3"/>
  <c r="G256" i="3"/>
  <c r="G240" i="3"/>
  <c r="G224" i="3"/>
  <c r="G208" i="3"/>
  <c r="G191" i="3"/>
  <c r="G175" i="3"/>
  <c r="G159" i="3"/>
  <c r="G143" i="3"/>
  <c r="G119" i="3"/>
  <c r="G176" i="3"/>
  <c r="G160" i="3"/>
  <c r="G144" i="3"/>
  <c r="G125" i="3"/>
  <c r="G185" i="3"/>
  <c r="G169" i="3"/>
  <c r="G153" i="3"/>
  <c r="G137" i="3"/>
  <c r="G115" i="3"/>
  <c r="G174" i="3"/>
  <c r="G158" i="3"/>
  <c r="G142" i="3"/>
  <c r="G121" i="3"/>
  <c r="G124" i="3"/>
  <c r="G108" i="3"/>
  <c r="G92" i="3"/>
  <c r="G76" i="3"/>
  <c r="G97" i="3"/>
  <c r="G81" i="3"/>
  <c r="G62" i="3"/>
  <c r="G122" i="3"/>
  <c r="G106" i="3"/>
  <c r="G90" i="3"/>
  <c r="G74" i="3"/>
  <c r="G99" i="3"/>
  <c r="G83" i="3"/>
  <c r="G66" i="3"/>
  <c r="G61" i="3"/>
  <c r="G45" i="3"/>
  <c r="G29" i="3"/>
  <c r="G13" i="3"/>
  <c r="G46" i="3"/>
  <c r="G30" i="3"/>
  <c r="G14" i="3"/>
  <c r="G63" i="3"/>
  <c r="G47" i="3"/>
  <c r="G31" i="3"/>
  <c r="G15" i="3"/>
  <c r="G56" i="3"/>
  <c r="G40" i="3"/>
  <c r="G24" i="3"/>
  <c r="G8" i="3"/>
  <c r="G1098" i="3"/>
  <c r="G386" i="3"/>
  <c r="G370" i="3"/>
  <c r="G354" i="3"/>
  <c r="G338" i="3"/>
  <c r="G322" i="3"/>
  <c r="G306" i="3"/>
  <c r="G286" i="3"/>
  <c r="G399" i="3"/>
  <c r="G383" i="3"/>
  <c r="G367" i="3"/>
  <c r="G351" i="3"/>
  <c r="G335" i="3"/>
  <c r="G319" i="3"/>
  <c r="G303" i="3"/>
  <c r="G284" i="3"/>
  <c r="G289" i="3"/>
  <c r="G273" i="3"/>
  <c r="G257" i="3"/>
  <c r="G241" i="3"/>
  <c r="G225" i="3"/>
  <c r="G209" i="3"/>
  <c r="G193" i="3"/>
  <c r="G250" i="3"/>
  <c r="G234" i="3"/>
  <c r="G218" i="3"/>
  <c r="G202" i="3"/>
  <c r="G291" i="3"/>
  <c r="G275" i="3"/>
  <c r="G259" i="3"/>
  <c r="G243" i="3"/>
  <c r="G227" i="3"/>
  <c r="G211" i="3"/>
  <c r="G195" i="3"/>
  <c r="G252" i="3"/>
  <c r="G236" i="3"/>
  <c r="G220" i="3"/>
  <c r="G204" i="3"/>
  <c r="G187" i="3"/>
  <c r="G171" i="3"/>
  <c r="G155" i="3"/>
  <c r="G139" i="3"/>
  <c r="G111" i="3"/>
  <c r="G172" i="3"/>
  <c r="G156" i="3"/>
  <c r="G140" i="3"/>
  <c r="G117" i="3"/>
  <c r="G181" i="3"/>
  <c r="G165" i="3"/>
  <c r="G149" i="3"/>
  <c r="G133" i="3"/>
  <c r="G107" i="3"/>
  <c r="G170" i="3"/>
  <c r="G154" i="3"/>
  <c r="G138" i="3"/>
  <c r="G113" i="3"/>
  <c r="G120" i="3"/>
  <c r="G104" i="3"/>
  <c r="G88" i="3"/>
  <c r="G72" i="3"/>
  <c r="G93" i="3"/>
  <c r="G77" i="3"/>
  <c r="G54" i="3"/>
  <c r="G118" i="3"/>
  <c r="G102" i="3"/>
  <c r="G86" i="3"/>
  <c r="G68" i="3"/>
  <c r="G95" i="3"/>
  <c r="G79" i="3"/>
  <c r="G58" i="3"/>
  <c r="G57" i="3"/>
  <c r="G41" i="3"/>
  <c r="G25" i="3"/>
  <c r="G9" i="3"/>
  <c r="G42" i="3"/>
  <c r="G26" i="3"/>
  <c r="G10" i="3"/>
  <c r="G59" i="3"/>
  <c r="G43" i="3"/>
  <c r="G27" i="3"/>
  <c r="G11" i="3"/>
  <c r="G52" i="3"/>
  <c r="G36" i="3"/>
  <c r="G20" i="3"/>
  <c r="G1099" i="3"/>
  <c r="G382" i="3"/>
  <c r="G366" i="3"/>
  <c r="G350" i="3"/>
  <c r="G334" i="3"/>
  <c r="G318" i="3"/>
  <c r="G302" i="3"/>
  <c r="G278" i="3"/>
  <c r="G395" i="3"/>
  <c r="G379" i="3"/>
  <c r="G363" i="3"/>
  <c r="G347" i="3"/>
  <c r="G331" i="3"/>
  <c r="G315" i="3"/>
  <c r="G299" i="3"/>
  <c r="G276" i="3"/>
  <c r="G285" i="3"/>
  <c r="G269" i="3"/>
  <c r="G253" i="3"/>
  <c r="G237" i="3"/>
  <c r="G221" i="3"/>
  <c r="G205" i="3"/>
  <c r="G190" i="3"/>
  <c r="G246" i="3"/>
  <c r="G230" i="3"/>
  <c r="G214" i="3"/>
  <c r="G198" i="3"/>
  <c r="G287" i="3"/>
  <c r="G271" i="3"/>
  <c r="G255" i="3"/>
  <c r="G239" i="3"/>
  <c r="G223" i="3"/>
  <c r="G207" i="3"/>
  <c r="G192" i="3"/>
  <c r="G248" i="3"/>
  <c r="G232" i="3"/>
  <c r="G216" i="3"/>
  <c r="G200" i="3"/>
  <c r="G183" i="3"/>
  <c r="G167" i="3"/>
  <c r="G151" i="3"/>
  <c r="G135" i="3"/>
  <c r="G184" i="3"/>
  <c r="G168" i="3"/>
  <c r="G152" i="3"/>
  <c r="G136" i="3"/>
  <c r="G109" i="3"/>
  <c r="G177" i="3"/>
  <c r="G161" i="3"/>
  <c r="G145" i="3"/>
  <c r="G131" i="3"/>
  <c r="G182" i="3"/>
  <c r="G166" i="3"/>
  <c r="G150" i="3"/>
  <c r="G134" i="3"/>
  <c r="G105" i="3"/>
  <c r="G116" i="3"/>
  <c r="G100" i="3"/>
  <c r="G84" i="3"/>
  <c r="G64" i="3"/>
  <c r="G89" i="3"/>
  <c r="G73" i="3"/>
  <c r="G130" i="3"/>
  <c r="G114" i="3"/>
  <c r="G98" i="3"/>
  <c r="G82" i="3"/>
  <c r="G60" i="3"/>
  <c r="G91" i="3"/>
  <c r="G75" i="3"/>
  <c r="G69" i="3"/>
  <c r="G53" i="3"/>
  <c r="G37" i="3"/>
  <c r="G21" i="3"/>
  <c r="G5" i="3"/>
  <c r="G38" i="3"/>
  <c r="G22" i="3"/>
  <c r="G6" i="3"/>
  <c r="G55" i="3"/>
  <c r="G39" i="3"/>
  <c r="G23" i="3"/>
  <c r="G7" i="3"/>
  <c r="G48" i="3"/>
  <c r="G32" i="3"/>
  <c r="G16" i="3"/>
  <c r="G1097" i="3"/>
  <c r="H1066" i="3"/>
  <c r="I1066" i="3"/>
  <c r="I1091" i="3"/>
  <c r="H1091" i="3"/>
  <c r="H1075" i="3"/>
  <c r="I1075" i="3"/>
  <c r="I1053" i="3"/>
  <c r="H1053" i="3"/>
  <c r="H1021" i="3"/>
  <c r="I1021" i="3"/>
  <c r="H1076" i="3"/>
  <c r="I1076" i="3"/>
  <c r="I1043" i="3"/>
  <c r="H1043" i="3"/>
  <c r="H1017" i="3"/>
  <c r="I1017" i="3"/>
  <c r="H1093" i="3"/>
  <c r="I1093" i="3"/>
  <c r="I1077" i="3"/>
  <c r="H1077" i="3"/>
  <c r="I1057" i="3"/>
  <c r="H1057" i="3"/>
  <c r="I1025" i="3"/>
  <c r="H1025" i="3"/>
  <c r="H1082" i="3"/>
  <c r="I1082" i="3"/>
  <c r="H1031" i="3"/>
  <c r="I1031" i="3"/>
  <c r="H1052" i="3"/>
  <c r="I1052" i="3"/>
  <c r="H1036" i="3"/>
  <c r="I1036" i="3"/>
  <c r="H1020" i="3"/>
  <c r="I1020" i="3"/>
  <c r="H1004" i="3"/>
  <c r="I1004" i="3"/>
  <c r="H988" i="3"/>
  <c r="I988" i="3"/>
  <c r="H972" i="3"/>
  <c r="I972" i="3"/>
  <c r="H956" i="3"/>
  <c r="I956" i="3"/>
  <c r="I940" i="3"/>
  <c r="H940" i="3"/>
  <c r="I924" i="3"/>
  <c r="H924" i="3"/>
  <c r="I908" i="3"/>
  <c r="H908" i="3"/>
  <c r="I892" i="3"/>
  <c r="H892" i="3"/>
  <c r="I876" i="3"/>
  <c r="H876" i="3"/>
  <c r="I860" i="3"/>
  <c r="H860" i="3"/>
  <c r="I844" i="3"/>
  <c r="H844" i="3"/>
  <c r="I828" i="3"/>
  <c r="H828" i="3"/>
  <c r="I812" i="3"/>
  <c r="H812" i="3"/>
  <c r="I783" i="3"/>
  <c r="H783" i="3"/>
  <c r="I1001" i="3"/>
  <c r="H1001" i="3"/>
  <c r="H985" i="3"/>
  <c r="I985" i="3"/>
  <c r="I969" i="3"/>
  <c r="H969" i="3"/>
  <c r="I953" i="3"/>
  <c r="H953" i="3"/>
  <c r="H937" i="3"/>
  <c r="I937" i="3"/>
  <c r="H921" i="3"/>
  <c r="I921" i="3"/>
  <c r="H905" i="3"/>
  <c r="I905" i="3"/>
  <c r="H889" i="3"/>
  <c r="I889" i="3"/>
  <c r="H873" i="3"/>
  <c r="I873" i="3"/>
  <c r="H857" i="3"/>
  <c r="I857" i="3"/>
  <c r="H841" i="3"/>
  <c r="I841" i="3"/>
  <c r="I825" i="3"/>
  <c r="H825" i="3"/>
  <c r="I809" i="3"/>
  <c r="H809" i="3"/>
  <c r="I781" i="3"/>
  <c r="H781" i="3"/>
  <c r="H1050" i="3"/>
  <c r="I1050" i="3"/>
  <c r="H1034" i="3"/>
  <c r="I1034" i="3"/>
  <c r="H1018" i="3"/>
  <c r="I1018" i="3"/>
  <c r="H1002" i="3"/>
  <c r="I1002" i="3"/>
  <c r="H986" i="3"/>
  <c r="I986" i="3"/>
  <c r="H970" i="3"/>
  <c r="I970" i="3"/>
  <c r="H954" i="3"/>
  <c r="I954" i="3"/>
  <c r="I938" i="3"/>
  <c r="H938" i="3"/>
  <c r="I922" i="3"/>
  <c r="H922" i="3"/>
  <c r="I906" i="3"/>
  <c r="H906" i="3"/>
  <c r="I890" i="3"/>
  <c r="H890" i="3"/>
  <c r="I874" i="3"/>
  <c r="H874" i="3"/>
  <c r="I858" i="3"/>
  <c r="H858" i="3"/>
  <c r="I842" i="3"/>
  <c r="H842" i="3"/>
  <c r="I826" i="3"/>
  <c r="H826" i="3"/>
  <c r="I810" i="3"/>
  <c r="H810" i="3"/>
  <c r="I787" i="3"/>
  <c r="H787" i="3"/>
  <c r="H1007" i="3"/>
  <c r="I1007" i="3"/>
  <c r="I991" i="3"/>
  <c r="H991" i="3"/>
  <c r="H975" i="3"/>
  <c r="I975" i="3"/>
  <c r="I959" i="3"/>
  <c r="H959" i="3"/>
  <c r="H943" i="3"/>
  <c r="I943" i="3"/>
  <c r="H927" i="3"/>
  <c r="I927" i="3"/>
  <c r="H911" i="3"/>
  <c r="I911" i="3"/>
  <c r="H895" i="3"/>
  <c r="I895" i="3"/>
  <c r="H879" i="3"/>
  <c r="I879" i="3"/>
  <c r="H863" i="3"/>
  <c r="I863" i="3"/>
  <c r="H847" i="3"/>
  <c r="I847" i="3"/>
  <c r="H831" i="3"/>
  <c r="I831" i="3"/>
  <c r="I815" i="3"/>
  <c r="H815" i="3"/>
  <c r="I793" i="3"/>
  <c r="H793" i="3"/>
  <c r="H796" i="3"/>
  <c r="I796" i="3"/>
  <c r="H780" i="3"/>
  <c r="I780" i="3"/>
  <c r="H764" i="3"/>
  <c r="I764" i="3"/>
  <c r="H748" i="3"/>
  <c r="I748" i="3"/>
  <c r="H732" i="3"/>
  <c r="I732" i="3"/>
  <c r="H716" i="3"/>
  <c r="I716" i="3"/>
  <c r="H700" i="3"/>
  <c r="I700" i="3"/>
  <c r="H684" i="3"/>
  <c r="I684" i="3"/>
  <c r="H668" i="3"/>
  <c r="I668" i="3"/>
  <c r="H641" i="3"/>
  <c r="I641" i="3"/>
  <c r="I773" i="3"/>
  <c r="H773" i="3"/>
  <c r="I757" i="3"/>
  <c r="H757" i="3"/>
  <c r="I741" i="3"/>
  <c r="H741" i="3"/>
  <c r="I725" i="3"/>
  <c r="H725" i="3"/>
  <c r="I709" i="3"/>
  <c r="H709" i="3"/>
  <c r="I693" i="3"/>
  <c r="H693" i="3"/>
  <c r="I677" i="3"/>
  <c r="H677" i="3"/>
  <c r="H655" i="3"/>
  <c r="I655" i="3"/>
  <c r="I802" i="3"/>
  <c r="H802" i="3"/>
  <c r="H786" i="3"/>
  <c r="I786" i="3"/>
  <c r="H770" i="3"/>
  <c r="I770" i="3"/>
  <c r="H754" i="3"/>
  <c r="I754" i="3"/>
  <c r="H738" i="3"/>
  <c r="I738" i="3"/>
  <c r="H722" i="3"/>
  <c r="I722" i="3"/>
  <c r="H706" i="3"/>
  <c r="I706" i="3"/>
  <c r="H690" i="3"/>
  <c r="I690" i="3"/>
  <c r="H674" i="3"/>
  <c r="I674" i="3"/>
  <c r="H653" i="3"/>
  <c r="I653" i="3"/>
  <c r="I775" i="3"/>
  <c r="H775" i="3"/>
  <c r="I759" i="3"/>
  <c r="H759" i="3"/>
  <c r="I743" i="3"/>
  <c r="H743" i="3"/>
  <c r="I727" i="3"/>
  <c r="H727" i="3"/>
  <c r="I711" i="3"/>
  <c r="H711" i="3"/>
  <c r="I695" i="3"/>
  <c r="H695" i="3"/>
  <c r="I679" i="3"/>
  <c r="H679" i="3"/>
  <c r="H663" i="3"/>
  <c r="I663" i="3"/>
  <c r="H635" i="3"/>
  <c r="I635" i="3"/>
  <c r="H654" i="3"/>
  <c r="I654" i="3"/>
  <c r="H638" i="3"/>
  <c r="I638" i="3"/>
  <c r="H622" i="3"/>
  <c r="I622" i="3"/>
  <c r="H606" i="3"/>
  <c r="I606" i="3"/>
  <c r="H590" i="3"/>
  <c r="I590" i="3"/>
  <c r="H574" i="3"/>
  <c r="I574" i="3"/>
  <c r="H558" i="3"/>
  <c r="I558" i="3"/>
  <c r="H542" i="3"/>
  <c r="I542" i="3"/>
  <c r="H514" i="3"/>
  <c r="I514" i="3"/>
  <c r="H611" i="3"/>
  <c r="I611" i="3"/>
  <c r="H595" i="3"/>
  <c r="I595" i="3"/>
  <c r="H579" i="3"/>
  <c r="I579" i="3"/>
  <c r="H563" i="3"/>
  <c r="I563" i="3"/>
  <c r="H547" i="3"/>
  <c r="I547" i="3"/>
  <c r="H522" i="3"/>
  <c r="I522" i="3"/>
  <c r="I648" i="3"/>
  <c r="H648" i="3"/>
  <c r="I632" i="3"/>
  <c r="H632" i="3"/>
  <c r="I616" i="3"/>
  <c r="H616" i="3"/>
  <c r="I600" i="3"/>
  <c r="H600" i="3"/>
  <c r="I584" i="3"/>
  <c r="H584" i="3"/>
  <c r="I568" i="3"/>
  <c r="H568" i="3"/>
  <c r="H552" i="3"/>
  <c r="I552" i="3"/>
  <c r="H536" i="3"/>
  <c r="I536" i="3"/>
  <c r="H617" i="3"/>
  <c r="I617" i="3"/>
  <c r="H601" i="3"/>
  <c r="I601" i="3"/>
  <c r="H585" i="3"/>
  <c r="I585" i="3"/>
  <c r="H569" i="3"/>
  <c r="I569" i="3"/>
  <c r="H553" i="3"/>
  <c r="I553" i="3"/>
  <c r="H534" i="3"/>
  <c r="I534" i="3"/>
  <c r="H508" i="3"/>
  <c r="I508" i="3"/>
  <c r="H492" i="3"/>
  <c r="I492" i="3"/>
  <c r="H476" i="3"/>
  <c r="I476" i="3"/>
  <c r="H460" i="3"/>
  <c r="I460" i="3"/>
  <c r="H444" i="3"/>
  <c r="I444" i="3"/>
  <c r="H428" i="3"/>
  <c r="I428" i="3"/>
  <c r="H412" i="3"/>
  <c r="I412" i="3"/>
  <c r="H529" i="3"/>
  <c r="I529" i="3"/>
  <c r="H513" i="3"/>
  <c r="I513" i="3"/>
  <c r="H497" i="3"/>
  <c r="I497" i="3"/>
  <c r="H481" i="3"/>
  <c r="I481" i="3"/>
  <c r="H465" i="3"/>
  <c r="I465" i="3"/>
  <c r="H449" i="3"/>
  <c r="I449" i="3"/>
  <c r="H433" i="3"/>
  <c r="I433" i="3"/>
  <c r="H417" i="3"/>
  <c r="I417" i="3"/>
  <c r="H506" i="3"/>
  <c r="I506" i="3"/>
  <c r="H490" i="3"/>
  <c r="I490" i="3"/>
  <c r="H474" i="3"/>
  <c r="I474" i="3"/>
  <c r="H458" i="3"/>
  <c r="I458" i="3"/>
  <c r="H442" i="3"/>
  <c r="I442" i="3"/>
  <c r="H426" i="3"/>
  <c r="I426" i="3"/>
  <c r="H409" i="3"/>
  <c r="I409" i="3"/>
  <c r="H531" i="3"/>
  <c r="I531" i="3"/>
  <c r="H515" i="3"/>
  <c r="I515" i="3"/>
  <c r="H499" i="3"/>
  <c r="I499" i="3"/>
  <c r="H483" i="3"/>
  <c r="I483" i="3"/>
  <c r="H467" i="3"/>
  <c r="I467" i="3"/>
  <c r="H451" i="3"/>
  <c r="I451" i="3"/>
  <c r="H435" i="3"/>
  <c r="I435" i="3"/>
  <c r="H419" i="3"/>
  <c r="I419" i="3"/>
  <c r="H408" i="3"/>
  <c r="I408" i="3"/>
  <c r="H392" i="3"/>
  <c r="I392" i="3"/>
  <c r="I376" i="3"/>
  <c r="H376" i="3"/>
  <c r="I360" i="3"/>
  <c r="H360" i="3"/>
  <c r="I344" i="3"/>
  <c r="H344" i="3"/>
  <c r="I328" i="3"/>
  <c r="H328" i="3"/>
  <c r="I312" i="3"/>
  <c r="H312" i="3"/>
  <c r="I296" i="3"/>
  <c r="H296" i="3"/>
  <c r="H266" i="3"/>
  <c r="I266" i="3"/>
  <c r="I385" i="3"/>
  <c r="H385" i="3"/>
  <c r="H369" i="3"/>
  <c r="I369" i="3"/>
  <c r="H353" i="3"/>
  <c r="I353" i="3"/>
  <c r="H337" i="3"/>
  <c r="I337" i="3"/>
  <c r="H321" i="3"/>
  <c r="I321" i="3"/>
  <c r="H305" i="3"/>
  <c r="I305" i="3"/>
  <c r="I288" i="3"/>
  <c r="H288" i="3"/>
  <c r="H410" i="3"/>
  <c r="I410" i="3"/>
  <c r="H394" i="3"/>
  <c r="I394" i="3"/>
  <c r="H378" i="3"/>
  <c r="I378" i="3"/>
  <c r="I362" i="3"/>
  <c r="H362" i="3"/>
  <c r="I346" i="3"/>
  <c r="H346" i="3"/>
  <c r="I330" i="3"/>
  <c r="H330" i="3"/>
  <c r="I314" i="3"/>
  <c r="H314" i="3"/>
  <c r="I298" i="3"/>
  <c r="H298" i="3"/>
  <c r="H270" i="3"/>
  <c r="I270" i="3"/>
  <c r="H391" i="3"/>
  <c r="I391" i="3"/>
  <c r="H375" i="3"/>
  <c r="I375" i="3"/>
  <c r="H359" i="3"/>
  <c r="I359" i="3"/>
  <c r="H343" i="3"/>
  <c r="I343" i="3"/>
  <c r="H327" i="3"/>
  <c r="I327" i="3"/>
  <c r="H311" i="3"/>
  <c r="I311" i="3"/>
  <c r="H295" i="3"/>
  <c r="I295" i="3"/>
  <c r="H268" i="3"/>
  <c r="I268" i="3"/>
  <c r="H281" i="3"/>
  <c r="I281" i="3"/>
  <c r="H265" i="3"/>
  <c r="I265" i="3"/>
  <c r="H249" i="3"/>
  <c r="I249" i="3"/>
  <c r="H233" i="3"/>
  <c r="I233" i="3"/>
  <c r="H217" i="3"/>
  <c r="I217" i="3"/>
  <c r="H201" i="3"/>
  <c r="I201" i="3"/>
  <c r="H258" i="3"/>
  <c r="I258" i="3"/>
  <c r="H242" i="3"/>
  <c r="I242" i="3"/>
  <c r="H226" i="3"/>
  <c r="I226" i="3"/>
  <c r="H210" i="3"/>
  <c r="I210" i="3"/>
  <c r="H194" i="3"/>
  <c r="I194" i="3"/>
  <c r="H283" i="3"/>
  <c r="I283" i="3"/>
  <c r="H267" i="3"/>
  <c r="I267" i="3"/>
  <c r="H251" i="3"/>
  <c r="I251" i="3"/>
  <c r="H235" i="3"/>
  <c r="I235" i="3"/>
  <c r="H219" i="3"/>
  <c r="I219" i="3"/>
  <c r="H203" i="3"/>
  <c r="I203" i="3"/>
  <c r="H186" i="3"/>
  <c r="I186" i="3"/>
  <c r="H244" i="3"/>
  <c r="I244" i="3"/>
  <c r="H228" i="3"/>
  <c r="I228" i="3"/>
  <c r="H212" i="3"/>
  <c r="I212" i="3"/>
  <c r="H196" i="3"/>
  <c r="I196" i="3"/>
  <c r="H179" i="3"/>
  <c r="I179" i="3"/>
  <c r="H163" i="3"/>
  <c r="I163" i="3"/>
  <c r="H147" i="3"/>
  <c r="I147" i="3"/>
  <c r="H127" i="3"/>
  <c r="I127" i="3"/>
  <c r="H180" i="3"/>
  <c r="I180" i="3"/>
  <c r="H164" i="3"/>
  <c r="I164" i="3"/>
  <c r="H148" i="3"/>
  <c r="I148" i="3"/>
  <c r="H132" i="3"/>
  <c r="I132" i="3"/>
  <c r="H189" i="3"/>
  <c r="I189" i="3"/>
  <c r="H173" i="3"/>
  <c r="I173" i="3"/>
  <c r="H157" i="3"/>
  <c r="I157" i="3"/>
  <c r="H141" i="3"/>
  <c r="I141" i="3"/>
  <c r="H123" i="3"/>
  <c r="I123" i="3"/>
  <c r="H178" i="3"/>
  <c r="I178" i="3"/>
  <c r="H162" i="3"/>
  <c r="I162" i="3"/>
  <c r="H146" i="3"/>
  <c r="I146" i="3"/>
  <c r="H129" i="3"/>
  <c r="I129" i="3"/>
  <c r="H128" i="3"/>
  <c r="I128" i="3"/>
  <c r="H112" i="3"/>
  <c r="I112" i="3"/>
  <c r="H96" i="3"/>
  <c r="I96" i="3"/>
  <c r="H80" i="3"/>
  <c r="I80" i="3"/>
  <c r="H101" i="3"/>
  <c r="I101" i="3"/>
  <c r="H85" i="3"/>
  <c r="I85" i="3"/>
  <c r="H70" i="3"/>
  <c r="I70" i="3"/>
  <c r="H126" i="3"/>
  <c r="I126" i="3"/>
  <c r="H110" i="3"/>
  <c r="I110" i="3"/>
  <c r="H94" i="3"/>
  <c r="I94" i="3"/>
  <c r="H78" i="3"/>
  <c r="I78" i="3"/>
  <c r="H103" i="3"/>
  <c r="I103" i="3"/>
  <c r="H87" i="3"/>
  <c r="I87" i="3"/>
  <c r="H71" i="3"/>
  <c r="I71" i="3"/>
  <c r="H65" i="3"/>
  <c r="I65" i="3"/>
  <c r="H49" i="3"/>
  <c r="I49" i="3"/>
  <c r="H33" i="3"/>
  <c r="I33" i="3"/>
  <c r="H17" i="3"/>
  <c r="I17" i="3"/>
  <c r="H50" i="3"/>
  <c r="I50" i="3"/>
  <c r="H34" i="3"/>
  <c r="I34" i="3"/>
  <c r="H18" i="3"/>
  <c r="I18" i="3"/>
  <c r="H67" i="3"/>
  <c r="I67" i="3"/>
  <c r="H51" i="3"/>
  <c r="I51" i="3"/>
  <c r="H35" i="3"/>
  <c r="I35" i="3"/>
  <c r="H19" i="3"/>
  <c r="I19" i="3"/>
  <c r="F3" i="3"/>
  <c r="H3" i="3"/>
  <c r="I3" i="3"/>
  <c r="H44" i="3"/>
  <c r="I44" i="3"/>
  <c r="H28" i="3"/>
  <c r="I28" i="3"/>
  <c r="H12" i="3"/>
  <c r="I12" i="3"/>
  <c r="H1096" i="3"/>
  <c r="I1096" i="3"/>
  <c r="H1055" i="3"/>
  <c r="I1055" i="3"/>
  <c r="I1087" i="3"/>
  <c r="H1087" i="3"/>
  <c r="H1071" i="3"/>
  <c r="I1071" i="3"/>
  <c r="H1045" i="3"/>
  <c r="I1045" i="3"/>
  <c r="H1088" i="3"/>
  <c r="I1088" i="3"/>
  <c r="H1068" i="3"/>
  <c r="I1068" i="3"/>
  <c r="H1035" i="3"/>
  <c r="I1035" i="3"/>
  <c r="H1092" i="3"/>
  <c r="I1092" i="3"/>
  <c r="H1089" i="3"/>
  <c r="I1089" i="3"/>
  <c r="I1073" i="3"/>
  <c r="H1073" i="3"/>
  <c r="H1049" i="3"/>
  <c r="I1049" i="3"/>
  <c r="H1094" i="3"/>
  <c r="I1094" i="3"/>
  <c r="H1070" i="3"/>
  <c r="I1070" i="3"/>
  <c r="H1023" i="3"/>
  <c r="I1023" i="3"/>
  <c r="H1048" i="3"/>
  <c r="I1048" i="3"/>
  <c r="H1032" i="3"/>
  <c r="I1032" i="3"/>
  <c r="H1016" i="3"/>
  <c r="I1016" i="3"/>
  <c r="H1000" i="3"/>
  <c r="I1000" i="3"/>
  <c r="H984" i="3"/>
  <c r="I984" i="3"/>
  <c r="H968" i="3"/>
  <c r="I968" i="3"/>
  <c r="H952" i="3"/>
  <c r="I952" i="3"/>
  <c r="I936" i="3"/>
  <c r="H936" i="3"/>
  <c r="I920" i="3"/>
  <c r="H920" i="3"/>
  <c r="I904" i="3"/>
  <c r="H904" i="3"/>
  <c r="I888" i="3"/>
  <c r="H888" i="3"/>
  <c r="I872" i="3"/>
  <c r="H872" i="3"/>
  <c r="I856" i="3"/>
  <c r="H856" i="3"/>
  <c r="I840" i="3"/>
  <c r="H840" i="3"/>
  <c r="I824" i="3"/>
  <c r="H824" i="3"/>
  <c r="I808" i="3"/>
  <c r="H808" i="3"/>
  <c r="H1013" i="3"/>
  <c r="I1013" i="3"/>
  <c r="I997" i="3"/>
  <c r="H997" i="3"/>
  <c r="I981" i="3"/>
  <c r="H981" i="3"/>
  <c r="H965" i="3"/>
  <c r="I965" i="3"/>
  <c r="H949" i="3"/>
  <c r="I949" i="3"/>
  <c r="H933" i="3"/>
  <c r="I933" i="3"/>
  <c r="H917" i="3"/>
  <c r="I917" i="3"/>
  <c r="H901" i="3"/>
  <c r="I901" i="3"/>
  <c r="H885" i="3"/>
  <c r="I885" i="3"/>
  <c r="H869" i="3"/>
  <c r="I869" i="3"/>
  <c r="H853" i="3"/>
  <c r="I853" i="3"/>
  <c r="H837" i="3"/>
  <c r="I837" i="3"/>
  <c r="I821" i="3"/>
  <c r="H821" i="3"/>
  <c r="I805" i="3"/>
  <c r="H805" i="3"/>
  <c r="H1062" i="3"/>
  <c r="I1062" i="3"/>
  <c r="H1046" i="3"/>
  <c r="I1046" i="3"/>
  <c r="H1030" i="3"/>
  <c r="I1030" i="3"/>
  <c r="H1014" i="3"/>
  <c r="I1014" i="3"/>
  <c r="H998" i="3"/>
  <c r="I998" i="3"/>
  <c r="H982" i="3"/>
  <c r="I982" i="3"/>
  <c r="H966" i="3"/>
  <c r="I966" i="3"/>
  <c r="H950" i="3"/>
  <c r="I950" i="3"/>
  <c r="I934" i="3"/>
  <c r="H934" i="3"/>
  <c r="I918" i="3"/>
  <c r="H918" i="3"/>
  <c r="I902" i="3"/>
  <c r="H902" i="3"/>
  <c r="I886" i="3"/>
  <c r="H886" i="3"/>
  <c r="I870" i="3"/>
  <c r="H870" i="3"/>
  <c r="I854" i="3"/>
  <c r="H854" i="3"/>
  <c r="I838" i="3"/>
  <c r="H838" i="3"/>
  <c r="I822" i="3"/>
  <c r="H822" i="3"/>
  <c r="I806" i="3"/>
  <c r="H806" i="3"/>
  <c r="I779" i="3"/>
  <c r="H779" i="3"/>
  <c r="H1003" i="3"/>
  <c r="I1003" i="3"/>
  <c r="I987" i="3"/>
  <c r="H987" i="3"/>
  <c r="H971" i="3"/>
  <c r="I971" i="3"/>
  <c r="H955" i="3"/>
  <c r="I955" i="3"/>
  <c r="H939" i="3"/>
  <c r="I939" i="3"/>
  <c r="H923" i="3"/>
  <c r="I923" i="3"/>
  <c r="H907" i="3"/>
  <c r="I907" i="3"/>
  <c r="H891" i="3"/>
  <c r="I891" i="3"/>
  <c r="H875" i="3"/>
  <c r="I875" i="3"/>
  <c r="H859" i="3"/>
  <c r="I859" i="3"/>
  <c r="H843" i="3"/>
  <c r="I843" i="3"/>
  <c r="H827" i="3"/>
  <c r="I827" i="3"/>
  <c r="I811" i="3"/>
  <c r="H811" i="3"/>
  <c r="I785" i="3"/>
  <c r="H785" i="3"/>
  <c r="H792" i="3"/>
  <c r="I792" i="3"/>
  <c r="H776" i="3"/>
  <c r="I776" i="3"/>
  <c r="H760" i="3"/>
  <c r="I760" i="3"/>
  <c r="H744" i="3"/>
  <c r="I744" i="3"/>
  <c r="H728" i="3"/>
  <c r="I728" i="3"/>
  <c r="H712" i="3"/>
  <c r="I712" i="3"/>
  <c r="H696" i="3"/>
  <c r="I696" i="3"/>
  <c r="H680" i="3"/>
  <c r="I680" i="3"/>
  <c r="I664" i="3"/>
  <c r="H664" i="3"/>
  <c r="H633" i="3"/>
  <c r="I633" i="3"/>
  <c r="I769" i="3"/>
  <c r="H769" i="3"/>
  <c r="I753" i="3"/>
  <c r="H753" i="3"/>
  <c r="I737" i="3"/>
  <c r="H737" i="3"/>
  <c r="I721" i="3"/>
  <c r="H721" i="3"/>
  <c r="I705" i="3"/>
  <c r="H705" i="3"/>
  <c r="I689" i="3"/>
  <c r="H689" i="3"/>
  <c r="I673" i="3"/>
  <c r="H673" i="3"/>
  <c r="H647" i="3"/>
  <c r="I647" i="3"/>
  <c r="H798" i="3"/>
  <c r="I798" i="3"/>
  <c r="H782" i="3"/>
  <c r="I782" i="3"/>
  <c r="H766" i="3"/>
  <c r="I766" i="3"/>
  <c r="H750" i="3"/>
  <c r="I750" i="3"/>
  <c r="H734" i="3"/>
  <c r="I734" i="3"/>
  <c r="H718" i="3"/>
  <c r="I718" i="3"/>
  <c r="H702" i="3"/>
  <c r="I702" i="3"/>
  <c r="H686" i="3"/>
  <c r="I686" i="3"/>
  <c r="H670" i="3"/>
  <c r="I670" i="3"/>
  <c r="H645" i="3"/>
  <c r="I645" i="3"/>
  <c r="I771" i="3"/>
  <c r="H771" i="3"/>
  <c r="I755" i="3"/>
  <c r="H755" i="3"/>
  <c r="I739" i="3"/>
  <c r="H739" i="3"/>
  <c r="I723" i="3"/>
  <c r="H723" i="3"/>
  <c r="I707" i="3"/>
  <c r="H707" i="3"/>
  <c r="I691" i="3"/>
  <c r="H691" i="3"/>
  <c r="I675" i="3"/>
  <c r="H675" i="3"/>
  <c r="H659" i="3"/>
  <c r="I659" i="3"/>
  <c r="H627" i="3"/>
  <c r="I627" i="3"/>
  <c r="H650" i="3"/>
  <c r="I650" i="3"/>
  <c r="H634" i="3"/>
  <c r="I634" i="3"/>
  <c r="H618" i="3"/>
  <c r="I618" i="3"/>
  <c r="H602" i="3"/>
  <c r="I602" i="3"/>
  <c r="H586" i="3"/>
  <c r="I586" i="3"/>
  <c r="H570" i="3"/>
  <c r="I570" i="3"/>
  <c r="H554" i="3"/>
  <c r="I554" i="3"/>
  <c r="H532" i="3"/>
  <c r="I532" i="3"/>
  <c r="H623" i="3"/>
  <c r="I623" i="3"/>
  <c r="H607" i="3"/>
  <c r="I607" i="3"/>
  <c r="H591" i="3"/>
  <c r="I591" i="3"/>
  <c r="H575" i="3"/>
  <c r="I575" i="3"/>
  <c r="H559" i="3"/>
  <c r="I559" i="3"/>
  <c r="H543" i="3"/>
  <c r="I543" i="3"/>
  <c r="I660" i="3"/>
  <c r="H660" i="3"/>
  <c r="I644" i="3"/>
  <c r="H644" i="3"/>
  <c r="I628" i="3"/>
  <c r="H628" i="3"/>
  <c r="I612" i="3"/>
  <c r="H612" i="3"/>
  <c r="I596" i="3"/>
  <c r="H596" i="3"/>
  <c r="I580" i="3"/>
  <c r="H580" i="3"/>
  <c r="I564" i="3"/>
  <c r="H564" i="3"/>
  <c r="H548" i="3"/>
  <c r="I548" i="3"/>
  <c r="H528" i="3"/>
  <c r="I528" i="3"/>
  <c r="H613" i="3"/>
  <c r="I613" i="3"/>
  <c r="H597" i="3"/>
  <c r="I597" i="3"/>
  <c r="H581" i="3"/>
  <c r="I581" i="3"/>
  <c r="H565" i="3"/>
  <c r="I565" i="3"/>
  <c r="H549" i="3"/>
  <c r="I549" i="3"/>
  <c r="H526" i="3"/>
  <c r="I526" i="3"/>
  <c r="H504" i="3"/>
  <c r="I504" i="3"/>
  <c r="H488" i="3"/>
  <c r="I488" i="3"/>
  <c r="H472" i="3"/>
  <c r="I472" i="3"/>
  <c r="H456" i="3"/>
  <c r="I456" i="3"/>
  <c r="H440" i="3"/>
  <c r="I440" i="3"/>
  <c r="H424" i="3"/>
  <c r="I424" i="3"/>
  <c r="H405" i="3"/>
  <c r="I405" i="3"/>
  <c r="H525" i="3"/>
  <c r="I525" i="3"/>
  <c r="H509" i="3"/>
  <c r="I509" i="3"/>
  <c r="H493" i="3"/>
  <c r="I493" i="3"/>
  <c r="H477" i="3"/>
  <c r="I477" i="3"/>
  <c r="H461" i="3"/>
  <c r="I461" i="3"/>
  <c r="H445" i="3"/>
  <c r="I445" i="3"/>
  <c r="H429" i="3"/>
  <c r="I429" i="3"/>
  <c r="H413" i="3"/>
  <c r="I413" i="3"/>
  <c r="H502" i="3"/>
  <c r="I502" i="3"/>
  <c r="H486" i="3"/>
  <c r="I486" i="3"/>
  <c r="H470" i="3"/>
  <c r="I470" i="3"/>
  <c r="H454" i="3"/>
  <c r="I454" i="3"/>
  <c r="H438" i="3"/>
  <c r="I438" i="3"/>
  <c r="H422" i="3"/>
  <c r="I422" i="3"/>
  <c r="H401" i="3"/>
  <c r="I401" i="3"/>
  <c r="H527" i="3"/>
  <c r="I527" i="3"/>
  <c r="H511" i="3"/>
  <c r="I511" i="3"/>
  <c r="H495" i="3"/>
  <c r="I495" i="3"/>
  <c r="H479" i="3"/>
  <c r="I479" i="3"/>
  <c r="H463" i="3"/>
  <c r="I463" i="3"/>
  <c r="H447" i="3"/>
  <c r="I447" i="3"/>
  <c r="H431" i="3"/>
  <c r="I431" i="3"/>
  <c r="H415" i="3"/>
  <c r="I415" i="3"/>
  <c r="H404" i="3"/>
  <c r="I404" i="3"/>
  <c r="H388" i="3"/>
  <c r="I388" i="3"/>
  <c r="I372" i="3"/>
  <c r="H372" i="3"/>
  <c r="I356" i="3"/>
  <c r="H356" i="3"/>
  <c r="I340" i="3"/>
  <c r="H340" i="3"/>
  <c r="I324" i="3"/>
  <c r="H324" i="3"/>
  <c r="I308" i="3"/>
  <c r="H308" i="3"/>
  <c r="I290" i="3"/>
  <c r="H290" i="3"/>
  <c r="H397" i="3"/>
  <c r="I397" i="3"/>
  <c r="I381" i="3"/>
  <c r="H381" i="3"/>
  <c r="H365" i="3"/>
  <c r="I365" i="3"/>
  <c r="H349" i="3"/>
  <c r="I349" i="3"/>
  <c r="H333" i="3"/>
  <c r="I333" i="3"/>
  <c r="H317" i="3"/>
  <c r="I317" i="3"/>
  <c r="H301" i="3"/>
  <c r="I301" i="3"/>
  <c r="H280" i="3"/>
  <c r="I280" i="3"/>
  <c r="H406" i="3"/>
  <c r="I406" i="3"/>
  <c r="H390" i="3"/>
  <c r="I390" i="3"/>
  <c r="I374" i="3"/>
  <c r="H374" i="3"/>
  <c r="I358" i="3"/>
  <c r="H358" i="3"/>
  <c r="I342" i="3"/>
  <c r="H342" i="3"/>
  <c r="I326" i="3"/>
  <c r="H326" i="3"/>
  <c r="I310" i="3"/>
  <c r="H310" i="3"/>
  <c r="I294" i="3"/>
  <c r="H294" i="3"/>
  <c r="H262" i="3"/>
  <c r="I262" i="3"/>
  <c r="H387" i="3"/>
  <c r="I387" i="3"/>
  <c r="H371" i="3"/>
  <c r="I371" i="3"/>
  <c r="H355" i="3"/>
  <c r="I355" i="3"/>
  <c r="H339" i="3"/>
  <c r="I339" i="3"/>
  <c r="H323" i="3"/>
  <c r="I323" i="3"/>
  <c r="H307" i="3"/>
  <c r="I307" i="3"/>
  <c r="I292" i="3"/>
  <c r="H292" i="3"/>
  <c r="H260" i="3"/>
  <c r="I260" i="3"/>
  <c r="H277" i="3"/>
  <c r="I277" i="3"/>
  <c r="H261" i="3"/>
  <c r="I261" i="3"/>
  <c r="H245" i="3"/>
  <c r="I245" i="3"/>
  <c r="H229" i="3"/>
  <c r="I229" i="3"/>
  <c r="H213" i="3"/>
  <c r="I213" i="3"/>
  <c r="H197" i="3"/>
  <c r="I197" i="3"/>
  <c r="H254" i="3"/>
  <c r="I254" i="3"/>
  <c r="H238" i="3"/>
  <c r="I238" i="3"/>
  <c r="H222" i="3"/>
  <c r="I222" i="3"/>
  <c r="H206" i="3"/>
  <c r="I206" i="3"/>
  <c r="H188" i="3"/>
  <c r="I188" i="3"/>
  <c r="H279" i="3"/>
  <c r="I279" i="3"/>
  <c r="H263" i="3"/>
  <c r="I263" i="3"/>
  <c r="H247" i="3"/>
  <c r="I247" i="3"/>
  <c r="H231" i="3"/>
  <c r="I231" i="3"/>
  <c r="H215" i="3"/>
  <c r="I215" i="3"/>
  <c r="H199" i="3"/>
  <c r="I199" i="3"/>
  <c r="H256" i="3"/>
  <c r="I256" i="3"/>
  <c r="H240" i="3"/>
  <c r="I240" i="3"/>
  <c r="H224" i="3"/>
  <c r="I224" i="3"/>
  <c r="H208" i="3"/>
  <c r="I208" i="3"/>
  <c r="H191" i="3"/>
  <c r="I191" i="3"/>
  <c r="H175" i="3"/>
  <c r="I175" i="3"/>
  <c r="H159" i="3"/>
  <c r="I159" i="3"/>
  <c r="H143" i="3"/>
  <c r="I143" i="3"/>
  <c r="H119" i="3"/>
  <c r="I119" i="3"/>
  <c r="H176" i="3"/>
  <c r="I176" i="3"/>
  <c r="H160" i="3"/>
  <c r="I160" i="3"/>
  <c r="H144" i="3"/>
  <c r="I144" i="3"/>
  <c r="H125" i="3"/>
  <c r="I125" i="3"/>
  <c r="H185" i="3"/>
  <c r="I185" i="3"/>
  <c r="H169" i="3"/>
  <c r="I169" i="3"/>
  <c r="H153" i="3"/>
  <c r="I153" i="3"/>
  <c r="H137" i="3"/>
  <c r="I137" i="3"/>
  <c r="H115" i="3"/>
  <c r="I115" i="3"/>
  <c r="H174" i="3"/>
  <c r="I174" i="3"/>
  <c r="H158" i="3"/>
  <c r="I158" i="3"/>
  <c r="H142" i="3"/>
  <c r="I142" i="3"/>
  <c r="H121" i="3"/>
  <c r="I121" i="3"/>
  <c r="H124" i="3"/>
  <c r="I124" i="3"/>
  <c r="H108" i="3"/>
  <c r="I108" i="3"/>
  <c r="H92" i="3"/>
  <c r="I92" i="3"/>
  <c r="H76" i="3"/>
  <c r="I76" i="3"/>
  <c r="H97" i="3"/>
  <c r="I97" i="3"/>
  <c r="H81" i="3"/>
  <c r="I81" i="3"/>
  <c r="H62" i="3"/>
  <c r="I62" i="3"/>
  <c r="H122" i="3"/>
  <c r="I122" i="3"/>
  <c r="H106" i="3"/>
  <c r="I106" i="3"/>
  <c r="H90" i="3"/>
  <c r="I90" i="3"/>
  <c r="H74" i="3"/>
  <c r="I74" i="3"/>
  <c r="H99" i="3"/>
  <c r="I99" i="3"/>
  <c r="H83" i="3"/>
  <c r="I83" i="3"/>
  <c r="H66" i="3"/>
  <c r="I66" i="3"/>
  <c r="H61" i="3"/>
  <c r="I61" i="3"/>
  <c r="H45" i="3"/>
  <c r="I45" i="3"/>
  <c r="H29" i="3"/>
  <c r="I29" i="3"/>
  <c r="H13" i="3"/>
  <c r="I13" i="3"/>
  <c r="H46" i="3"/>
  <c r="I46" i="3"/>
  <c r="H30" i="3"/>
  <c r="I30" i="3"/>
  <c r="H14" i="3"/>
  <c r="I14" i="3"/>
  <c r="H63" i="3"/>
  <c r="I63" i="3"/>
  <c r="H47" i="3"/>
  <c r="I47" i="3"/>
  <c r="H31" i="3"/>
  <c r="I31" i="3"/>
  <c r="H15" i="3"/>
  <c r="I15" i="3"/>
  <c r="H56" i="3"/>
  <c r="I56" i="3"/>
  <c r="H40" i="3"/>
  <c r="I40" i="3"/>
  <c r="H24" i="3"/>
  <c r="I24" i="3"/>
  <c r="H8" i="3"/>
  <c r="I8" i="3"/>
  <c r="H1098" i="3"/>
  <c r="I1098" i="3"/>
  <c r="H1078" i="3"/>
  <c r="I1078" i="3"/>
  <c r="I1047" i="3"/>
  <c r="H1047" i="3"/>
  <c r="H1083" i="3"/>
  <c r="I1083" i="3"/>
  <c r="I1067" i="3"/>
  <c r="H1067" i="3"/>
  <c r="H1037" i="3"/>
  <c r="I1037" i="3"/>
  <c r="H1084" i="3"/>
  <c r="I1084" i="3"/>
  <c r="H1064" i="3"/>
  <c r="I1064" i="3"/>
  <c r="H1027" i="3"/>
  <c r="I1027" i="3"/>
  <c r="H1072" i="3"/>
  <c r="I1072" i="3"/>
  <c r="H1085" i="3"/>
  <c r="I1085" i="3"/>
  <c r="H1069" i="3"/>
  <c r="I1069" i="3"/>
  <c r="H1041" i="3"/>
  <c r="I1041" i="3"/>
  <c r="H1090" i="3"/>
  <c r="I1090" i="3"/>
  <c r="I1063" i="3"/>
  <c r="H1063" i="3"/>
  <c r="H1060" i="3"/>
  <c r="I1060" i="3"/>
  <c r="H1044" i="3"/>
  <c r="I1044" i="3"/>
  <c r="H1028" i="3"/>
  <c r="I1028" i="3"/>
  <c r="H1012" i="3"/>
  <c r="I1012" i="3"/>
  <c r="H996" i="3"/>
  <c r="I996" i="3"/>
  <c r="H980" i="3"/>
  <c r="I980" i="3"/>
  <c r="H964" i="3"/>
  <c r="I964" i="3"/>
  <c r="I948" i="3"/>
  <c r="H948" i="3"/>
  <c r="I932" i="3"/>
  <c r="H932" i="3"/>
  <c r="I916" i="3"/>
  <c r="H916" i="3"/>
  <c r="I900" i="3"/>
  <c r="H900" i="3"/>
  <c r="I884" i="3"/>
  <c r="H884" i="3"/>
  <c r="I868" i="3"/>
  <c r="H868" i="3"/>
  <c r="I852" i="3"/>
  <c r="H852" i="3"/>
  <c r="I836" i="3"/>
  <c r="H836" i="3"/>
  <c r="I820" i="3"/>
  <c r="H820" i="3"/>
  <c r="I799" i="3"/>
  <c r="H799" i="3"/>
  <c r="I1009" i="3"/>
  <c r="H1009" i="3"/>
  <c r="H993" i="3"/>
  <c r="I993" i="3"/>
  <c r="I977" i="3"/>
  <c r="H977" i="3"/>
  <c r="H961" i="3"/>
  <c r="I961" i="3"/>
  <c r="H945" i="3"/>
  <c r="I945" i="3"/>
  <c r="H929" i="3"/>
  <c r="I929" i="3"/>
  <c r="H913" i="3"/>
  <c r="I913" i="3"/>
  <c r="H897" i="3"/>
  <c r="I897" i="3"/>
  <c r="H881" i="3"/>
  <c r="I881" i="3"/>
  <c r="H865" i="3"/>
  <c r="I865" i="3"/>
  <c r="H849" i="3"/>
  <c r="I849" i="3"/>
  <c r="H833" i="3"/>
  <c r="I833" i="3"/>
  <c r="I817" i="3"/>
  <c r="H817" i="3"/>
  <c r="I797" i="3"/>
  <c r="H797" i="3"/>
  <c r="H1058" i="3"/>
  <c r="I1058" i="3"/>
  <c r="H1042" i="3"/>
  <c r="I1042" i="3"/>
  <c r="H1026" i="3"/>
  <c r="I1026" i="3"/>
  <c r="H1010" i="3"/>
  <c r="I1010" i="3"/>
  <c r="H994" i="3"/>
  <c r="I994" i="3"/>
  <c r="H978" i="3"/>
  <c r="I978" i="3"/>
  <c r="H962" i="3"/>
  <c r="I962" i="3"/>
  <c r="I946" i="3"/>
  <c r="H946" i="3"/>
  <c r="I930" i="3"/>
  <c r="H930" i="3"/>
  <c r="I914" i="3"/>
  <c r="H914" i="3"/>
  <c r="I898" i="3"/>
  <c r="H898" i="3"/>
  <c r="I882" i="3"/>
  <c r="H882" i="3"/>
  <c r="I866" i="3"/>
  <c r="H866" i="3"/>
  <c r="I850" i="3"/>
  <c r="H850" i="3"/>
  <c r="I834" i="3"/>
  <c r="H834" i="3"/>
  <c r="I818" i="3"/>
  <c r="H818" i="3"/>
  <c r="I803" i="3"/>
  <c r="H803" i="3"/>
  <c r="I1015" i="3"/>
  <c r="H1015" i="3"/>
  <c r="H999" i="3"/>
  <c r="I999" i="3"/>
  <c r="H983" i="3"/>
  <c r="I983" i="3"/>
  <c r="H967" i="3"/>
  <c r="I967" i="3"/>
  <c r="H951" i="3"/>
  <c r="I951" i="3"/>
  <c r="H935" i="3"/>
  <c r="I935" i="3"/>
  <c r="H919" i="3"/>
  <c r="I919" i="3"/>
  <c r="H903" i="3"/>
  <c r="I903" i="3"/>
  <c r="H887" i="3"/>
  <c r="I887" i="3"/>
  <c r="H871" i="3"/>
  <c r="I871" i="3"/>
  <c r="H855" i="3"/>
  <c r="I855" i="3"/>
  <c r="H839" i="3"/>
  <c r="I839" i="3"/>
  <c r="I823" i="3"/>
  <c r="H823" i="3"/>
  <c r="I807" i="3"/>
  <c r="H807" i="3"/>
  <c r="I804" i="3"/>
  <c r="H804" i="3"/>
  <c r="H788" i="3"/>
  <c r="I788" i="3"/>
  <c r="H772" i="3"/>
  <c r="I772" i="3"/>
  <c r="H756" i="3"/>
  <c r="I756" i="3"/>
  <c r="H740" i="3"/>
  <c r="I740" i="3"/>
  <c r="H724" i="3"/>
  <c r="I724" i="3"/>
  <c r="H708" i="3"/>
  <c r="I708" i="3"/>
  <c r="H692" i="3"/>
  <c r="I692" i="3"/>
  <c r="H676" i="3"/>
  <c r="I676" i="3"/>
  <c r="H657" i="3"/>
  <c r="I657" i="3"/>
  <c r="H625" i="3"/>
  <c r="I625" i="3"/>
  <c r="I765" i="3"/>
  <c r="H765" i="3"/>
  <c r="I749" i="3"/>
  <c r="H749" i="3"/>
  <c r="I733" i="3"/>
  <c r="H733" i="3"/>
  <c r="I717" i="3"/>
  <c r="H717" i="3"/>
  <c r="I701" i="3"/>
  <c r="H701" i="3"/>
  <c r="I685" i="3"/>
  <c r="H685" i="3"/>
  <c r="I669" i="3"/>
  <c r="H669" i="3"/>
  <c r="H639" i="3"/>
  <c r="I639" i="3"/>
  <c r="H794" i="3"/>
  <c r="I794" i="3"/>
  <c r="H778" i="3"/>
  <c r="I778" i="3"/>
  <c r="H762" i="3"/>
  <c r="I762" i="3"/>
  <c r="H746" i="3"/>
  <c r="I746" i="3"/>
  <c r="H730" i="3"/>
  <c r="I730" i="3"/>
  <c r="H714" i="3"/>
  <c r="I714" i="3"/>
  <c r="H698" i="3"/>
  <c r="I698" i="3"/>
  <c r="H682" i="3"/>
  <c r="I682" i="3"/>
  <c r="H666" i="3"/>
  <c r="I666" i="3"/>
  <c r="H637" i="3"/>
  <c r="I637" i="3"/>
  <c r="I767" i="3"/>
  <c r="H767" i="3"/>
  <c r="I751" i="3"/>
  <c r="H751" i="3"/>
  <c r="I735" i="3"/>
  <c r="H735" i="3"/>
  <c r="I719" i="3"/>
  <c r="H719" i="3"/>
  <c r="I703" i="3"/>
  <c r="H703" i="3"/>
  <c r="I687" i="3"/>
  <c r="H687" i="3"/>
  <c r="I671" i="3"/>
  <c r="H671" i="3"/>
  <c r="H651" i="3"/>
  <c r="I651" i="3"/>
  <c r="H662" i="3"/>
  <c r="I662" i="3"/>
  <c r="H646" i="3"/>
  <c r="I646" i="3"/>
  <c r="H630" i="3"/>
  <c r="I630" i="3"/>
  <c r="H614" i="3"/>
  <c r="I614" i="3"/>
  <c r="H598" i="3"/>
  <c r="I598" i="3"/>
  <c r="H582" i="3"/>
  <c r="I582" i="3"/>
  <c r="H566" i="3"/>
  <c r="I566" i="3"/>
  <c r="H550" i="3"/>
  <c r="I550" i="3"/>
  <c r="H524" i="3"/>
  <c r="I524" i="3"/>
  <c r="H619" i="3"/>
  <c r="I619" i="3"/>
  <c r="H603" i="3"/>
  <c r="I603" i="3"/>
  <c r="H587" i="3"/>
  <c r="I587" i="3"/>
  <c r="H571" i="3"/>
  <c r="I571" i="3"/>
  <c r="H555" i="3"/>
  <c r="I555" i="3"/>
  <c r="H538" i="3"/>
  <c r="I538" i="3"/>
  <c r="I656" i="3"/>
  <c r="H656" i="3"/>
  <c r="I640" i="3"/>
  <c r="H640" i="3"/>
  <c r="I624" i="3"/>
  <c r="H624" i="3"/>
  <c r="I608" i="3"/>
  <c r="H608" i="3"/>
  <c r="I592" i="3"/>
  <c r="H592" i="3"/>
  <c r="I576" i="3"/>
  <c r="H576" i="3"/>
  <c r="I560" i="3"/>
  <c r="H560" i="3"/>
  <c r="H544" i="3"/>
  <c r="I544" i="3"/>
  <c r="H520" i="3"/>
  <c r="I520" i="3"/>
  <c r="H609" i="3"/>
  <c r="I609" i="3"/>
  <c r="H593" i="3"/>
  <c r="I593" i="3"/>
  <c r="H577" i="3"/>
  <c r="I577" i="3"/>
  <c r="H561" i="3"/>
  <c r="I561" i="3"/>
  <c r="H545" i="3"/>
  <c r="I545" i="3"/>
  <c r="H518" i="3"/>
  <c r="I518" i="3"/>
  <c r="H500" i="3"/>
  <c r="I500" i="3"/>
  <c r="H484" i="3"/>
  <c r="I484" i="3"/>
  <c r="H468" i="3"/>
  <c r="I468" i="3"/>
  <c r="H452" i="3"/>
  <c r="I452" i="3"/>
  <c r="H436" i="3"/>
  <c r="I436" i="3"/>
  <c r="H420" i="3"/>
  <c r="I420" i="3"/>
  <c r="H537" i="3"/>
  <c r="I537" i="3"/>
  <c r="H521" i="3"/>
  <c r="I521" i="3"/>
  <c r="H505" i="3"/>
  <c r="I505" i="3"/>
  <c r="H489" i="3"/>
  <c r="I489" i="3"/>
  <c r="H473" i="3"/>
  <c r="I473" i="3"/>
  <c r="H457" i="3"/>
  <c r="I457" i="3"/>
  <c r="H441" i="3"/>
  <c r="I441" i="3"/>
  <c r="H425" i="3"/>
  <c r="I425" i="3"/>
  <c r="H403" i="3"/>
  <c r="I403" i="3"/>
  <c r="H498" i="3"/>
  <c r="I498" i="3"/>
  <c r="H482" i="3"/>
  <c r="I482" i="3"/>
  <c r="H466" i="3"/>
  <c r="I466" i="3"/>
  <c r="H450" i="3"/>
  <c r="I450" i="3"/>
  <c r="H434" i="3"/>
  <c r="I434" i="3"/>
  <c r="H418" i="3"/>
  <c r="I418" i="3"/>
  <c r="H539" i="3"/>
  <c r="I539" i="3"/>
  <c r="H523" i="3"/>
  <c r="I523" i="3"/>
  <c r="H507" i="3"/>
  <c r="I507" i="3"/>
  <c r="H491" i="3"/>
  <c r="I491" i="3"/>
  <c r="H475" i="3"/>
  <c r="I475" i="3"/>
  <c r="H459" i="3"/>
  <c r="I459" i="3"/>
  <c r="H443" i="3"/>
  <c r="I443" i="3"/>
  <c r="H427" i="3"/>
  <c r="I427" i="3"/>
  <c r="H411" i="3"/>
  <c r="I411" i="3"/>
  <c r="H400" i="3"/>
  <c r="I400" i="3"/>
  <c r="H384" i="3"/>
  <c r="I384" i="3"/>
  <c r="I368" i="3"/>
  <c r="H368" i="3"/>
  <c r="I352" i="3"/>
  <c r="H352" i="3"/>
  <c r="I336" i="3"/>
  <c r="H336" i="3"/>
  <c r="I320" i="3"/>
  <c r="H320" i="3"/>
  <c r="I304" i="3"/>
  <c r="H304" i="3"/>
  <c r="H282" i="3"/>
  <c r="I282" i="3"/>
  <c r="H393" i="3"/>
  <c r="I393" i="3"/>
  <c r="I377" i="3"/>
  <c r="H377" i="3"/>
  <c r="H361" i="3"/>
  <c r="I361" i="3"/>
  <c r="H345" i="3"/>
  <c r="I345" i="3"/>
  <c r="H329" i="3"/>
  <c r="I329" i="3"/>
  <c r="H313" i="3"/>
  <c r="I313" i="3"/>
  <c r="H297" i="3"/>
  <c r="I297" i="3"/>
  <c r="H272" i="3"/>
  <c r="I272" i="3"/>
  <c r="H402" i="3"/>
  <c r="I402" i="3"/>
  <c r="H386" i="3"/>
  <c r="I386" i="3"/>
  <c r="I370" i="3"/>
  <c r="H370" i="3"/>
  <c r="I354" i="3"/>
  <c r="H354" i="3"/>
  <c r="I338" i="3"/>
  <c r="H338" i="3"/>
  <c r="I322" i="3"/>
  <c r="H322" i="3"/>
  <c r="I306" i="3"/>
  <c r="H306" i="3"/>
  <c r="I286" i="3"/>
  <c r="H286" i="3"/>
  <c r="H399" i="3"/>
  <c r="I399" i="3"/>
  <c r="I383" i="3"/>
  <c r="H383" i="3"/>
  <c r="H367" i="3"/>
  <c r="I367" i="3"/>
  <c r="H351" i="3"/>
  <c r="I351" i="3"/>
  <c r="H335" i="3"/>
  <c r="I335" i="3"/>
  <c r="H319" i="3"/>
  <c r="I319" i="3"/>
  <c r="H303" i="3"/>
  <c r="I303" i="3"/>
  <c r="H284" i="3"/>
  <c r="I284" i="3"/>
  <c r="H289" i="3"/>
  <c r="I289" i="3"/>
  <c r="H273" i="3"/>
  <c r="I273" i="3"/>
  <c r="H257" i="3"/>
  <c r="I257" i="3"/>
  <c r="H241" i="3"/>
  <c r="I241" i="3"/>
  <c r="H225" i="3"/>
  <c r="I225" i="3"/>
  <c r="H209" i="3"/>
  <c r="I209" i="3"/>
  <c r="H193" i="3"/>
  <c r="I193" i="3"/>
  <c r="H250" i="3"/>
  <c r="I250" i="3"/>
  <c r="H234" i="3"/>
  <c r="I234" i="3"/>
  <c r="H218" i="3"/>
  <c r="I218" i="3"/>
  <c r="H202" i="3"/>
  <c r="I202" i="3"/>
  <c r="H291" i="3"/>
  <c r="I291" i="3"/>
  <c r="H275" i="3"/>
  <c r="I275" i="3"/>
  <c r="H259" i="3"/>
  <c r="I259" i="3"/>
  <c r="H243" i="3"/>
  <c r="I243" i="3"/>
  <c r="H227" i="3"/>
  <c r="I227" i="3"/>
  <c r="H211" i="3"/>
  <c r="I211" i="3"/>
  <c r="H195" i="3"/>
  <c r="I195" i="3"/>
  <c r="H252" i="3"/>
  <c r="I252" i="3"/>
  <c r="H236" i="3"/>
  <c r="I236" i="3"/>
  <c r="H220" i="3"/>
  <c r="I220" i="3"/>
  <c r="H204" i="3"/>
  <c r="I204" i="3"/>
  <c r="H187" i="3"/>
  <c r="I187" i="3"/>
  <c r="H171" i="3"/>
  <c r="I171" i="3"/>
  <c r="H155" i="3"/>
  <c r="I155" i="3"/>
  <c r="H139" i="3"/>
  <c r="I139" i="3"/>
  <c r="H111" i="3"/>
  <c r="I111" i="3"/>
  <c r="H172" i="3"/>
  <c r="I172" i="3"/>
  <c r="H156" i="3"/>
  <c r="I156" i="3"/>
  <c r="H140" i="3"/>
  <c r="I140" i="3"/>
  <c r="H117" i="3"/>
  <c r="I117" i="3"/>
  <c r="H181" i="3"/>
  <c r="I181" i="3"/>
  <c r="H165" i="3"/>
  <c r="I165" i="3"/>
  <c r="H149" i="3"/>
  <c r="I149" i="3"/>
  <c r="H133" i="3"/>
  <c r="I133" i="3"/>
  <c r="H107" i="3"/>
  <c r="I107" i="3"/>
  <c r="H170" i="3"/>
  <c r="I170" i="3"/>
  <c r="H154" i="3"/>
  <c r="I154" i="3"/>
  <c r="H138" i="3"/>
  <c r="I138" i="3"/>
  <c r="H113" i="3"/>
  <c r="I113" i="3"/>
  <c r="H120" i="3"/>
  <c r="I120" i="3"/>
  <c r="H104" i="3"/>
  <c r="I104" i="3"/>
  <c r="H88" i="3"/>
  <c r="I88" i="3"/>
  <c r="H72" i="3"/>
  <c r="I72" i="3"/>
  <c r="H93" i="3"/>
  <c r="I93" i="3"/>
  <c r="H77" i="3"/>
  <c r="I77" i="3"/>
  <c r="H54" i="3"/>
  <c r="I54" i="3"/>
  <c r="H118" i="3"/>
  <c r="I118" i="3"/>
  <c r="H102" i="3"/>
  <c r="I102" i="3"/>
  <c r="H86" i="3"/>
  <c r="I86" i="3"/>
  <c r="H68" i="3"/>
  <c r="I68" i="3"/>
  <c r="H95" i="3"/>
  <c r="I95" i="3"/>
  <c r="H79" i="3"/>
  <c r="I79" i="3"/>
  <c r="H58" i="3"/>
  <c r="I58" i="3"/>
  <c r="H57" i="3"/>
  <c r="I57" i="3"/>
  <c r="H41" i="3"/>
  <c r="I41" i="3"/>
  <c r="H25" i="3"/>
  <c r="I25" i="3"/>
  <c r="H9" i="3"/>
  <c r="I9" i="3"/>
  <c r="H42" i="3"/>
  <c r="I42" i="3"/>
  <c r="H26" i="3"/>
  <c r="I26" i="3"/>
  <c r="H10" i="3"/>
  <c r="I10" i="3"/>
  <c r="H59" i="3"/>
  <c r="I59" i="3"/>
  <c r="H43" i="3"/>
  <c r="I43" i="3"/>
  <c r="H27" i="3"/>
  <c r="I27" i="3"/>
  <c r="H11" i="3"/>
  <c r="I11" i="3"/>
  <c r="H52" i="3"/>
  <c r="I52" i="3"/>
  <c r="H36" i="3"/>
  <c r="I36" i="3"/>
  <c r="H20" i="3"/>
  <c r="I20" i="3"/>
  <c r="F4" i="3"/>
  <c r="H4" i="3"/>
  <c r="I4" i="3"/>
  <c r="H1099" i="3"/>
  <c r="I1099" i="3"/>
  <c r="H1074" i="3"/>
  <c r="I1074" i="3"/>
  <c r="I1095" i="3"/>
  <c r="H1095" i="3"/>
  <c r="H1079" i="3"/>
  <c r="I1079" i="3"/>
  <c r="H1061" i="3"/>
  <c r="I1061" i="3"/>
  <c r="I1029" i="3"/>
  <c r="H1029" i="3"/>
  <c r="H1080" i="3"/>
  <c r="I1080" i="3"/>
  <c r="H1059" i="3"/>
  <c r="I1059" i="3"/>
  <c r="I1019" i="3"/>
  <c r="H1019" i="3"/>
  <c r="H1051" i="3"/>
  <c r="I1051" i="3"/>
  <c r="I1081" i="3"/>
  <c r="H1081" i="3"/>
  <c r="H1065" i="3"/>
  <c r="I1065" i="3"/>
  <c r="I1033" i="3"/>
  <c r="H1033" i="3"/>
  <c r="H1086" i="3"/>
  <c r="I1086" i="3"/>
  <c r="I1039" i="3"/>
  <c r="H1039" i="3"/>
  <c r="H1056" i="3"/>
  <c r="I1056" i="3"/>
  <c r="H1040" i="3"/>
  <c r="I1040" i="3"/>
  <c r="H1024" i="3"/>
  <c r="I1024" i="3"/>
  <c r="H1008" i="3"/>
  <c r="I1008" i="3"/>
  <c r="H992" i="3"/>
  <c r="I992" i="3"/>
  <c r="H976" i="3"/>
  <c r="I976" i="3"/>
  <c r="H960" i="3"/>
  <c r="I960" i="3"/>
  <c r="I944" i="3"/>
  <c r="H944" i="3"/>
  <c r="I928" i="3"/>
  <c r="H928" i="3"/>
  <c r="I912" i="3"/>
  <c r="H912" i="3"/>
  <c r="I896" i="3"/>
  <c r="H896" i="3"/>
  <c r="I880" i="3"/>
  <c r="H880" i="3"/>
  <c r="I864" i="3"/>
  <c r="H864" i="3"/>
  <c r="I848" i="3"/>
  <c r="H848" i="3"/>
  <c r="I832" i="3"/>
  <c r="H832" i="3"/>
  <c r="I816" i="3"/>
  <c r="H816" i="3"/>
  <c r="I791" i="3"/>
  <c r="H791" i="3"/>
  <c r="I1005" i="3"/>
  <c r="H1005" i="3"/>
  <c r="H989" i="3"/>
  <c r="I989" i="3"/>
  <c r="I973" i="3"/>
  <c r="H973" i="3"/>
  <c r="H957" i="3"/>
  <c r="I957" i="3"/>
  <c r="H941" i="3"/>
  <c r="I941" i="3"/>
  <c r="H925" i="3"/>
  <c r="I925" i="3"/>
  <c r="H909" i="3"/>
  <c r="I909" i="3"/>
  <c r="H893" i="3"/>
  <c r="I893" i="3"/>
  <c r="H877" i="3"/>
  <c r="I877" i="3"/>
  <c r="H861" i="3"/>
  <c r="I861" i="3"/>
  <c r="H845" i="3"/>
  <c r="I845" i="3"/>
  <c r="H829" i="3"/>
  <c r="I829" i="3"/>
  <c r="I813" i="3"/>
  <c r="H813" i="3"/>
  <c r="I789" i="3"/>
  <c r="H789" i="3"/>
  <c r="H1054" i="3"/>
  <c r="I1054" i="3"/>
  <c r="H1038" i="3"/>
  <c r="I1038" i="3"/>
  <c r="H1022" i="3"/>
  <c r="I1022" i="3"/>
  <c r="H1006" i="3"/>
  <c r="I1006" i="3"/>
  <c r="H990" i="3"/>
  <c r="I990" i="3"/>
  <c r="H974" i="3"/>
  <c r="I974" i="3"/>
  <c r="H958" i="3"/>
  <c r="I958" i="3"/>
  <c r="I942" i="3"/>
  <c r="H942" i="3"/>
  <c r="I926" i="3"/>
  <c r="H926" i="3"/>
  <c r="I910" i="3"/>
  <c r="H910" i="3"/>
  <c r="I894" i="3"/>
  <c r="H894" i="3"/>
  <c r="I878" i="3"/>
  <c r="H878" i="3"/>
  <c r="I862" i="3"/>
  <c r="H862" i="3"/>
  <c r="I846" i="3"/>
  <c r="H846" i="3"/>
  <c r="I830" i="3"/>
  <c r="H830" i="3"/>
  <c r="I814" i="3"/>
  <c r="H814" i="3"/>
  <c r="I795" i="3"/>
  <c r="H795" i="3"/>
  <c r="H1011" i="3"/>
  <c r="I1011" i="3"/>
  <c r="H995" i="3"/>
  <c r="I995" i="3"/>
  <c r="H979" i="3"/>
  <c r="I979" i="3"/>
  <c r="I963" i="3"/>
  <c r="H963" i="3"/>
  <c r="H947" i="3"/>
  <c r="I947" i="3"/>
  <c r="H931" i="3"/>
  <c r="I931" i="3"/>
  <c r="H915" i="3"/>
  <c r="I915" i="3"/>
  <c r="H899" i="3"/>
  <c r="I899" i="3"/>
  <c r="H883" i="3"/>
  <c r="I883" i="3"/>
  <c r="H867" i="3"/>
  <c r="I867" i="3"/>
  <c r="H851" i="3"/>
  <c r="I851" i="3"/>
  <c r="H835" i="3"/>
  <c r="I835" i="3"/>
  <c r="I819" i="3"/>
  <c r="H819" i="3"/>
  <c r="I801" i="3"/>
  <c r="H801" i="3"/>
  <c r="I800" i="3"/>
  <c r="H800" i="3"/>
  <c r="H784" i="3"/>
  <c r="I784" i="3"/>
  <c r="H768" i="3"/>
  <c r="I768" i="3"/>
  <c r="H752" i="3"/>
  <c r="I752" i="3"/>
  <c r="H736" i="3"/>
  <c r="I736" i="3"/>
  <c r="H720" i="3"/>
  <c r="I720" i="3"/>
  <c r="H704" i="3"/>
  <c r="I704" i="3"/>
  <c r="H688" i="3"/>
  <c r="I688" i="3"/>
  <c r="H672" i="3"/>
  <c r="I672" i="3"/>
  <c r="H649" i="3"/>
  <c r="I649" i="3"/>
  <c r="I777" i="3"/>
  <c r="H777" i="3"/>
  <c r="I761" i="3"/>
  <c r="H761" i="3"/>
  <c r="I745" i="3"/>
  <c r="H745" i="3"/>
  <c r="I729" i="3"/>
  <c r="H729" i="3"/>
  <c r="I713" i="3"/>
  <c r="H713" i="3"/>
  <c r="I697" i="3"/>
  <c r="H697" i="3"/>
  <c r="I681" i="3"/>
  <c r="H681" i="3"/>
  <c r="H665" i="3"/>
  <c r="I665" i="3"/>
  <c r="H631" i="3"/>
  <c r="I631" i="3"/>
  <c r="H790" i="3"/>
  <c r="I790" i="3"/>
  <c r="H774" i="3"/>
  <c r="I774" i="3"/>
  <c r="H758" i="3"/>
  <c r="I758" i="3"/>
  <c r="H742" i="3"/>
  <c r="I742" i="3"/>
  <c r="H726" i="3"/>
  <c r="I726" i="3"/>
  <c r="H710" i="3"/>
  <c r="I710" i="3"/>
  <c r="H694" i="3"/>
  <c r="I694" i="3"/>
  <c r="H678" i="3"/>
  <c r="I678" i="3"/>
  <c r="H661" i="3"/>
  <c r="I661" i="3"/>
  <c r="H629" i="3"/>
  <c r="I629" i="3"/>
  <c r="I763" i="3"/>
  <c r="H763" i="3"/>
  <c r="I747" i="3"/>
  <c r="H747" i="3"/>
  <c r="I731" i="3"/>
  <c r="H731" i="3"/>
  <c r="I715" i="3"/>
  <c r="H715" i="3"/>
  <c r="I699" i="3"/>
  <c r="H699" i="3"/>
  <c r="I683" i="3"/>
  <c r="H683" i="3"/>
  <c r="I667" i="3"/>
  <c r="H667" i="3"/>
  <c r="H643" i="3"/>
  <c r="I643" i="3"/>
  <c r="H658" i="3"/>
  <c r="I658" i="3"/>
  <c r="H642" i="3"/>
  <c r="I642" i="3"/>
  <c r="H626" i="3"/>
  <c r="I626" i="3"/>
  <c r="H610" i="3"/>
  <c r="I610" i="3"/>
  <c r="H594" i="3"/>
  <c r="I594" i="3"/>
  <c r="H578" i="3"/>
  <c r="I578" i="3"/>
  <c r="H562" i="3"/>
  <c r="I562" i="3"/>
  <c r="H546" i="3"/>
  <c r="I546" i="3"/>
  <c r="H516" i="3"/>
  <c r="I516" i="3"/>
  <c r="H615" i="3"/>
  <c r="I615" i="3"/>
  <c r="H599" i="3"/>
  <c r="I599" i="3"/>
  <c r="H583" i="3"/>
  <c r="I583" i="3"/>
  <c r="H567" i="3"/>
  <c r="I567" i="3"/>
  <c r="H551" i="3"/>
  <c r="I551" i="3"/>
  <c r="H530" i="3"/>
  <c r="I530" i="3"/>
  <c r="I652" i="3"/>
  <c r="H652" i="3"/>
  <c r="I636" i="3"/>
  <c r="H636" i="3"/>
  <c r="I620" i="3"/>
  <c r="H620" i="3"/>
  <c r="I604" i="3"/>
  <c r="H604" i="3"/>
  <c r="I588" i="3"/>
  <c r="H588" i="3"/>
  <c r="I572" i="3"/>
  <c r="H572" i="3"/>
  <c r="I556" i="3"/>
  <c r="H556" i="3"/>
  <c r="H540" i="3"/>
  <c r="I540" i="3"/>
  <c r="H621" i="3"/>
  <c r="I621" i="3"/>
  <c r="H605" i="3"/>
  <c r="I605" i="3"/>
  <c r="H589" i="3"/>
  <c r="I589" i="3"/>
  <c r="H573" i="3"/>
  <c r="I573" i="3"/>
  <c r="H557" i="3"/>
  <c r="I557" i="3"/>
  <c r="H541" i="3"/>
  <c r="I541" i="3"/>
  <c r="H512" i="3"/>
  <c r="I512" i="3"/>
  <c r="H496" i="3"/>
  <c r="I496" i="3"/>
  <c r="H480" i="3"/>
  <c r="I480" i="3"/>
  <c r="H464" i="3"/>
  <c r="I464" i="3"/>
  <c r="H448" i="3"/>
  <c r="I448" i="3"/>
  <c r="H432" i="3"/>
  <c r="I432" i="3"/>
  <c r="H416" i="3"/>
  <c r="I416" i="3"/>
  <c r="H533" i="3"/>
  <c r="I533" i="3"/>
  <c r="H517" i="3"/>
  <c r="I517" i="3"/>
  <c r="H501" i="3"/>
  <c r="I501" i="3"/>
  <c r="H485" i="3"/>
  <c r="I485" i="3"/>
  <c r="H469" i="3"/>
  <c r="I469" i="3"/>
  <c r="H453" i="3"/>
  <c r="I453" i="3"/>
  <c r="H437" i="3"/>
  <c r="I437" i="3"/>
  <c r="H421" i="3"/>
  <c r="I421" i="3"/>
  <c r="H510" i="3"/>
  <c r="I510" i="3"/>
  <c r="H494" i="3"/>
  <c r="I494" i="3"/>
  <c r="H478" i="3"/>
  <c r="I478" i="3"/>
  <c r="H462" i="3"/>
  <c r="I462" i="3"/>
  <c r="H446" i="3"/>
  <c r="I446" i="3"/>
  <c r="H430" i="3"/>
  <c r="I430" i="3"/>
  <c r="H414" i="3"/>
  <c r="I414" i="3"/>
  <c r="H535" i="3"/>
  <c r="I535" i="3"/>
  <c r="H519" i="3"/>
  <c r="I519" i="3"/>
  <c r="H503" i="3"/>
  <c r="I503" i="3"/>
  <c r="H487" i="3"/>
  <c r="I487" i="3"/>
  <c r="H471" i="3"/>
  <c r="I471" i="3"/>
  <c r="H455" i="3"/>
  <c r="I455" i="3"/>
  <c r="H439" i="3"/>
  <c r="I439" i="3"/>
  <c r="H423" i="3"/>
  <c r="I423" i="3"/>
  <c r="H407" i="3"/>
  <c r="I407" i="3"/>
  <c r="H396" i="3"/>
  <c r="I396" i="3"/>
  <c r="H380" i="3"/>
  <c r="I380" i="3"/>
  <c r="I364" i="3"/>
  <c r="H364" i="3"/>
  <c r="I348" i="3"/>
  <c r="H348" i="3"/>
  <c r="I332" i="3"/>
  <c r="H332" i="3"/>
  <c r="I316" i="3"/>
  <c r="H316" i="3"/>
  <c r="I300" i="3"/>
  <c r="H300" i="3"/>
  <c r="H274" i="3"/>
  <c r="I274" i="3"/>
  <c r="H389" i="3"/>
  <c r="I389" i="3"/>
  <c r="H373" i="3"/>
  <c r="I373" i="3"/>
  <c r="H357" i="3"/>
  <c r="I357" i="3"/>
  <c r="H341" i="3"/>
  <c r="I341" i="3"/>
  <c r="H325" i="3"/>
  <c r="I325" i="3"/>
  <c r="H309" i="3"/>
  <c r="I309" i="3"/>
  <c r="H293" i="3"/>
  <c r="I293" i="3"/>
  <c r="H264" i="3"/>
  <c r="I264" i="3"/>
  <c r="H398" i="3"/>
  <c r="I398" i="3"/>
  <c r="H382" i="3"/>
  <c r="I382" i="3"/>
  <c r="I366" i="3"/>
  <c r="H366" i="3"/>
  <c r="I350" i="3"/>
  <c r="H350" i="3"/>
  <c r="I334" i="3"/>
  <c r="H334" i="3"/>
  <c r="I318" i="3"/>
  <c r="H318" i="3"/>
  <c r="I302" i="3"/>
  <c r="H302" i="3"/>
  <c r="H278" i="3"/>
  <c r="I278" i="3"/>
  <c r="H395" i="3"/>
  <c r="I395" i="3"/>
  <c r="I379" i="3"/>
  <c r="H379" i="3"/>
  <c r="H363" i="3"/>
  <c r="I363" i="3"/>
  <c r="H347" i="3"/>
  <c r="I347" i="3"/>
  <c r="H331" i="3"/>
  <c r="I331" i="3"/>
  <c r="H315" i="3"/>
  <c r="I315" i="3"/>
  <c r="H299" i="3"/>
  <c r="I299" i="3"/>
  <c r="H276" i="3"/>
  <c r="I276" i="3"/>
  <c r="H285" i="3"/>
  <c r="I285" i="3"/>
  <c r="H269" i="3"/>
  <c r="I269" i="3"/>
  <c r="H253" i="3"/>
  <c r="I253" i="3"/>
  <c r="H237" i="3"/>
  <c r="I237" i="3"/>
  <c r="H221" i="3"/>
  <c r="I221" i="3"/>
  <c r="H205" i="3"/>
  <c r="I205" i="3"/>
  <c r="H190" i="3"/>
  <c r="I190" i="3"/>
  <c r="H246" i="3"/>
  <c r="I246" i="3"/>
  <c r="H230" i="3"/>
  <c r="I230" i="3"/>
  <c r="H214" i="3"/>
  <c r="I214" i="3"/>
  <c r="H198" i="3"/>
  <c r="I198" i="3"/>
  <c r="H287" i="3"/>
  <c r="I287" i="3"/>
  <c r="H271" i="3"/>
  <c r="I271" i="3"/>
  <c r="H255" i="3"/>
  <c r="I255" i="3"/>
  <c r="H239" i="3"/>
  <c r="I239" i="3"/>
  <c r="H223" i="3"/>
  <c r="I223" i="3"/>
  <c r="H207" i="3"/>
  <c r="I207" i="3"/>
  <c r="H192" i="3"/>
  <c r="I192" i="3"/>
  <c r="H248" i="3"/>
  <c r="I248" i="3"/>
  <c r="H232" i="3"/>
  <c r="I232" i="3"/>
  <c r="H216" i="3"/>
  <c r="I216" i="3"/>
  <c r="H200" i="3"/>
  <c r="I200" i="3"/>
  <c r="H183" i="3"/>
  <c r="I183" i="3"/>
  <c r="H167" i="3"/>
  <c r="I167" i="3"/>
  <c r="H151" i="3"/>
  <c r="I151" i="3"/>
  <c r="H135" i="3"/>
  <c r="I135" i="3"/>
  <c r="H184" i="3"/>
  <c r="I184" i="3"/>
  <c r="H168" i="3"/>
  <c r="I168" i="3"/>
  <c r="H152" i="3"/>
  <c r="I152" i="3"/>
  <c r="H136" i="3"/>
  <c r="I136" i="3"/>
  <c r="H109" i="3"/>
  <c r="I109" i="3"/>
  <c r="H177" i="3"/>
  <c r="I177" i="3"/>
  <c r="H161" i="3"/>
  <c r="I161" i="3"/>
  <c r="H145" i="3"/>
  <c r="I145" i="3"/>
  <c r="H131" i="3"/>
  <c r="I131" i="3"/>
  <c r="H182" i="3"/>
  <c r="I182" i="3"/>
  <c r="H166" i="3"/>
  <c r="I166" i="3"/>
  <c r="H150" i="3"/>
  <c r="I150" i="3"/>
  <c r="H134" i="3"/>
  <c r="I134" i="3"/>
  <c r="H105" i="3"/>
  <c r="I105" i="3"/>
  <c r="H116" i="3"/>
  <c r="I116" i="3"/>
  <c r="H100" i="3"/>
  <c r="I100" i="3"/>
  <c r="H84" i="3"/>
  <c r="I84" i="3"/>
  <c r="H64" i="3"/>
  <c r="I64" i="3"/>
  <c r="H89" i="3"/>
  <c r="I89" i="3"/>
  <c r="H73" i="3"/>
  <c r="I73" i="3"/>
  <c r="H130" i="3"/>
  <c r="I130" i="3"/>
  <c r="H114" i="3"/>
  <c r="I114" i="3"/>
  <c r="H98" i="3"/>
  <c r="I98" i="3"/>
  <c r="H82" i="3"/>
  <c r="I82" i="3"/>
  <c r="H60" i="3"/>
  <c r="I60" i="3"/>
  <c r="H91" i="3"/>
  <c r="I91" i="3"/>
  <c r="H75" i="3"/>
  <c r="I75" i="3"/>
  <c r="H69" i="3"/>
  <c r="I69" i="3"/>
  <c r="H53" i="3"/>
  <c r="I53" i="3"/>
  <c r="H37" i="3"/>
  <c r="I37" i="3"/>
  <c r="H21" i="3"/>
  <c r="I21" i="3"/>
  <c r="H5" i="3"/>
  <c r="I5" i="3"/>
  <c r="H38" i="3"/>
  <c r="I38" i="3"/>
  <c r="H22" i="3"/>
  <c r="I22" i="3"/>
  <c r="H6" i="3"/>
  <c r="I6" i="3"/>
  <c r="H55" i="3"/>
  <c r="I55" i="3"/>
  <c r="H39" i="3"/>
  <c r="I39" i="3"/>
  <c r="H23" i="3"/>
  <c r="I23" i="3"/>
  <c r="H7" i="3"/>
  <c r="I7" i="3"/>
  <c r="H48" i="3"/>
  <c r="I48" i="3"/>
  <c r="H32" i="3"/>
  <c r="I32" i="3"/>
  <c r="H16" i="3"/>
  <c r="I16" i="3"/>
  <c r="H1097" i="3"/>
  <c r="I1097" i="3"/>
  <c r="H2" i="3"/>
  <c r="I2" i="3"/>
  <c r="F2" i="3"/>
  <c r="G2" i="3"/>
  <c r="F1066" i="3"/>
  <c r="F1091" i="3"/>
  <c r="F1075" i="3"/>
  <c r="F1053" i="3"/>
  <c r="F1021" i="3"/>
  <c r="F1076" i="3"/>
  <c r="F1043" i="3"/>
  <c r="F1017" i="3"/>
  <c r="F1093" i="3"/>
  <c r="F1077" i="3"/>
  <c r="F1057" i="3"/>
  <c r="F1025" i="3"/>
  <c r="F1082" i="3"/>
  <c r="F1031" i="3"/>
  <c r="F1052" i="3"/>
  <c r="F1036" i="3"/>
  <c r="F1020" i="3"/>
  <c r="F1004" i="3"/>
  <c r="F1096" i="3"/>
  <c r="F1055" i="3"/>
  <c r="F1087" i="3"/>
  <c r="F1071" i="3"/>
  <c r="F1045" i="3"/>
  <c r="F1088" i="3"/>
  <c r="F1068" i="3"/>
  <c r="F1035" i="3"/>
  <c r="F1092" i="3"/>
  <c r="F1089" i="3"/>
  <c r="F1073" i="3"/>
  <c r="F1049" i="3"/>
  <c r="F1094" i="3"/>
  <c r="F1070" i="3"/>
  <c r="F1023" i="3"/>
  <c r="F1048" i="3"/>
  <c r="F1032" i="3"/>
  <c r="F1016" i="3"/>
  <c r="F1000" i="3"/>
  <c r="F984" i="3"/>
  <c r="F968" i="3"/>
  <c r="F952" i="3"/>
  <c r="F936" i="3"/>
  <c r="F920" i="3"/>
  <c r="F904" i="3"/>
  <c r="F1078" i="3"/>
  <c r="F1047" i="3"/>
  <c r="F1083" i="3"/>
  <c r="F1067" i="3"/>
  <c r="F1037" i="3"/>
  <c r="F1084" i="3"/>
  <c r="F1064" i="3"/>
  <c r="F1027" i="3"/>
  <c r="F1072" i="3"/>
  <c r="F1085" i="3"/>
  <c r="F1069" i="3"/>
  <c r="F1041" i="3"/>
  <c r="F1090" i="3"/>
  <c r="F1063" i="3"/>
  <c r="F1060" i="3"/>
  <c r="F1044" i="3"/>
  <c r="F1028" i="3"/>
  <c r="F1012" i="3"/>
  <c r="F996" i="3"/>
  <c r="F980" i="3"/>
  <c r="F964" i="3"/>
  <c r="F1074" i="3"/>
  <c r="F1095" i="3"/>
  <c r="F1079" i="3"/>
  <c r="F1061" i="3"/>
  <c r="F1029" i="3"/>
  <c r="F1080" i="3"/>
  <c r="F1059" i="3"/>
  <c r="F1019" i="3"/>
  <c r="F1051" i="3"/>
  <c r="F1081" i="3"/>
  <c r="F1065" i="3"/>
  <c r="F1033" i="3"/>
  <c r="F1086" i="3"/>
  <c r="F1039" i="3"/>
  <c r="F1056" i="3"/>
  <c r="F1040" i="3"/>
  <c r="F1024" i="3"/>
  <c r="F1008" i="3"/>
  <c r="F992" i="3"/>
  <c r="F976" i="3"/>
  <c r="F960" i="3"/>
  <c r="F944" i="3"/>
  <c r="F928" i="3"/>
  <c r="F912" i="3"/>
  <c r="F896" i="3"/>
  <c r="F880" i="3"/>
  <c r="F864" i="3"/>
  <c r="F848" i="3"/>
  <c r="F832" i="3"/>
  <c r="F816" i="3"/>
  <c r="F791" i="3"/>
  <c r="F1005" i="3"/>
  <c r="F989" i="3"/>
  <c r="F973" i="3"/>
  <c r="F957" i="3"/>
  <c r="F941" i="3"/>
  <c r="F925" i="3"/>
  <c r="F909" i="3"/>
  <c r="F893" i="3"/>
  <c r="F877" i="3"/>
  <c r="F861" i="3"/>
  <c r="F845" i="3"/>
  <c r="F829" i="3"/>
  <c r="F813" i="3"/>
  <c r="F789" i="3"/>
  <c r="F1054" i="3"/>
  <c r="F988" i="3"/>
  <c r="F972" i="3"/>
  <c r="F956" i="3"/>
  <c r="F940" i="3"/>
  <c r="F924" i="3"/>
  <c r="F908" i="3"/>
  <c r="F892" i="3"/>
  <c r="F876" i="3"/>
  <c r="F860" i="3"/>
  <c r="F844" i="3"/>
  <c r="F828" i="3"/>
  <c r="F812" i="3"/>
  <c r="F783" i="3"/>
  <c r="F1001" i="3"/>
  <c r="F985" i="3"/>
  <c r="F969" i="3"/>
  <c r="F953" i="3"/>
  <c r="F937" i="3"/>
  <c r="F921" i="3"/>
  <c r="F905" i="3"/>
  <c r="F889" i="3"/>
  <c r="F873" i="3"/>
  <c r="F857" i="3"/>
  <c r="F841" i="3"/>
  <c r="F825" i="3"/>
  <c r="F809" i="3"/>
  <c r="F781" i="3"/>
  <c r="F1050" i="3"/>
  <c r="F1034" i="3"/>
  <c r="F1018" i="3"/>
  <c r="F1002" i="3"/>
  <c r="F986" i="3"/>
  <c r="F970" i="3"/>
  <c r="F954" i="3"/>
  <c r="F938" i="3"/>
  <c r="F922" i="3"/>
  <c r="F906" i="3"/>
  <c r="F890" i="3"/>
  <c r="F874" i="3"/>
  <c r="F858" i="3"/>
  <c r="F842" i="3"/>
  <c r="F826" i="3"/>
  <c r="F810" i="3"/>
  <c r="F787" i="3"/>
  <c r="F1007" i="3"/>
  <c r="F991" i="3"/>
  <c r="F975" i="3"/>
  <c r="F959" i="3"/>
  <c r="F943" i="3"/>
  <c r="F927" i="3"/>
  <c r="F911" i="3"/>
  <c r="F895" i="3"/>
  <c r="F879" i="3"/>
  <c r="F863" i="3"/>
  <c r="F847" i="3"/>
  <c r="F831" i="3"/>
  <c r="F815" i="3"/>
  <c r="F793" i="3"/>
  <c r="F796" i="3"/>
  <c r="F780" i="3"/>
  <c r="F764" i="3"/>
  <c r="F748" i="3"/>
  <c r="F732" i="3"/>
  <c r="F716" i="3"/>
  <c r="F700" i="3"/>
  <c r="F684" i="3"/>
  <c r="F668" i="3"/>
  <c r="F641" i="3"/>
  <c r="F773" i="3"/>
  <c r="F757" i="3"/>
  <c r="F741" i="3"/>
  <c r="F725" i="3"/>
  <c r="F709" i="3"/>
  <c r="F693" i="3"/>
  <c r="F677" i="3"/>
  <c r="F655" i="3"/>
  <c r="F802" i="3"/>
  <c r="F786" i="3"/>
  <c r="F770" i="3"/>
  <c r="F754" i="3"/>
  <c r="F738" i="3"/>
  <c r="F722" i="3"/>
  <c r="F706" i="3"/>
  <c r="F690" i="3"/>
  <c r="F674" i="3"/>
  <c r="F653" i="3"/>
  <c r="F775" i="3"/>
  <c r="F759" i="3"/>
  <c r="F743" i="3"/>
  <c r="F727" i="3"/>
  <c r="F711" i="3"/>
  <c r="F695" i="3"/>
  <c r="F679" i="3"/>
  <c r="F663" i="3"/>
  <c r="F635" i="3"/>
  <c r="F654" i="3"/>
  <c r="F638" i="3"/>
  <c r="F622" i="3"/>
  <c r="F606" i="3"/>
  <c r="F590" i="3"/>
  <c r="F574" i="3"/>
  <c r="F558" i="3"/>
  <c r="F542" i="3"/>
  <c r="F514" i="3"/>
  <c r="F611" i="3"/>
  <c r="F595" i="3"/>
  <c r="F579" i="3"/>
  <c r="F563" i="3"/>
  <c r="F547" i="3"/>
  <c r="F522" i="3"/>
  <c r="F648" i="3"/>
  <c r="F632" i="3"/>
  <c r="F616" i="3"/>
  <c r="F600" i="3"/>
  <c r="F584" i="3"/>
  <c r="F568" i="3"/>
  <c r="F552" i="3"/>
  <c r="F536" i="3"/>
  <c r="F617" i="3"/>
  <c r="F601" i="3"/>
  <c r="F585" i="3"/>
  <c r="F569" i="3"/>
  <c r="F553" i="3"/>
  <c r="F534" i="3"/>
  <c r="F508" i="3"/>
  <c r="F492" i="3"/>
  <c r="F476" i="3"/>
  <c r="F460" i="3"/>
  <c r="F444" i="3"/>
  <c r="F428" i="3"/>
  <c r="F412" i="3"/>
  <c r="F529" i="3"/>
  <c r="F513" i="3"/>
  <c r="F497" i="3"/>
  <c r="F481" i="3"/>
  <c r="F465" i="3"/>
  <c r="F449" i="3"/>
  <c r="F433" i="3"/>
  <c r="F417" i="3"/>
  <c r="F506" i="3"/>
  <c r="F490" i="3"/>
  <c r="F474" i="3"/>
  <c r="F458" i="3"/>
  <c r="F442" i="3"/>
  <c r="F426" i="3"/>
  <c r="F409" i="3"/>
  <c r="F531" i="3"/>
  <c r="F515" i="3"/>
  <c r="F499" i="3"/>
  <c r="F483" i="3"/>
  <c r="F467" i="3"/>
  <c r="F451" i="3"/>
  <c r="F435" i="3"/>
  <c r="F419" i="3"/>
  <c r="F408" i="3"/>
  <c r="F392" i="3"/>
  <c r="F376" i="3"/>
  <c r="F360" i="3"/>
  <c r="F344" i="3"/>
  <c r="F328" i="3"/>
  <c r="F312" i="3"/>
  <c r="F296" i="3"/>
  <c r="F266" i="3"/>
  <c r="F385" i="3"/>
  <c r="F369" i="3"/>
  <c r="F353" i="3"/>
  <c r="F337" i="3"/>
  <c r="F321" i="3"/>
  <c r="F305" i="3"/>
  <c r="F288" i="3"/>
  <c r="F888" i="3"/>
  <c r="F872" i="3"/>
  <c r="F856" i="3"/>
  <c r="F840" i="3"/>
  <c r="F824" i="3"/>
  <c r="F808" i="3"/>
  <c r="F1013" i="3"/>
  <c r="F997" i="3"/>
  <c r="F981" i="3"/>
  <c r="F965" i="3"/>
  <c r="F949" i="3"/>
  <c r="F933" i="3"/>
  <c r="F917" i="3"/>
  <c r="F901" i="3"/>
  <c r="F885" i="3"/>
  <c r="F869" i="3"/>
  <c r="F853" i="3"/>
  <c r="F837" i="3"/>
  <c r="F821" i="3"/>
  <c r="F805" i="3"/>
  <c r="F1062" i="3"/>
  <c r="F1046" i="3"/>
  <c r="F1030" i="3"/>
  <c r="F1014" i="3"/>
  <c r="F998" i="3"/>
  <c r="F982" i="3"/>
  <c r="F966" i="3"/>
  <c r="F950" i="3"/>
  <c r="F934" i="3"/>
  <c r="F918" i="3"/>
  <c r="F902" i="3"/>
  <c r="F886" i="3"/>
  <c r="F870" i="3"/>
  <c r="F854" i="3"/>
  <c r="F838" i="3"/>
  <c r="F822" i="3"/>
  <c r="F806" i="3"/>
  <c r="F779" i="3"/>
  <c r="F1003" i="3"/>
  <c r="F987" i="3"/>
  <c r="F971" i="3"/>
  <c r="F955" i="3"/>
  <c r="F939" i="3"/>
  <c r="F923" i="3"/>
  <c r="F907" i="3"/>
  <c r="F891" i="3"/>
  <c r="F875" i="3"/>
  <c r="F859" i="3"/>
  <c r="F843" i="3"/>
  <c r="F827" i="3"/>
  <c r="F811" i="3"/>
  <c r="F785" i="3"/>
  <c r="F792" i="3"/>
  <c r="F776" i="3"/>
  <c r="F760" i="3"/>
  <c r="F744" i="3"/>
  <c r="F728" i="3"/>
  <c r="F712" i="3"/>
  <c r="F696" i="3"/>
  <c r="F680" i="3"/>
  <c r="F664" i="3"/>
  <c r="F633" i="3"/>
  <c r="F769" i="3"/>
  <c r="F753" i="3"/>
  <c r="F737" i="3"/>
  <c r="F721" i="3"/>
  <c r="F705" i="3"/>
  <c r="F689" i="3"/>
  <c r="F673" i="3"/>
  <c r="F647" i="3"/>
  <c r="F798" i="3"/>
  <c r="F782" i="3"/>
  <c r="F766" i="3"/>
  <c r="F750" i="3"/>
  <c r="F734" i="3"/>
  <c r="F718" i="3"/>
  <c r="F702" i="3"/>
  <c r="F686" i="3"/>
  <c r="F670" i="3"/>
  <c r="F645" i="3"/>
  <c r="F771" i="3"/>
  <c r="F755" i="3"/>
  <c r="F739" i="3"/>
  <c r="F723" i="3"/>
  <c r="F707" i="3"/>
  <c r="F691" i="3"/>
  <c r="F675" i="3"/>
  <c r="F659" i="3"/>
  <c r="F627" i="3"/>
  <c r="F650" i="3"/>
  <c r="F634" i="3"/>
  <c r="F618" i="3"/>
  <c r="F602" i="3"/>
  <c r="F586" i="3"/>
  <c r="F570" i="3"/>
  <c r="F554" i="3"/>
  <c r="F532" i="3"/>
  <c r="F623" i="3"/>
  <c r="F607" i="3"/>
  <c r="F591" i="3"/>
  <c r="F575" i="3"/>
  <c r="F559" i="3"/>
  <c r="F543" i="3"/>
  <c r="F660" i="3"/>
  <c r="F644" i="3"/>
  <c r="F628" i="3"/>
  <c r="F612" i="3"/>
  <c r="F596" i="3"/>
  <c r="F580" i="3"/>
  <c r="F564" i="3"/>
  <c r="F548" i="3"/>
  <c r="F528" i="3"/>
  <c r="F613" i="3"/>
  <c r="F597" i="3"/>
  <c r="F581" i="3"/>
  <c r="F565" i="3"/>
  <c r="F549" i="3"/>
  <c r="F526" i="3"/>
  <c r="F504" i="3"/>
  <c r="F488" i="3"/>
  <c r="F472" i="3"/>
  <c r="F456" i="3"/>
  <c r="F440" i="3"/>
  <c r="F424" i="3"/>
  <c r="F405" i="3"/>
  <c r="F525" i="3"/>
  <c r="F509" i="3"/>
  <c r="F493" i="3"/>
  <c r="F477" i="3"/>
  <c r="F461" i="3"/>
  <c r="F445" i="3"/>
  <c r="F429" i="3"/>
  <c r="F413" i="3"/>
  <c r="F502" i="3"/>
  <c r="F486" i="3"/>
  <c r="F470" i="3"/>
  <c r="F454" i="3"/>
  <c r="F438" i="3"/>
  <c r="F422" i="3"/>
  <c r="F401" i="3"/>
  <c r="F527" i="3"/>
  <c r="F511" i="3"/>
  <c r="F495" i="3"/>
  <c r="F479" i="3"/>
  <c r="F463" i="3"/>
  <c r="F447" i="3"/>
  <c r="F431" i="3"/>
  <c r="F415" i="3"/>
  <c r="F404" i="3"/>
  <c r="F388" i="3"/>
  <c r="F372" i="3"/>
  <c r="F356" i="3"/>
  <c r="F340" i="3"/>
  <c r="F324" i="3"/>
  <c r="F308" i="3"/>
  <c r="F290" i="3"/>
  <c r="F397" i="3"/>
  <c r="F381" i="3"/>
  <c r="F365" i="3"/>
  <c r="F349" i="3"/>
  <c r="F333" i="3"/>
  <c r="F317" i="3"/>
  <c r="F301" i="3"/>
  <c r="F280" i="3"/>
  <c r="F406" i="3"/>
  <c r="F948" i="3"/>
  <c r="F932" i="3"/>
  <c r="F916" i="3"/>
  <c r="F900" i="3"/>
  <c r="F884" i="3"/>
  <c r="F868" i="3"/>
  <c r="F852" i="3"/>
  <c r="F836" i="3"/>
  <c r="F820" i="3"/>
  <c r="F799" i="3"/>
  <c r="F1009" i="3"/>
  <c r="F993" i="3"/>
  <c r="F977" i="3"/>
  <c r="F961" i="3"/>
  <c r="F945" i="3"/>
  <c r="F929" i="3"/>
  <c r="F913" i="3"/>
  <c r="F897" i="3"/>
  <c r="F881" i="3"/>
  <c r="F865" i="3"/>
  <c r="F849" i="3"/>
  <c r="F833" i="3"/>
  <c r="F817" i="3"/>
  <c r="F797" i="3"/>
  <c r="F1058" i="3"/>
  <c r="F1042" i="3"/>
  <c r="F1026" i="3"/>
  <c r="F1010" i="3"/>
  <c r="F994" i="3"/>
  <c r="F978" i="3"/>
  <c r="F962" i="3"/>
  <c r="F946" i="3"/>
  <c r="F930" i="3"/>
  <c r="F914" i="3"/>
  <c r="F898" i="3"/>
  <c r="F882" i="3"/>
  <c r="F866" i="3"/>
  <c r="F850" i="3"/>
  <c r="F834" i="3"/>
  <c r="F818" i="3"/>
  <c r="F803" i="3"/>
  <c r="F1015" i="3"/>
  <c r="F999" i="3"/>
  <c r="F983" i="3"/>
  <c r="F967" i="3"/>
  <c r="F951" i="3"/>
  <c r="F935" i="3"/>
  <c r="F919" i="3"/>
  <c r="F903" i="3"/>
  <c r="F887" i="3"/>
  <c r="F871" i="3"/>
  <c r="F855" i="3"/>
  <c r="F839" i="3"/>
  <c r="F823" i="3"/>
  <c r="F807" i="3"/>
  <c r="F804" i="3"/>
  <c r="F788" i="3"/>
  <c r="F772" i="3"/>
  <c r="F756" i="3"/>
  <c r="F740" i="3"/>
  <c r="F724" i="3"/>
  <c r="F708" i="3"/>
  <c r="F692" i="3"/>
  <c r="F676" i="3"/>
  <c r="F657" i="3"/>
  <c r="F625" i="3"/>
  <c r="F765" i="3"/>
  <c r="F749" i="3"/>
  <c r="F733" i="3"/>
  <c r="F717" i="3"/>
  <c r="F701" i="3"/>
  <c r="F685" i="3"/>
  <c r="F669" i="3"/>
  <c r="F639" i="3"/>
  <c r="F794" i="3"/>
  <c r="F778" i="3"/>
  <c r="F762" i="3"/>
  <c r="F746" i="3"/>
  <c r="F730" i="3"/>
  <c r="F714" i="3"/>
  <c r="F698" i="3"/>
  <c r="F682" i="3"/>
  <c r="F666" i="3"/>
  <c r="F637" i="3"/>
  <c r="F767" i="3"/>
  <c r="F751" i="3"/>
  <c r="F735" i="3"/>
  <c r="F719" i="3"/>
  <c r="F703" i="3"/>
  <c r="F687" i="3"/>
  <c r="F671" i="3"/>
  <c r="F651" i="3"/>
  <c r="F662" i="3"/>
  <c r="F646" i="3"/>
  <c r="F630" i="3"/>
  <c r="F614" i="3"/>
  <c r="F598" i="3"/>
  <c r="F582" i="3"/>
  <c r="F566" i="3"/>
  <c r="F550" i="3"/>
  <c r="F524" i="3"/>
  <c r="F619" i="3"/>
  <c r="F603" i="3"/>
  <c r="F587" i="3"/>
  <c r="F571" i="3"/>
  <c r="F555" i="3"/>
  <c r="F538" i="3"/>
  <c r="F656" i="3"/>
  <c r="F640" i="3"/>
  <c r="F624" i="3"/>
  <c r="F608" i="3"/>
  <c r="F592" i="3"/>
  <c r="F576" i="3"/>
  <c r="F560" i="3"/>
  <c r="F544" i="3"/>
  <c r="F520" i="3"/>
  <c r="F609" i="3"/>
  <c r="F593" i="3"/>
  <c r="F577" i="3"/>
  <c r="F561" i="3"/>
  <c r="F545" i="3"/>
  <c r="F518" i="3"/>
  <c r="F500" i="3"/>
  <c r="F484" i="3"/>
  <c r="F468" i="3"/>
  <c r="F452" i="3"/>
  <c r="F436" i="3"/>
  <c r="F420" i="3"/>
  <c r="F537" i="3"/>
  <c r="F521" i="3"/>
  <c r="F505" i="3"/>
  <c r="F489" i="3"/>
  <c r="F473" i="3"/>
  <c r="F457" i="3"/>
  <c r="F441" i="3"/>
  <c r="F425" i="3"/>
  <c r="F403" i="3"/>
  <c r="F498" i="3"/>
  <c r="F482" i="3"/>
  <c r="F466" i="3"/>
  <c r="F450" i="3"/>
  <c r="F434" i="3"/>
  <c r="F418" i="3"/>
  <c r="F539" i="3"/>
  <c r="F523" i="3"/>
  <c r="F507" i="3"/>
  <c r="F491" i="3"/>
  <c r="F475" i="3"/>
  <c r="F459" i="3"/>
  <c r="F443" i="3"/>
  <c r="F427" i="3"/>
  <c r="F411" i="3"/>
  <c r="F400" i="3"/>
  <c r="F384" i="3"/>
  <c r="F368" i="3"/>
  <c r="F352" i="3"/>
  <c r="F336" i="3"/>
  <c r="F320" i="3"/>
  <c r="F304" i="3"/>
  <c r="F282" i="3"/>
  <c r="F393" i="3"/>
  <c r="F377" i="3"/>
  <c r="F361" i="3"/>
  <c r="F345" i="3"/>
  <c r="F329" i="3"/>
  <c r="F313" i="3"/>
  <c r="F297" i="3"/>
  <c r="F272" i="3"/>
  <c r="F402" i="3"/>
  <c r="F386" i="3"/>
  <c r="F1038" i="3"/>
  <c r="F1022" i="3"/>
  <c r="F1006" i="3"/>
  <c r="F990" i="3"/>
  <c r="F974" i="3"/>
  <c r="F958" i="3"/>
  <c r="F942" i="3"/>
  <c r="F926" i="3"/>
  <c r="F910" i="3"/>
  <c r="F894" i="3"/>
  <c r="F878" i="3"/>
  <c r="F862" i="3"/>
  <c r="F846" i="3"/>
  <c r="F830" i="3"/>
  <c r="F814" i="3"/>
  <c r="F795" i="3"/>
  <c r="F1011" i="3"/>
  <c r="F995" i="3"/>
  <c r="F979" i="3"/>
  <c r="F963" i="3"/>
  <c r="F947" i="3"/>
  <c r="F931" i="3"/>
  <c r="F915" i="3"/>
  <c r="F899" i="3"/>
  <c r="F883" i="3"/>
  <c r="F867" i="3"/>
  <c r="F851" i="3"/>
  <c r="F835" i="3"/>
  <c r="F819" i="3"/>
  <c r="F801" i="3"/>
  <c r="F800" i="3"/>
  <c r="F784" i="3"/>
  <c r="F768" i="3"/>
  <c r="F752" i="3"/>
  <c r="F736" i="3"/>
  <c r="F720" i="3"/>
  <c r="F704" i="3"/>
  <c r="F688" i="3"/>
  <c r="F672" i="3"/>
  <c r="F649" i="3"/>
  <c r="F777" i="3"/>
  <c r="F761" i="3"/>
  <c r="F745" i="3"/>
  <c r="F729" i="3"/>
  <c r="F713" i="3"/>
  <c r="F697" i="3"/>
  <c r="F681" i="3"/>
  <c r="F665" i="3"/>
  <c r="F631" i="3"/>
  <c r="F790" i="3"/>
  <c r="F774" i="3"/>
  <c r="F758" i="3"/>
  <c r="F742" i="3"/>
  <c r="F726" i="3"/>
  <c r="F710" i="3"/>
  <c r="F694" i="3"/>
  <c r="F678" i="3"/>
  <c r="F661" i="3"/>
  <c r="F629" i="3"/>
  <c r="F763" i="3"/>
  <c r="F747" i="3"/>
  <c r="F731" i="3"/>
  <c r="F715" i="3"/>
  <c r="F699" i="3"/>
  <c r="F683" i="3"/>
  <c r="F667" i="3"/>
  <c r="F643" i="3"/>
  <c r="F658" i="3"/>
  <c r="F642" i="3"/>
  <c r="F626" i="3"/>
  <c r="F610" i="3"/>
  <c r="F594" i="3"/>
  <c r="F578" i="3"/>
  <c r="F562" i="3"/>
  <c r="F546" i="3"/>
  <c r="F516" i="3"/>
  <c r="F615" i="3"/>
  <c r="F599" i="3"/>
  <c r="F583" i="3"/>
  <c r="F567" i="3"/>
  <c r="F551" i="3"/>
  <c r="F530" i="3"/>
  <c r="F652" i="3"/>
  <c r="F636" i="3"/>
  <c r="F620" i="3"/>
  <c r="F604" i="3"/>
  <c r="F588" i="3"/>
  <c r="F572" i="3"/>
  <c r="F556" i="3"/>
  <c r="F540" i="3"/>
  <c r="F621" i="3"/>
  <c r="F605" i="3"/>
  <c r="F589" i="3"/>
  <c r="F573" i="3"/>
  <c r="F557" i="3"/>
  <c r="F541" i="3"/>
  <c r="F512" i="3"/>
  <c r="F496" i="3"/>
  <c r="F480" i="3"/>
  <c r="F464" i="3"/>
  <c r="F448" i="3"/>
  <c r="F432" i="3"/>
  <c r="F416" i="3"/>
  <c r="F533" i="3"/>
  <c r="F517" i="3"/>
  <c r="F501" i="3"/>
  <c r="F485" i="3"/>
  <c r="F469" i="3"/>
  <c r="F453" i="3"/>
  <c r="F437" i="3"/>
  <c r="F421" i="3"/>
  <c r="F510" i="3"/>
  <c r="F494" i="3"/>
  <c r="F478" i="3"/>
  <c r="F462" i="3"/>
  <c r="F446" i="3"/>
  <c r="F430" i="3"/>
  <c r="F414" i="3"/>
  <c r="F535" i="3"/>
  <c r="F519" i="3"/>
  <c r="F503" i="3"/>
  <c r="F487" i="3"/>
  <c r="F471" i="3"/>
  <c r="F455" i="3"/>
  <c r="F439" i="3"/>
  <c r="F423" i="3"/>
  <c r="F407" i="3"/>
  <c r="F396" i="3"/>
  <c r="F380" i="3"/>
  <c r="F364" i="3"/>
  <c r="F348" i="3"/>
  <c r="F332" i="3"/>
  <c r="F316" i="3"/>
  <c r="F300" i="3"/>
  <c r="F274" i="3"/>
  <c r="F389" i="3"/>
  <c r="F373" i="3"/>
  <c r="F357" i="3"/>
  <c r="F341" i="3"/>
  <c r="F325" i="3"/>
  <c r="F309" i="3"/>
  <c r="F293" i="3"/>
  <c r="F264" i="3"/>
  <c r="F398" i="3"/>
  <c r="F410" i="3"/>
  <c r="F394" i="3"/>
  <c r="F378" i="3"/>
  <c r="F362" i="3"/>
  <c r="F346" i="3"/>
  <c r="F330" i="3"/>
  <c r="F314" i="3"/>
  <c r="F298" i="3"/>
  <c r="F270" i="3"/>
  <c r="F391" i="3"/>
  <c r="F375" i="3"/>
  <c r="F359" i="3"/>
  <c r="F343" i="3"/>
  <c r="F327" i="3"/>
  <c r="F311" i="3"/>
  <c r="F295" i="3"/>
  <c r="F268" i="3"/>
  <c r="F281" i="3"/>
  <c r="F265" i="3"/>
  <c r="F249" i="3"/>
  <c r="F233" i="3"/>
  <c r="F217" i="3"/>
  <c r="F201" i="3"/>
  <c r="F258" i="3"/>
  <c r="F242" i="3"/>
  <c r="F226" i="3"/>
  <c r="F210" i="3"/>
  <c r="F194" i="3"/>
  <c r="F283" i="3"/>
  <c r="F267" i="3"/>
  <c r="F251" i="3"/>
  <c r="F235" i="3"/>
  <c r="F219" i="3"/>
  <c r="F203" i="3"/>
  <c r="F186" i="3"/>
  <c r="F244" i="3"/>
  <c r="F228" i="3"/>
  <c r="F212" i="3"/>
  <c r="F196" i="3"/>
  <c r="F179" i="3"/>
  <c r="F163" i="3"/>
  <c r="F147" i="3"/>
  <c r="F127" i="3"/>
  <c r="F180" i="3"/>
  <c r="F164" i="3"/>
  <c r="F148" i="3"/>
  <c r="F132" i="3"/>
  <c r="F189" i="3"/>
  <c r="F173" i="3"/>
  <c r="F157" i="3"/>
  <c r="F141" i="3"/>
  <c r="F123" i="3"/>
  <c r="F178" i="3"/>
  <c r="F162" i="3"/>
  <c r="F146" i="3"/>
  <c r="F129" i="3"/>
  <c r="F128" i="3"/>
  <c r="F112" i="3"/>
  <c r="F96" i="3"/>
  <c r="F80" i="3"/>
  <c r="F101" i="3"/>
  <c r="F85" i="3"/>
  <c r="F70" i="3"/>
  <c r="F126" i="3"/>
  <c r="F110" i="3"/>
  <c r="F94" i="3"/>
  <c r="F78" i="3"/>
  <c r="F103" i="3"/>
  <c r="F87" i="3"/>
  <c r="F71" i="3"/>
  <c r="F65" i="3"/>
  <c r="F49" i="3"/>
  <c r="F33" i="3"/>
  <c r="F17" i="3"/>
  <c r="F50" i="3"/>
  <c r="F34" i="3"/>
  <c r="F18" i="3"/>
  <c r="F67" i="3"/>
  <c r="F51" i="3"/>
  <c r="F35" i="3"/>
  <c r="F19" i="3"/>
  <c r="F44" i="3"/>
  <c r="F28" i="3"/>
  <c r="F12" i="3"/>
  <c r="F390" i="3"/>
  <c r="F374" i="3"/>
  <c r="F358" i="3"/>
  <c r="F342" i="3"/>
  <c r="F326" i="3"/>
  <c r="F310" i="3"/>
  <c r="F294" i="3"/>
  <c r="F262" i="3"/>
  <c r="F387" i="3"/>
  <c r="F371" i="3"/>
  <c r="F355" i="3"/>
  <c r="F339" i="3"/>
  <c r="F323" i="3"/>
  <c r="F307" i="3"/>
  <c r="F292" i="3"/>
  <c r="F260" i="3"/>
  <c r="F277" i="3"/>
  <c r="F261" i="3"/>
  <c r="F245" i="3"/>
  <c r="F229" i="3"/>
  <c r="F213" i="3"/>
  <c r="F197" i="3"/>
  <c r="F254" i="3"/>
  <c r="F238" i="3"/>
  <c r="F222" i="3"/>
  <c r="F206" i="3"/>
  <c r="F188" i="3"/>
  <c r="F279" i="3"/>
  <c r="F263" i="3"/>
  <c r="F247" i="3"/>
  <c r="F231" i="3"/>
  <c r="F215" i="3"/>
  <c r="F199" i="3"/>
  <c r="F256" i="3"/>
  <c r="F240" i="3"/>
  <c r="F224" i="3"/>
  <c r="F208" i="3"/>
  <c r="F191" i="3"/>
  <c r="F175" i="3"/>
  <c r="F159" i="3"/>
  <c r="F143" i="3"/>
  <c r="F119" i="3"/>
  <c r="F176" i="3"/>
  <c r="F160" i="3"/>
  <c r="F144" i="3"/>
  <c r="F125" i="3"/>
  <c r="F185" i="3"/>
  <c r="F169" i="3"/>
  <c r="F153" i="3"/>
  <c r="F137" i="3"/>
  <c r="F115" i="3"/>
  <c r="F174" i="3"/>
  <c r="F158" i="3"/>
  <c r="F142" i="3"/>
  <c r="F121" i="3"/>
  <c r="F124" i="3"/>
  <c r="F108" i="3"/>
  <c r="F92" i="3"/>
  <c r="F76" i="3"/>
  <c r="F97" i="3"/>
  <c r="F81" i="3"/>
  <c r="F62" i="3"/>
  <c r="F122" i="3"/>
  <c r="F106" i="3"/>
  <c r="F90" i="3"/>
  <c r="F74" i="3"/>
  <c r="F99" i="3"/>
  <c r="F83" i="3"/>
  <c r="F66" i="3"/>
  <c r="F61" i="3"/>
  <c r="F45" i="3"/>
  <c r="F29" i="3"/>
  <c r="F13" i="3"/>
  <c r="F46" i="3"/>
  <c r="F30" i="3"/>
  <c r="F14" i="3"/>
  <c r="F63" i="3"/>
  <c r="F47" i="3"/>
  <c r="F31" i="3"/>
  <c r="F15" i="3"/>
  <c r="F56" i="3"/>
  <c r="F40" i="3"/>
  <c r="F24" i="3"/>
  <c r="F8" i="3"/>
  <c r="F1098" i="3"/>
  <c r="F370" i="3"/>
  <c r="F354" i="3"/>
  <c r="F338" i="3"/>
  <c r="F322" i="3"/>
  <c r="F306" i="3"/>
  <c r="F286" i="3"/>
  <c r="F399" i="3"/>
  <c r="F383" i="3"/>
  <c r="F367" i="3"/>
  <c r="F351" i="3"/>
  <c r="F335" i="3"/>
  <c r="F319" i="3"/>
  <c r="F303" i="3"/>
  <c r="F284" i="3"/>
  <c r="F289" i="3"/>
  <c r="F273" i="3"/>
  <c r="F257" i="3"/>
  <c r="F241" i="3"/>
  <c r="F225" i="3"/>
  <c r="F209" i="3"/>
  <c r="F193" i="3"/>
  <c r="F250" i="3"/>
  <c r="F234" i="3"/>
  <c r="F218" i="3"/>
  <c r="F202" i="3"/>
  <c r="F291" i="3"/>
  <c r="F275" i="3"/>
  <c r="F259" i="3"/>
  <c r="F243" i="3"/>
  <c r="F227" i="3"/>
  <c r="F211" i="3"/>
  <c r="F195" i="3"/>
  <c r="F252" i="3"/>
  <c r="F236" i="3"/>
  <c r="F220" i="3"/>
  <c r="F204" i="3"/>
  <c r="F187" i="3"/>
  <c r="F171" i="3"/>
  <c r="F155" i="3"/>
  <c r="F139" i="3"/>
  <c r="F111" i="3"/>
  <c r="F172" i="3"/>
  <c r="F156" i="3"/>
  <c r="F140" i="3"/>
  <c r="F117" i="3"/>
  <c r="F181" i="3"/>
  <c r="F165" i="3"/>
  <c r="F149" i="3"/>
  <c r="F133" i="3"/>
  <c r="F107" i="3"/>
  <c r="F170" i="3"/>
  <c r="F154" i="3"/>
  <c r="F138" i="3"/>
  <c r="F113" i="3"/>
  <c r="F120" i="3"/>
  <c r="F104" i="3"/>
  <c r="F88" i="3"/>
  <c r="F72" i="3"/>
  <c r="F93" i="3"/>
  <c r="F77" i="3"/>
  <c r="F54" i="3"/>
  <c r="F118" i="3"/>
  <c r="F102" i="3"/>
  <c r="F86" i="3"/>
  <c r="F68" i="3"/>
  <c r="F95" i="3"/>
  <c r="F79" i="3"/>
  <c r="F58" i="3"/>
  <c r="F57" i="3"/>
  <c r="F41" i="3"/>
  <c r="F25" i="3"/>
  <c r="F9" i="3"/>
  <c r="F42" i="3"/>
  <c r="F26" i="3"/>
  <c r="F10" i="3"/>
  <c r="F59" i="3"/>
  <c r="F43" i="3"/>
  <c r="F27" i="3"/>
  <c r="F11" i="3"/>
  <c r="F52" i="3"/>
  <c r="F36" i="3"/>
  <c r="F20" i="3"/>
  <c r="F1099" i="3"/>
  <c r="F382" i="3"/>
  <c r="F366" i="3"/>
  <c r="F350" i="3"/>
  <c r="F334" i="3"/>
  <c r="F318" i="3"/>
  <c r="F302" i="3"/>
  <c r="F278" i="3"/>
  <c r="F395" i="3"/>
  <c r="F379" i="3"/>
  <c r="F363" i="3"/>
  <c r="F347" i="3"/>
  <c r="F331" i="3"/>
  <c r="F315" i="3"/>
  <c r="F299" i="3"/>
  <c r="F276" i="3"/>
  <c r="F285" i="3"/>
  <c r="F269" i="3"/>
  <c r="F253" i="3"/>
  <c r="F237" i="3"/>
  <c r="F221" i="3"/>
  <c r="F205" i="3"/>
  <c r="F190" i="3"/>
  <c r="F246" i="3"/>
  <c r="F230" i="3"/>
  <c r="F214" i="3"/>
  <c r="F198" i="3"/>
  <c r="F287" i="3"/>
  <c r="F271" i="3"/>
  <c r="F255" i="3"/>
  <c r="F239" i="3"/>
  <c r="F223" i="3"/>
  <c r="F207" i="3"/>
  <c r="F192" i="3"/>
  <c r="F248" i="3"/>
  <c r="F232" i="3"/>
  <c r="F216" i="3"/>
  <c r="F200" i="3"/>
  <c r="F183" i="3"/>
  <c r="F167" i="3"/>
  <c r="F151" i="3"/>
  <c r="F135" i="3"/>
  <c r="F184" i="3"/>
  <c r="F168" i="3"/>
  <c r="F152" i="3"/>
  <c r="F136" i="3"/>
  <c r="F109" i="3"/>
  <c r="F177" i="3"/>
  <c r="F161" i="3"/>
  <c r="F145" i="3"/>
  <c r="F131" i="3"/>
  <c r="F182" i="3"/>
  <c r="F166" i="3"/>
  <c r="F150" i="3"/>
  <c r="F134" i="3"/>
  <c r="F105" i="3"/>
  <c r="F116" i="3"/>
  <c r="F100" i="3"/>
  <c r="F84" i="3"/>
  <c r="F64" i="3"/>
  <c r="F89" i="3"/>
  <c r="F73" i="3"/>
  <c r="F130" i="3"/>
  <c r="F114" i="3"/>
  <c r="F98" i="3"/>
  <c r="F82" i="3"/>
  <c r="F60" i="3"/>
  <c r="F91" i="3"/>
  <c r="F75" i="3"/>
  <c r="F69" i="3"/>
  <c r="F53" i="3"/>
  <c r="F37" i="3"/>
  <c r="F21" i="3"/>
  <c r="F5" i="3"/>
  <c r="F38" i="3"/>
  <c r="F22" i="3"/>
  <c r="F6" i="3"/>
  <c r="F55" i="3"/>
  <c r="F39" i="3"/>
  <c r="F23" i="3"/>
  <c r="F7" i="3"/>
  <c r="F48" i="3"/>
  <c r="F32" i="3"/>
  <c r="F16" i="3"/>
  <c r="F1097" i="3"/>
  <c r="D1066" i="3"/>
  <c r="E1066" i="3"/>
  <c r="E1091" i="3"/>
  <c r="D1075" i="3"/>
  <c r="E1075" i="3"/>
  <c r="E1053" i="3"/>
  <c r="D1021" i="3"/>
  <c r="E1021" i="3"/>
  <c r="E1076" i="3"/>
  <c r="E1043" i="3"/>
  <c r="E1017" i="3"/>
  <c r="D1093" i="3"/>
  <c r="E1093" i="3"/>
  <c r="E1077" i="3"/>
  <c r="D1057" i="3"/>
  <c r="E1057" i="3"/>
  <c r="E1025" i="3"/>
  <c r="E1082" i="3"/>
  <c r="E1031" i="3"/>
  <c r="E1052" i="3"/>
  <c r="D1036" i="3"/>
  <c r="E1036" i="3"/>
  <c r="E1020" i="3"/>
  <c r="E1004" i="3"/>
  <c r="D988" i="3"/>
  <c r="E988" i="3"/>
  <c r="E972" i="3"/>
  <c r="E956" i="3"/>
  <c r="D940" i="3"/>
  <c r="E940" i="3"/>
  <c r="E924" i="3"/>
  <c r="E908" i="3"/>
  <c r="D892" i="3"/>
  <c r="E892" i="3"/>
  <c r="E876" i="3"/>
  <c r="E860" i="3"/>
  <c r="D844" i="3"/>
  <c r="E844" i="3"/>
  <c r="E828" i="3"/>
  <c r="E812" i="3"/>
  <c r="E783" i="3"/>
  <c r="E1001" i="3"/>
  <c r="D985" i="3"/>
  <c r="E985" i="3"/>
  <c r="E969" i="3"/>
  <c r="E953" i="3"/>
  <c r="D937" i="3"/>
  <c r="E937" i="3"/>
  <c r="E921" i="3"/>
  <c r="E905" i="3"/>
  <c r="D889" i="3"/>
  <c r="E889" i="3"/>
  <c r="E873" i="3"/>
  <c r="E857" i="3"/>
  <c r="D841" i="3"/>
  <c r="E841" i="3"/>
  <c r="E825" i="3"/>
  <c r="E809" i="3"/>
  <c r="D781" i="3"/>
  <c r="E781" i="3"/>
  <c r="E1050" i="3"/>
  <c r="E1034" i="3"/>
  <c r="D1018" i="3"/>
  <c r="E1018" i="3"/>
  <c r="E1002" i="3"/>
  <c r="E986" i="3"/>
  <c r="D970" i="3"/>
  <c r="E970" i="3"/>
  <c r="E954" i="3"/>
  <c r="E938" i="3"/>
  <c r="D922" i="3"/>
  <c r="E922" i="3"/>
  <c r="E906" i="3"/>
  <c r="E890" i="3"/>
  <c r="D874" i="3"/>
  <c r="E874" i="3"/>
  <c r="E858" i="3"/>
  <c r="E842" i="3"/>
  <c r="D826" i="3"/>
  <c r="E826" i="3"/>
  <c r="E810" i="3"/>
  <c r="D787" i="3"/>
  <c r="E787" i="3"/>
  <c r="E1007" i="3"/>
  <c r="D991" i="3"/>
  <c r="E991" i="3"/>
  <c r="E975" i="3"/>
  <c r="E959" i="3"/>
  <c r="D943" i="3"/>
  <c r="E943" i="3"/>
  <c r="E927" i="3"/>
  <c r="E911" i="3"/>
  <c r="D895" i="3"/>
  <c r="E895" i="3"/>
  <c r="E879" i="3"/>
  <c r="E863" i="3"/>
  <c r="D847" i="3"/>
  <c r="E847" i="3"/>
  <c r="E831" i="3"/>
  <c r="E815" i="3"/>
  <c r="D793" i="3"/>
  <c r="E793" i="3"/>
  <c r="D796" i="3"/>
  <c r="E796" i="3"/>
  <c r="E780" i="3"/>
  <c r="E764" i="3"/>
  <c r="D748" i="3"/>
  <c r="E748" i="3"/>
  <c r="E732" i="3"/>
  <c r="E716" i="3"/>
  <c r="D700" i="3"/>
  <c r="E700" i="3"/>
  <c r="E684" i="3"/>
  <c r="E668" i="3"/>
  <c r="E641" i="3"/>
  <c r="E773" i="3"/>
  <c r="D757" i="3"/>
  <c r="E757" i="3"/>
  <c r="E741" i="3"/>
  <c r="E725" i="3"/>
  <c r="D709" i="3"/>
  <c r="E709" i="3"/>
  <c r="E693" i="3"/>
  <c r="E677" i="3"/>
  <c r="D655" i="3"/>
  <c r="E655" i="3"/>
  <c r="D802" i="3"/>
  <c r="E802" i="3"/>
  <c r="E786" i="3"/>
  <c r="E770" i="3"/>
  <c r="D754" i="3"/>
  <c r="E754" i="3"/>
  <c r="E738" i="3"/>
  <c r="E722" i="3"/>
  <c r="D706" i="3"/>
  <c r="E706" i="3"/>
  <c r="E690" i="3"/>
  <c r="E674" i="3"/>
  <c r="E653" i="3"/>
  <c r="D775" i="3"/>
  <c r="E775" i="3"/>
  <c r="E759" i="3"/>
  <c r="E743" i="3"/>
  <c r="D727" i="3"/>
  <c r="E727" i="3"/>
  <c r="E711" i="3"/>
  <c r="E695" i="3"/>
  <c r="D679" i="3"/>
  <c r="E679" i="3"/>
  <c r="E663" i="3"/>
  <c r="E635" i="3"/>
  <c r="E654" i="3"/>
  <c r="E638" i="3"/>
  <c r="D622" i="3"/>
  <c r="E622" i="3"/>
  <c r="E606" i="3"/>
  <c r="E590" i="3"/>
  <c r="D574" i="3"/>
  <c r="E574" i="3"/>
  <c r="E558" i="3"/>
  <c r="E542" i="3"/>
  <c r="D514" i="3"/>
  <c r="E514" i="3"/>
  <c r="E611" i="3"/>
  <c r="D595" i="3"/>
  <c r="E595" i="3"/>
  <c r="E579" i="3"/>
  <c r="E563" i="3"/>
  <c r="D547" i="3"/>
  <c r="E547" i="3"/>
  <c r="E522" i="3"/>
  <c r="E648" i="3"/>
  <c r="E632" i="3"/>
  <c r="D616" i="3"/>
  <c r="E616" i="3"/>
  <c r="E600" i="3"/>
  <c r="E584" i="3"/>
  <c r="D568" i="3"/>
  <c r="E568" i="3"/>
  <c r="E552" i="3"/>
  <c r="E536" i="3"/>
  <c r="E617" i="3"/>
  <c r="D601" i="3"/>
  <c r="E601" i="3"/>
  <c r="E585" i="3"/>
  <c r="E569" i="3"/>
  <c r="D553" i="3"/>
  <c r="E553" i="3"/>
  <c r="E534" i="3"/>
  <c r="D508" i="3"/>
  <c r="E508" i="3"/>
  <c r="E492" i="3"/>
  <c r="E476" i="3"/>
  <c r="D460" i="3"/>
  <c r="E460" i="3"/>
  <c r="E444" i="3"/>
  <c r="E428" i="3"/>
  <c r="D412" i="3"/>
  <c r="E412" i="3"/>
  <c r="D529" i="3"/>
  <c r="E529" i="3"/>
  <c r="E513" i="3"/>
  <c r="E497" i="3"/>
  <c r="D481" i="3"/>
  <c r="E481" i="3"/>
  <c r="E465" i="3"/>
  <c r="E449" i="3"/>
  <c r="D433" i="3"/>
  <c r="E433" i="3"/>
  <c r="E417" i="3"/>
  <c r="E506" i="3"/>
  <c r="D490" i="3"/>
  <c r="E490" i="3"/>
  <c r="E474" i="3"/>
  <c r="E458" i="3"/>
  <c r="D442" i="3"/>
  <c r="E442" i="3"/>
  <c r="E426" i="3"/>
  <c r="D409" i="3"/>
  <c r="E409" i="3"/>
  <c r="D1096" i="3"/>
  <c r="E1096" i="3"/>
  <c r="E1055" i="3"/>
  <c r="D1087" i="3"/>
  <c r="E1087" i="3"/>
  <c r="E1071" i="3"/>
  <c r="D1045" i="3"/>
  <c r="E1045" i="3"/>
  <c r="E1088" i="3"/>
  <c r="E1068" i="3"/>
  <c r="E1035" i="3"/>
  <c r="E1092" i="3"/>
  <c r="E1089" i="3"/>
  <c r="E1073" i="3"/>
  <c r="E1049" i="3"/>
  <c r="E1094" i="3"/>
  <c r="E1070" i="3"/>
  <c r="E1023" i="3"/>
  <c r="D1048" i="3"/>
  <c r="E1048" i="3"/>
  <c r="E1032" i="3"/>
  <c r="E1016" i="3"/>
  <c r="D1000" i="3"/>
  <c r="E1000" i="3"/>
  <c r="E984" i="3"/>
  <c r="E968" i="3"/>
  <c r="D952" i="3"/>
  <c r="E952" i="3"/>
  <c r="E936" i="3"/>
  <c r="E920" i="3"/>
  <c r="D904" i="3"/>
  <c r="E904" i="3"/>
  <c r="E888" i="3"/>
  <c r="E872" i="3"/>
  <c r="D856" i="3"/>
  <c r="E856" i="3"/>
  <c r="E840" i="3"/>
  <c r="E824" i="3"/>
  <c r="D808" i="3"/>
  <c r="E808" i="3"/>
  <c r="E1013" i="3"/>
  <c r="D997" i="3"/>
  <c r="E997" i="3"/>
  <c r="E981" i="3"/>
  <c r="E965" i="3"/>
  <c r="D949" i="3"/>
  <c r="E949" i="3"/>
  <c r="E933" i="3"/>
  <c r="E917" i="3"/>
  <c r="D901" i="3"/>
  <c r="E901" i="3"/>
  <c r="E885" i="3"/>
  <c r="E869" i="3"/>
  <c r="D853" i="3"/>
  <c r="E853" i="3"/>
  <c r="E837" i="3"/>
  <c r="E821" i="3"/>
  <c r="D805" i="3"/>
  <c r="E805" i="3"/>
  <c r="E1062" i="3"/>
  <c r="E1046" i="3"/>
  <c r="D1030" i="3"/>
  <c r="E1030" i="3"/>
  <c r="E1014" i="3"/>
  <c r="E998" i="3"/>
  <c r="D982" i="3"/>
  <c r="E982" i="3"/>
  <c r="E966" i="3"/>
  <c r="E950" i="3"/>
  <c r="D934" i="3"/>
  <c r="E934" i="3"/>
  <c r="E918" i="3"/>
  <c r="E902" i="3"/>
  <c r="D886" i="3"/>
  <c r="E886" i="3"/>
  <c r="E870" i="3"/>
  <c r="E854" i="3"/>
  <c r="D838" i="3"/>
  <c r="E838" i="3"/>
  <c r="E822" i="3"/>
  <c r="E806" i="3"/>
  <c r="E779" i="3"/>
  <c r="D1003" i="3"/>
  <c r="E1003" i="3"/>
  <c r="E987" i="3"/>
  <c r="E971" i="3"/>
  <c r="D955" i="3"/>
  <c r="E955" i="3"/>
  <c r="E939" i="3"/>
  <c r="E923" i="3"/>
  <c r="D907" i="3"/>
  <c r="E907" i="3"/>
  <c r="E891" i="3"/>
  <c r="E875" i="3"/>
  <c r="D859" i="3"/>
  <c r="E859" i="3"/>
  <c r="E843" i="3"/>
  <c r="E827" i="3"/>
  <c r="D811" i="3"/>
  <c r="E811" i="3"/>
  <c r="E785" i="3"/>
  <c r="E792" i="3"/>
  <c r="E776" i="3"/>
  <c r="D760" i="3"/>
  <c r="E760" i="3"/>
  <c r="E744" i="3"/>
  <c r="E728" i="3"/>
  <c r="D712" i="3"/>
  <c r="E712" i="3"/>
  <c r="E696" i="3"/>
  <c r="E680" i="3"/>
  <c r="D664" i="3"/>
  <c r="E664" i="3"/>
  <c r="E633" i="3"/>
  <c r="D769" i="3"/>
  <c r="E769" i="3"/>
  <c r="E753" i="3"/>
  <c r="E737" i="3"/>
  <c r="D721" i="3"/>
  <c r="E721" i="3"/>
  <c r="E705" i="3"/>
  <c r="E689" i="3"/>
  <c r="D673" i="3"/>
  <c r="E673" i="3"/>
  <c r="E647" i="3"/>
  <c r="E798" i="3"/>
  <c r="E782" i="3"/>
  <c r="D766" i="3"/>
  <c r="E766" i="3"/>
  <c r="E750" i="3"/>
  <c r="E734" i="3"/>
  <c r="D718" i="3"/>
  <c r="E718" i="3"/>
  <c r="E702" i="3"/>
  <c r="E686" i="3"/>
  <c r="D670" i="3"/>
  <c r="E670" i="3"/>
  <c r="E645" i="3"/>
  <c r="E771" i="3"/>
  <c r="E755" i="3"/>
  <c r="D739" i="3"/>
  <c r="E739" i="3"/>
  <c r="E723" i="3"/>
  <c r="E707" i="3"/>
  <c r="D691" i="3"/>
  <c r="E691" i="3"/>
  <c r="E675" i="3"/>
  <c r="E659" i="3"/>
  <c r="E627" i="3"/>
  <c r="E650" i="3"/>
  <c r="D634" i="3"/>
  <c r="E634" i="3"/>
  <c r="E618" i="3"/>
  <c r="E602" i="3"/>
  <c r="D586" i="3"/>
  <c r="E586" i="3"/>
  <c r="E570" i="3"/>
  <c r="E554" i="3"/>
  <c r="D532" i="3"/>
  <c r="E532" i="3"/>
  <c r="E623" i="3"/>
  <c r="D607" i="3"/>
  <c r="E607" i="3"/>
  <c r="E591" i="3"/>
  <c r="E575" i="3"/>
  <c r="D559" i="3"/>
  <c r="E559" i="3"/>
  <c r="E543" i="3"/>
  <c r="E660" i="3"/>
  <c r="E644" i="3"/>
  <c r="D628" i="3"/>
  <c r="E628" i="3"/>
  <c r="E612" i="3"/>
  <c r="E596" i="3"/>
  <c r="D580" i="3"/>
  <c r="E580" i="3"/>
  <c r="E564" i="3"/>
  <c r="E548" i="3"/>
  <c r="E528" i="3"/>
  <c r="D613" i="3"/>
  <c r="E613" i="3"/>
  <c r="E597" i="3"/>
  <c r="E581" i="3"/>
  <c r="D565" i="3"/>
  <c r="E565" i="3"/>
  <c r="E549" i="3"/>
  <c r="D526" i="3"/>
  <c r="E526" i="3"/>
  <c r="E504" i="3"/>
  <c r="E488" i="3"/>
  <c r="D472" i="3"/>
  <c r="E472" i="3"/>
  <c r="E456" i="3"/>
  <c r="E440" i="3"/>
  <c r="D424" i="3"/>
  <c r="E424" i="3"/>
  <c r="E405" i="3"/>
  <c r="E525" i="3"/>
  <c r="E509" i="3"/>
  <c r="D493" i="3"/>
  <c r="E493" i="3"/>
  <c r="E477" i="3"/>
  <c r="E461" i="3"/>
  <c r="D445" i="3"/>
  <c r="E445" i="3"/>
  <c r="E429" i="3"/>
  <c r="E413" i="3"/>
  <c r="D502" i="3"/>
  <c r="E502" i="3"/>
  <c r="E486" i="3"/>
  <c r="E470" i="3"/>
  <c r="D454" i="3"/>
  <c r="E454" i="3"/>
  <c r="E438" i="3"/>
  <c r="E422" i="3"/>
  <c r="E401" i="3"/>
  <c r="D1078" i="3"/>
  <c r="E1078" i="3"/>
  <c r="E1047" i="3"/>
  <c r="E1083" i="3"/>
  <c r="E1067" i="3"/>
  <c r="E1037" i="3"/>
  <c r="D1084" i="3"/>
  <c r="E1084" i="3"/>
  <c r="E1064" i="3"/>
  <c r="D1027" i="3"/>
  <c r="E1027" i="3"/>
  <c r="D1072" i="3"/>
  <c r="E1072" i="3"/>
  <c r="E1085" i="3"/>
  <c r="D1069" i="3"/>
  <c r="E1069" i="3"/>
  <c r="E1041" i="3"/>
  <c r="D1090" i="3"/>
  <c r="E1090" i="3"/>
  <c r="D1063" i="3"/>
  <c r="E1063" i="3"/>
  <c r="D1060" i="3"/>
  <c r="E1060" i="3"/>
  <c r="E1044" i="3"/>
  <c r="E1028" i="3"/>
  <c r="D1012" i="3"/>
  <c r="E1012" i="3"/>
  <c r="E996" i="3"/>
  <c r="E980" i="3"/>
  <c r="D964" i="3"/>
  <c r="E964" i="3"/>
  <c r="E948" i="3"/>
  <c r="E932" i="3"/>
  <c r="D916" i="3"/>
  <c r="E916" i="3"/>
  <c r="E900" i="3"/>
  <c r="E884" i="3"/>
  <c r="D868" i="3"/>
  <c r="E868" i="3"/>
  <c r="E852" i="3"/>
  <c r="E836" i="3"/>
  <c r="D820" i="3"/>
  <c r="E820" i="3"/>
  <c r="D799" i="3"/>
  <c r="E799" i="3"/>
  <c r="D1009" i="3"/>
  <c r="E1009" i="3"/>
  <c r="E993" i="3"/>
  <c r="E977" i="3"/>
  <c r="D961" i="3"/>
  <c r="E961" i="3"/>
  <c r="E945" i="3"/>
  <c r="E929" i="3"/>
  <c r="D913" i="3"/>
  <c r="E913" i="3"/>
  <c r="E897" i="3"/>
  <c r="E881" i="3"/>
  <c r="D865" i="3"/>
  <c r="E865" i="3"/>
  <c r="E849" i="3"/>
  <c r="E833" i="3"/>
  <c r="D817" i="3"/>
  <c r="E817" i="3"/>
  <c r="E797" i="3"/>
  <c r="E1058" i="3"/>
  <c r="D1042" i="3"/>
  <c r="E1042" i="3"/>
  <c r="E1026" i="3"/>
  <c r="E1010" i="3"/>
  <c r="D994" i="3"/>
  <c r="E994" i="3"/>
  <c r="E978" i="3"/>
  <c r="E962" i="3"/>
  <c r="D946" i="3"/>
  <c r="E946" i="3"/>
  <c r="E930" i="3"/>
  <c r="E914" i="3"/>
  <c r="D898" i="3"/>
  <c r="E898" i="3"/>
  <c r="E882" i="3"/>
  <c r="E866" i="3"/>
  <c r="D850" i="3"/>
  <c r="E850" i="3"/>
  <c r="E834" i="3"/>
  <c r="E818" i="3"/>
  <c r="E803" i="3"/>
  <c r="D1015" i="3"/>
  <c r="E1015" i="3"/>
  <c r="E999" i="3"/>
  <c r="E983" i="3"/>
  <c r="D967" i="3"/>
  <c r="E967" i="3"/>
  <c r="E951" i="3"/>
  <c r="E935" i="3"/>
  <c r="D919" i="3"/>
  <c r="E919" i="3"/>
  <c r="E903" i="3"/>
  <c r="E887" i="3"/>
  <c r="D871" i="3"/>
  <c r="E871" i="3"/>
  <c r="E855" i="3"/>
  <c r="E839" i="3"/>
  <c r="D823" i="3"/>
  <c r="E823" i="3"/>
  <c r="E807" i="3"/>
  <c r="E804" i="3"/>
  <c r="E788" i="3"/>
  <c r="D772" i="3"/>
  <c r="E772" i="3"/>
  <c r="E756" i="3"/>
  <c r="E740" i="3"/>
  <c r="D724" i="3"/>
  <c r="E724" i="3"/>
  <c r="E708" i="3"/>
  <c r="E692" i="3"/>
  <c r="D676" i="3"/>
  <c r="E676" i="3"/>
  <c r="E657" i="3"/>
  <c r="D625" i="3"/>
  <c r="E625" i="3"/>
  <c r="E765" i="3"/>
  <c r="E749" i="3"/>
  <c r="D733" i="3"/>
  <c r="E733" i="3"/>
  <c r="E717" i="3"/>
  <c r="E701" i="3"/>
  <c r="D685" i="3"/>
  <c r="E685" i="3"/>
  <c r="E669" i="3"/>
  <c r="E639" i="3"/>
  <c r="E794" i="3"/>
  <c r="D778" i="3"/>
  <c r="E778" i="3"/>
  <c r="E762" i="3"/>
  <c r="E746" i="3"/>
  <c r="D730" i="3"/>
  <c r="E730" i="3"/>
  <c r="E714" i="3"/>
  <c r="E698" i="3"/>
  <c r="D682" i="3"/>
  <c r="E682" i="3"/>
  <c r="E666" i="3"/>
  <c r="D637" i="3"/>
  <c r="E637" i="3"/>
  <c r="E767" i="3"/>
  <c r="D751" i="3"/>
  <c r="E751" i="3"/>
  <c r="E735" i="3"/>
  <c r="E719" i="3"/>
  <c r="D703" i="3"/>
  <c r="E703" i="3"/>
  <c r="E687" i="3"/>
  <c r="E671" i="3"/>
  <c r="E651" i="3"/>
  <c r="E662" i="3"/>
  <c r="D646" i="3"/>
  <c r="E646" i="3"/>
  <c r="E630" i="3"/>
  <c r="E614" i="3"/>
  <c r="D598" i="3"/>
  <c r="E598" i="3"/>
  <c r="E582" i="3"/>
  <c r="E566" i="3"/>
  <c r="D550" i="3"/>
  <c r="E550" i="3"/>
  <c r="E524" i="3"/>
  <c r="D619" i="3"/>
  <c r="E619" i="3"/>
  <c r="E603" i="3"/>
  <c r="E587" i="3"/>
  <c r="D571" i="3"/>
  <c r="E571" i="3"/>
  <c r="E555" i="3"/>
  <c r="D538" i="3"/>
  <c r="E538" i="3"/>
  <c r="E656" i="3"/>
  <c r="D640" i="3"/>
  <c r="E640" i="3"/>
  <c r="E624" i="3"/>
  <c r="E608" i="3"/>
  <c r="D592" i="3"/>
  <c r="E592" i="3"/>
  <c r="E576" i="3"/>
  <c r="E560" i="3"/>
  <c r="D544" i="3"/>
  <c r="E544" i="3"/>
  <c r="D520" i="3"/>
  <c r="E520" i="3"/>
  <c r="E609" i="3"/>
  <c r="E593" i="3"/>
  <c r="D577" i="3"/>
  <c r="E577" i="3"/>
  <c r="E561" i="3"/>
  <c r="E545" i="3"/>
  <c r="E518" i="3"/>
  <c r="E500" i="3"/>
  <c r="D484" i="3"/>
  <c r="E484" i="3"/>
  <c r="E468" i="3"/>
  <c r="E452" i="3"/>
  <c r="D436" i="3"/>
  <c r="E436" i="3"/>
  <c r="E420" i="3"/>
  <c r="E537" i="3"/>
  <c r="E521" i="3"/>
  <c r="D505" i="3"/>
  <c r="E505" i="3"/>
  <c r="E489" i="3"/>
  <c r="E473" i="3"/>
  <c r="D457" i="3"/>
  <c r="E457" i="3"/>
  <c r="E441" i="3"/>
  <c r="E425" i="3"/>
  <c r="D403" i="3"/>
  <c r="E403" i="3"/>
  <c r="E498" i="3"/>
  <c r="E482" i="3"/>
  <c r="D466" i="3"/>
  <c r="E466" i="3"/>
  <c r="E450" i="3"/>
  <c r="E434" i="3"/>
  <c r="D418" i="3"/>
  <c r="E418" i="3"/>
  <c r="E539" i="3"/>
  <c r="E1074" i="3"/>
  <c r="E1095" i="3"/>
  <c r="E1079" i="3"/>
  <c r="E1061" i="3"/>
  <c r="E1029" i="3"/>
  <c r="E1080" i="3"/>
  <c r="E1059" i="3"/>
  <c r="E1019" i="3"/>
  <c r="D1051" i="3"/>
  <c r="E1051" i="3"/>
  <c r="D1081" i="3"/>
  <c r="E1081" i="3"/>
  <c r="E1065" i="3"/>
  <c r="D1033" i="3"/>
  <c r="E1033" i="3"/>
  <c r="E1086" i="3"/>
  <c r="D1039" i="3"/>
  <c r="E1039" i="3"/>
  <c r="E1056" i="3"/>
  <c r="E1040" i="3"/>
  <c r="D1024" i="3"/>
  <c r="E1024" i="3"/>
  <c r="E1008" i="3"/>
  <c r="E992" i="3"/>
  <c r="D976" i="3"/>
  <c r="E976" i="3"/>
  <c r="E960" i="3"/>
  <c r="E944" i="3"/>
  <c r="D928" i="3"/>
  <c r="E928" i="3"/>
  <c r="E912" i="3"/>
  <c r="E896" i="3"/>
  <c r="D880" i="3"/>
  <c r="E880" i="3"/>
  <c r="E864" i="3"/>
  <c r="E848" i="3"/>
  <c r="D832" i="3"/>
  <c r="E832" i="3"/>
  <c r="E816" i="3"/>
  <c r="E791" i="3"/>
  <c r="E1005" i="3"/>
  <c r="E989" i="3"/>
  <c r="D973" i="3"/>
  <c r="E973" i="3"/>
  <c r="E957" i="3"/>
  <c r="E941" i="3"/>
  <c r="D925" i="3"/>
  <c r="E925" i="3"/>
  <c r="E909" i="3"/>
  <c r="E893" i="3"/>
  <c r="D877" i="3"/>
  <c r="E877" i="3"/>
  <c r="E861" i="3"/>
  <c r="E845" i="3"/>
  <c r="D829" i="3"/>
  <c r="E829" i="3"/>
  <c r="E813" i="3"/>
  <c r="E789" i="3"/>
  <c r="D1054" i="3"/>
  <c r="E1054" i="3"/>
  <c r="E1038" i="3"/>
  <c r="E1022" i="3"/>
  <c r="D1006" i="3"/>
  <c r="E1006" i="3"/>
  <c r="E990" i="3"/>
  <c r="E974" i="3"/>
  <c r="D958" i="3"/>
  <c r="E958" i="3"/>
  <c r="E942" i="3"/>
  <c r="E926" i="3"/>
  <c r="D910" i="3"/>
  <c r="E910" i="3"/>
  <c r="E894" i="3"/>
  <c r="E878" i="3"/>
  <c r="D862" i="3"/>
  <c r="E862" i="3"/>
  <c r="E846" i="3"/>
  <c r="E830" i="3"/>
  <c r="D814" i="3"/>
  <c r="E814" i="3"/>
  <c r="E795" i="3"/>
  <c r="E1011" i="3"/>
  <c r="E995" i="3"/>
  <c r="D979" i="3"/>
  <c r="E979" i="3"/>
  <c r="E963" i="3"/>
  <c r="E947" i="3"/>
  <c r="D931" i="3"/>
  <c r="E931" i="3"/>
  <c r="E915" i="3"/>
  <c r="E899" i="3"/>
  <c r="D883" i="3"/>
  <c r="E883" i="3"/>
  <c r="E867" i="3"/>
  <c r="E851" i="3"/>
  <c r="D835" i="3"/>
  <c r="E835" i="3"/>
  <c r="E819" i="3"/>
  <c r="E801" i="3"/>
  <c r="E800" i="3"/>
  <c r="D784" i="3"/>
  <c r="E784" i="3"/>
  <c r="E768" i="3"/>
  <c r="E752" i="3"/>
  <c r="D736" i="3"/>
  <c r="E736" i="3"/>
  <c r="E720" i="3"/>
  <c r="E704" i="3"/>
  <c r="D688" i="3"/>
  <c r="E688" i="3"/>
  <c r="E672" i="3"/>
  <c r="D649" i="3"/>
  <c r="E649" i="3"/>
  <c r="E777" i="3"/>
  <c r="E761" i="3"/>
  <c r="D745" i="3"/>
  <c r="E745" i="3"/>
  <c r="E729" i="3"/>
  <c r="E713" i="3"/>
  <c r="D697" i="3"/>
  <c r="E697" i="3"/>
  <c r="E681" i="3"/>
  <c r="E665" i="3"/>
  <c r="D631" i="3"/>
  <c r="E631" i="3"/>
  <c r="D790" i="3"/>
  <c r="E790" i="3"/>
  <c r="E774" i="3"/>
  <c r="E758" i="3"/>
  <c r="D742" i="3"/>
  <c r="E742" i="3"/>
  <c r="E726" i="3"/>
  <c r="E710" i="3"/>
  <c r="D694" i="3"/>
  <c r="E694" i="3"/>
  <c r="E678" i="3"/>
  <c r="D661" i="3"/>
  <c r="E661" i="3"/>
  <c r="E629" i="3"/>
  <c r="D763" i="3"/>
  <c r="E763" i="3"/>
  <c r="E747" i="3"/>
  <c r="E731" i="3"/>
  <c r="D715" i="3"/>
  <c r="E715" i="3"/>
  <c r="E699" i="3"/>
  <c r="E683" i="3"/>
  <c r="D667" i="3"/>
  <c r="E667" i="3"/>
  <c r="D643" i="3"/>
  <c r="E643" i="3"/>
  <c r="D658" i="3"/>
  <c r="E658" i="3"/>
  <c r="E642" i="3"/>
  <c r="E626" i="3"/>
  <c r="D610" i="3"/>
  <c r="E610" i="3"/>
  <c r="E594" i="3"/>
  <c r="E578" i="3"/>
  <c r="D562" i="3"/>
  <c r="E562" i="3"/>
  <c r="E546" i="3"/>
  <c r="E516" i="3"/>
  <c r="E615" i="3"/>
  <c r="E599" i="3"/>
  <c r="D583" i="3"/>
  <c r="E583" i="3"/>
  <c r="E567" i="3"/>
  <c r="E551" i="3"/>
  <c r="E530" i="3"/>
  <c r="D652" i="3"/>
  <c r="E652" i="3"/>
  <c r="E636" i="3"/>
  <c r="E620" i="3"/>
  <c r="D604" i="3"/>
  <c r="E604" i="3"/>
  <c r="E588" i="3"/>
  <c r="E572" i="3"/>
  <c r="D556" i="3"/>
  <c r="E556" i="3"/>
  <c r="E540" i="3"/>
  <c r="E621" i="3"/>
  <c r="E605" i="3"/>
  <c r="D589" i="3"/>
  <c r="E589" i="3"/>
  <c r="E573" i="3"/>
  <c r="E557" i="3"/>
  <c r="D541" i="3"/>
  <c r="E541" i="3"/>
  <c r="E512" i="3"/>
  <c r="D496" i="3"/>
  <c r="E496" i="3"/>
  <c r="E480" i="3"/>
  <c r="E464" i="3"/>
  <c r="D448" i="3"/>
  <c r="E448" i="3"/>
  <c r="E432" i="3"/>
  <c r="E416" i="3"/>
  <c r="E533" i="3"/>
  <c r="D517" i="3"/>
  <c r="E517" i="3"/>
  <c r="E501" i="3"/>
  <c r="E485" i="3"/>
  <c r="D469" i="3"/>
  <c r="E469" i="3"/>
  <c r="E453" i="3"/>
  <c r="E437" i="3"/>
  <c r="D421" i="3"/>
  <c r="E421" i="3"/>
  <c r="E510" i="3"/>
  <c r="E494" i="3"/>
  <c r="D478" i="3"/>
  <c r="E478" i="3"/>
  <c r="E462" i="3"/>
  <c r="E446" i="3"/>
  <c r="D430" i="3"/>
  <c r="E430" i="3"/>
  <c r="E414" i="3"/>
  <c r="D535" i="3"/>
  <c r="E535" i="3"/>
  <c r="E519" i="3"/>
  <c r="E503" i="3"/>
  <c r="E531" i="3"/>
  <c r="E515" i="3"/>
  <c r="D499" i="3"/>
  <c r="E499" i="3"/>
  <c r="E483" i="3"/>
  <c r="E467" i="3"/>
  <c r="D451" i="3"/>
  <c r="E451" i="3"/>
  <c r="E435" i="3"/>
  <c r="E419" i="3"/>
  <c r="E408" i="3"/>
  <c r="E392" i="3"/>
  <c r="D376" i="3"/>
  <c r="E376" i="3"/>
  <c r="E360" i="3"/>
  <c r="E344" i="3"/>
  <c r="D328" i="3"/>
  <c r="E328" i="3"/>
  <c r="E312" i="3"/>
  <c r="E296" i="3"/>
  <c r="E266" i="3"/>
  <c r="D385" i="3"/>
  <c r="E385" i="3"/>
  <c r="E369" i="3"/>
  <c r="E353" i="3"/>
  <c r="D337" i="3"/>
  <c r="E337" i="3"/>
  <c r="E321" i="3"/>
  <c r="E305" i="3"/>
  <c r="E288" i="3"/>
  <c r="E410" i="3"/>
  <c r="D394" i="3"/>
  <c r="E394" i="3"/>
  <c r="E378" i="3"/>
  <c r="E362" i="3"/>
  <c r="D346" i="3"/>
  <c r="E346" i="3"/>
  <c r="E330" i="3"/>
  <c r="E314" i="3"/>
  <c r="D298" i="3"/>
  <c r="E298" i="3"/>
  <c r="E270" i="3"/>
  <c r="D391" i="3"/>
  <c r="E391" i="3"/>
  <c r="E375" i="3"/>
  <c r="E359" i="3"/>
  <c r="D343" i="3"/>
  <c r="E343" i="3"/>
  <c r="E327" i="3"/>
  <c r="E311" i="3"/>
  <c r="D295" i="3"/>
  <c r="E295" i="3"/>
  <c r="D268" i="3"/>
  <c r="E268" i="3"/>
  <c r="E281" i="3"/>
  <c r="D265" i="3"/>
  <c r="E265" i="3"/>
  <c r="E249" i="3"/>
  <c r="E233" i="3"/>
  <c r="D217" i="3"/>
  <c r="E217" i="3"/>
  <c r="E201" i="3"/>
  <c r="E258" i="3"/>
  <c r="E242" i="3"/>
  <c r="D226" i="3"/>
  <c r="E226" i="3"/>
  <c r="E210" i="3"/>
  <c r="E194" i="3"/>
  <c r="D283" i="3"/>
  <c r="E283" i="3"/>
  <c r="E267" i="3"/>
  <c r="E251" i="3"/>
  <c r="D235" i="3"/>
  <c r="E235" i="3"/>
  <c r="E219" i="3"/>
  <c r="E203" i="3"/>
  <c r="E186" i="3"/>
  <c r="D244" i="3"/>
  <c r="E244" i="3"/>
  <c r="E228" i="3"/>
  <c r="E212" i="3"/>
  <c r="D196" i="3"/>
  <c r="E196" i="3"/>
  <c r="E179" i="3"/>
  <c r="D163" i="3"/>
  <c r="E163" i="3"/>
  <c r="E147" i="3"/>
  <c r="D127" i="3"/>
  <c r="E127" i="3"/>
  <c r="E180" i="3"/>
  <c r="E164" i="3"/>
  <c r="D148" i="3"/>
  <c r="E148" i="3"/>
  <c r="E132" i="3"/>
  <c r="E189" i="3"/>
  <c r="E173" i="3"/>
  <c r="D157" i="3"/>
  <c r="E157" i="3"/>
  <c r="E141" i="3"/>
  <c r="E123" i="3"/>
  <c r="D178" i="3"/>
  <c r="E178" i="3"/>
  <c r="E162" i="3"/>
  <c r="E146" i="3"/>
  <c r="E129" i="3"/>
  <c r="E128" i="3"/>
  <c r="D112" i="3"/>
  <c r="E112" i="3"/>
  <c r="E96" i="3"/>
  <c r="E80" i="3"/>
  <c r="E101" i="3"/>
  <c r="D85" i="3"/>
  <c r="E85" i="3"/>
  <c r="D70" i="3"/>
  <c r="E70" i="3"/>
  <c r="E126" i="3"/>
  <c r="E110" i="3"/>
  <c r="D94" i="3"/>
  <c r="E94" i="3"/>
  <c r="E78" i="3"/>
  <c r="D103" i="3"/>
  <c r="E103" i="3"/>
  <c r="E87" i="3"/>
  <c r="E71" i="3"/>
  <c r="E65" i="3"/>
  <c r="D49" i="3"/>
  <c r="E49" i="3"/>
  <c r="E33" i="3"/>
  <c r="E17" i="3"/>
  <c r="E50" i="3"/>
  <c r="D34" i="3"/>
  <c r="E34" i="3"/>
  <c r="E18" i="3"/>
  <c r="D67" i="3"/>
  <c r="E67" i="3"/>
  <c r="E51" i="3"/>
  <c r="E35" i="3"/>
  <c r="D19" i="3"/>
  <c r="E19" i="3"/>
  <c r="D3" i="3"/>
  <c r="E3" i="3"/>
  <c r="E44" i="3"/>
  <c r="D28" i="3"/>
  <c r="E28" i="3"/>
  <c r="E12" i="3"/>
  <c r="E527" i="3"/>
  <c r="D511" i="3"/>
  <c r="E511" i="3"/>
  <c r="E495" i="3"/>
  <c r="E479" i="3"/>
  <c r="D463" i="3"/>
  <c r="E463" i="3"/>
  <c r="E447" i="3"/>
  <c r="E431" i="3"/>
  <c r="D415" i="3"/>
  <c r="E415" i="3"/>
  <c r="E404" i="3"/>
  <c r="D388" i="3"/>
  <c r="E388" i="3"/>
  <c r="E372" i="3"/>
  <c r="E356" i="3"/>
  <c r="D340" i="3"/>
  <c r="E340" i="3"/>
  <c r="E324" i="3"/>
  <c r="E308" i="3"/>
  <c r="E290" i="3"/>
  <c r="D397" i="3"/>
  <c r="E397" i="3"/>
  <c r="E381" i="3"/>
  <c r="E365" i="3"/>
  <c r="D349" i="3"/>
  <c r="E349" i="3"/>
  <c r="E333" i="3"/>
  <c r="E317" i="3"/>
  <c r="D301" i="3"/>
  <c r="E301" i="3"/>
  <c r="D280" i="3"/>
  <c r="E280" i="3"/>
  <c r="D406" i="3"/>
  <c r="E406" i="3"/>
  <c r="E390" i="3"/>
  <c r="E374" i="3"/>
  <c r="D358" i="3"/>
  <c r="E358" i="3"/>
  <c r="E342" i="3"/>
  <c r="E326" i="3"/>
  <c r="D310" i="3"/>
  <c r="E310" i="3"/>
  <c r="E294" i="3"/>
  <c r="D262" i="3"/>
  <c r="E262" i="3"/>
  <c r="E387" i="3"/>
  <c r="E371" i="3"/>
  <c r="D355" i="3"/>
  <c r="E355" i="3"/>
  <c r="E339" i="3"/>
  <c r="E323" i="3"/>
  <c r="D307" i="3"/>
  <c r="E307" i="3"/>
  <c r="D292" i="3"/>
  <c r="E292" i="3"/>
  <c r="E260" i="3"/>
  <c r="D277" i="3"/>
  <c r="E277" i="3"/>
  <c r="E261" i="3"/>
  <c r="E245" i="3"/>
  <c r="D229" i="3"/>
  <c r="E229" i="3"/>
  <c r="E213" i="3"/>
  <c r="E197" i="3"/>
  <c r="E254" i="3"/>
  <c r="D238" i="3"/>
  <c r="E238" i="3"/>
  <c r="E222" i="3"/>
  <c r="E206" i="3"/>
  <c r="E188" i="3"/>
  <c r="E279" i="3"/>
  <c r="E263" i="3"/>
  <c r="D247" i="3"/>
  <c r="E247" i="3"/>
  <c r="E231" i="3"/>
  <c r="E215" i="3"/>
  <c r="D199" i="3"/>
  <c r="E199" i="3"/>
  <c r="D256" i="3"/>
  <c r="E256" i="3"/>
  <c r="E240" i="3"/>
  <c r="E224" i="3"/>
  <c r="D208" i="3"/>
  <c r="E208" i="3"/>
  <c r="E191" i="3"/>
  <c r="D175" i="3"/>
  <c r="E175" i="3"/>
  <c r="E159" i="3"/>
  <c r="E143" i="3"/>
  <c r="E119" i="3"/>
  <c r="E176" i="3"/>
  <c r="D160" i="3"/>
  <c r="E160" i="3"/>
  <c r="E144" i="3"/>
  <c r="E125" i="3"/>
  <c r="E185" i="3"/>
  <c r="D169" i="3"/>
  <c r="E169" i="3"/>
  <c r="E153" i="3"/>
  <c r="E137" i="3"/>
  <c r="D115" i="3"/>
  <c r="E115" i="3"/>
  <c r="E174" i="3"/>
  <c r="E158" i="3"/>
  <c r="D142" i="3"/>
  <c r="E142" i="3"/>
  <c r="D121" i="3"/>
  <c r="E121" i="3"/>
  <c r="D124" i="3"/>
  <c r="E124" i="3"/>
  <c r="E108" i="3"/>
  <c r="E92" i="3"/>
  <c r="D76" i="3"/>
  <c r="E76" i="3"/>
  <c r="D97" i="3"/>
  <c r="E97" i="3"/>
  <c r="E81" i="3"/>
  <c r="E62" i="3"/>
  <c r="E122" i="3"/>
  <c r="D106" i="3"/>
  <c r="E106" i="3"/>
  <c r="E90" i="3"/>
  <c r="E74" i="3"/>
  <c r="E99" i="3"/>
  <c r="E83" i="3"/>
  <c r="E66" i="3"/>
  <c r="D61" i="3"/>
  <c r="E61" i="3"/>
  <c r="E45" i="3"/>
  <c r="E29" i="3"/>
  <c r="D13" i="3"/>
  <c r="E13" i="3"/>
  <c r="D46" i="3"/>
  <c r="E46" i="3"/>
  <c r="E30" i="3"/>
  <c r="E14" i="3"/>
  <c r="E63" i="3"/>
  <c r="E47" i="3"/>
  <c r="D31" i="3"/>
  <c r="E31" i="3"/>
  <c r="E15" i="3"/>
  <c r="E56" i="3"/>
  <c r="D40" i="3"/>
  <c r="E40" i="3"/>
  <c r="E24" i="3"/>
  <c r="E8" i="3"/>
  <c r="E1098" i="3"/>
  <c r="D523" i="3"/>
  <c r="E523" i="3"/>
  <c r="E507" i="3"/>
  <c r="E491" i="3"/>
  <c r="D475" i="3"/>
  <c r="E475" i="3"/>
  <c r="E459" i="3"/>
  <c r="E443" i="3"/>
  <c r="D427" i="3"/>
  <c r="E427" i="3"/>
  <c r="E411" i="3"/>
  <c r="D400" i="3"/>
  <c r="E400" i="3"/>
  <c r="E384" i="3"/>
  <c r="E368" i="3"/>
  <c r="D352" i="3"/>
  <c r="E352" i="3"/>
  <c r="E336" i="3"/>
  <c r="E320" i="3"/>
  <c r="D304" i="3"/>
  <c r="E304" i="3"/>
  <c r="E282" i="3"/>
  <c r="E393" i="3"/>
  <c r="E377" i="3"/>
  <c r="D361" i="3"/>
  <c r="E361" i="3"/>
  <c r="E345" i="3"/>
  <c r="E329" i="3"/>
  <c r="D313" i="3"/>
  <c r="E313" i="3"/>
  <c r="E297" i="3"/>
  <c r="E272" i="3"/>
  <c r="E402" i="3"/>
  <c r="E386" i="3"/>
  <c r="D370" i="3"/>
  <c r="E370" i="3"/>
  <c r="E354" i="3"/>
  <c r="E338" i="3"/>
  <c r="D322" i="3"/>
  <c r="E322" i="3"/>
  <c r="E306" i="3"/>
  <c r="D286" i="3"/>
  <c r="E286" i="3"/>
  <c r="E399" i="3"/>
  <c r="E383" i="3"/>
  <c r="D367" i="3"/>
  <c r="E367" i="3"/>
  <c r="E351" i="3"/>
  <c r="E335" i="3"/>
  <c r="D319" i="3"/>
  <c r="E319" i="3"/>
  <c r="E303" i="3"/>
  <c r="E284" i="3"/>
  <c r="D289" i="3"/>
  <c r="E289" i="3"/>
  <c r="E273" i="3"/>
  <c r="E257" i="3"/>
  <c r="D241" i="3"/>
  <c r="E241" i="3"/>
  <c r="E225" i="3"/>
  <c r="E209" i="3"/>
  <c r="D193" i="3"/>
  <c r="E193" i="3"/>
  <c r="D250" i="3"/>
  <c r="E250" i="3"/>
  <c r="E234" i="3"/>
  <c r="E218" i="3"/>
  <c r="D202" i="3"/>
  <c r="E202" i="3"/>
  <c r="E291" i="3"/>
  <c r="E275" i="3"/>
  <c r="D259" i="3"/>
  <c r="E259" i="3"/>
  <c r="E243" i="3"/>
  <c r="E227" i="3"/>
  <c r="D211" i="3"/>
  <c r="E211" i="3"/>
  <c r="E195" i="3"/>
  <c r="E252" i="3"/>
  <c r="E236" i="3"/>
  <c r="D220" i="3"/>
  <c r="E220" i="3"/>
  <c r="E204" i="3"/>
  <c r="D187" i="3"/>
  <c r="E187" i="3"/>
  <c r="E171" i="3"/>
  <c r="E155" i="3"/>
  <c r="D139" i="3"/>
  <c r="E139" i="3"/>
  <c r="E111" i="3"/>
  <c r="D172" i="3"/>
  <c r="E172" i="3"/>
  <c r="E156" i="3"/>
  <c r="E140" i="3"/>
  <c r="E117" i="3"/>
  <c r="D181" i="3"/>
  <c r="E181" i="3"/>
  <c r="E165" i="3"/>
  <c r="E149" i="3"/>
  <c r="D133" i="3"/>
  <c r="E133" i="3"/>
  <c r="E107" i="3"/>
  <c r="E170" i="3"/>
  <c r="D154" i="3"/>
  <c r="E154" i="3"/>
  <c r="E138" i="3"/>
  <c r="E113" i="3"/>
  <c r="E120" i="3"/>
  <c r="E104" i="3"/>
  <c r="D88" i="3"/>
  <c r="E88" i="3"/>
  <c r="E72" i="3"/>
  <c r="E93" i="3"/>
  <c r="E77" i="3"/>
  <c r="E54" i="3"/>
  <c r="D118" i="3"/>
  <c r="E118" i="3"/>
  <c r="E102" i="3"/>
  <c r="E86" i="3"/>
  <c r="E68" i="3"/>
  <c r="E95" i="3"/>
  <c r="D79" i="3"/>
  <c r="E79" i="3"/>
  <c r="D58" i="3"/>
  <c r="E58" i="3"/>
  <c r="E57" i="3"/>
  <c r="E41" i="3"/>
  <c r="D25" i="3"/>
  <c r="E25" i="3"/>
  <c r="E9" i="3"/>
  <c r="E42" i="3"/>
  <c r="E26" i="3"/>
  <c r="D10" i="3"/>
  <c r="E10" i="3"/>
  <c r="E59" i="3"/>
  <c r="D43" i="3"/>
  <c r="E43" i="3"/>
  <c r="E27" i="3"/>
  <c r="E11" i="3"/>
  <c r="D52" i="3"/>
  <c r="E52" i="3"/>
  <c r="E36" i="3"/>
  <c r="E20" i="3"/>
  <c r="D4" i="3"/>
  <c r="E4" i="3"/>
  <c r="D1099" i="3"/>
  <c r="E1099" i="3"/>
  <c r="D487" i="3"/>
  <c r="E487" i="3"/>
  <c r="E471" i="3"/>
  <c r="E455" i="3"/>
  <c r="D439" i="3"/>
  <c r="E439" i="3"/>
  <c r="E423" i="3"/>
  <c r="E407" i="3"/>
  <c r="E396" i="3"/>
  <c r="E380" i="3"/>
  <c r="D364" i="3"/>
  <c r="E364" i="3"/>
  <c r="E348" i="3"/>
  <c r="E332" i="3"/>
  <c r="D316" i="3"/>
  <c r="E316" i="3"/>
  <c r="E300" i="3"/>
  <c r="D274" i="3"/>
  <c r="E274" i="3"/>
  <c r="E389" i="3"/>
  <c r="D373" i="3"/>
  <c r="E373" i="3"/>
  <c r="E357" i="3"/>
  <c r="E341" i="3"/>
  <c r="D325" i="3"/>
  <c r="E325" i="3"/>
  <c r="E309" i="3"/>
  <c r="E293" i="3"/>
  <c r="E264" i="3"/>
  <c r="E398" i="3"/>
  <c r="D382" i="3"/>
  <c r="E382" i="3"/>
  <c r="E366" i="3"/>
  <c r="E350" i="3"/>
  <c r="D334" i="3"/>
  <c r="E334" i="3"/>
  <c r="E318" i="3"/>
  <c r="E302" i="3"/>
  <c r="E278" i="3"/>
  <c r="E395" i="3"/>
  <c r="D379" i="3"/>
  <c r="E379" i="3"/>
  <c r="E363" i="3"/>
  <c r="E347" i="3"/>
  <c r="D331" i="3"/>
  <c r="E331" i="3"/>
  <c r="E315" i="3"/>
  <c r="E299" i="3"/>
  <c r="E276" i="3"/>
  <c r="E285" i="3"/>
  <c r="E269" i="3"/>
  <c r="D253" i="3"/>
  <c r="E253" i="3"/>
  <c r="E237" i="3"/>
  <c r="E221" i="3"/>
  <c r="D205" i="3"/>
  <c r="E205" i="3"/>
  <c r="D190" i="3"/>
  <c r="E190" i="3"/>
  <c r="E246" i="3"/>
  <c r="E230" i="3"/>
  <c r="D214" i="3"/>
  <c r="E214" i="3"/>
  <c r="E198" i="3"/>
  <c r="E287" i="3"/>
  <c r="D271" i="3"/>
  <c r="E271" i="3"/>
  <c r="E255" i="3"/>
  <c r="E239" i="3"/>
  <c r="D223" i="3"/>
  <c r="E223" i="3"/>
  <c r="E207" i="3"/>
  <c r="E192" i="3"/>
  <c r="E248" i="3"/>
  <c r="D232" i="3"/>
  <c r="E232" i="3"/>
  <c r="E216" i="3"/>
  <c r="E200" i="3"/>
  <c r="E183" i="3"/>
  <c r="E167" i="3"/>
  <c r="D151" i="3"/>
  <c r="E151" i="3"/>
  <c r="E135" i="3"/>
  <c r="D184" i="3"/>
  <c r="E184" i="3"/>
  <c r="E168" i="3"/>
  <c r="E152" i="3"/>
  <c r="D136" i="3"/>
  <c r="E136" i="3"/>
  <c r="D109" i="3"/>
  <c r="E109" i="3"/>
  <c r="E177" i="3"/>
  <c r="E161" i="3"/>
  <c r="D145" i="3"/>
  <c r="E145" i="3"/>
  <c r="E131" i="3"/>
  <c r="E182" i="3"/>
  <c r="D166" i="3"/>
  <c r="E166" i="3"/>
  <c r="E150" i="3"/>
  <c r="E134" i="3"/>
  <c r="E105" i="3"/>
  <c r="E116" i="3"/>
  <c r="D100" i="3"/>
  <c r="E100" i="3"/>
  <c r="E84" i="3"/>
  <c r="D64" i="3"/>
  <c r="E64" i="3"/>
  <c r="E89" i="3"/>
  <c r="D73" i="3"/>
  <c r="E73" i="3"/>
  <c r="D130" i="3"/>
  <c r="E130" i="3"/>
  <c r="E114" i="3"/>
  <c r="E98" i="3"/>
  <c r="D82" i="3"/>
  <c r="E82" i="3"/>
  <c r="E60" i="3"/>
  <c r="D91" i="3"/>
  <c r="E91" i="3"/>
  <c r="E75" i="3"/>
  <c r="E69" i="3"/>
  <c r="E53" i="3"/>
  <c r="D37" i="3"/>
  <c r="E37" i="3"/>
  <c r="E21" i="3"/>
  <c r="E5" i="3"/>
  <c r="E38" i="3"/>
  <c r="D22" i="3"/>
  <c r="E22" i="3"/>
  <c r="E6" i="3"/>
  <c r="D55" i="3"/>
  <c r="E55" i="3"/>
  <c r="E39" i="3"/>
  <c r="E23" i="3"/>
  <c r="D7" i="3"/>
  <c r="E7" i="3"/>
  <c r="E48" i="3"/>
  <c r="E32" i="3"/>
  <c r="D16" i="3"/>
  <c r="E16" i="3"/>
  <c r="E1097" i="3"/>
  <c r="D2" i="3"/>
  <c r="E2" i="3"/>
  <c r="D1091" i="3"/>
  <c r="D1053" i="3"/>
  <c r="D1076" i="3"/>
  <c r="D1043" i="3"/>
  <c r="D1017" i="3"/>
  <c r="D1077" i="3"/>
  <c r="D1025" i="3"/>
  <c r="D1082" i="3"/>
  <c r="D1031" i="3"/>
  <c r="D1052" i="3"/>
  <c r="D1020" i="3"/>
  <c r="D1004" i="3"/>
  <c r="D972" i="3"/>
  <c r="D956" i="3"/>
  <c r="D924" i="3"/>
  <c r="D908" i="3"/>
  <c r="D876" i="3"/>
  <c r="D860" i="3"/>
  <c r="D828" i="3"/>
  <c r="D812" i="3"/>
  <c r="D783" i="3"/>
  <c r="D1001" i="3"/>
  <c r="D969" i="3"/>
  <c r="D953" i="3"/>
  <c r="D921" i="3"/>
  <c r="D905" i="3"/>
  <c r="D873" i="3"/>
  <c r="D857" i="3"/>
  <c r="D825" i="3"/>
  <c r="D809" i="3"/>
  <c r="D1050" i="3"/>
  <c r="D1034" i="3"/>
  <c r="D1002" i="3"/>
  <c r="D986" i="3"/>
  <c r="D954" i="3"/>
  <c r="D938" i="3"/>
  <c r="D906" i="3"/>
  <c r="D890" i="3"/>
  <c r="D858" i="3"/>
  <c r="D842" i="3"/>
  <c r="D810" i="3"/>
  <c r="D1007" i="3"/>
  <c r="D975" i="3"/>
  <c r="D959" i="3"/>
  <c r="D927" i="3"/>
  <c r="D911" i="3"/>
  <c r="D879" i="3"/>
  <c r="D863" i="3"/>
  <c r="D831" i="3"/>
  <c r="D815" i="3"/>
  <c r="D780" i="3"/>
  <c r="D764" i="3"/>
  <c r="D732" i="3"/>
  <c r="D716" i="3"/>
  <c r="D684" i="3"/>
  <c r="D668" i="3"/>
  <c r="D641" i="3"/>
  <c r="D773" i="3"/>
  <c r="D741" i="3"/>
  <c r="D725" i="3"/>
  <c r="D693" i="3"/>
  <c r="D677" i="3"/>
  <c r="D786" i="3"/>
  <c r="D770" i="3"/>
  <c r="D738" i="3"/>
  <c r="D722" i="3"/>
  <c r="D690" i="3"/>
  <c r="D674" i="3"/>
  <c r="D653" i="3"/>
  <c r="D759" i="3"/>
  <c r="D743" i="3"/>
  <c r="D711" i="3"/>
  <c r="D695" i="3"/>
  <c r="D663" i="3"/>
  <c r="D635" i="3"/>
  <c r="D654" i="3"/>
  <c r="D638" i="3"/>
  <c r="D606" i="3"/>
  <c r="D590" i="3"/>
  <c r="D558" i="3"/>
  <c r="D542" i="3"/>
  <c r="D611" i="3"/>
  <c r="D579" i="3"/>
  <c r="D563" i="3"/>
  <c r="D522" i="3"/>
  <c r="D648" i="3"/>
  <c r="D632" i="3"/>
  <c r="D600" i="3"/>
  <c r="D584" i="3"/>
  <c r="D552" i="3"/>
  <c r="D536" i="3"/>
  <c r="D617" i="3"/>
  <c r="D585" i="3"/>
  <c r="D569" i="3"/>
  <c r="D534" i="3"/>
  <c r="D492" i="3"/>
  <c r="D476" i="3"/>
  <c r="D1055" i="3"/>
  <c r="D1071" i="3"/>
  <c r="D1088" i="3"/>
  <c r="D1068" i="3"/>
  <c r="D1035" i="3"/>
  <c r="D1092" i="3"/>
  <c r="D1089" i="3"/>
  <c r="D1073" i="3"/>
  <c r="D1049" i="3"/>
  <c r="D1094" i="3"/>
  <c r="D1070" i="3"/>
  <c r="D1023" i="3"/>
  <c r="D1032" i="3"/>
  <c r="D1016" i="3"/>
  <c r="D984" i="3"/>
  <c r="D968" i="3"/>
  <c r="D936" i="3"/>
  <c r="D920" i="3"/>
  <c r="D888" i="3"/>
  <c r="D872" i="3"/>
  <c r="D840" i="3"/>
  <c r="D824" i="3"/>
  <c r="D1013" i="3"/>
  <c r="D981" i="3"/>
  <c r="D965" i="3"/>
  <c r="D933" i="3"/>
  <c r="D917" i="3"/>
  <c r="D885" i="3"/>
  <c r="D869" i="3"/>
  <c r="D837" i="3"/>
  <c r="D821" i="3"/>
  <c r="D1062" i="3"/>
  <c r="D1046" i="3"/>
  <c r="D1014" i="3"/>
  <c r="D998" i="3"/>
  <c r="D966" i="3"/>
  <c r="D950" i="3"/>
  <c r="D918" i="3"/>
  <c r="D902" i="3"/>
  <c r="D870" i="3"/>
  <c r="D854" i="3"/>
  <c r="D822" i="3"/>
  <c r="D806" i="3"/>
  <c r="D779" i="3"/>
  <c r="D987" i="3"/>
  <c r="D971" i="3"/>
  <c r="D939" i="3"/>
  <c r="D923" i="3"/>
  <c r="D891" i="3"/>
  <c r="D875" i="3"/>
  <c r="D843" i="3"/>
  <c r="D827" i="3"/>
  <c r="D785" i="3"/>
  <c r="D792" i="3"/>
  <c r="D776" i="3"/>
  <c r="D744" i="3"/>
  <c r="D728" i="3"/>
  <c r="D696" i="3"/>
  <c r="D680" i="3"/>
  <c r="D633" i="3"/>
  <c r="D753" i="3"/>
  <c r="D737" i="3"/>
  <c r="D705" i="3"/>
  <c r="D689" i="3"/>
  <c r="D647" i="3"/>
  <c r="D798" i="3"/>
  <c r="D782" i="3"/>
  <c r="D750" i="3"/>
  <c r="D734" i="3"/>
  <c r="D702" i="3"/>
  <c r="D686" i="3"/>
  <c r="D645" i="3"/>
  <c r="D771" i="3"/>
  <c r="D755" i="3"/>
  <c r="D723" i="3"/>
  <c r="D707" i="3"/>
  <c r="D675" i="3"/>
  <c r="D659" i="3"/>
  <c r="D627" i="3"/>
  <c r="D650" i="3"/>
  <c r="D618" i="3"/>
  <c r="D602" i="3"/>
  <c r="D570" i="3"/>
  <c r="D554" i="3"/>
  <c r="D623" i="3"/>
  <c r="D591" i="3"/>
  <c r="D575" i="3"/>
  <c r="D543" i="3"/>
  <c r="D660" i="3"/>
  <c r="D644" i="3"/>
  <c r="D612" i="3"/>
  <c r="D596" i="3"/>
  <c r="D564" i="3"/>
  <c r="D548" i="3"/>
  <c r="D528" i="3"/>
  <c r="D597" i="3"/>
  <c r="D581" i="3"/>
  <c r="D549" i="3"/>
  <c r="D504" i="3"/>
  <c r="D488" i="3"/>
  <c r="D456" i="3"/>
  <c r="D440" i="3"/>
  <c r="D1047" i="3"/>
  <c r="D1083" i="3"/>
  <c r="D1067" i="3"/>
  <c r="D1037" i="3"/>
  <c r="D1064" i="3"/>
  <c r="D1085" i="3"/>
  <c r="D1041" i="3"/>
  <c r="D1044" i="3"/>
  <c r="D1028" i="3"/>
  <c r="D996" i="3"/>
  <c r="D980" i="3"/>
  <c r="D948" i="3"/>
  <c r="D932" i="3"/>
  <c r="D900" i="3"/>
  <c r="D884" i="3"/>
  <c r="D852" i="3"/>
  <c r="D836" i="3"/>
  <c r="D993" i="3"/>
  <c r="D977" i="3"/>
  <c r="D945" i="3"/>
  <c r="D929" i="3"/>
  <c r="D897" i="3"/>
  <c r="D881" i="3"/>
  <c r="D849" i="3"/>
  <c r="D833" i="3"/>
  <c r="D797" i="3"/>
  <c r="D1058" i="3"/>
  <c r="D1026" i="3"/>
  <c r="D1010" i="3"/>
  <c r="D978" i="3"/>
  <c r="D962" i="3"/>
  <c r="D930" i="3"/>
  <c r="D914" i="3"/>
  <c r="D882" i="3"/>
  <c r="D866" i="3"/>
  <c r="D834" i="3"/>
  <c r="D818" i="3"/>
  <c r="D803" i="3"/>
  <c r="D999" i="3"/>
  <c r="D983" i="3"/>
  <c r="D951" i="3"/>
  <c r="D935" i="3"/>
  <c r="D903" i="3"/>
  <c r="D887" i="3"/>
  <c r="D855" i="3"/>
  <c r="D839" i="3"/>
  <c r="D807" i="3"/>
  <c r="D804" i="3"/>
  <c r="D788" i="3"/>
  <c r="D756" i="3"/>
  <c r="D740" i="3"/>
  <c r="D708" i="3"/>
  <c r="D692" i="3"/>
  <c r="D657" i="3"/>
  <c r="D765" i="3"/>
  <c r="D749" i="3"/>
  <c r="D717" i="3"/>
  <c r="D701" i="3"/>
  <c r="D669" i="3"/>
  <c r="D639" i="3"/>
  <c r="D794" i="3"/>
  <c r="D762" i="3"/>
  <c r="D746" i="3"/>
  <c r="D714" i="3"/>
  <c r="D698" i="3"/>
  <c r="D666" i="3"/>
  <c r="D767" i="3"/>
  <c r="D735" i="3"/>
  <c r="D719" i="3"/>
  <c r="D687" i="3"/>
  <c r="D671" i="3"/>
  <c r="D651" i="3"/>
  <c r="D662" i="3"/>
  <c r="D630" i="3"/>
  <c r="D614" i="3"/>
  <c r="D582" i="3"/>
  <c r="D566" i="3"/>
  <c r="D524" i="3"/>
  <c r="D603" i="3"/>
  <c r="D587" i="3"/>
  <c r="D555" i="3"/>
  <c r="D656" i="3"/>
  <c r="D624" i="3"/>
  <c r="D608" i="3"/>
  <c r="D576" i="3"/>
  <c r="D560" i="3"/>
  <c r="D609" i="3"/>
  <c r="D593" i="3"/>
  <c r="D561" i="3"/>
  <c r="D545" i="3"/>
  <c r="D518" i="3"/>
  <c r="D500" i="3"/>
  <c r="D468" i="3"/>
  <c r="D452" i="3"/>
  <c r="D1074" i="3"/>
  <c r="D1095" i="3"/>
  <c r="D1079" i="3"/>
  <c r="D1061" i="3"/>
  <c r="D1029" i="3"/>
  <c r="D1080" i="3"/>
  <c r="D1059" i="3"/>
  <c r="D1019" i="3"/>
  <c r="D1065" i="3"/>
  <c r="D1086" i="3"/>
  <c r="D1056" i="3"/>
  <c r="D1040" i="3"/>
  <c r="D1008" i="3"/>
  <c r="D992" i="3"/>
  <c r="D960" i="3"/>
  <c r="D944" i="3"/>
  <c r="D912" i="3"/>
  <c r="D896" i="3"/>
  <c r="D864" i="3"/>
  <c r="D848" i="3"/>
  <c r="D816" i="3"/>
  <c r="D791" i="3"/>
  <c r="D1005" i="3"/>
  <c r="D989" i="3"/>
  <c r="D957" i="3"/>
  <c r="D941" i="3"/>
  <c r="D909" i="3"/>
  <c r="D893" i="3"/>
  <c r="D861" i="3"/>
  <c r="D845" i="3"/>
  <c r="D813" i="3"/>
  <c r="D789" i="3"/>
  <c r="D1038" i="3"/>
  <c r="D1022" i="3"/>
  <c r="D990" i="3"/>
  <c r="D974" i="3"/>
  <c r="D942" i="3"/>
  <c r="D926" i="3"/>
  <c r="D894" i="3"/>
  <c r="D878" i="3"/>
  <c r="D846" i="3"/>
  <c r="D830" i="3"/>
  <c r="D795" i="3"/>
  <c r="D1011" i="3"/>
  <c r="D995" i="3"/>
  <c r="D963" i="3"/>
  <c r="D947" i="3"/>
  <c r="D915" i="3"/>
  <c r="D899" i="3"/>
  <c r="D867" i="3"/>
  <c r="D851" i="3"/>
  <c r="D819" i="3"/>
  <c r="D801" i="3"/>
  <c r="D800" i="3"/>
  <c r="D768" i="3"/>
  <c r="D752" i="3"/>
  <c r="D720" i="3"/>
  <c r="D704" i="3"/>
  <c r="D672" i="3"/>
  <c r="D777" i="3"/>
  <c r="D761" i="3"/>
  <c r="D729" i="3"/>
  <c r="D713" i="3"/>
  <c r="D681" i="3"/>
  <c r="D665" i="3"/>
  <c r="D774" i="3"/>
  <c r="D758" i="3"/>
  <c r="D726" i="3"/>
  <c r="D710" i="3"/>
  <c r="D678" i="3"/>
  <c r="D629" i="3"/>
  <c r="D747" i="3"/>
  <c r="D731" i="3"/>
  <c r="D699" i="3"/>
  <c r="D683" i="3"/>
  <c r="D642" i="3"/>
  <c r="D626" i="3"/>
  <c r="D594" i="3"/>
  <c r="D578" i="3"/>
  <c r="D546" i="3"/>
  <c r="D516" i="3"/>
  <c r="D615" i="3"/>
  <c r="D599" i="3"/>
  <c r="D567" i="3"/>
  <c r="D551" i="3"/>
  <c r="D530" i="3"/>
  <c r="D636" i="3"/>
  <c r="D620" i="3"/>
  <c r="D588" i="3"/>
  <c r="D572" i="3"/>
  <c r="D540" i="3"/>
  <c r="D621" i="3"/>
  <c r="D605" i="3"/>
  <c r="D573" i="3"/>
  <c r="D557" i="3"/>
  <c r="D512" i="3"/>
  <c r="D480" i="3"/>
  <c r="D464" i="3"/>
  <c r="D432" i="3"/>
  <c r="D444" i="3"/>
  <c r="D428" i="3"/>
  <c r="D513" i="3"/>
  <c r="D497" i="3"/>
  <c r="D465" i="3"/>
  <c r="D449" i="3"/>
  <c r="D417" i="3"/>
  <c r="D506" i="3"/>
  <c r="D474" i="3"/>
  <c r="D458" i="3"/>
  <c r="D426" i="3"/>
  <c r="D531" i="3"/>
  <c r="D515" i="3"/>
  <c r="D483" i="3"/>
  <c r="D467" i="3"/>
  <c r="D435" i="3"/>
  <c r="D419" i="3"/>
  <c r="D408" i="3"/>
  <c r="D392" i="3"/>
  <c r="D360" i="3"/>
  <c r="D344" i="3"/>
  <c r="D312" i="3"/>
  <c r="D296" i="3"/>
  <c r="D266" i="3"/>
  <c r="D369" i="3"/>
  <c r="D353" i="3"/>
  <c r="D321" i="3"/>
  <c r="D305" i="3"/>
  <c r="D288" i="3"/>
  <c r="D410" i="3"/>
  <c r="D378" i="3"/>
  <c r="D362" i="3"/>
  <c r="D330" i="3"/>
  <c r="D314" i="3"/>
  <c r="D270" i="3"/>
  <c r="D375" i="3"/>
  <c r="D359" i="3"/>
  <c r="D327" i="3"/>
  <c r="D311" i="3"/>
  <c r="D281" i="3"/>
  <c r="D249" i="3"/>
  <c r="D233" i="3"/>
  <c r="D201" i="3"/>
  <c r="D258" i="3"/>
  <c r="D242" i="3"/>
  <c r="D210" i="3"/>
  <c r="D194" i="3"/>
  <c r="D267" i="3"/>
  <c r="D251" i="3"/>
  <c r="D219" i="3"/>
  <c r="D203" i="3"/>
  <c r="D186" i="3"/>
  <c r="D228" i="3"/>
  <c r="D212" i="3"/>
  <c r="D179" i="3"/>
  <c r="D147" i="3"/>
  <c r="D180" i="3"/>
  <c r="D164" i="3"/>
  <c r="D132" i="3"/>
  <c r="D189" i="3"/>
  <c r="D173" i="3"/>
  <c r="D141" i="3"/>
  <c r="D123" i="3"/>
  <c r="D162" i="3"/>
  <c r="D146" i="3"/>
  <c r="D129" i="3"/>
  <c r="D128" i="3"/>
  <c r="D96" i="3"/>
  <c r="D80" i="3"/>
  <c r="D101" i="3"/>
  <c r="D126" i="3"/>
  <c r="D110" i="3"/>
  <c r="D78" i="3"/>
  <c r="D87" i="3"/>
  <c r="D71" i="3"/>
  <c r="D65" i="3"/>
  <c r="D33" i="3"/>
  <c r="D17" i="3"/>
  <c r="D50" i="3"/>
  <c r="D18" i="3"/>
  <c r="D51" i="3"/>
  <c r="D35" i="3"/>
  <c r="D44" i="3"/>
  <c r="D12" i="3"/>
  <c r="D405" i="3"/>
  <c r="D525" i="3"/>
  <c r="D509" i="3"/>
  <c r="D477" i="3"/>
  <c r="D461" i="3"/>
  <c r="D429" i="3"/>
  <c r="D413" i="3"/>
  <c r="D486" i="3"/>
  <c r="D470" i="3"/>
  <c r="D438" i="3"/>
  <c r="D422" i="3"/>
  <c r="D401" i="3"/>
  <c r="D527" i="3"/>
  <c r="D495" i="3"/>
  <c r="D479" i="3"/>
  <c r="D447" i="3"/>
  <c r="D431" i="3"/>
  <c r="D404" i="3"/>
  <c r="D372" i="3"/>
  <c r="D356" i="3"/>
  <c r="D324" i="3"/>
  <c r="D308" i="3"/>
  <c r="D290" i="3"/>
  <c r="D381" i="3"/>
  <c r="D365" i="3"/>
  <c r="D333" i="3"/>
  <c r="D317" i="3"/>
  <c r="D390" i="3"/>
  <c r="D374" i="3"/>
  <c r="D342" i="3"/>
  <c r="D326" i="3"/>
  <c r="D294" i="3"/>
  <c r="D387" i="3"/>
  <c r="D371" i="3"/>
  <c r="D339" i="3"/>
  <c r="D323" i="3"/>
  <c r="D260" i="3"/>
  <c r="D261" i="3"/>
  <c r="D245" i="3"/>
  <c r="D213" i="3"/>
  <c r="D197" i="3"/>
  <c r="D254" i="3"/>
  <c r="D222" i="3"/>
  <c r="D206" i="3"/>
  <c r="D188" i="3"/>
  <c r="D279" i="3"/>
  <c r="D263" i="3"/>
  <c r="D231" i="3"/>
  <c r="D215" i="3"/>
  <c r="D240" i="3"/>
  <c r="D224" i="3"/>
  <c r="D191" i="3"/>
  <c r="D159" i="3"/>
  <c r="D143" i="3"/>
  <c r="D119" i="3"/>
  <c r="D176" i="3"/>
  <c r="D144" i="3"/>
  <c r="D125" i="3"/>
  <c r="D185" i="3"/>
  <c r="D153" i="3"/>
  <c r="D137" i="3"/>
  <c r="D174" i="3"/>
  <c r="D158" i="3"/>
  <c r="D108" i="3"/>
  <c r="D92" i="3"/>
  <c r="D81" i="3"/>
  <c r="D62" i="3"/>
  <c r="D122" i="3"/>
  <c r="D90" i="3"/>
  <c r="D74" i="3"/>
  <c r="D99" i="3"/>
  <c r="D83" i="3"/>
  <c r="D66" i="3"/>
  <c r="D45" i="3"/>
  <c r="D29" i="3"/>
  <c r="D30" i="3"/>
  <c r="D14" i="3"/>
  <c r="D63" i="3"/>
  <c r="D47" i="3"/>
  <c r="D15" i="3"/>
  <c r="D56" i="3"/>
  <c r="D24" i="3"/>
  <c r="D8" i="3"/>
  <c r="D1098" i="3"/>
  <c r="D420" i="3"/>
  <c r="D537" i="3"/>
  <c r="D521" i="3"/>
  <c r="D489" i="3"/>
  <c r="D473" i="3"/>
  <c r="D441" i="3"/>
  <c r="D425" i="3"/>
  <c r="D498" i="3"/>
  <c r="D482" i="3"/>
  <c r="D450" i="3"/>
  <c r="D434" i="3"/>
  <c r="D539" i="3"/>
  <c r="D507" i="3"/>
  <c r="D491" i="3"/>
  <c r="D459" i="3"/>
  <c r="D443" i="3"/>
  <c r="D411" i="3"/>
  <c r="D384" i="3"/>
  <c r="D368" i="3"/>
  <c r="D336" i="3"/>
  <c r="D320" i="3"/>
  <c r="D282" i="3"/>
  <c r="D393" i="3"/>
  <c r="D377" i="3"/>
  <c r="D345" i="3"/>
  <c r="D329" i="3"/>
  <c r="D297" i="3"/>
  <c r="D272" i="3"/>
  <c r="D402" i="3"/>
  <c r="D386" i="3"/>
  <c r="D354" i="3"/>
  <c r="D338" i="3"/>
  <c r="D306" i="3"/>
  <c r="D399" i="3"/>
  <c r="D383" i="3"/>
  <c r="D351" i="3"/>
  <c r="D335" i="3"/>
  <c r="D303" i="3"/>
  <c r="D284" i="3"/>
  <c r="D273" i="3"/>
  <c r="D257" i="3"/>
  <c r="D225" i="3"/>
  <c r="D209" i="3"/>
  <c r="D234" i="3"/>
  <c r="D218" i="3"/>
  <c r="D291" i="3"/>
  <c r="D275" i="3"/>
  <c r="D243" i="3"/>
  <c r="D227" i="3"/>
  <c r="D195" i="3"/>
  <c r="D252" i="3"/>
  <c r="D236" i="3"/>
  <c r="D204" i="3"/>
  <c r="D171" i="3"/>
  <c r="D155" i="3"/>
  <c r="D111" i="3"/>
  <c r="D156" i="3"/>
  <c r="D140" i="3"/>
  <c r="D117" i="3"/>
  <c r="D165" i="3"/>
  <c r="D149" i="3"/>
  <c r="D107" i="3"/>
  <c r="D170" i="3"/>
  <c r="D138" i="3"/>
  <c r="D113" i="3"/>
  <c r="D120" i="3"/>
  <c r="D104" i="3"/>
  <c r="D72" i="3"/>
  <c r="D93" i="3"/>
  <c r="D77" i="3"/>
  <c r="D54" i="3"/>
  <c r="D102" i="3"/>
  <c r="D86" i="3"/>
  <c r="D68" i="3"/>
  <c r="D95" i="3"/>
  <c r="D57" i="3"/>
  <c r="D41" i="3"/>
  <c r="D9" i="3"/>
  <c r="D42" i="3"/>
  <c r="D26" i="3"/>
  <c r="D59" i="3"/>
  <c r="D27" i="3"/>
  <c r="D11" i="3"/>
  <c r="D36" i="3"/>
  <c r="D20" i="3"/>
  <c r="D416" i="3"/>
  <c r="D533" i="3"/>
  <c r="D501" i="3"/>
  <c r="D485" i="3"/>
  <c r="D453" i="3"/>
  <c r="D437" i="3"/>
  <c r="D510" i="3"/>
  <c r="D494" i="3"/>
  <c r="D462" i="3"/>
  <c r="D446" i="3"/>
  <c r="D414" i="3"/>
  <c r="D519" i="3"/>
  <c r="D503" i="3"/>
  <c r="D471" i="3"/>
  <c r="D455" i="3"/>
  <c r="D423" i="3"/>
  <c r="D407" i="3"/>
  <c r="D396" i="3"/>
  <c r="D380" i="3"/>
  <c r="D348" i="3"/>
  <c r="D332" i="3"/>
  <c r="D300" i="3"/>
  <c r="D389" i="3"/>
  <c r="D357" i="3"/>
  <c r="D341" i="3"/>
  <c r="D309" i="3"/>
  <c r="D293" i="3"/>
  <c r="D264" i="3"/>
  <c r="D398" i="3"/>
  <c r="D366" i="3"/>
  <c r="D350" i="3"/>
  <c r="D318" i="3"/>
  <c r="D302" i="3"/>
  <c r="D278" i="3"/>
  <c r="D395" i="3"/>
  <c r="D363" i="3"/>
  <c r="D347" i="3"/>
  <c r="D315" i="3"/>
  <c r="D299" i="3"/>
  <c r="D276" i="3"/>
  <c r="D285" i="3"/>
  <c r="D269" i="3"/>
  <c r="D237" i="3"/>
  <c r="D221" i="3"/>
  <c r="D246" i="3"/>
  <c r="D230" i="3"/>
  <c r="D198" i="3"/>
  <c r="D287" i="3"/>
  <c r="D255" i="3"/>
  <c r="D239" i="3"/>
  <c r="D207" i="3"/>
  <c r="D192" i="3"/>
  <c r="D248" i="3"/>
  <c r="D216" i="3"/>
  <c r="D200" i="3"/>
  <c r="D183" i="3"/>
  <c r="D167" i="3"/>
  <c r="D135" i="3"/>
  <c r="D168" i="3"/>
  <c r="D152" i="3"/>
  <c r="D177" i="3"/>
  <c r="D161" i="3"/>
  <c r="D131" i="3"/>
  <c r="D182" i="3"/>
  <c r="D150" i="3"/>
  <c r="D134" i="3"/>
  <c r="D105" i="3"/>
  <c r="D116" i="3"/>
  <c r="D84" i="3"/>
  <c r="D89" i="3"/>
  <c r="D114" i="3"/>
  <c r="D98" i="3"/>
  <c r="D60" i="3"/>
  <c r="D75" i="3"/>
  <c r="D69" i="3"/>
  <c r="D53" i="3"/>
  <c r="D21" i="3"/>
  <c r="D5" i="3"/>
  <c r="D38" i="3"/>
  <c r="D6" i="3"/>
  <c r="D39" i="3"/>
  <c r="D23" i="3"/>
  <c r="D48" i="3"/>
  <c r="D32" i="3"/>
  <c r="D1097" i="3"/>
  <c r="D1099" i="2"/>
  <c r="E1099" i="2"/>
  <c r="D1098" i="2"/>
  <c r="E1098" i="2"/>
  <c r="D1097" i="2"/>
  <c r="E1097" i="2"/>
  <c r="D3" i="2"/>
  <c r="E3" i="2"/>
  <c r="E2" i="2"/>
  <c r="E368" i="2"/>
  <c r="D368" i="2"/>
  <c r="D2" i="2"/>
  <c r="A5" i="6" l="1"/>
  <c r="A1097" i="6"/>
  <c r="A6" i="6"/>
  <c r="A1098" i="6"/>
  <c r="A1099" i="6"/>
  <c r="A4" i="6"/>
  <c r="A7" i="6"/>
  <c r="A3" i="6"/>
  <c r="A2" i="6"/>
  <c r="A1098" i="5"/>
  <c r="A1097" i="5"/>
  <c r="A1099" i="5"/>
  <c r="A8" i="6"/>
  <c r="A9" i="6"/>
  <c r="A10" i="6"/>
  <c r="A368" i="5"/>
  <c r="A3" i="5"/>
  <c r="D734" i="2"/>
  <c r="E369" i="2"/>
  <c r="E734" i="2"/>
  <c r="D369" i="2"/>
  <c r="E4" i="2"/>
  <c r="D4" i="2"/>
  <c r="A2" i="5"/>
  <c r="A369" i="5" l="1"/>
  <c r="A11" i="6"/>
  <c r="A12" i="6"/>
  <c r="A13" i="6"/>
  <c r="A4" i="5"/>
  <c r="A734" i="5"/>
  <c r="E5" i="2"/>
  <c r="E735" i="2"/>
  <c r="D370" i="2"/>
  <c r="D735" i="2"/>
  <c r="E370" i="2"/>
  <c r="D5" i="2"/>
  <c r="A5" i="5" l="1"/>
  <c r="A15" i="6"/>
  <c r="A16" i="6"/>
  <c r="A14" i="6"/>
  <c r="A735" i="5"/>
  <c r="A370" i="5"/>
  <c r="E736" i="2"/>
  <c r="E6" i="2"/>
  <c r="D736" i="2"/>
  <c r="D371" i="2"/>
  <c r="D6" i="2"/>
  <c r="E371" i="2"/>
  <c r="A18" i="6" l="1"/>
  <c r="A19" i="6"/>
  <c r="A17" i="6"/>
  <c r="A736" i="5"/>
  <c r="A6" i="5"/>
  <c r="A371" i="5"/>
  <c r="E372" i="2"/>
  <c r="D7" i="2"/>
  <c r="E737" i="2"/>
  <c r="E7" i="2"/>
  <c r="D372" i="2"/>
  <c r="D737" i="2"/>
  <c r="A372" i="5" l="1"/>
  <c r="A737" i="5"/>
  <c r="A7" i="5"/>
  <c r="D732" i="2" l="1"/>
  <c r="E367" i="2"/>
  <c r="E733" i="2"/>
  <c r="D733" i="2"/>
  <c r="E732" i="2"/>
  <c r="D367" i="2"/>
  <c r="A367" i="5" s="1"/>
  <c r="A538" i="6"/>
  <c r="A745" i="6"/>
  <c r="A300" i="6"/>
  <c r="A631" i="6"/>
  <c r="A23" i="6"/>
  <c r="A389" i="6"/>
  <c r="A875" i="6"/>
  <c r="A83" i="6"/>
  <c r="A954" i="6"/>
  <c r="A148" i="6"/>
  <c r="A150" i="6"/>
  <c r="A494" i="6"/>
  <c r="A564" i="6"/>
  <c r="A804" i="6"/>
  <c r="A1092" i="6"/>
  <c r="A695" i="6"/>
  <c r="A611" i="6"/>
  <c r="A318" i="6"/>
  <c r="A1093" i="6"/>
  <c r="A1075" i="6"/>
  <c r="A1024" i="6"/>
  <c r="A694" i="6"/>
  <c r="A159" i="6"/>
  <c r="A833" i="6"/>
  <c r="A608" i="6"/>
  <c r="A381" i="6"/>
  <c r="A356" i="6"/>
  <c r="A373" i="6"/>
  <c r="A859" i="6"/>
  <c r="A816" i="6"/>
  <c r="A347" i="6"/>
  <c r="A1005" i="6"/>
  <c r="A639" i="6"/>
  <c r="A304" i="6"/>
  <c r="A1064" i="6"/>
  <c r="A256" i="6"/>
  <c r="A225" i="6"/>
  <c r="A865" i="6"/>
  <c r="A349" i="6"/>
  <c r="A723" i="6"/>
  <c r="A194" i="6"/>
  <c r="A927" i="6"/>
  <c r="A756" i="6"/>
  <c r="A234" i="6"/>
  <c r="A1042" i="6"/>
  <c r="A351" i="6"/>
  <c r="A820" i="6"/>
  <c r="A402" i="6"/>
  <c r="A867" i="6"/>
  <c r="A492" i="6"/>
  <c r="A987" i="6"/>
  <c r="A944" i="6"/>
  <c r="A706" i="6"/>
  <c r="A887" i="6"/>
  <c r="A422" i="6"/>
  <c r="A511" i="6"/>
  <c r="A132" i="6"/>
  <c r="A522" i="6"/>
  <c r="A974" i="6"/>
  <c r="A563" i="6"/>
  <c r="A652" i="6"/>
  <c r="A335" i="6"/>
  <c r="A1027" i="6"/>
  <c r="A717" i="6"/>
  <c r="A342" i="6"/>
  <c r="A582" i="6"/>
  <c r="A289" i="6"/>
  <c r="A208" i="6"/>
  <c r="A587" i="6"/>
  <c r="A239" i="6"/>
  <c r="A558" i="6"/>
  <c r="A634" i="6"/>
  <c r="A906" i="6"/>
  <c r="A704" i="6"/>
  <c r="A518" i="6"/>
  <c r="A40" i="6"/>
  <c r="A708" i="6"/>
  <c r="A301" i="6"/>
  <c r="A411" i="6"/>
  <c r="A1047" i="6"/>
  <c r="A749" i="6"/>
  <c r="A310" i="6"/>
  <c r="A895" i="6"/>
  <c r="A1008" i="6"/>
  <c r="A33" i="6"/>
  <c r="A770" i="6"/>
  <c r="A578" i="6"/>
  <c r="A384" i="6"/>
  <c r="A1084" i="6"/>
  <c r="A539" i="6"/>
  <c r="A470" i="6"/>
  <c r="A74" i="6"/>
  <c r="A1077" i="6"/>
  <c r="A302" i="6"/>
  <c r="A595" i="6"/>
  <c r="A151" i="6"/>
  <c r="A814" i="6"/>
  <c r="A1034" i="6"/>
  <c r="A601" i="6"/>
  <c r="A640" i="6"/>
  <c r="A993" i="6"/>
  <c r="A573" i="6"/>
  <c r="A894" i="6"/>
  <c r="A285" i="6"/>
  <c r="A673" i="6"/>
  <c r="A394" i="6"/>
  <c r="A728" i="6"/>
  <c r="A36" i="6"/>
  <c r="A121" i="6"/>
  <c r="A252" i="6"/>
  <c r="A1078" i="6"/>
  <c r="A657" i="6"/>
  <c r="A672" i="6"/>
  <c r="A879" i="6"/>
  <c r="A409" i="6"/>
  <c r="A344" i="6"/>
  <c r="A410" i="6"/>
  <c r="A956" i="6"/>
  <c r="A980" i="6"/>
  <c r="A370" i="6"/>
  <c r="A473" i="6"/>
  <c r="A495" i="6"/>
  <c r="A450" i="6"/>
  <c r="A309" i="6"/>
  <c r="A785" i="6"/>
  <c r="A353" i="6"/>
  <c r="A972" i="6"/>
  <c r="A941" i="6"/>
  <c r="A391" i="6"/>
  <c r="A1032" i="6"/>
  <c r="A254" i="6"/>
  <c r="A115" i="6"/>
  <c r="A250" i="6"/>
  <c r="A222" i="6"/>
  <c r="A178" i="6"/>
  <c r="A357" i="6"/>
  <c r="A843" i="6"/>
  <c r="A864" i="6"/>
  <c r="A1082" i="6"/>
  <c r="A395" i="6"/>
  <c r="A204" i="6"/>
  <c r="A507" i="6"/>
  <c r="A1060" i="6"/>
  <c r="A666" i="6"/>
  <c r="A461" i="6"/>
  <c r="A868" i="6"/>
  <c r="A231" i="6"/>
  <c r="A211" i="6"/>
  <c r="A1028" i="6"/>
  <c r="A858" i="6"/>
  <c r="A181" i="6"/>
  <c r="A251" i="6"/>
  <c r="A567" i="6"/>
  <c r="A1055" i="6"/>
  <c r="A989" i="6"/>
  <c r="A625" i="6"/>
  <c r="A400" i="6"/>
  <c r="A685" i="6"/>
  <c r="A959" i="6"/>
  <c r="A847" i="6"/>
  <c r="A1039" i="6"/>
  <c r="A162" i="6"/>
  <c r="A316" i="6"/>
  <c r="A218" i="6"/>
  <c r="A176" i="6"/>
  <c r="A1026" i="6"/>
  <c r="A88" i="6"/>
  <c r="A45" i="6"/>
  <c r="A434" i="6"/>
  <c r="A308" i="6"/>
  <c r="A340" i="6"/>
  <c r="A63" i="6"/>
  <c r="A1051" i="6"/>
  <c r="A502" i="6"/>
  <c r="A161" i="6"/>
  <c r="A485" i="6"/>
  <c r="A532" i="6"/>
  <c r="A810" i="6"/>
  <c r="A127" i="6"/>
  <c r="A982" i="6"/>
  <c r="A466" i="6"/>
  <c r="A807" i="6"/>
  <c r="A1070" i="6"/>
  <c r="A361" i="6"/>
  <c r="A1048" i="6"/>
  <c r="A837" i="6"/>
  <c r="A623" i="6"/>
  <c r="A1023" i="6"/>
  <c r="A1001" i="6"/>
  <c r="A1054" i="6"/>
  <c r="A620" i="6"/>
  <c r="A812" i="6"/>
  <c r="A281" i="6"/>
  <c r="A951" i="6"/>
  <c r="A122" i="6"/>
  <c r="A669" i="6"/>
  <c r="A698" i="6"/>
  <c r="A429" i="6"/>
  <c r="A966" i="6"/>
  <c r="A790" i="6"/>
  <c r="A732" i="6"/>
  <c r="A71" i="6"/>
  <c r="A677" i="6"/>
  <c r="A699" i="6"/>
  <c r="A468" i="6"/>
  <c r="A81" i="6"/>
  <c r="A896" i="6"/>
  <c r="A789" i="6"/>
  <c r="A287" i="6"/>
  <c r="A606" i="6"/>
  <c r="A648" i="6"/>
  <c r="A135" i="6"/>
  <c r="A68" i="6"/>
  <c r="A292" i="6"/>
  <c r="A62" i="6"/>
  <c r="A488" i="6"/>
  <c r="A958" i="6"/>
  <c r="A249" i="6"/>
  <c r="A189" i="6"/>
  <c r="A649" i="6"/>
  <c r="A91" i="6"/>
  <c r="A761" i="6"/>
  <c r="A736" i="6"/>
  <c r="A1003" i="6"/>
  <c r="A508" i="6"/>
  <c r="A883" i="6"/>
  <c r="A1062" i="6"/>
  <c r="A196" i="6"/>
  <c r="A187" i="6"/>
  <c r="A630" i="6"/>
  <c r="A142" i="6"/>
  <c r="A92" i="6"/>
  <c r="A537" i="6"/>
  <c r="A454" i="6"/>
  <c r="A667" i="6"/>
  <c r="A775" i="6"/>
  <c r="A588" i="6"/>
  <c r="A1022" i="6"/>
  <c r="A969" i="6"/>
  <c r="A448" i="6"/>
  <c r="A30" i="6"/>
  <c r="A996" i="6"/>
  <c r="A322" i="6"/>
  <c r="A719" i="6"/>
  <c r="A197" i="6"/>
  <c r="A662" i="6"/>
  <c r="A986" i="6"/>
  <c r="A136" i="6"/>
  <c r="A553" i="6"/>
  <c r="A180" i="6"/>
  <c r="A720" i="6"/>
  <c r="A458" i="6"/>
  <c r="A206" i="6"/>
  <c r="A323" i="6"/>
  <c r="A1063" i="6"/>
  <c r="A374" i="6"/>
  <c r="A407" i="6"/>
  <c r="A35" i="6"/>
  <c r="A908" i="6"/>
  <c r="A877" i="6"/>
  <c r="A327" i="6"/>
  <c r="A718" i="6"/>
  <c r="A172" i="6"/>
  <c r="A526" i="6"/>
  <c r="A898" i="6"/>
  <c r="A479" i="6"/>
  <c r="A919" i="6"/>
  <c r="A472" i="6"/>
  <c r="A866" i="6"/>
  <c r="A988" i="6"/>
  <c r="A299" i="6"/>
  <c r="A957" i="6"/>
  <c r="A675" i="6"/>
  <c r="A663" i="6"/>
  <c r="A1016" i="6"/>
  <c r="A953" i="6"/>
  <c r="A572" i="6"/>
  <c r="A29" i="6"/>
  <c r="A418" i="6"/>
  <c r="A372" i="6"/>
  <c r="A261" i="6"/>
  <c r="A948" i="6"/>
  <c r="A416" i="6"/>
  <c r="A995" i="6"/>
  <c r="A517" i="6"/>
  <c r="A536" i="6"/>
  <c r="A570" i="6"/>
  <c r="A471" i="6"/>
  <c r="A796" i="6"/>
  <c r="A822" i="6"/>
  <c r="A110" i="6"/>
  <c r="A52" i="6"/>
  <c r="A193" i="6"/>
  <c r="A897" i="6"/>
  <c r="A1083" i="6"/>
  <c r="A733" i="6"/>
  <c r="A294" i="6"/>
  <c r="A336" i="6"/>
  <c r="A762" i="6"/>
  <c r="A493" i="6"/>
  <c r="A64" i="6"/>
  <c r="A73" i="6"/>
  <c r="A863" i="6"/>
  <c r="A902" i="6"/>
  <c r="A32" i="6"/>
  <c r="A668" i="6"/>
  <c r="A624" i="6"/>
  <c r="A839" i="6"/>
  <c r="A46" i="6"/>
  <c r="A41" i="6"/>
  <c r="A803" i="6"/>
  <c r="A137" i="6"/>
  <c r="A551" i="6"/>
  <c r="A235" i="6"/>
  <c r="A607" i="6"/>
  <c r="A613" i="6"/>
  <c r="A950" i="6"/>
  <c r="A128" i="6"/>
  <c r="A133" i="6"/>
  <c r="A273" i="6"/>
  <c r="A440" i="6"/>
  <c r="A140" i="6"/>
  <c r="A524" i="6"/>
  <c r="A540" i="6"/>
  <c r="A1072" i="6"/>
  <c r="A1041" i="6"/>
  <c r="A244" i="6"/>
  <c r="A808" i="6"/>
  <c r="A217" i="6"/>
  <c r="A926" i="6"/>
  <c r="A932" i="6"/>
  <c r="A651" i="6"/>
  <c r="A167" i="6"/>
  <c r="A830" i="6"/>
  <c r="A617" i="6"/>
  <c r="A219" i="6"/>
  <c r="A591" i="6"/>
  <c r="A99" i="6"/>
  <c r="A320" i="6"/>
  <c r="A746" i="6"/>
  <c r="A477" i="6"/>
  <c r="A345" i="6"/>
  <c r="A134" i="6"/>
  <c r="A478" i="6"/>
  <c r="A755" i="6"/>
  <c r="A226" i="6"/>
  <c r="A873" i="6"/>
  <c r="A936" i="6"/>
  <c r="A616" i="6"/>
  <c r="A965" i="6"/>
  <c r="A195" i="6"/>
  <c r="A509" i="6"/>
  <c r="A334" i="6"/>
  <c r="A28" i="6"/>
  <c r="A737" i="6"/>
  <c r="A727" i="6"/>
  <c r="A199" i="6"/>
  <c r="A339" i="6"/>
  <c r="A380" i="6"/>
  <c r="A462" i="6"/>
  <c r="A105" i="6"/>
  <c r="A296" i="6"/>
  <c r="A854" i="6"/>
  <c r="A186" i="6"/>
  <c r="A938" i="6"/>
  <c r="A575" i="6"/>
  <c r="A203" i="6"/>
  <c r="A139" i="6"/>
  <c r="A404" i="6"/>
  <c r="A598" i="6"/>
  <c r="A248" i="6"/>
  <c r="A857" i="6"/>
  <c r="A920" i="6"/>
  <c r="A600" i="6"/>
  <c r="A949" i="6"/>
  <c r="A851" i="6"/>
  <c r="A476" i="6"/>
  <c r="A173" i="6"/>
  <c r="A417" i="6"/>
  <c r="A1079" i="6"/>
  <c r="A169" i="6"/>
  <c r="A117" i="6"/>
  <c r="A107" i="6"/>
  <c r="A56" i="6"/>
  <c r="A724" i="6"/>
  <c r="A317" i="6"/>
  <c r="A1061" i="6"/>
  <c r="A713" i="6"/>
  <c r="A757" i="6"/>
  <c r="A715" i="6"/>
  <c r="A1096" i="6"/>
  <c r="A892" i="6"/>
  <c r="A243" i="6"/>
  <c r="A961" i="6"/>
  <c r="A102" i="6"/>
  <c r="A358" i="6"/>
  <c r="A855" i="6"/>
  <c r="A403" i="6"/>
  <c r="A832" i="6"/>
  <c r="A363" i="6"/>
  <c r="A1020" i="6"/>
  <c r="A979" i="6"/>
  <c r="A177" i="6"/>
  <c r="A501" i="6"/>
  <c r="A554" i="6"/>
  <c r="A383" i="6"/>
  <c r="A188" i="6"/>
  <c r="A852" i="6"/>
  <c r="A191" i="6"/>
  <c r="A884" i="6"/>
  <c r="A247" i="6"/>
  <c r="A480" i="6"/>
  <c r="A184" i="6"/>
  <c r="A103" i="6"/>
  <c r="A779" i="6"/>
  <c r="A764" i="6"/>
  <c r="A665" i="6"/>
  <c r="A806" i="6"/>
  <c r="A780" i="6"/>
  <c r="A548" i="6"/>
  <c r="A185" i="6"/>
  <c r="A962" i="6"/>
  <c r="A111" i="6"/>
  <c r="A37" i="6"/>
  <c r="A38" i="6"/>
  <c r="A80" i="6"/>
  <c r="A467" i="6"/>
  <c r="A1057" i="6"/>
  <c r="A744" i="6"/>
  <c r="A689" i="6"/>
  <c r="A205" i="6"/>
  <c r="A377" i="6"/>
  <c r="A609" i="6"/>
  <c r="A209" i="6"/>
  <c r="A175" i="6"/>
  <c r="A849" i="6"/>
  <c r="A797" i="6"/>
  <c r="A291" i="6"/>
  <c r="A144" i="6"/>
  <c r="A994" i="6"/>
  <c r="A860" i="6"/>
  <c r="A829" i="6"/>
  <c r="A670" i="6"/>
  <c r="A464" i="6"/>
  <c r="A618" i="6"/>
  <c r="A660" i="6"/>
  <c r="A100" i="6"/>
  <c r="A443" i="6"/>
  <c r="A260" i="6"/>
  <c r="A125" i="6"/>
  <c r="A95" i="6"/>
  <c r="A929" i="6"/>
  <c r="A922" i="6"/>
  <c r="A838" i="6"/>
  <c r="A126" i="6"/>
  <c r="A388" i="6"/>
  <c r="A280" i="6"/>
  <c r="A1037" i="6"/>
  <c r="A47" i="6"/>
  <c r="A1033" i="6"/>
  <c r="A48" i="6"/>
  <c r="A684" i="6"/>
  <c r="A449" i="6"/>
  <c r="A784" i="6"/>
  <c r="A430" i="6"/>
  <c r="A787" i="6"/>
  <c r="A890" i="6"/>
  <c r="A730" i="6"/>
  <c r="A571" i="6"/>
  <c r="A119" i="6"/>
  <c r="A576" i="6"/>
  <c r="A565" i="6"/>
  <c r="A530" i="6"/>
  <c r="A214" i="6"/>
  <c r="A795" i="6"/>
  <c r="A212" i="6"/>
  <c r="A805" i="6"/>
  <c r="A1015" i="6"/>
  <c r="A436" i="6"/>
  <c r="A703" i="6"/>
  <c r="A646" i="6"/>
  <c r="A856" i="6"/>
  <c r="A885" i="6"/>
  <c r="A1007" i="6"/>
  <c r="A412" i="6"/>
  <c r="A1059" i="6"/>
  <c r="A401" i="6"/>
  <c r="A1085" i="6"/>
  <c r="A393" i="6"/>
  <c r="A545" i="6"/>
  <c r="A475" i="6"/>
  <c r="A415" i="6"/>
  <c r="A264" i="6"/>
  <c r="A1076" i="6"/>
  <c r="A360" i="6"/>
  <c r="A635" i="6"/>
  <c r="A232" i="6"/>
  <c r="A841" i="6"/>
  <c r="A904" i="6"/>
  <c r="A584" i="6"/>
  <c r="A933" i="6"/>
  <c r="A899" i="6"/>
  <c r="A124" i="6"/>
  <c r="A903" i="6"/>
  <c r="A72" i="6"/>
  <c r="A642" i="6"/>
  <c r="A303" i="6"/>
  <c r="A51" i="6"/>
  <c r="A503" i="6"/>
  <c r="A157" i="6"/>
  <c r="A460" i="6"/>
  <c r="A116" i="6"/>
  <c r="A313" i="6"/>
  <c r="A1058" i="6"/>
  <c r="A560" i="6"/>
  <c r="A930" i="6"/>
  <c r="A924" i="6"/>
  <c r="A893" i="6"/>
  <c r="A1035" i="6"/>
  <c r="A343" i="6"/>
  <c r="A734" i="6"/>
  <c r="A1067" i="6"/>
  <c r="A637" i="6"/>
  <c r="A690" i="6"/>
  <c r="A633" i="6"/>
  <c r="A314" i="6"/>
  <c r="A120" i="6"/>
  <c r="A1019" i="6"/>
  <c r="A70" i="6"/>
  <c r="A419" i="6"/>
  <c r="A50" i="6"/>
  <c r="A424" i="6"/>
  <c r="A1025" i="6"/>
  <c r="A774" i="6"/>
  <c r="A274" i="6"/>
  <c r="A305" i="6"/>
  <c r="A69" i="6"/>
  <c r="A506" i="6"/>
  <c r="A146" i="6"/>
  <c r="A916" i="6"/>
  <c r="A306" i="6"/>
  <c r="A914" i="6"/>
  <c r="A156" i="6"/>
  <c r="A158" i="6"/>
  <c r="A610" i="6"/>
  <c r="A653" i="6"/>
  <c r="A298" i="6"/>
  <c r="A621" i="6"/>
  <c r="A942" i="6"/>
  <c r="A233" i="6"/>
  <c r="A627" i="6"/>
  <c r="A482" i="6"/>
  <c r="A329" i="6"/>
  <c r="A1012" i="6"/>
  <c r="A338" i="6"/>
  <c r="A931" i="6"/>
  <c r="A453" i="6"/>
  <c r="A497" i="6"/>
  <c r="A1053" i="6"/>
  <c r="A500" i="6"/>
  <c r="A834" i="6"/>
  <c r="A767" i="6"/>
  <c r="A245" i="6"/>
  <c r="A527" i="6"/>
  <c r="A171" i="6"/>
  <c r="A748" i="6"/>
  <c r="A760" i="6"/>
  <c r="A705" i="6"/>
  <c r="A198" i="6"/>
  <c r="A514" i="6"/>
  <c r="A771" i="6"/>
  <c r="A242" i="6"/>
  <c r="A58" i="6"/>
  <c r="A549" i="6"/>
  <c r="A544" i="6"/>
  <c r="A113" i="6"/>
  <c r="A237" i="6"/>
  <c r="A735" i="6"/>
  <c r="A1036" i="6"/>
  <c r="A379" i="6"/>
  <c r="A1031" i="6"/>
  <c r="A848" i="6"/>
  <c r="A328" i="6"/>
  <c r="A1017" i="6"/>
  <c r="A104" i="6"/>
  <c r="A457" i="6"/>
  <c r="A682" i="6"/>
  <c r="A413" i="6"/>
  <c r="A277" i="6"/>
  <c r="A612" i="6"/>
  <c r="A396" i="6"/>
  <c r="A971" i="6"/>
  <c r="A408" i="6"/>
  <c r="A992" i="6"/>
  <c r="A240" i="6"/>
  <c r="A215" i="6"/>
  <c r="A452" i="6"/>
  <c r="A489" i="6"/>
  <c r="A61" i="6"/>
  <c r="A629" i="6"/>
  <c r="A366" i="6"/>
  <c r="A769" i="6"/>
  <c r="A221" i="6"/>
  <c r="A216" i="6"/>
  <c r="A751" i="6"/>
  <c r="A498" i="6"/>
  <c r="A783" i="6"/>
  <c r="A604" i="6"/>
  <c r="A1038" i="6"/>
  <c r="A985" i="6"/>
  <c r="A228" i="6"/>
  <c r="A821" i="6"/>
  <c r="A943" i="6"/>
  <c r="A831" i="6"/>
  <c r="A531" i="6"/>
  <c r="A355" i="6"/>
  <c r="A286" i="6"/>
  <c r="A387" i="6"/>
  <c r="A778" i="6"/>
  <c r="A801" i="6"/>
  <c r="A263" i="6"/>
  <c r="A709" i="6"/>
  <c r="A742" i="6"/>
  <c r="A94" i="6"/>
  <c r="A955" i="6"/>
  <c r="A118" i="6"/>
  <c r="A566" i="6"/>
  <c r="A399" i="6"/>
  <c r="A76" i="6"/>
  <c r="A521" i="6"/>
  <c r="A983" i="6"/>
  <c r="A960" i="6"/>
  <c r="A1043" i="6"/>
  <c r="A722" i="6"/>
  <c r="A1071" i="6"/>
  <c r="A579" i="6"/>
  <c r="A541" i="6"/>
  <c r="A24" i="6"/>
  <c r="A692" i="6"/>
  <c r="A275" i="6"/>
  <c r="A978" i="6"/>
  <c r="A546" i="6"/>
  <c r="A615" i="6"/>
  <c r="A557" i="6"/>
  <c r="A878" i="6"/>
  <c r="A166" i="6"/>
  <c r="A54" i="6"/>
  <c r="A368" i="6"/>
  <c r="A799" i="6"/>
  <c r="A20" i="6"/>
  <c r="A487" i="6"/>
  <c r="A123" i="6"/>
  <c r="A594" i="6"/>
  <c r="A1089" i="6"/>
  <c r="A290" i="6"/>
  <c r="A1069" i="6"/>
  <c r="A282" i="6"/>
  <c r="A348" i="6"/>
  <c r="A376" i="6"/>
  <c r="A398" i="6"/>
  <c r="A792" i="6"/>
  <c r="A716" i="6"/>
  <c r="A619" i="6"/>
  <c r="A967" i="6"/>
  <c r="A66" i="6"/>
  <c r="A425" i="6"/>
  <c r="A431" i="6"/>
  <c r="A710" i="6"/>
  <c r="A1040" i="6"/>
  <c r="A1091" i="6"/>
  <c r="A687" i="6"/>
  <c r="A229" i="6"/>
  <c r="A456" i="6"/>
  <c r="A288" i="6"/>
  <c r="A905" i="6"/>
  <c r="A968" i="6"/>
  <c r="A997" i="6"/>
  <c r="A963" i="6"/>
  <c r="A913" i="6"/>
  <c r="A397" i="6"/>
  <c r="A59" i="6"/>
  <c r="A414" i="6"/>
  <c r="A87" i="6"/>
  <c r="A693" i="6"/>
  <c r="A643" i="6"/>
  <c r="A1052" i="6"/>
  <c r="A759" i="6"/>
  <c r="A828" i="6"/>
  <c r="A154" i="6"/>
  <c r="A438" i="6"/>
  <c r="A324" i="6"/>
  <c r="A31" i="6"/>
  <c r="A731" i="6"/>
  <c r="A271" i="6"/>
  <c r="A590" i="6"/>
  <c r="A632" i="6"/>
  <c r="A589" i="6"/>
  <c r="A910" i="6"/>
  <c r="A201" i="6"/>
  <c r="A367" i="6"/>
  <c r="A900" i="6"/>
  <c r="A861" i="6"/>
  <c r="A311" i="6"/>
  <c r="A702" i="6"/>
  <c r="A255" i="6"/>
  <c r="A574" i="6"/>
  <c r="A650" i="6"/>
  <c r="A614" i="6"/>
  <c r="A297" i="6"/>
  <c r="A945" i="6"/>
  <c r="A114" i="6"/>
  <c r="A870" i="6"/>
  <c r="A85" i="6"/>
  <c r="A729" i="6"/>
  <c r="A773" i="6"/>
  <c r="A999" i="6"/>
  <c r="A740" i="6"/>
  <c r="A605" i="6"/>
  <c r="A192" i="6"/>
  <c r="A599" i="6"/>
  <c r="A516" i="6"/>
  <c r="A179" i="6"/>
  <c r="A602" i="6"/>
  <c r="A644" i="6"/>
  <c r="A131" i="6"/>
  <c r="A874" i="6"/>
  <c r="A459" i="6"/>
  <c r="A262" i="6"/>
  <c r="A794" i="6"/>
  <c r="A1073" i="6"/>
  <c r="A190" i="6"/>
  <c r="A230" i="6"/>
  <c r="A259" i="6"/>
  <c r="A224" i="6"/>
  <c r="A354" i="6"/>
  <c r="A446" i="6"/>
  <c r="A800" i="6"/>
  <c r="A911" i="6"/>
  <c r="A82" i="6"/>
  <c r="A793" i="6"/>
  <c r="A525" i="6"/>
  <c r="A505" i="6"/>
  <c r="A90" i="6"/>
  <c r="A753" i="6"/>
  <c r="A44" i="6"/>
  <c r="A350" i="6"/>
  <c r="A862" i="6"/>
  <c r="A1046" i="6"/>
  <c r="A1044" i="6"/>
  <c r="A714" i="6"/>
  <c r="A284" i="6"/>
  <c r="A207" i="6"/>
  <c r="A183" i="6"/>
  <c r="A846" i="6"/>
  <c r="A964" i="6"/>
  <c r="A701" i="6"/>
  <c r="A326" i="6"/>
  <c r="A577" i="6"/>
  <c r="A681" i="6"/>
  <c r="A725" i="6"/>
  <c r="A325" i="6"/>
  <c r="A811" i="6"/>
  <c r="A369" i="6"/>
  <c r="A227" i="6"/>
  <c r="A153" i="6"/>
  <c r="A882" i="6"/>
  <c r="A763" i="6"/>
  <c r="A741" i="6"/>
  <c r="A697" i="6"/>
  <c r="A1029" i="6"/>
  <c r="A266" i="6"/>
  <c r="A561" i="6"/>
  <c r="A711" i="6"/>
  <c r="A626" i="6"/>
  <c r="A680" i="6"/>
  <c r="A346" i="6"/>
  <c r="A782" i="6"/>
  <c r="A93" i="6"/>
  <c r="A319" i="6"/>
  <c r="A279" i="6"/>
  <c r="A433" i="6"/>
  <c r="A21" i="6"/>
  <c r="A22" i="6"/>
  <c r="A451" i="6"/>
  <c r="A371" i="6"/>
  <c r="A165" i="6"/>
  <c r="A1074" i="6"/>
  <c r="A423" i="6"/>
  <c r="A1004" i="6"/>
  <c r="A315" i="6"/>
  <c r="A973" i="6"/>
  <c r="A528" i="6"/>
  <c r="A592" i="6"/>
  <c r="A683" i="6"/>
  <c r="A27" i="6"/>
  <c r="A25" i="6"/>
  <c r="A174" i="6"/>
  <c r="A603" i="6"/>
  <c r="A824" i="6"/>
  <c r="A853" i="6"/>
  <c r="A947" i="6"/>
  <c r="A145" i="6"/>
  <c r="A469" i="6"/>
  <c r="A513" i="6"/>
  <c r="A835" i="6"/>
  <c r="A869" i="6"/>
  <c r="A840" i="6"/>
  <c r="A1050" i="6"/>
  <c r="A923" i="6"/>
  <c r="A246" i="6"/>
  <c r="A556" i="6"/>
  <c r="A937" i="6"/>
  <c r="A1000" i="6"/>
  <c r="A258" i="6"/>
  <c r="A1009" i="6"/>
  <c r="A445" i="6"/>
  <c r="A341" i="6"/>
  <c r="A827" i="6"/>
  <c r="A385" i="6"/>
  <c r="A976" i="6"/>
  <c r="A738" i="6"/>
  <c r="A1087" i="6"/>
  <c r="A170" i="6"/>
  <c r="A143" i="6"/>
  <c r="A817" i="6"/>
  <c r="A365" i="6"/>
  <c r="A1002" i="6"/>
  <c r="A152" i="6"/>
  <c r="A569" i="6"/>
  <c r="A765" i="6"/>
  <c r="A390" i="6"/>
  <c r="A272" i="6"/>
  <c r="A512" i="6"/>
  <c r="A1094" i="6"/>
  <c r="A813" i="6"/>
  <c r="A844" i="6"/>
  <c r="A428" i="6"/>
  <c r="A925" i="6"/>
  <c r="A375" i="6"/>
  <c r="A654" i="6"/>
  <c r="A766" i="6"/>
  <c r="A636" i="6"/>
  <c r="A547" i="6"/>
  <c r="A550" i="6"/>
  <c r="A257" i="6"/>
  <c r="A447" i="6"/>
  <c r="A743" i="6"/>
  <c r="A1088" i="6"/>
  <c r="A940" i="6"/>
  <c r="A909" i="6"/>
  <c r="A359" i="6"/>
  <c r="A638" i="6"/>
  <c r="A750" i="6"/>
  <c r="A79" i="6"/>
  <c r="A421" i="6"/>
  <c r="A465" i="6"/>
  <c r="A84" i="6"/>
  <c r="A89" i="6"/>
  <c r="A581" i="6"/>
  <c r="A918" i="6"/>
  <c r="A463" i="6"/>
  <c r="A278" i="6"/>
  <c r="A880" i="6"/>
  <c r="A405" i="6"/>
  <c r="A34" i="6"/>
  <c r="A332" i="6"/>
  <c r="A907" i="6"/>
  <c r="A928" i="6"/>
  <c r="A593" i="6"/>
  <c r="A504" i="6"/>
  <c r="A772" i="6"/>
  <c r="A523" i="6"/>
  <c r="A236" i="6"/>
  <c r="A276" i="6"/>
  <c r="A269" i="6"/>
  <c r="A659" i="6"/>
  <c r="A182" i="6"/>
  <c r="A596" i="6"/>
  <c r="A1095" i="6"/>
  <c r="A26" i="6"/>
  <c r="A977" i="6"/>
  <c r="A77" i="6"/>
  <c r="A109" i="6"/>
  <c r="A499" i="6"/>
  <c r="A1065" i="6"/>
  <c r="A700" i="6"/>
  <c r="A802" i="6"/>
  <c r="A776" i="6"/>
  <c r="A871" i="6"/>
  <c r="A106" i="6"/>
  <c r="A836" i="6"/>
  <c r="A98" i="6"/>
  <c r="A815" i="6"/>
  <c r="A515" i="6"/>
  <c r="A53" i="6"/>
  <c r="A1080" i="6"/>
  <c r="A96" i="6"/>
  <c r="A483" i="6"/>
  <c r="A65" i="6"/>
  <c r="A220" i="6"/>
  <c r="A721" i="6"/>
  <c r="A583" i="6"/>
  <c r="A739" i="6"/>
  <c r="A210" i="6"/>
  <c r="A241" i="6"/>
  <c r="A881" i="6"/>
  <c r="A1090" i="6"/>
  <c r="A1081" i="6"/>
  <c r="A101" i="6"/>
  <c r="A886" i="6"/>
  <c r="A130" i="6"/>
  <c r="A543" i="6"/>
  <c r="A362" i="6"/>
  <c r="A1045" i="6"/>
  <c r="A696" i="6"/>
  <c r="A754" i="6"/>
  <c r="A658" i="6"/>
  <c r="A712" i="6"/>
  <c r="A378" i="6"/>
  <c r="A520" i="6"/>
  <c r="A946" i="6"/>
  <c r="A597" i="6"/>
  <c r="A934" i="6"/>
  <c r="A112" i="6"/>
  <c r="A688" i="6"/>
  <c r="A426" i="6"/>
  <c r="A86" i="6"/>
  <c r="A486" i="6"/>
  <c r="A97" i="6"/>
  <c r="A679" i="6"/>
  <c r="A647" i="6"/>
  <c r="A876" i="6"/>
  <c r="A845" i="6"/>
  <c r="A295" i="6"/>
  <c r="A686" i="6"/>
  <c r="A671" i="6"/>
  <c r="A213" i="6"/>
  <c r="A768" i="6"/>
  <c r="A164" i="6"/>
  <c r="A534" i="6"/>
  <c r="A970" i="6"/>
  <c r="A921" i="6"/>
  <c r="A641" i="6"/>
  <c r="A747" i="6"/>
  <c r="A312" i="6"/>
  <c r="A55" i="6"/>
  <c r="A435" i="6"/>
  <c r="A1066" i="6"/>
  <c r="A935" i="6"/>
  <c r="A420" i="6"/>
  <c r="A160" i="6"/>
  <c r="A1010" i="6"/>
  <c r="A990" i="6"/>
  <c r="A691" i="6"/>
  <c r="A267" i="6"/>
  <c r="A200" i="6"/>
  <c r="A809" i="6"/>
  <c r="A872" i="6"/>
  <c r="A552" i="6"/>
  <c r="A901" i="6"/>
  <c r="A352" i="6"/>
  <c r="A283" i="6"/>
  <c r="A707" i="6"/>
  <c r="A268" i="6"/>
  <c r="A1006" i="6"/>
  <c r="A798" i="6"/>
  <c r="A786" i="6"/>
  <c r="A474" i="6"/>
  <c r="A842" i="6"/>
  <c r="A163" i="6"/>
  <c r="A1014" i="6"/>
  <c r="A75" i="6"/>
  <c r="A43" i="6"/>
  <c r="A823" i="6"/>
  <c r="A307" i="6"/>
  <c r="A386" i="6"/>
  <c r="A788" i="6"/>
  <c r="A1086" i="6"/>
  <c r="A726" i="6"/>
  <c r="A1056" i="6"/>
  <c r="A223" i="6"/>
  <c r="A542" i="6"/>
  <c r="A645" i="6"/>
  <c r="A555" i="6"/>
  <c r="A850" i="6"/>
  <c r="A656" i="6"/>
  <c r="A622" i="6"/>
  <c r="A819" i="6"/>
  <c r="A444" i="6"/>
  <c r="A141" i="6"/>
  <c r="A406" i="6"/>
  <c r="A1018" i="6"/>
  <c r="A168" i="6"/>
  <c r="A585" i="6"/>
  <c r="A149" i="6"/>
  <c r="A392" i="6"/>
  <c r="A321" i="6"/>
  <c r="A912" i="6"/>
  <c r="A674" i="6"/>
  <c r="A1068" i="6"/>
  <c r="A484" i="6"/>
  <c r="A818" i="6"/>
  <c r="A57" i="6"/>
  <c r="A331" i="6"/>
  <c r="A791" i="6"/>
  <c r="A337" i="6"/>
  <c r="A655" i="6"/>
  <c r="A293" i="6"/>
  <c r="A984" i="6"/>
  <c r="A442" i="6"/>
  <c r="A364" i="6"/>
  <c r="A939" i="6"/>
  <c r="A78" i="6"/>
  <c r="A138" i="6"/>
  <c r="A108" i="6"/>
  <c r="A825" i="6"/>
  <c r="A888" i="6"/>
  <c r="A568" i="6"/>
  <c r="A917" i="6"/>
  <c r="A432" i="6"/>
  <c r="A1011" i="6"/>
  <c r="A533" i="6"/>
  <c r="A586" i="6"/>
  <c r="A628" i="6"/>
  <c r="A333" i="6"/>
  <c r="A758" i="6"/>
  <c r="A67" i="6"/>
  <c r="A661" i="6"/>
  <c r="A1021" i="6"/>
  <c r="A382" i="6"/>
  <c r="A202" i="6"/>
  <c r="A1030" i="6"/>
  <c r="A270" i="6"/>
  <c r="A535" i="6"/>
  <c r="A60" i="6"/>
  <c r="A439" i="6"/>
  <c r="A777" i="6"/>
  <c r="A491" i="6"/>
  <c r="A510" i="6"/>
  <c r="A529" i="6"/>
  <c r="A580" i="6"/>
  <c r="A975" i="6"/>
  <c r="A519" i="6"/>
  <c r="A155" i="6"/>
  <c r="A676" i="6"/>
  <c r="A441" i="6"/>
  <c r="A562" i="6"/>
  <c r="A1049" i="6"/>
  <c r="A238" i="6"/>
  <c r="A427" i="6"/>
  <c r="A455" i="6"/>
  <c r="A481" i="6"/>
  <c r="A437" i="6"/>
  <c r="A915" i="6"/>
  <c r="A1013" i="6"/>
  <c r="A49" i="6"/>
  <c r="A330" i="6"/>
  <c r="A265" i="6"/>
  <c r="A496" i="6"/>
  <c r="A42" i="6"/>
  <c r="A678" i="6"/>
  <c r="A253" i="6"/>
  <c r="A39" i="6"/>
  <c r="A981" i="6"/>
  <c r="A664" i="6"/>
  <c r="A998" i="6"/>
  <c r="A952" i="6"/>
  <c r="A752" i="6"/>
  <c r="A559" i="6"/>
  <c r="A891" i="6"/>
  <c r="A826" i="6"/>
  <c r="A781" i="6"/>
  <c r="A889" i="6"/>
  <c r="A147" i="6"/>
  <c r="A490" i="6"/>
  <c r="A129" i="6"/>
  <c r="A991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D979" i="2"/>
  <c r="D1011" i="2"/>
  <c r="D1043" i="2"/>
  <c r="D1075" i="2"/>
  <c r="E1052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D760" i="2"/>
  <c r="D792" i="2"/>
  <c r="D824" i="2"/>
  <c r="D856" i="2"/>
  <c r="D888" i="2"/>
  <c r="D920" i="2"/>
  <c r="D952" i="2"/>
  <c r="D984" i="2"/>
  <c r="D1016" i="2"/>
  <c r="D1066" i="2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D829" i="2"/>
  <c r="D861" i="2"/>
  <c r="D893" i="2"/>
  <c r="D925" i="2"/>
  <c r="D957" i="2"/>
  <c r="D989" i="2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E249" i="2"/>
  <c r="E281" i="2"/>
  <c r="E313" i="2"/>
  <c r="E345" i="2"/>
  <c r="E379" i="2"/>
  <c r="E411" i="2"/>
  <c r="E442" i="2"/>
  <c r="E474" i="2"/>
  <c r="E506" i="2"/>
  <c r="E538" i="2"/>
  <c r="E570" i="2"/>
  <c r="D601" i="2"/>
  <c r="D633" i="2"/>
  <c r="D665" i="2"/>
  <c r="D696" i="2"/>
  <c r="D728" i="2"/>
  <c r="D766" i="2"/>
  <c r="D798" i="2"/>
  <c r="D830" i="2"/>
  <c r="D862" i="2"/>
  <c r="D894" i="2"/>
  <c r="D926" i="2"/>
  <c r="D958" i="2"/>
  <c r="D990" i="2"/>
  <c r="D1022" i="2"/>
  <c r="D1078" i="2"/>
  <c r="D775" i="2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D523" i="2"/>
  <c r="D491" i="2"/>
  <c r="D459" i="2"/>
  <c r="A459" i="5" s="1"/>
  <c r="D426" i="2"/>
  <c r="D394" i="2"/>
  <c r="D352" i="2"/>
  <c r="D320" i="2"/>
  <c r="A320" i="5" s="1"/>
  <c r="D288" i="2"/>
  <c r="D256" i="2"/>
  <c r="E224" i="2"/>
  <c r="E192" i="2"/>
  <c r="D161" i="2"/>
  <c r="E129" i="2"/>
  <c r="D96" i="2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D754" i="2"/>
  <c r="D818" i="2"/>
  <c r="A818" i="5" s="1"/>
  <c r="D882" i="2"/>
  <c r="D946" i="2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E26" i="2"/>
  <c r="E103" i="2"/>
  <c r="D167" i="2"/>
  <c r="A167" i="5" s="1"/>
  <c r="E230" i="2"/>
  <c r="D278" i="2"/>
  <c r="A278" i="5" s="1"/>
  <c r="D334" i="2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A342" i="5" s="1"/>
  <c r="D416" i="2"/>
  <c r="E54" i="2"/>
  <c r="E119" i="2"/>
  <c r="E182" i="2"/>
  <c r="E246" i="2"/>
  <c r="D294" i="2"/>
  <c r="A294" i="5" s="1"/>
  <c r="D350" i="2"/>
  <c r="D408" i="2"/>
  <c r="A408" i="5" s="1"/>
  <c r="D622" i="2"/>
  <c r="D666" i="2"/>
  <c r="D731" i="2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D376" i="2"/>
  <c r="D441" i="2"/>
  <c r="A1022" i="5" l="1"/>
  <c r="A894" i="5"/>
  <c r="A766" i="5"/>
  <c r="A633" i="5"/>
  <c r="A120" i="5"/>
  <c r="A1076" i="5"/>
  <c r="A393" i="5"/>
  <c r="A256" i="5"/>
  <c r="A394" i="5"/>
  <c r="A523" i="5"/>
  <c r="A775" i="5"/>
  <c r="A441" i="5"/>
  <c r="A310" i="5"/>
  <c r="A334" i="5"/>
  <c r="A946" i="5"/>
  <c r="A685" i="5"/>
  <c r="A161" i="5"/>
  <c r="A288" i="5"/>
  <c r="A426" i="5"/>
  <c r="A555" i="5"/>
  <c r="A86" i="5"/>
  <c r="A384" i="5"/>
  <c r="A711" i="5"/>
  <c r="A366" i="5"/>
  <c r="A694" i="5"/>
  <c r="A723" i="5"/>
  <c r="A793" i="5"/>
  <c r="A809" i="5"/>
  <c r="A646" i="5"/>
  <c r="A769" i="5"/>
  <c r="A606" i="5"/>
  <c r="A513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4" i="5"/>
  <c r="A896" i="5"/>
  <c r="A768" i="5"/>
  <c r="A623" i="5"/>
  <c r="A235" i="5"/>
  <c r="A106" i="5"/>
  <c r="A1048" i="5"/>
  <c r="A763" i="5"/>
  <c r="A1028" i="5"/>
  <c r="A964" i="5"/>
  <c r="A900" i="5"/>
  <c r="A836" i="5"/>
  <c r="A772" i="5"/>
  <c r="A706" i="5"/>
  <c r="A643" i="5"/>
  <c r="A191" i="5"/>
  <c r="A126" i="5"/>
  <c r="A63" i="5"/>
  <c r="A1088" i="5"/>
  <c r="A478" i="5"/>
  <c r="A349" i="5"/>
  <c r="A93" i="5"/>
  <c r="A1083" i="5"/>
  <c r="A955" i="5"/>
  <c r="A827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64" i="5"/>
  <c r="A500" i="5"/>
  <c r="A436" i="5"/>
  <c r="A373" i="5"/>
  <c r="A303" i="5"/>
  <c r="A174" i="5"/>
  <c r="A1045" i="5"/>
  <c r="A981" i="5"/>
  <c r="A917" i="5"/>
  <c r="A853" i="5"/>
  <c r="A978" i="5"/>
  <c r="A716" i="5"/>
  <c r="A205" i="5"/>
  <c r="A497" i="5"/>
  <c r="A561" i="5"/>
  <c r="A1050" i="5"/>
  <c r="A976" i="5"/>
  <c r="A912" i="5"/>
  <c r="A848" i="5"/>
  <c r="A784" i="5"/>
  <c r="A702" i="5"/>
  <c r="A639" i="5"/>
  <c r="A187" i="5"/>
  <c r="A122" i="5"/>
  <c r="A59" i="5"/>
  <c r="A1080" i="5"/>
  <c r="A638" i="5"/>
  <c r="A666" i="5"/>
  <c r="A969" i="5"/>
  <c r="A841" i="5"/>
  <c r="A672" i="5"/>
  <c r="A1090" i="5"/>
  <c r="A932" i="5"/>
  <c r="A804" i="5"/>
  <c r="A675" i="5"/>
  <c r="A31" i="5"/>
  <c r="A815" i="5"/>
  <c r="A20" i="5"/>
  <c r="A530" i="5"/>
  <c r="A403" i="5"/>
  <c r="A257" i="5"/>
  <c r="A999" i="5"/>
  <c r="A871" i="5"/>
  <c r="A376" i="5"/>
  <c r="A882" i="5"/>
  <c r="A621" i="5"/>
  <c r="A108" i="5"/>
  <c r="A35" i="5"/>
  <c r="A1033" i="5"/>
  <c r="A905" i="5"/>
  <c r="A996" i="5"/>
  <c r="A868" i="5"/>
  <c r="A740" i="5"/>
  <c r="A611" i="5"/>
  <c r="A223" i="5"/>
  <c r="A731" i="5"/>
  <c r="A400" i="5"/>
  <c r="A777" i="5"/>
  <c r="A96" i="5"/>
  <c r="A352" i="5"/>
  <c r="A491" i="5"/>
  <c r="A850" i="5"/>
  <c r="A77" i="5"/>
  <c r="A270" i="5"/>
  <c r="A654" i="5"/>
  <c r="A358" i="5"/>
  <c r="A678" i="5"/>
  <c r="A686" i="5"/>
  <c r="A690" i="5"/>
  <c r="A1010" i="5"/>
  <c r="A754" i="5"/>
  <c r="A237" i="5"/>
  <c r="A1036" i="5"/>
  <c r="A220" i="5"/>
  <c r="A608" i="5"/>
  <c r="A739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10" i="5"/>
  <c r="A938" i="5"/>
  <c r="A810" i="5"/>
  <c r="A677" i="5"/>
  <c r="A1016" i="5"/>
  <c r="A888" i="5"/>
  <c r="A760" i="5"/>
  <c r="A631" i="5"/>
  <c r="A243" i="5"/>
  <c r="A114" i="5"/>
  <c r="A1064" i="5"/>
  <c r="A566" i="5"/>
  <c r="A438" i="5"/>
  <c r="A309" i="5"/>
  <c r="A1043" i="5"/>
  <c r="A915" i="5"/>
  <c r="A680" i="5"/>
  <c r="A574" i="5"/>
  <c r="A446" i="5"/>
  <c r="A317" i="5"/>
  <c r="A1051" i="5"/>
  <c r="A923" i="5"/>
  <c r="A733" i="5"/>
  <c r="A1082" i="5"/>
  <c r="A928" i="5"/>
  <c r="A800" i="5"/>
  <c r="A655" i="5"/>
  <c r="A138" i="5"/>
  <c r="A11" i="5"/>
  <c r="A966" i="5"/>
  <c r="A838" i="5"/>
  <c r="A704" i="5"/>
  <c r="A177" i="5"/>
  <c r="A49" i="5"/>
  <c r="A596" i="5"/>
  <c r="A468" i="5"/>
  <c r="A335" i="5"/>
  <c r="A113" i="5"/>
  <c r="A240" i="5"/>
  <c r="A636" i="5"/>
  <c r="A676" i="5"/>
  <c r="A218" i="5"/>
  <c r="A1077" i="5"/>
  <c r="A949" i="5"/>
  <c r="A425" i="5"/>
  <c r="A162" i="5"/>
  <c r="A529" i="5"/>
  <c r="A1008" i="5"/>
  <c r="A880" i="5"/>
  <c r="A752" i="5"/>
  <c r="A607" i="5"/>
  <c r="A219" i="5"/>
  <c r="A807" i="5"/>
  <c r="A622" i="5"/>
  <c r="A682" i="5"/>
  <c r="A510" i="5"/>
  <c r="A383" i="5"/>
  <c r="A253" i="5"/>
  <c r="A987" i="5"/>
  <c r="A859" i="5"/>
  <c r="A594" i="5"/>
  <c r="A466" i="5"/>
  <c r="A321" i="5"/>
  <c r="A1063" i="5"/>
  <c r="A935" i="5"/>
  <c r="A552" i="5"/>
  <c r="A291" i="5"/>
  <c r="A326" i="5"/>
  <c r="A424" i="5"/>
  <c r="A350" i="5"/>
  <c r="A799" i="5"/>
  <c r="A771" i="5"/>
  <c r="A960" i="5"/>
  <c r="A832" i="5"/>
  <c r="A687" i="5"/>
  <c r="A306" i="5"/>
  <c r="A469" i="5"/>
  <c r="A597" i="5"/>
  <c r="A990" i="5"/>
  <c r="A862" i="5"/>
  <c r="A728" i="5"/>
  <c r="A601" i="5"/>
  <c r="A217" i="5"/>
  <c r="A508" i="5"/>
  <c r="A381" i="5"/>
  <c r="A989" i="5"/>
  <c r="A861" i="5"/>
  <c r="A72" i="5"/>
  <c r="A200" i="5"/>
  <c r="A725" i="5"/>
  <c r="A107" i="5"/>
  <c r="A234" i="5"/>
  <c r="A751" i="5"/>
  <c r="A1066" i="5"/>
  <c r="A920" i="5"/>
  <c r="A792" i="5"/>
  <c r="A663" i="5"/>
  <c r="A146" i="5"/>
  <c r="A19" i="5"/>
  <c r="A80" i="5"/>
  <c r="A208" i="5"/>
  <c r="A604" i="5"/>
  <c r="A743" i="5"/>
  <c r="A598" i="5"/>
  <c r="A470" i="5"/>
  <c r="A341" i="5"/>
  <c r="A85" i="5"/>
  <c r="A1075" i="5"/>
  <c r="A947" i="5"/>
  <c r="A133" i="5"/>
  <c r="A648" i="5"/>
  <c r="A121" i="5"/>
  <c r="A248" i="5"/>
  <c r="A644" i="5"/>
  <c r="A732" i="5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39" i="5"/>
  <c r="A602" i="5"/>
  <c r="A58" i="5"/>
  <c r="A186" i="5"/>
  <c r="A34" i="5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<sst xmlns="http://schemas.openxmlformats.org/spreadsheetml/2006/main" count="63" uniqueCount="42">
  <si>
    <t>Weerkundige waarnemingen Saba</t>
  </si>
  <si>
    <t>The Bottom</t>
  </si>
  <si>
    <t>Sint Johns</t>
  </si>
  <si>
    <t>Windwardside</t>
  </si>
  <si>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</si>
  <si>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</si>
  <si>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</si>
  <si>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</si>
  <si>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</si>
  <si>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</si>
  <si>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</si>
  <si>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</si>
  <si>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</si>
  <si>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</si>
  <si>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</si>
  <si>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</si>
  <si>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</si>
  <si>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</si>
  <si>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</si>
  <si>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</si>
  <si>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</si>
  <si>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</si>
  <si>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</si>
  <si>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</si>
  <si>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</si>
  <si>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</si>
  <si>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</si>
  <si>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</si>
  <si>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</si>
  <si>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Regenmeter</t>
  </si>
  <si>
    <t>08.00</t>
  </si>
  <si>
    <t>14.00</t>
  </si>
  <si>
    <t>Barometerstand</t>
  </si>
  <si>
    <t>hoogste</t>
  </si>
  <si>
    <t>laagste</t>
  </si>
  <si>
    <t>Thermometerstand</t>
  </si>
  <si>
    <t>Tn</t>
  </si>
  <si>
    <t>qTn</t>
  </si>
  <si>
    <t>Tx</t>
  </si>
  <si>
    <t>qTx</t>
  </si>
  <si>
    <t>Hoogste thermometer</t>
  </si>
  <si>
    <t>Laagste thermometer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</si>
</sst>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0" fillId="0" borderId="0" xfId="0" applyFill="1" applyBorder="1"/>
    <xf numFmtId="166" fontId="5" fillId="5" borderId="5" xfId="0" applyNumberFormat="1" applyFont="1" applyFill="1" applyBorder="1" applyProtection="1">
      <protection locked="0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Alignment="1">
      <alignment horizontal="left"/>
    </xf>
    <xf numFmtId="164" fontId="0" fillId="0" borderId="9" xfId="0" applyNumberFormat="1" applyBorder="1" applyAlignment="1">
      <alignment horizontal="left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382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6" max="8" width="14.28515625" customWidth="1"/>
  </cols>
  <sheetData>
    <row r="1" spans="1:8" ht="20.25" x14ac:dyDescent="0.3">
      <c r="A1" s="48" t="s">
        <v>0</v>
      </c>
      <c r="B1" s="48"/>
      <c r="C1" s="48"/>
      <c r="D1" s="48"/>
      <c r="E1" s="48"/>
      <c r="F1" s="48"/>
      <c r="G1" s="48"/>
      <c r="H1" s="48"/>
    </row>
    <row r="3" spans="1:8" x14ac:dyDescent="0.25">
      <c r="A3" s="46" t="s">
        <v>4</v>
      </c>
      <c r="B3" s="43" t="s">
        <v>32</v>
      </c>
      <c r="C3" s="44"/>
      <c r="D3" s="43" t="s">
        <v>35</v>
      </c>
      <c r="E3" s="44"/>
      <c r="F3" s="43" t="s">
        <v>5</v>
      </c>
      <c r="G3" s="44"/>
      <c r="H3" s="45"/>
    </row>
    <row r="4" spans="1:8" x14ac:dyDescent="0.25">
      <c r="A4" s="47"/>
      <c r="B4" s="2" t="s">
        <v>30</v>
      </c>
      <c r="C4" s="3" t="s">
        <v>31</v>
      </c>
      <c r="D4" s="2" t="s">
        <v>33</v>
      </c>
      <c r="E4" s="3" t="s">
        <v>34</v>
      </c>
      <c r="F4" s="2" t="s">
        <v>1</v>
      </c>
      <c r="G4" s="3" t="s">
        <v>2</v>
      </c>
      <c r="H4" s="4" t="s">
        <v>3</v>
      </c>
    </row>
    <row r="5" spans="1:8" x14ac:dyDescent="0.25">
      <c r="A5" s="1">
        <f ca="1">DATE(VALUE(MID(CELL("bestandsnaam"),FIND(".",CELL("bestandsnaam"))-4,4)),1,1)</f>
        <v>7306</v>
      </c>
      <c r="B5" s="5">
        <v>749</v>
      </c>
      <c r="C5" s="6">
        <v>748</v>
      </c>
      <c r="D5" s="7">
        <v>27</v>
      </c>
      <c r="E5" s="8">
        <v>25</v>
      </c>
      <c r="F5" s="9">
        <v>48</v>
      </c>
      <c r="G5" s="10">
        <v>14</v>
      </c>
      <c r="H5" s="11">
        <v>0</v>
      </c>
    </row>
    <row r="6" spans="1:8" x14ac:dyDescent="0.25">
      <c r="A6" s="1">
        <f ca="1">IF(ISTEXT(A5),A4+1,IF(MONTH(A5+1)=MONTH(A5),A5+1,"Totaal"))</f>
        <v>7307</v>
      </c>
      <c r="B6" s="5">
        <v>749.5</v>
      </c>
      <c r="C6" s="6">
        <v>748</v>
      </c>
      <c r="D6" s="7">
        <v>28</v>
      </c>
      <c r="E6" s="8">
        <v>25.8</v>
      </c>
      <c r="F6" s="12">
        <v>0</v>
      </c>
      <c r="G6" s="10">
        <v>0</v>
      </c>
      <c r="H6" s="11">
        <v>0</v>
      </c>
    </row>
    <row r="7" spans="1:8" x14ac:dyDescent="0.25">
      <c r="A7" s="1">
        <f t="shared" ref="A7:A70" ca="1" si="0">IF(ISTEXT(A6),A5+1,IF(MONTH(A6+1)=MONTH(A6),A6+1,"Totaal"))</f>
        <v>7308</v>
      </c>
      <c r="B7" s="5">
        <v>748.3</v>
      </c>
      <c r="C7" s="6">
        <v>748</v>
      </c>
      <c r="D7" s="13">
        <v>29</v>
      </c>
      <c r="E7" s="8">
        <v>25.5</v>
      </c>
      <c r="F7" s="14">
        <v>0</v>
      </c>
      <c r="G7" s="10">
        <v>0</v>
      </c>
      <c r="H7" s="11">
        <v>0</v>
      </c>
    </row>
    <row r="8" spans="1:8" x14ac:dyDescent="0.25">
      <c r="A8" s="1">
        <f t="shared" ca="1" si="0"/>
        <v>7309</v>
      </c>
      <c r="B8" s="5">
        <v>748.5</v>
      </c>
      <c r="C8" s="6">
        <v>748.5</v>
      </c>
      <c r="D8" s="7">
        <v>29</v>
      </c>
      <c r="E8" s="8">
        <v>25.5</v>
      </c>
      <c r="F8" s="9">
        <v>0</v>
      </c>
      <c r="G8" s="10">
        <v>0</v>
      </c>
      <c r="H8" s="11">
        <v>0</v>
      </c>
    </row>
    <row r="9" spans="1:8" x14ac:dyDescent="0.25">
      <c r="A9" s="1">
        <f t="shared" ca="1" si="0"/>
        <v>7310</v>
      </c>
      <c r="B9" s="5">
        <v>748.2</v>
      </c>
      <c r="C9" s="6">
        <v>747.7</v>
      </c>
      <c r="D9" s="7">
        <v>28.3</v>
      </c>
      <c r="E9" s="8">
        <v>25.5</v>
      </c>
      <c r="F9" s="9">
        <v>0</v>
      </c>
      <c r="G9" s="10">
        <v>50</v>
      </c>
      <c r="H9" s="11">
        <v>0</v>
      </c>
    </row>
    <row r="10" spans="1:8" x14ac:dyDescent="0.25">
      <c r="A10" s="1">
        <f t="shared" ca="1" si="0"/>
        <v>7311</v>
      </c>
      <c r="B10" s="5">
        <v>748</v>
      </c>
      <c r="C10" s="6">
        <v>747.5</v>
      </c>
      <c r="D10" s="7">
        <v>23.5</v>
      </c>
      <c r="E10" s="8">
        <v>23</v>
      </c>
      <c r="F10" s="9">
        <v>118</v>
      </c>
      <c r="G10" s="10">
        <v>0</v>
      </c>
      <c r="H10" s="11">
        <v>0</v>
      </c>
    </row>
    <row r="11" spans="1:8" x14ac:dyDescent="0.25">
      <c r="A11" s="1">
        <f t="shared" ca="1" si="0"/>
        <v>7312</v>
      </c>
      <c r="B11" s="5">
        <v>749</v>
      </c>
      <c r="C11" s="6">
        <v>747.5</v>
      </c>
      <c r="D11" s="7">
        <v>25</v>
      </c>
      <c r="E11" s="8">
        <v>23</v>
      </c>
      <c r="F11" s="9">
        <v>24</v>
      </c>
      <c r="G11" s="10">
        <v>0</v>
      </c>
      <c r="H11" s="11">
        <v>0</v>
      </c>
    </row>
    <row r="12" spans="1:8" x14ac:dyDescent="0.25">
      <c r="A12" s="1">
        <f t="shared" ca="1" si="0"/>
        <v>7313</v>
      </c>
      <c r="B12" s="5">
        <v>749</v>
      </c>
      <c r="C12" s="6">
        <v>748</v>
      </c>
      <c r="D12" s="7">
        <v>25</v>
      </c>
      <c r="E12" s="8">
        <v>22.5</v>
      </c>
      <c r="F12" s="9">
        <v>0</v>
      </c>
      <c r="G12" s="10">
        <v>0</v>
      </c>
      <c r="H12" s="11">
        <v>0</v>
      </c>
    </row>
    <row r="13" spans="1:8" x14ac:dyDescent="0.25">
      <c r="A13" s="1">
        <f t="shared" ca="1" si="0"/>
        <v>7314</v>
      </c>
      <c r="B13" s="5">
        <v>748.5</v>
      </c>
      <c r="C13" s="6">
        <v>747.5</v>
      </c>
      <c r="D13" s="7">
        <v>25</v>
      </c>
      <c r="E13" s="8">
        <v>23</v>
      </c>
      <c r="F13" s="9">
        <v>12</v>
      </c>
      <c r="G13" s="10">
        <v>25</v>
      </c>
      <c r="H13" s="11">
        <v>0</v>
      </c>
    </row>
    <row r="14" spans="1:8" x14ac:dyDescent="0.25">
      <c r="A14" s="1">
        <f t="shared" ca="1" si="0"/>
        <v>7315</v>
      </c>
      <c r="B14" s="5">
        <v>748</v>
      </c>
      <c r="C14" s="6">
        <v>746.8</v>
      </c>
      <c r="D14" s="7">
        <v>25.5</v>
      </c>
      <c r="E14" s="8">
        <v>23</v>
      </c>
      <c r="F14" s="9">
        <v>18</v>
      </c>
      <c r="G14" s="10">
        <v>0</v>
      </c>
      <c r="H14" s="11">
        <v>0</v>
      </c>
    </row>
    <row r="15" spans="1:8" x14ac:dyDescent="0.25">
      <c r="A15" s="1">
        <f t="shared" ca="1" si="0"/>
        <v>7316</v>
      </c>
      <c r="B15" s="5">
        <v>748</v>
      </c>
      <c r="C15" s="6">
        <v>747</v>
      </c>
      <c r="D15" s="7">
        <v>26</v>
      </c>
      <c r="E15" s="8">
        <v>24</v>
      </c>
      <c r="F15" s="9">
        <v>0</v>
      </c>
      <c r="G15" s="10">
        <v>0</v>
      </c>
      <c r="H15" s="11">
        <v>0</v>
      </c>
    </row>
    <row r="16" spans="1:8" x14ac:dyDescent="0.25">
      <c r="A16" s="1">
        <f t="shared" ca="1" si="0"/>
        <v>7317</v>
      </c>
      <c r="B16" s="5">
        <v>747.4</v>
      </c>
      <c r="C16" s="6">
        <v>747.1</v>
      </c>
      <c r="D16" s="7">
        <v>27</v>
      </c>
      <c r="E16" s="8">
        <v>24</v>
      </c>
      <c r="F16" s="9">
        <v>34</v>
      </c>
      <c r="G16" s="10">
        <v>0</v>
      </c>
      <c r="H16" s="11">
        <v>68</v>
      </c>
    </row>
    <row r="17" spans="1:8" x14ac:dyDescent="0.25">
      <c r="A17" s="1">
        <f t="shared" ca="1" si="0"/>
        <v>7318</v>
      </c>
      <c r="B17" s="5">
        <v>749</v>
      </c>
      <c r="C17" s="6">
        <v>748.6</v>
      </c>
      <c r="D17" s="7">
        <v>27</v>
      </c>
      <c r="E17" s="8">
        <v>24</v>
      </c>
      <c r="F17" s="9">
        <v>0</v>
      </c>
      <c r="G17" s="10">
        <v>0</v>
      </c>
      <c r="H17" s="11">
        <v>0</v>
      </c>
    </row>
    <row r="18" spans="1:8" x14ac:dyDescent="0.25">
      <c r="A18" s="1">
        <f t="shared" ca="1" si="0"/>
        <v>7319</v>
      </c>
      <c r="B18" s="5">
        <v>749</v>
      </c>
      <c r="C18" s="6">
        <v>747.5</v>
      </c>
      <c r="D18" s="7">
        <v>27</v>
      </c>
      <c r="E18" s="8">
        <v>24</v>
      </c>
      <c r="F18" s="9">
        <v>0</v>
      </c>
      <c r="G18" s="10">
        <v>65</v>
      </c>
      <c r="H18" s="11">
        <v>0</v>
      </c>
    </row>
    <row r="19" spans="1:8" x14ac:dyDescent="0.25">
      <c r="A19" s="1">
        <f t="shared" ca="1" si="0"/>
        <v>7320</v>
      </c>
      <c r="B19" s="5">
        <v>749</v>
      </c>
      <c r="C19" s="6">
        <v>747.7</v>
      </c>
      <c r="D19" s="7">
        <v>25</v>
      </c>
      <c r="E19" s="8">
        <v>24</v>
      </c>
      <c r="F19" s="9">
        <v>0</v>
      </c>
      <c r="G19" s="10">
        <v>0</v>
      </c>
      <c r="H19" s="11">
        <v>0</v>
      </c>
    </row>
    <row r="20" spans="1:8" x14ac:dyDescent="0.25">
      <c r="A20" s="1">
        <f t="shared" ca="1" si="0"/>
        <v>7321</v>
      </c>
      <c r="B20" s="5">
        <v>749</v>
      </c>
      <c r="C20" s="6">
        <v>748</v>
      </c>
      <c r="D20" s="7">
        <v>27</v>
      </c>
      <c r="E20" s="8">
        <v>24</v>
      </c>
      <c r="F20" s="9">
        <v>35</v>
      </c>
      <c r="G20" s="10">
        <v>0</v>
      </c>
      <c r="H20" s="11">
        <v>0</v>
      </c>
    </row>
    <row r="21" spans="1:8" x14ac:dyDescent="0.25">
      <c r="A21" s="1">
        <f t="shared" ca="1" si="0"/>
        <v>7322</v>
      </c>
      <c r="B21" s="5">
        <v>750</v>
      </c>
      <c r="C21" s="6">
        <v>749.7</v>
      </c>
      <c r="D21" s="7">
        <v>25.5</v>
      </c>
      <c r="E21" s="8">
        <v>24</v>
      </c>
      <c r="F21" s="9">
        <v>0</v>
      </c>
      <c r="G21" s="10">
        <v>0</v>
      </c>
      <c r="H21" s="11">
        <v>65</v>
      </c>
    </row>
    <row r="22" spans="1:8" x14ac:dyDescent="0.25">
      <c r="A22" s="1">
        <f t="shared" ca="1" si="0"/>
        <v>7323</v>
      </c>
      <c r="B22" s="5">
        <v>750</v>
      </c>
      <c r="C22" s="6">
        <v>749.2</v>
      </c>
      <c r="D22" s="7">
        <v>26</v>
      </c>
      <c r="E22" s="8">
        <v>24</v>
      </c>
      <c r="F22" s="9">
        <v>65</v>
      </c>
      <c r="G22" s="10">
        <v>0</v>
      </c>
      <c r="H22" s="11">
        <v>0</v>
      </c>
    </row>
    <row r="23" spans="1:8" x14ac:dyDescent="0.25">
      <c r="A23" s="1">
        <f t="shared" ca="1" si="0"/>
        <v>7324</v>
      </c>
      <c r="B23" s="5">
        <v>750</v>
      </c>
      <c r="C23" s="6">
        <v>749</v>
      </c>
      <c r="D23" s="7">
        <v>26.8</v>
      </c>
      <c r="E23" s="8">
        <v>23.8</v>
      </c>
      <c r="F23" s="9">
        <v>42</v>
      </c>
      <c r="G23" s="10">
        <v>78</v>
      </c>
      <c r="H23" s="11">
        <v>82</v>
      </c>
    </row>
    <row r="24" spans="1:8" x14ac:dyDescent="0.25">
      <c r="A24" s="1">
        <f t="shared" ca="1" si="0"/>
        <v>7325</v>
      </c>
      <c r="B24" s="5">
        <v>750</v>
      </c>
      <c r="C24" s="6">
        <v>749</v>
      </c>
      <c r="D24" s="7">
        <v>26</v>
      </c>
      <c r="E24" s="8">
        <v>23.3</v>
      </c>
      <c r="F24" s="9">
        <v>0</v>
      </c>
      <c r="G24" s="10">
        <v>0</v>
      </c>
      <c r="H24" s="11">
        <v>70</v>
      </c>
    </row>
    <row r="25" spans="1:8" x14ac:dyDescent="0.25">
      <c r="A25" s="1">
        <f t="shared" ca="1" si="0"/>
        <v>7326</v>
      </c>
      <c r="B25" s="5">
        <v>751</v>
      </c>
      <c r="C25" s="6">
        <v>749</v>
      </c>
      <c r="D25" s="7">
        <v>25</v>
      </c>
      <c r="E25" s="8">
        <v>23</v>
      </c>
      <c r="F25" s="9">
        <v>56</v>
      </c>
      <c r="G25" s="10">
        <v>0</v>
      </c>
      <c r="H25" s="11">
        <v>48</v>
      </c>
    </row>
    <row r="26" spans="1:8" x14ac:dyDescent="0.25">
      <c r="A26" s="1">
        <f t="shared" ca="1" si="0"/>
        <v>7327</v>
      </c>
      <c r="B26" s="5">
        <v>750.7</v>
      </c>
      <c r="C26" s="6">
        <v>749</v>
      </c>
      <c r="D26" s="7">
        <v>24</v>
      </c>
      <c r="E26" s="8">
        <v>23</v>
      </c>
      <c r="F26" s="9">
        <v>127</v>
      </c>
      <c r="G26" s="10">
        <v>119</v>
      </c>
      <c r="H26" s="11">
        <v>0</v>
      </c>
    </row>
    <row r="27" spans="1:8" x14ac:dyDescent="0.25">
      <c r="A27" s="1">
        <f t="shared" ca="1" si="0"/>
        <v>7328</v>
      </c>
      <c r="B27" s="5">
        <v>750.6</v>
      </c>
      <c r="C27" s="6">
        <v>749.5</v>
      </c>
      <c r="D27" s="7">
        <v>25.5</v>
      </c>
      <c r="E27" s="8">
        <v>23.5</v>
      </c>
      <c r="F27" s="9">
        <v>17</v>
      </c>
      <c r="G27" s="10">
        <v>10</v>
      </c>
      <c r="H27" s="11">
        <v>160</v>
      </c>
    </row>
    <row r="28" spans="1:8" x14ac:dyDescent="0.25">
      <c r="A28" s="1">
        <f t="shared" ca="1" si="0"/>
        <v>7329</v>
      </c>
      <c r="B28" s="5">
        <v>750</v>
      </c>
      <c r="C28" s="6">
        <v>749</v>
      </c>
      <c r="D28" s="7">
        <v>27</v>
      </c>
      <c r="E28" s="8">
        <v>24</v>
      </c>
      <c r="F28" s="9">
        <v>18</v>
      </c>
      <c r="G28" s="10">
        <v>10</v>
      </c>
      <c r="H28" s="11">
        <v>0</v>
      </c>
    </row>
    <row r="29" spans="1:8" x14ac:dyDescent="0.25">
      <c r="A29" s="1">
        <f t="shared" ca="1" si="0"/>
        <v>7330</v>
      </c>
      <c r="B29" s="5">
        <v>750</v>
      </c>
      <c r="C29" s="6">
        <v>749</v>
      </c>
      <c r="D29" s="7">
        <v>27</v>
      </c>
      <c r="E29" s="8">
        <v>24</v>
      </c>
      <c r="F29" s="9">
        <v>102</v>
      </c>
      <c r="G29" s="10">
        <v>120</v>
      </c>
      <c r="H29" s="11">
        <v>0</v>
      </c>
    </row>
    <row r="30" spans="1:8" x14ac:dyDescent="0.25">
      <c r="A30" s="1">
        <f t="shared" ca="1" si="0"/>
        <v>7331</v>
      </c>
      <c r="B30" s="5">
        <v>750</v>
      </c>
      <c r="C30" s="6">
        <v>749</v>
      </c>
      <c r="D30" s="7">
        <v>25</v>
      </c>
      <c r="E30" s="8">
        <v>23</v>
      </c>
      <c r="F30" s="9">
        <v>11</v>
      </c>
      <c r="G30" s="10">
        <v>10</v>
      </c>
      <c r="H30" s="11">
        <v>80</v>
      </c>
    </row>
    <row r="31" spans="1:8" x14ac:dyDescent="0.25">
      <c r="A31" s="1">
        <f t="shared" ca="1" si="0"/>
        <v>7332</v>
      </c>
      <c r="B31" s="5">
        <v>750</v>
      </c>
      <c r="C31" s="6">
        <v>749.5</v>
      </c>
      <c r="D31" s="7">
        <v>25.8</v>
      </c>
      <c r="E31" s="8">
        <v>24</v>
      </c>
      <c r="F31" s="9">
        <v>24</v>
      </c>
      <c r="G31" s="10">
        <v>10</v>
      </c>
      <c r="H31" s="11">
        <v>70</v>
      </c>
    </row>
    <row r="32" spans="1:8" x14ac:dyDescent="0.25">
      <c r="A32" s="1">
        <f t="shared" ca="1" si="0"/>
        <v>7333</v>
      </c>
      <c r="B32" s="5">
        <v>750</v>
      </c>
      <c r="C32" s="6">
        <v>748.7</v>
      </c>
      <c r="D32" s="7">
        <v>26</v>
      </c>
      <c r="E32" s="8">
        <v>23.5</v>
      </c>
      <c r="F32" s="9">
        <v>16</v>
      </c>
      <c r="G32" s="10">
        <v>15</v>
      </c>
      <c r="H32" s="11">
        <v>0</v>
      </c>
    </row>
    <row r="33" spans="1:8" x14ac:dyDescent="0.25">
      <c r="A33" s="1">
        <f t="shared" ca="1" si="0"/>
        <v>7334</v>
      </c>
      <c r="B33" s="5">
        <v>749</v>
      </c>
      <c r="C33" s="6">
        <v>748.5</v>
      </c>
      <c r="D33" s="7">
        <v>27.5</v>
      </c>
      <c r="E33" s="8">
        <v>23.8</v>
      </c>
      <c r="F33" s="9">
        <v>27</v>
      </c>
      <c r="G33" s="10">
        <v>0</v>
      </c>
      <c r="H33" s="11">
        <v>0</v>
      </c>
    </row>
    <row r="34" spans="1:8" x14ac:dyDescent="0.25">
      <c r="A34" s="1">
        <f t="shared" ca="1" si="0"/>
        <v>7335</v>
      </c>
      <c r="B34" s="5">
        <v>748.6</v>
      </c>
      <c r="C34" s="6">
        <v>747.5</v>
      </c>
      <c r="D34" s="7">
        <v>23.8</v>
      </c>
      <c r="E34" s="8">
        <v>23</v>
      </c>
      <c r="F34" s="9">
        <v>19</v>
      </c>
      <c r="G34" s="10">
        <v>14</v>
      </c>
      <c r="H34" s="11">
        <v>0</v>
      </c>
    </row>
    <row r="35" spans="1:8" x14ac:dyDescent="0.25">
      <c r="A35" s="1">
        <f t="shared" ca="1" si="0"/>
        <v>7336</v>
      </c>
      <c r="B35" s="5">
        <v>748</v>
      </c>
      <c r="C35" s="6">
        <v>747.2</v>
      </c>
      <c r="D35" s="7">
        <v>27.5</v>
      </c>
      <c r="E35" s="8">
        <v>24</v>
      </c>
      <c r="F35" s="9">
        <v>67</v>
      </c>
      <c r="G35" s="10">
        <v>72</v>
      </c>
      <c r="H35" s="11">
        <v>60</v>
      </c>
    </row>
    <row r="36" spans="1:8" x14ac:dyDescent="0.25">
      <c r="A36" s="1" t="str">
        <f t="shared" ca="1" si="0"/>
        <v>Totaal</v>
      </c>
      <c r="B36" s="28">
        <f>IF(COUNT(B5:B35)&gt;0,AVERAGE(B5:B35),"")</f>
        <v>749.20322580645143</v>
      </c>
      <c r="C36" s="29">
        <f t="shared" ref="C36:E36" si="1">IF(COUNT(C5:C35)&gt;0,AVERAGE(C5:C35),"")</f>
        <v>748.26451612903236</v>
      </c>
      <c r="D36" s="30">
        <f t="shared" si="1"/>
        <v>26.216129032258063</v>
      </c>
      <c r="E36" s="31">
        <f t="shared" si="1"/>
        <v>23.861290322580647</v>
      </c>
      <c r="F36" s="32">
        <f>SUM(F5:F35)/10</f>
        <v>88</v>
      </c>
      <c r="G36" s="33">
        <f>SUM(G5:G35)/10</f>
        <v>61.2</v>
      </c>
      <c r="H36" s="34">
        <f>SUM(H5:H35)/10</f>
        <v>70.3</v>
      </c>
    </row>
    <row r="37" spans="1:8" x14ac:dyDescent="0.25">
      <c r="A37" s="1">
        <f t="shared" ca="1" si="0"/>
        <v>7337</v>
      </c>
      <c r="B37" s="5">
        <v>747</v>
      </c>
      <c r="C37" s="6">
        <v>746.5</v>
      </c>
      <c r="D37" s="7">
        <v>26</v>
      </c>
      <c r="E37" s="8">
        <v>24</v>
      </c>
      <c r="F37" s="9">
        <v>81</v>
      </c>
      <c r="G37" s="10">
        <v>10</v>
      </c>
      <c r="H37" s="11">
        <v>0</v>
      </c>
    </row>
    <row r="38" spans="1:8" x14ac:dyDescent="0.25">
      <c r="A38" s="1">
        <f t="shared" ca="1" si="0"/>
        <v>7338</v>
      </c>
      <c r="B38" s="5">
        <v>747.7</v>
      </c>
      <c r="C38" s="6">
        <v>747.2</v>
      </c>
      <c r="D38" s="7">
        <v>26.5</v>
      </c>
      <c r="E38" s="8">
        <v>24</v>
      </c>
      <c r="F38" s="9">
        <v>0</v>
      </c>
      <c r="G38" s="10">
        <v>51</v>
      </c>
      <c r="H38" s="11">
        <v>0</v>
      </c>
    </row>
    <row r="39" spans="1:8" x14ac:dyDescent="0.25">
      <c r="A39" s="1">
        <f t="shared" ca="1" si="0"/>
        <v>7339</v>
      </c>
      <c r="B39" s="5">
        <v>748</v>
      </c>
      <c r="C39" s="6">
        <v>747</v>
      </c>
      <c r="D39" s="7">
        <v>26.8</v>
      </c>
      <c r="E39" s="8">
        <v>24</v>
      </c>
      <c r="F39" s="9">
        <v>0</v>
      </c>
      <c r="G39" s="10">
        <v>21</v>
      </c>
      <c r="H39" s="11">
        <v>0</v>
      </c>
    </row>
    <row r="40" spans="1:8" x14ac:dyDescent="0.25">
      <c r="A40" s="1">
        <f t="shared" ca="1" si="0"/>
        <v>7340</v>
      </c>
      <c r="B40" s="5">
        <v>747</v>
      </c>
      <c r="C40" s="6">
        <v>746.5</v>
      </c>
      <c r="D40" s="7">
        <v>27</v>
      </c>
      <c r="E40" s="8">
        <v>23.3</v>
      </c>
      <c r="F40" s="9">
        <v>59</v>
      </c>
      <c r="G40" s="10">
        <v>42</v>
      </c>
      <c r="H40" s="11">
        <v>0</v>
      </c>
    </row>
    <row r="41" spans="1:8" x14ac:dyDescent="0.25">
      <c r="A41" s="1">
        <f t="shared" ca="1" si="0"/>
        <v>7341</v>
      </c>
      <c r="B41" s="5">
        <v>746</v>
      </c>
      <c r="C41" s="6">
        <v>745.5</v>
      </c>
      <c r="D41" s="7">
        <v>24</v>
      </c>
      <c r="E41" s="8">
        <v>23.8</v>
      </c>
      <c r="F41" s="9">
        <v>13</v>
      </c>
      <c r="G41" s="10">
        <v>0</v>
      </c>
      <c r="H41" s="11">
        <v>43</v>
      </c>
    </row>
    <row r="42" spans="1:8" x14ac:dyDescent="0.25">
      <c r="A42" s="1">
        <f t="shared" ca="1" si="0"/>
        <v>7342</v>
      </c>
      <c r="B42" s="5">
        <v>746</v>
      </c>
      <c r="C42" s="6">
        <v>745</v>
      </c>
      <c r="D42" s="7">
        <v>25.8</v>
      </c>
      <c r="E42" s="8">
        <v>23.8</v>
      </c>
      <c r="F42" s="9">
        <v>39</v>
      </c>
      <c r="G42" s="10">
        <v>0</v>
      </c>
      <c r="H42" s="11">
        <v>0</v>
      </c>
    </row>
    <row r="43" spans="1:8" x14ac:dyDescent="0.25">
      <c r="A43" s="1">
        <f t="shared" ca="1" si="0"/>
        <v>7343</v>
      </c>
      <c r="B43" s="5">
        <v>746.7</v>
      </c>
      <c r="C43" s="6">
        <v>746.5</v>
      </c>
      <c r="D43" s="7">
        <v>27</v>
      </c>
      <c r="E43" s="8">
        <v>24</v>
      </c>
      <c r="F43" s="9">
        <v>0</v>
      </c>
      <c r="G43" s="10">
        <v>0</v>
      </c>
      <c r="H43" s="11">
        <v>0</v>
      </c>
    </row>
    <row r="44" spans="1:8" x14ac:dyDescent="0.25">
      <c r="A44" s="1">
        <f t="shared" ca="1" si="0"/>
        <v>7344</v>
      </c>
      <c r="B44" s="5">
        <v>747.3</v>
      </c>
      <c r="C44" s="6">
        <v>746.5</v>
      </c>
      <c r="D44" s="7">
        <v>27</v>
      </c>
      <c r="E44" s="8">
        <v>24</v>
      </c>
      <c r="F44" s="9">
        <v>0</v>
      </c>
      <c r="G44" s="10">
        <v>15</v>
      </c>
      <c r="H44" s="11">
        <v>0</v>
      </c>
    </row>
    <row r="45" spans="1:8" x14ac:dyDescent="0.25">
      <c r="A45" s="1">
        <f t="shared" ca="1" si="0"/>
        <v>7345</v>
      </c>
      <c r="B45" s="5">
        <v>747.4</v>
      </c>
      <c r="C45" s="6">
        <v>746.8</v>
      </c>
      <c r="D45" s="7">
        <v>27</v>
      </c>
      <c r="E45" s="8">
        <v>24</v>
      </c>
      <c r="F45" s="9">
        <v>0</v>
      </c>
      <c r="G45" s="10">
        <v>0</v>
      </c>
      <c r="H45" s="11">
        <v>0</v>
      </c>
    </row>
    <row r="46" spans="1:8" x14ac:dyDescent="0.25">
      <c r="A46" s="1">
        <f t="shared" ca="1" si="0"/>
        <v>7346</v>
      </c>
      <c r="B46" s="5">
        <v>748</v>
      </c>
      <c r="C46" s="6">
        <v>747</v>
      </c>
      <c r="D46" s="7">
        <v>26</v>
      </c>
      <c r="E46" s="8">
        <v>24</v>
      </c>
      <c r="F46" s="9">
        <v>0</v>
      </c>
      <c r="G46" s="10">
        <v>238</v>
      </c>
      <c r="H46" s="11">
        <v>0</v>
      </c>
    </row>
    <row r="47" spans="1:8" x14ac:dyDescent="0.25">
      <c r="A47" s="1">
        <f t="shared" ca="1" si="0"/>
        <v>7347</v>
      </c>
      <c r="B47" s="5">
        <v>747.5</v>
      </c>
      <c r="C47" s="6">
        <v>746.7</v>
      </c>
      <c r="D47" s="7">
        <v>25</v>
      </c>
      <c r="E47" s="8">
        <v>23</v>
      </c>
      <c r="F47" s="9">
        <v>128</v>
      </c>
      <c r="G47" s="10">
        <v>0</v>
      </c>
      <c r="H47" s="11">
        <v>68</v>
      </c>
    </row>
    <row r="48" spans="1:8" x14ac:dyDescent="0.25">
      <c r="A48" s="1">
        <f t="shared" ca="1" si="0"/>
        <v>7348</v>
      </c>
      <c r="B48" s="5">
        <v>748.5</v>
      </c>
      <c r="C48" s="6">
        <v>747.7</v>
      </c>
      <c r="D48" s="7">
        <v>28</v>
      </c>
      <c r="E48" s="8">
        <v>24</v>
      </c>
      <c r="F48" s="9">
        <v>31</v>
      </c>
      <c r="G48" s="10">
        <v>0</v>
      </c>
      <c r="H48" s="11">
        <v>0</v>
      </c>
    </row>
    <row r="49" spans="1:8" x14ac:dyDescent="0.25">
      <c r="A49" s="1">
        <f t="shared" ca="1" si="0"/>
        <v>7349</v>
      </c>
      <c r="B49" s="5">
        <v>750</v>
      </c>
      <c r="C49" s="6">
        <v>749.5</v>
      </c>
      <c r="D49" s="7">
        <v>27</v>
      </c>
      <c r="E49" s="8">
        <v>24.5</v>
      </c>
      <c r="F49" s="9">
        <v>16</v>
      </c>
      <c r="G49" s="10">
        <v>0</v>
      </c>
      <c r="H49" s="11">
        <v>0</v>
      </c>
    </row>
    <row r="50" spans="1:8" x14ac:dyDescent="0.25">
      <c r="A50" s="1">
        <f t="shared" ca="1" si="0"/>
        <v>7350</v>
      </c>
      <c r="B50" s="5">
        <v>750</v>
      </c>
      <c r="C50" s="6">
        <v>748.2</v>
      </c>
      <c r="D50" s="7">
        <v>26</v>
      </c>
      <c r="E50" s="8">
        <v>23</v>
      </c>
      <c r="F50" s="9">
        <v>17</v>
      </c>
      <c r="G50" s="10">
        <v>25</v>
      </c>
      <c r="H50" s="11">
        <v>0</v>
      </c>
    </row>
    <row r="51" spans="1:8" x14ac:dyDescent="0.25">
      <c r="A51" s="1">
        <f t="shared" ca="1" si="0"/>
        <v>7351</v>
      </c>
      <c r="B51" s="5">
        <v>749</v>
      </c>
      <c r="C51" s="6">
        <v>748</v>
      </c>
      <c r="D51" s="7">
        <v>26</v>
      </c>
      <c r="E51" s="8">
        <v>24</v>
      </c>
      <c r="F51" s="9"/>
      <c r="G51" s="10">
        <v>11</v>
      </c>
      <c r="H51" s="11">
        <v>0</v>
      </c>
    </row>
    <row r="52" spans="1:8" x14ac:dyDescent="0.25">
      <c r="A52" s="1">
        <f t="shared" ca="1" si="0"/>
        <v>7352</v>
      </c>
      <c r="B52" s="5">
        <v>748</v>
      </c>
      <c r="C52" s="6">
        <v>747.2</v>
      </c>
      <c r="D52" s="7">
        <v>28</v>
      </c>
      <c r="E52" s="8">
        <v>24.5</v>
      </c>
      <c r="F52" s="42">
        <v>22</v>
      </c>
      <c r="G52" s="10">
        <v>0</v>
      </c>
      <c r="H52" s="11">
        <v>0</v>
      </c>
    </row>
    <row r="53" spans="1:8" x14ac:dyDescent="0.25">
      <c r="A53" s="1">
        <f t="shared" ca="1" si="0"/>
        <v>7353</v>
      </c>
      <c r="B53" s="5">
        <v>747</v>
      </c>
      <c r="C53" s="6">
        <v>746.9</v>
      </c>
      <c r="D53" s="7">
        <v>27</v>
      </c>
      <c r="E53" s="8">
        <v>24</v>
      </c>
      <c r="F53" s="9">
        <v>0</v>
      </c>
      <c r="G53" s="10">
        <v>0</v>
      </c>
      <c r="H53" s="11">
        <v>0</v>
      </c>
    </row>
    <row r="54" spans="1:8" x14ac:dyDescent="0.25">
      <c r="A54" s="1">
        <f t="shared" ca="1" si="0"/>
        <v>7354</v>
      </c>
      <c r="B54" s="5">
        <v>748</v>
      </c>
      <c r="C54" s="6">
        <v>747.3</v>
      </c>
      <c r="D54" s="7">
        <v>27</v>
      </c>
      <c r="E54" s="8">
        <v>24.5</v>
      </c>
      <c r="F54" s="9">
        <v>0</v>
      </c>
      <c r="G54" s="10">
        <v>0</v>
      </c>
      <c r="H54" s="11">
        <v>0</v>
      </c>
    </row>
    <row r="55" spans="1:8" x14ac:dyDescent="0.25">
      <c r="A55" s="1">
        <f t="shared" ca="1" si="0"/>
        <v>7355</v>
      </c>
      <c r="B55" s="5">
        <v>747.2</v>
      </c>
      <c r="C55" s="6">
        <v>746.9</v>
      </c>
      <c r="D55" s="7">
        <v>27</v>
      </c>
      <c r="E55" s="8">
        <v>24</v>
      </c>
      <c r="F55" s="9"/>
      <c r="G55" s="10">
        <v>0</v>
      </c>
      <c r="H55" s="11">
        <v>0</v>
      </c>
    </row>
    <row r="56" spans="1:8" x14ac:dyDescent="0.25">
      <c r="A56" s="1">
        <f t="shared" ca="1" si="0"/>
        <v>7356</v>
      </c>
      <c r="B56" s="5">
        <v>749</v>
      </c>
      <c r="C56" s="6">
        <v>748</v>
      </c>
      <c r="D56" s="7">
        <v>27</v>
      </c>
      <c r="E56" s="8">
        <v>24</v>
      </c>
      <c r="F56" s="42">
        <v>7</v>
      </c>
      <c r="G56" s="10">
        <v>0</v>
      </c>
      <c r="H56" s="11">
        <v>0</v>
      </c>
    </row>
    <row r="57" spans="1:8" x14ac:dyDescent="0.25">
      <c r="A57" s="1">
        <f t="shared" ca="1" si="0"/>
        <v>7357</v>
      </c>
      <c r="B57" s="5">
        <v>748</v>
      </c>
      <c r="C57" s="6">
        <v>747.6</v>
      </c>
      <c r="D57" s="7">
        <v>27.3</v>
      </c>
      <c r="E57" s="8">
        <v>24.5</v>
      </c>
      <c r="F57" s="9">
        <v>0</v>
      </c>
      <c r="G57" s="10">
        <v>0</v>
      </c>
      <c r="H57" s="11">
        <v>0</v>
      </c>
    </row>
    <row r="58" spans="1:8" x14ac:dyDescent="0.25">
      <c r="A58" s="1">
        <f t="shared" ca="1" si="0"/>
        <v>7358</v>
      </c>
      <c r="B58" s="5">
        <v>745</v>
      </c>
      <c r="C58" s="6">
        <v>744</v>
      </c>
      <c r="D58" s="7">
        <v>24</v>
      </c>
      <c r="E58" s="8">
        <v>23</v>
      </c>
      <c r="F58" s="9">
        <v>0</v>
      </c>
      <c r="G58" s="10">
        <v>236</v>
      </c>
      <c r="H58" s="11">
        <v>120</v>
      </c>
    </row>
    <row r="59" spans="1:8" x14ac:dyDescent="0.25">
      <c r="A59" s="1">
        <f t="shared" ca="1" si="0"/>
        <v>7359</v>
      </c>
      <c r="B59" s="5">
        <v>744</v>
      </c>
      <c r="C59" s="6">
        <v>743.6</v>
      </c>
      <c r="D59" s="7">
        <v>26</v>
      </c>
      <c r="E59" s="8">
        <v>23</v>
      </c>
      <c r="F59" s="9">
        <v>200</v>
      </c>
      <c r="G59" s="10">
        <v>28</v>
      </c>
      <c r="H59" s="11">
        <v>190</v>
      </c>
    </row>
    <row r="60" spans="1:8" x14ac:dyDescent="0.25">
      <c r="A60" s="1">
        <f t="shared" ca="1" si="0"/>
        <v>7360</v>
      </c>
      <c r="B60" s="5">
        <v>746</v>
      </c>
      <c r="C60" s="6">
        <v>745.7</v>
      </c>
      <c r="D60" s="7">
        <v>27.5</v>
      </c>
      <c r="E60" s="8">
        <v>24</v>
      </c>
      <c r="F60" s="9">
        <v>10</v>
      </c>
      <c r="G60" s="10">
        <v>0</v>
      </c>
      <c r="H60" s="11">
        <v>0</v>
      </c>
    </row>
    <row r="61" spans="1:8" x14ac:dyDescent="0.25">
      <c r="A61" s="1">
        <f t="shared" ca="1" si="0"/>
        <v>7361</v>
      </c>
      <c r="B61" s="5">
        <v>747.2</v>
      </c>
      <c r="C61" s="6">
        <v>747</v>
      </c>
      <c r="D61" s="7">
        <v>29</v>
      </c>
      <c r="E61" s="8">
        <v>25.5</v>
      </c>
      <c r="F61" s="9">
        <v>0</v>
      </c>
      <c r="G61" s="10">
        <v>0</v>
      </c>
      <c r="H61" s="11">
        <v>0</v>
      </c>
    </row>
    <row r="62" spans="1:8" x14ac:dyDescent="0.25">
      <c r="A62" s="1">
        <f t="shared" ca="1" si="0"/>
        <v>7362</v>
      </c>
      <c r="B62" s="5">
        <v>749</v>
      </c>
      <c r="C62" s="6">
        <v>748.7</v>
      </c>
      <c r="D62" s="7">
        <v>29</v>
      </c>
      <c r="E62" s="8">
        <v>26</v>
      </c>
      <c r="F62" s="9">
        <v>0</v>
      </c>
      <c r="G62" s="10">
        <v>0</v>
      </c>
      <c r="H62" s="11">
        <v>0</v>
      </c>
    </row>
    <row r="63" spans="1:8" x14ac:dyDescent="0.25">
      <c r="A63" s="1">
        <f t="shared" ca="1" si="0"/>
        <v>7363</v>
      </c>
      <c r="B63" s="5">
        <v>751</v>
      </c>
      <c r="C63" s="6">
        <v>750</v>
      </c>
      <c r="D63" s="7">
        <v>27</v>
      </c>
      <c r="E63" s="8">
        <v>25</v>
      </c>
      <c r="F63" s="9">
        <v>0</v>
      </c>
      <c r="G63" s="10">
        <v>3</v>
      </c>
      <c r="H63" s="11">
        <v>0</v>
      </c>
    </row>
    <row r="64" spans="1:8" x14ac:dyDescent="0.25">
      <c r="A64" s="1">
        <f t="shared" ca="1" si="0"/>
        <v>7364</v>
      </c>
      <c r="B64" s="5">
        <v>750</v>
      </c>
      <c r="C64" s="6">
        <v>749.7</v>
      </c>
      <c r="D64" s="7">
        <v>28</v>
      </c>
      <c r="E64" s="8">
        <v>24</v>
      </c>
      <c r="F64" s="9">
        <v>0</v>
      </c>
      <c r="G64" s="10">
        <v>0</v>
      </c>
      <c r="H64" s="11">
        <v>0</v>
      </c>
    </row>
    <row r="65" spans="1:8" x14ac:dyDescent="0.25">
      <c r="A65" s="1">
        <f t="shared" ca="1" si="0"/>
        <v>7365</v>
      </c>
      <c r="B65" s="5">
        <v>748</v>
      </c>
      <c r="C65" s="6">
        <v>747</v>
      </c>
      <c r="D65" s="7">
        <v>28</v>
      </c>
      <c r="E65" s="8">
        <v>25</v>
      </c>
      <c r="F65" s="9">
        <v>0</v>
      </c>
      <c r="G65" s="10">
        <v>0</v>
      </c>
      <c r="H65" s="11">
        <v>0</v>
      </c>
    </row>
    <row r="66" spans="1:8" x14ac:dyDescent="0.25">
      <c r="A66" s="1" t="str">
        <f t="shared" ca="1" si="0"/>
        <v>Totaal</v>
      </c>
      <c r="B66" s="28">
        <f>IF(COUNT(B37:B65)&gt;0,AVERAGE(B37:B65),"")</f>
        <v>747.70689655172418</v>
      </c>
      <c r="C66" s="29">
        <f t="shared" ref="C66:E66" si="2">IF(COUNT(C37:C65)&gt;0,AVERAGE(C37:C65),"")</f>
        <v>747.04137931034484</v>
      </c>
      <c r="D66" s="30">
        <f t="shared" si="2"/>
        <v>26.789655172413791</v>
      </c>
      <c r="E66" s="31">
        <f t="shared" si="2"/>
        <v>24.082758620689653</v>
      </c>
      <c r="F66" s="32">
        <f>SUM(F37:F65)/10</f>
        <v>62.3</v>
      </c>
      <c r="G66" s="33">
        <f>SUM(G37:G65)/10</f>
        <v>68</v>
      </c>
      <c r="H66" s="34">
        <f>SUM(H37:H65)/10</f>
        <v>42.1</v>
      </c>
    </row>
    <row r="67" spans="1:8" x14ac:dyDescent="0.25">
      <c r="A67" s="1">
        <f t="shared" ca="1" si="0"/>
        <v>7366</v>
      </c>
      <c r="B67" s="5">
        <v>746.5</v>
      </c>
      <c r="C67" s="6">
        <v>746.2</v>
      </c>
      <c r="D67" s="7">
        <v>27.8</v>
      </c>
      <c r="E67" s="8">
        <v>25</v>
      </c>
      <c r="F67" s="9">
        <v>0</v>
      </c>
      <c r="G67" s="10">
        <v>0</v>
      </c>
      <c r="H67" s="11">
        <v>0</v>
      </c>
    </row>
    <row r="68" spans="1:8" x14ac:dyDescent="0.25">
      <c r="A68" s="1">
        <f t="shared" ca="1" si="0"/>
        <v>7367</v>
      </c>
      <c r="B68" s="5">
        <v>748</v>
      </c>
      <c r="C68" s="6">
        <v>747.8</v>
      </c>
      <c r="D68" s="7">
        <v>26.5</v>
      </c>
      <c r="E68" s="8">
        <v>26</v>
      </c>
      <c r="F68" s="9">
        <v>0</v>
      </c>
      <c r="G68" s="10">
        <v>14</v>
      </c>
      <c r="H68" s="11">
        <v>0</v>
      </c>
    </row>
    <row r="69" spans="1:8" x14ac:dyDescent="0.25">
      <c r="A69" s="1">
        <f t="shared" ca="1" si="0"/>
        <v>7368</v>
      </c>
      <c r="B69" s="5">
        <v>749</v>
      </c>
      <c r="C69" s="6">
        <v>748.3</v>
      </c>
      <c r="D69" s="7">
        <v>28.3</v>
      </c>
      <c r="E69" s="8">
        <v>25</v>
      </c>
      <c r="F69" s="9">
        <v>15</v>
      </c>
      <c r="G69" s="10">
        <v>0</v>
      </c>
      <c r="H69" s="11">
        <v>0</v>
      </c>
    </row>
    <row r="70" spans="1:8" x14ac:dyDescent="0.25">
      <c r="A70" s="1">
        <f t="shared" ca="1" si="0"/>
        <v>7369</v>
      </c>
      <c r="B70" s="5">
        <v>747</v>
      </c>
      <c r="C70" s="6">
        <v>746.4</v>
      </c>
      <c r="D70" s="7">
        <v>28</v>
      </c>
      <c r="E70" s="8">
        <v>24.8</v>
      </c>
      <c r="F70" s="9">
        <v>0</v>
      </c>
      <c r="G70" s="10">
        <v>0</v>
      </c>
      <c r="H70" s="11">
        <v>110</v>
      </c>
    </row>
    <row r="71" spans="1:8" x14ac:dyDescent="0.25">
      <c r="A71" s="1">
        <f t="shared" ref="A71:A134" ca="1" si="3">IF(ISTEXT(A70),A69+1,IF(MONTH(A70+1)=MONTH(A70),A70+1,"Totaal"))</f>
        <v>7370</v>
      </c>
      <c r="B71" s="5">
        <v>746</v>
      </c>
      <c r="C71" s="6">
        <v>745.7</v>
      </c>
      <c r="D71" s="7">
        <v>27.3</v>
      </c>
      <c r="E71" s="8">
        <v>25</v>
      </c>
      <c r="F71" s="9">
        <v>0</v>
      </c>
      <c r="G71" s="10">
        <v>0</v>
      </c>
      <c r="H71" s="11">
        <v>0</v>
      </c>
    </row>
    <row r="72" spans="1:8" x14ac:dyDescent="0.25">
      <c r="A72" s="1">
        <f t="shared" ca="1" si="3"/>
        <v>7371</v>
      </c>
      <c r="B72" s="5">
        <v>748</v>
      </c>
      <c r="C72" s="6">
        <v>747.8</v>
      </c>
      <c r="D72" s="7">
        <v>28.3</v>
      </c>
      <c r="E72" s="8">
        <v>25.5</v>
      </c>
      <c r="F72" s="9">
        <v>0</v>
      </c>
      <c r="G72" s="10">
        <v>0</v>
      </c>
      <c r="H72" s="11">
        <v>0</v>
      </c>
    </row>
    <row r="73" spans="1:8" x14ac:dyDescent="0.25">
      <c r="A73" s="1">
        <f t="shared" ca="1" si="3"/>
        <v>7372</v>
      </c>
      <c r="B73" s="5">
        <v>748.5</v>
      </c>
      <c r="C73" s="6">
        <v>747</v>
      </c>
      <c r="D73" s="7">
        <v>27</v>
      </c>
      <c r="E73" s="8">
        <v>24</v>
      </c>
      <c r="F73" s="9">
        <v>0</v>
      </c>
      <c r="G73" s="10">
        <v>0</v>
      </c>
      <c r="H73" s="11">
        <v>0</v>
      </c>
    </row>
    <row r="74" spans="1:8" x14ac:dyDescent="0.25">
      <c r="A74" s="1">
        <f t="shared" ca="1" si="3"/>
        <v>7373</v>
      </c>
      <c r="B74" s="5">
        <v>747</v>
      </c>
      <c r="C74" s="6">
        <v>746.4</v>
      </c>
      <c r="D74" s="7">
        <v>26.5</v>
      </c>
      <c r="E74" s="8">
        <v>23.8</v>
      </c>
      <c r="F74" s="9">
        <v>15</v>
      </c>
      <c r="G74" s="10">
        <v>25</v>
      </c>
      <c r="H74" s="11">
        <v>0</v>
      </c>
    </row>
    <row r="75" spans="1:8" x14ac:dyDescent="0.25">
      <c r="A75" s="1">
        <f t="shared" ca="1" si="3"/>
        <v>7374</v>
      </c>
      <c r="B75" s="5">
        <v>751</v>
      </c>
      <c r="C75" s="6">
        <v>750</v>
      </c>
      <c r="D75" s="7">
        <v>27.5</v>
      </c>
      <c r="E75" s="8">
        <v>24.5</v>
      </c>
      <c r="F75" s="9">
        <v>10</v>
      </c>
      <c r="G75" s="10">
        <v>0</v>
      </c>
      <c r="H75" s="11">
        <v>0</v>
      </c>
    </row>
    <row r="76" spans="1:8" x14ac:dyDescent="0.25">
      <c r="A76" s="1">
        <f t="shared" ca="1" si="3"/>
        <v>7375</v>
      </c>
      <c r="B76" s="5">
        <v>750</v>
      </c>
      <c r="C76" s="6">
        <v>749</v>
      </c>
      <c r="D76" s="7">
        <v>27</v>
      </c>
      <c r="E76" s="8">
        <v>24</v>
      </c>
      <c r="F76" s="9">
        <v>12</v>
      </c>
      <c r="G76" s="10">
        <v>13</v>
      </c>
      <c r="H76" s="11">
        <v>78</v>
      </c>
    </row>
    <row r="77" spans="1:8" x14ac:dyDescent="0.25">
      <c r="A77" s="1">
        <f t="shared" ca="1" si="3"/>
        <v>7376</v>
      </c>
      <c r="B77" s="5">
        <v>750</v>
      </c>
      <c r="C77" s="6">
        <v>749</v>
      </c>
      <c r="D77" s="7">
        <v>26</v>
      </c>
      <c r="E77" s="8">
        <v>23</v>
      </c>
      <c r="F77" s="9">
        <v>32</v>
      </c>
      <c r="G77" s="10">
        <v>17</v>
      </c>
      <c r="H77" s="11">
        <v>0</v>
      </c>
    </row>
    <row r="78" spans="1:8" x14ac:dyDescent="0.25">
      <c r="A78" s="1">
        <f t="shared" ca="1" si="3"/>
        <v>7377</v>
      </c>
      <c r="B78" s="5">
        <v>749.5</v>
      </c>
      <c r="C78" s="6">
        <v>749</v>
      </c>
      <c r="D78" s="7">
        <v>27.3</v>
      </c>
      <c r="E78" s="8">
        <v>24</v>
      </c>
      <c r="F78" s="9">
        <v>16</v>
      </c>
      <c r="G78" s="10">
        <v>0</v>
      </c>
      <c r="H78" s="11">
        <v>0</v>
      </c>
    </row>
    <row r="79" spans="1:8" x14ac:dyDescent="0.25">
      <c r="A79" s="1">
        <f t="shared" ca="1" si="3"/>
        <v>7378</v>
      </c>
      <c r="B79" s="5">
        <v>748.5</v>
      </c>
      <c r="C79" s="6">
        <v>748</v>
      </c>
      <c r="D79" s="7">
        <v>26.8</v>
      </c>
      <c r="E79" s="8">
        <v>24</v>
      </c>
      <c r="F79" s="9">
        <v>5</v>
      </c>
      <c r="G79" s="10">
        <v>0</v>
      </c>
      <c r="H79" s="11">
        <v>0</v>
      </c>
    </row>
    <row r="80" spans="1:8" x14ac:dyDescent="0.25">
      <c r="A80" s="1">
        <f t="shared" ca="1" si="3"/>
        <v>7379</v>
      </c>
      <c r="B80" s="5">
        <v>749</v>
      </c>
      <c r="C80" s="6">
        <v>748</v>
      </c>
      <c r="D80" s="7">
        <v>27</v>
      </c>
      <c r="E80" s="8">
        <v>24</v>
      </c>
      <c r="F80" s="9">
        <v>0</v>
      </c>
      <c r="G80" s="10">
        <v>0</v>
      </c>
      <c r="H80" s="11">
        <v>0</v>
      </c>
    </row>
    <row r="81" spans="1:8" x14ac:dyDescent="0.25">
      <c r="A81" s="1">
        <f t="shared" ca="1" si="3"/>
        <v>7380</v>
      </c>
      <c r="B81" s="5">
        <v>749</v>
      </c>
      <c r="C81" s="6">
        <v>748</v>
      </c>
      <c r="D81" s="7">
        <v>27</v>
      </c>
      <c r="E81" s="8">
        <v>25</v>
      </c>
      <c r="F81" s="9">
        <v>0</v>
      </c>
      <c r="G81" s="10">
        <v>24</v>
      </c>
      <c r="H81" s="11">
        <v>0</v>
      </c>
    </row>
    <row r="82" spans="1:8" x14ac:dyDescent="0.25">
      <c r="A82" s="1">
        <f t="shared" ca="1" si="3"/>
        <v>7381</v>
      </c>
      <c r="B82" s="5">
        <v>750</v>
      </c>
      <c r="C82" s="6">
        <v>749</v>
      </c>
      <c r="D82" s="7">
        <v>27.5</v>
      </c>
      <c r="E82" s="8">
        <v>25</v>
      </c>
      <c r="F82" s="9">
        <v>0</v>
      </c>
      <c r="G82" s="10">
        <v>0</v>
      </c>
      <c r="H82" s="11">
        <v>0</v>
      </c>
    </row>
    <row r="83" spans="1:8" x14ac:dyDescent="0.25">
      <c r="A83" s="1">
        <f t="shared" ca="1" si="3"/>
        <v>7382</v>
      </c>
      <c r="B83" s="5">
        <v>751</v>
      </c>
      <c r="C83" s="6">
        <v>750</v>
      </c>
      <c r="D83" s="7">
        <v>27.5</v>
      </c>
      <c r="E83" s="8">
        <v>24</v>
      </c>
      <c r="F83" s="9">
        <v>12</v>
      </c>
      <c r="G83" s="10">
        <v>0</v>
      </c>
      <c r="H83" s="11">
        <v>0</v>
      </c>
    </row>
    <row r="84" spans="1:8" x14ac:dyDescent="0.25">
      <c r="A84" s="1">
        <f t="shared" ca="1" si="3"/>
        <v>7383</v>
      </c>
      <c r="B84" s="5">
        <v>749.5</v>
      </c>
      <c r="C84" s="6">
        <v>748</v>
      </c>
      <c r="D84" s="7">
        <v>26</v>
      </c>
      <c r="E84" s="8">
        <v>24</v>
      </c>
      <c r="F84" s="9">
        <v>25</v>
      </c>
      <c r="G84" s="10">
        <v>35</v>
      </c>
      <c r="H84" s="11">
        <v>42</v>
      </c>
    </row>
    <row r="85" spans="1:8" x14ac:dyDescent="0.25">
      <c r="A85" s="1">
        <f t="shared" ca="1" si="3"/>
        <v>7384</v>
      </c>
      <c r="B85" s="5">
        <v>747</v>
      </c>
      <c r="C85" s="6">
        <v>746.5</v>
      </c>
      <c r="D85" s="7">
        <v>23.8</v>
      </c>
      <c r="E85" s="8">
        <v>23</v>
      </c>
      <c r="F85" s="9">
        <v>13</v>
      </c>
      <c r="G85" s="10">
        <v>12</v>
      </c>
      <c r="H85" s="11">
        <v>0</v>
      </c>
    </row>
    <row r="86" spans="1:8" x14ac:dyDescent="0.25">
      <c r="A86" s="1">
        <f t="shared" ca="1" si="3"/>
        <v>7385</v>
      </c>
      <c r="B86" s="5">
        <v>748</v>
      </c>
      <c r="C86" s="6">
        <v>747.7</v>
      </c>
      <c r="D86" s="7">
        <v>27</v>
      </c>
      <c r="E86" s="8">
        <v>23.5</v>
      </c>
      <c r="F86" s="9">
        <v>22</v>
      </c>
      <c r="G86" s="10">
        <v>0</v>
      </c>
      <c r="H86" s="11">
        <v>0</v>
      </c>
    </row>
    <row r="87" spans="1:8" x14ac:dyDescent="0.25">
      <c r="A87" s="1">
        <f t="shared" ca="1" si="3"/>
        <v>7386</v>
      </c>
      <c r="B87" s="5">
        <v>749</v>
      </c>
      <c r="C87" s="6">
        <v>748</v>
      </c>
      <c r="D87" s="7">
        <v>27</v>
      </c>
      <c r="E87" s="8">
        <v>25</v>
      </c>
      <c r="F87" s="9">
        <v>0</v>
      </c>
      <c r="G87" s="10">
        <v>0</v>
      </c>
      <c r="H87" s="11">
        <v>0</v>
      </c>
    </row>
    <row r="88" spans="1:8" x14ac:dyDescent="0.25">
      <c r="A88" s="1">
        <f t="shared" ca="1" si="3"/>
        <v>7387</v>
      </c>
      <c r="B88" s="5">
        <v>750</v>
      </c>
      <c r="C88" s="6">
        <v>749.6</v>
      </c>
      <c r="D88" s="7">
        <v>27</v>
      </c>
      <c r="E88" s="8">
        <v>24.8</v>
      </c>
      <c r="F88" s="9">
        <v>0</v>
      </c>
      <c r="G88" s="10">
        <v>0</v>
      </c>
      <c r="H88" s="11">
        <v>0</v>
      </c>
    </row>
    <row r="89" spans="1:8" x14ac:dyDescent="0.25">
      <c r="A89" s="1">
        <f t="shared" ca="1" si="3"/>
        <v>7388</v>
      </c>
      <c r="B89" s="5">
        <v>749</v>
      </c>
      <c r="C89" s="6">
        <v>748.52</v>
      </c>
      <c r="D89" s="7">
        <v>28</v>
      </c>
      <c r="E89" s="8">
        <v>24</v>
      </c>
      <c r="F89" s="9">
        <v>0</v>
      </c>
      <c r="G89" s="10">
        <v>0</v>
      </c>
      <c r="H89" s="11">
        <v>0</v>
      </c>
    </row>
    <row r="90" spans="1:8" x14ac:dyDescent="0.25">
      <c r="A90" s="1">
        <f t="shared" ca="1" si="3"/>
        <v>7389</v>
      </c>
      <c r="B90" s="5">
        <v>749</v>
      </c>
      <c r="C90" s="6">
        <v>748</v>
      </c>
      <c r="D90" s="7">
        <v>27</v>
      </c>
      <c r="E90" s="8">
        <v>25.5</v>
      </c>
      <c r="F90" s="9">
        <v>0</v>
      </c>
      <c r="G90" s="10">
        <v>65</v>
      </c>
      <c r="H90" s="11">
        <v>0</v>
      </c>
    </row>
    <row r="91" spans="1:8" x14ac:dyDescent="0.25">
      <c r="A91" s="1">
        <f t="shared" ca="1" si="3"/>
        <v>7390</v>
      </c>
      <c r="B91" s="5">
        <v>748</v>
      </c>
      <c r="C91" s="6">
        <v>747.8</v>
      </c>
      <c r="D91" s="7">
        <v>22.5</v>
      </c>
      <c r="E91" s="8">
        <v>22.3</v>
      </c>
      <c r="F91" s="9">
        <v>118</v>
      </c>
      <c r="G91" s="10">
        <v>233</v>
      </c>
      <c r="H91" s="11">
        <v>140</v>
      </c>
    </row>
    <row r="92" spans="1:8" x14ac:dyDescent="0.25">
      <c r="A92" s="1">
        <f t="shared" ca="1" si="3"/>
        <v>7391</v>
      </c>
      <c r="B92" s="5">
        <v>749</v>
      </c>
      <c r="C92" s="6">
        <v>748.8</v>
      </c>
      <c r="D92" s="7">
        <v>27</v>
      </c>
      <c r="E92" s="8">
        <v>24.5</v>
      </c>
      <c r="F92" s="9">
        <v>146</v>
      </c>
      <c r="G92" s="10">
        <v>0</v>
      </c>
      <c r="H92" s="11">
        <v>0</v>
      </c>
    </row>
    <row r="93" spans="1:8" x14ac:dyDescent="0.25">
      <c r="A93" s="1">
        <f t="shared" ca="1" si="3"/>
        <v>7392</v>
      </c>
      <c r="B93" s="5">
        <v>749</v>
      </c>
      <c r="C93" s="6">
        <v>748.6</v>
      </c>
      <c r="D93" s="7">
        <v>27.8</v>
      </c>
      <c r="E93" s="8">
        <v>24</v>
      </c>
      <c r="F93" s="9">
        <v>0</v>
      </c>
      <c r="G93" s="10">
        <v>0</v>
      </c>
      <c r="H93" s="11">
        <v>0</v>
      </c>
    </row>
    <row r="94" spans="1:8" x14ac:dyDescent="0.25">
      <c r="A94" s="1">
        <f t="shared" ca="1" si="3"/>
        <v>7393</v>
      </c>
      <c r="B94" s="5">
        <v>749</v>
      </c>
      <c r="C94" s="6">
        <v>748</v>
      </c>
      <c r="D94" s="7">
        <v>27</v>
      </c>
      <c r="E94" s="8">
        <v>24</v>
      </c>
      <c r="F94" s="9">
        <v>0</v>
      </c>
      <c r="G94" s="10">
        <v>0</v>
      </c>
      <c r="H94" s="11">
        <v>0</v>
      </c>
    </row>
    <row r="95" spans="1:8" x14ac:dyDescent="0.25">
      <c r="A95" s="1">
        <f t="shared" ca="1" si="3"/>
        <v>7394</v>
      </c>
      <c r="B95" s="5">
        <v>750</v>
      </c>
      <c r="C95" s="6">
        <v>749</v>
      </c>
      <c r="D95" s="7">
        <v>27</v>
      </c>
      <c r="E95" s="8">
        <v>23.8</v>
      </c>
      <c r="F95" s="9">
        <v>30</v>
      </c>
      <c r="G95" s="10">
        <v>11</v>
      </c>
      <c r="H95" s="11">
        <v>75</v>
      </c>
    </row>
    <row r="96" spans="1:8" x14ac:dyDescent="0.25">
      <c r="A96" s="1">
        <f t="shared" ca="1" si="3"/>
        <v>7395</v>
      </c>
      <c r="B96" s="5">
        <v>750</v>
      </c>
      <c r="C96" s="6">
        <v>748.9</v>
      </c>
      <c r="D96" s="7">
        <v>27</v>
      </c>
      <c r="E96" s="8">
        <v>24</v>
      </c>
      <c r="F96" s="9">
        <v>7</v>
      </c>
      <c r="G96" s="10">
        <v>50</v>
      </c>
      <c r="H96" s="11">
        <v>15</v>
      </c>
    </row>
    <row r="97" spans="1:8" x14ac:dyDescent="0.25">
      <c r="A97" s="1">
        <f t="shared" ca="1" si="3"/>
        <v>7396</v>
      </c>
      <c r="B97" s="5">
        <v>749</v>
      </c>
      <c r="C97" s="6">
        <v>748.9</v>
      </c>
      <c r="D97" s="7">
        <v>27.8</v>
      </c>
      <c r="E97" s="8">
        <v>23</v>
      </c>
      <c r="F97" s="9">
        <v>48</v>
      </c>
      <c r="G97" s="10">
        <v>0</v>
      </c>
      <c r="H97" s="11">
        <v>78</v>
      </c>
    </row>
    <row r="98" spans="1:8" x14ac:dyDescent="0.25">
      <c r="A98" s="1" t="str">
        <f t="shared" ca="1" si="3"/>
        <v>Totaal</v>
      </c>
      <c r="B98" s="28">
        <f>IF(COUNT(B67:B97)&gt;0,AVERAGE(B67:B97),"")</f>
        <v>748.82258064516134</v>
      </c>
      <c r="C98" s="29">
        <f t="shared" ref="C98" si="4">IF(COUNT(C67:C97)&gt;0,AVERAGE(C67:C97),"")</f>
        <v>748.12645161290334</v>
      </c>
      <c r="D98" s="30">
        <f t="shared" ref="D98" si="5">IF(COUNT(D67:D97)&gt;0,AVERAGE(D67:D97),"")</f>
        <v>26.941935483870967</v>
      </c>
      <c r="E98" s="31">
        <f t="shared" ref="E98" si="6">IF(COUNT(E67:E97)&gt;0,AVERAGE(E67:E97),"")</f>
        <v>24.258064516129028</v>
      </c>
      <c r="F98" s="32">
        <f>SUM(F67:F97)/10</f>
        <v>52.6</v>
      </c>
      <c r="G98" s="33">
        <f>SUM(G67:G97)/10</f>
        <v>49.9</v>
      </c>
      <c r="H98" s="34">
        <f>SUM(H67:H97)/10</f>
        <v>53.8</v>
      </c>
    </row>
    <row r="99" spans="1:8" x14ac:dyDescent="0.25">
      <c r="A99" s="1">
        <f t="shared" ca="1" si="3"/>
        <v>7397</v>
      </c>
      <c r="B99" s="5">
        <v>749</v>
      </c>
      <c r="C99" s="6">
        <v>748.3</v>
      </c>
      <c r="D99" s="7">
        <v>27.5</v>
      </c>
      <c r="E99" s="8">
        <v>24.3</v>
      </c>
      <c r="F99" s="9">
        <v>0</v>
      </c>
      <c r="G99" s="10">
        <v>0</v>
      </c>
      <c r="H99" s="11">
        <v>0</v>
      </c>
    </row>
    <row r="100" spans="1:8" x14ac:dyDescent="0.25">
      <c r="A100" s="1">
        <f t="shared" ca="1" si="3"/>
        <v>7398</v>
      </c>
      <c r="B100" s="5">
        <v>749</v>
      </c>
      <c r="C100" s="6">
        <v>748.5</v>
      </c>
      <c r="D100" s="7">
        <v>28</v>
      </c>
      <c r="E100" s="8">
        <v>24.5</v>
      </c>
      <c r="F100" s="9">
        <v>0</v>
      </c>
      <c r="G100" s="10">
        <v>0</v>
      </c>
      <c r="H100" s="11">
        <v>0</v>
      </c>
    </row>
    <row r="101" spans="1:8" x14ac:dyDescent="0.25">
      <c r="A101" s="1">
        <f t="shared" ca="1" si="3"/>
        <v>7399</v>
      </c>
      <c r="B101" s="5">
        <v>749</v>
      </c>
      <c r="C101" s="6">
        <v>748.6</v>
      </c>
      <c r="D101" s="7">
        <v>28.5</v>
      </c>
      <c r="E101" s="8">
        <v>24.5</v>
      </c>
      <c r="F101" s="9">
        <v>0</v>
      </c>
      <c r="G101" s="10">
        <v>3</v>
      </c>
      <c r="H101" s="11">
        <v>0</v>
      </c>
    </row>
    <row r="102" spans="1:8" x14ac:dyDescent="0.25">
      <c r="A102" s="1">
        <f t="shared" ca="1" si="3"/>
        <v>7400</v>
      </c>
      <c r="B102" s="5">
        <v>749</v>
      </c>
      <c r="C102" s="6">
        <v>748</v>
      </c>
      <c r="D102" s="7">
        <v>28</v>
      </c>
      <c r="E102" s="8">
        <v>24.3</v>
      </c>
      <c r="F102" s="9">
        <v>0</v>
      </c>
      <c r="G102" s="10">
        <v>0</v>
      </c>
      <c r="H102" s="11">
        <v>0</v>
      </c>
    </row>
    <row r="103" spans="1:8" x14ac:dyDescent="0.25">
      <c r="A103" s="1">
        <f t="shared" ca="1" si="3"/>
        <v>7401</v>
      </c>
      <c r="B103" s="5">
        <v>748.7</v>
      </c>
      <c r="C103" s="6">
        <v>748.2</v>
      </c>
      <c r="D103" s="7">
        <v>28</v>
      </c>
      <c r="E103" s="8">
        <v>24</v>
      </c>
      <c r="F103" s="9">
        <v>0</v>
      </c>
      <c r="G103" s="10">
        <v>0</v>
      </c>
      <c r="H103" s="11">
        <v>0</v>
      </c>
    </row>
    <row r="104" spans="1:8" x14ac:dyDescent="0.25">
      <c r="A104" s="1">
        <f t="shared" ca="1" si="3"/>
        <v>7402</v>
      </c>
      <c r="B104" s="5">
        <v>749</v>
      </c>
      <c r="C104" s="6">
        <v>748.7</v>
      </c>
      <c r="D104" s="7">
        <v>28</v>
      </c>
      <c r="E104" s="8">
        <v>24</v>
      </c>
      <c r="F104" s="9">
        <v>3</v>
      </c>
      <c r="G104" s="10">
        <v>0</v>
      </c>
      <c r="H104" s="11">
        <v>0</v>
      </c>
    </row>
    <row r="105" spans="1:8" x14ac:dyDescent="0.25">
      <c r="A105" s="1">
        <f t="shared" ca="1" si="3"/>
        <v>7403</v>
      </c>
      <c r="B105" s="5">
        <v>748.3</v>
      </c>
      <c r="C105" s="6">
        <v>748</v>
      </c>
      <c r="D105" s="7">
        <v>28</v>
      </c>
      <c r="E105" s="8">
        <v>25</v>
      </c>
      <c r="F105" s="9">
        <v>0</v>
      </c>
      <c r="G105" s="10">
        <v>0</v>
      </c>
      <c r="H105" s="11">
        <v>0</v>
      </c>
    </row>
    <row r="106" spans="1:8" x14ac:dyDescent="0.25">
      <c r="A106" s="1">
        <f t="shared" ca="1" si="3"/>
        <v>7404</v>
      </c>
      <c r="B106" s="5">
        <v>748</v>
      </c>
      <c r="C106" s="6">
        <v>747.7</v>
      </c>
      <c r="D106" s="7">
        <v>28.5</v>
      </c>
      <c r="E106" s="8">
        <v>25</v>
      </c>
      <c r="F106" s="9">
        <v>0</v>
      </c>
      <c r="G106" s="10">
        <v>0</v>
      </c>
      <c r="H106" s="11">
        <v>0</v>
      </c>
    </row>
    <row r="107" spans="1:8" x14ac:dyDescent="0.25">
      <c r="A107" s="1">
        <f t="shared" ca="1" si="3"/>
        <v>7405</v>
      </c>
      <c r="B107" s="5">
        <v>747.5</v>
      </c>
      <c r="C107" s="6">
        <v>747.3</v>
      </c>
      <c r="D107" s="7">
        <v>27.5</v>
      </c>
      <c r="E107" s="8">
        <v>25</v>
      </c>
      <c r="F107" s="9">
        <v>0</v>
      </c>
      <c r="G107" s="10">
        <v>0</v>
      </c>
      <c r="H107" s="11">
        <v>0</v>
      </c>
    </row>
    <row r="108" spans="1:8" x14ac:dyDescent="0.25">
      <c r="A108" s="1">
        <f t="shared" ca="1" si="3"/>
        <v>7406</v>
      </c>
      <c r="B108" s="5">
        <v>748</v>
      </c>
      <c r="C108" s="6">
        <v>747.7</v>
      </c>
      <c r="D108" s="7">
        <v>27.3</v>
      </c>
      <c r="E108" s="8">
        <v>25</v>
      </c>
      <c r="F108" s="9">
        <v>0</v>
      </c>
      <c r="G108" s="10">
        <v>0</v>
      </c>
      <c r="H108" s="11">
        <v>0</v>
      </c>
    </row>
    <row r="109" spans="1:8" x14ac:dyDescent="0.25">
      <c r="A109" s="1">
        <f t="shared" ca="1" si="3"/>
        <v>7407</v>
      </c>
      <c r="B109" s="5">
        <v>748</v>
      </c>
      <c r="C109" s="6">
        <v>747.5</v>
      </c>
      <c r="D109" s="7">
        <v>27.5</v>
      </c>
      <c r="E109" s="8">
        <v>25</v>
      </c>
      <c r="F109" s="9">
        <v>0</v>
      </c>
      <c r="G109" s="10">
        <v>0</v>
      </c>
      <c r="H109" s="11">
        <v>0</v>
      </c>
    </row>
    <row r="110" spans="1:8" x14ac:dyDescent="0.25">
      <c r="A110" s="1">
        <f t="shared" ca="1" si="3"/>
        <v>7408</v>
      </c>
      <c r="B110" s="5">
        <v>748</v>
      </c>
      <c r="C110" s="6">
        <v>747.5</v>
      </c>
      <c r="D110" s="7">
        <v>28.5</v>
      </c>
      <c r="E110" s="8">
        <v>25</v>
      </c>
      <c r="F110" s="9">
        <v>0</v>
      </c>
      <c r="G110" s="10">
        <v>0</v>
      </c>
      <c r="H110" s="11">
        <v>0</v>
      </c>
    </row>
    <row r="111" spans="1:8" x14ac:dyDescent="0.25">
      <c r="A111" s="1">
        <f t="shared" ca="1" si="3"/>
        <v>7409</v>
      </c>
      <c r="B111" s="5">
        <v>748</v>
      </c>
      <c r="C111" s="6">
        <v>747.5</v>
      </c>
      <c r="D111" s="7">
        <v>28</v>
      </c>
      <c r="E111" s="8">
        <v>27</v>
      </c>
      <c r="F111" s="9">
        <v>0</v>
      </c>
      <c r="G111" s="10">
        <v>0</v>
      </c>
      <c r="H111" s="11">
        <v>0</v>
      </c>
    </row>
    <row r="112" spans="1:8" x14ac:dyDescent="0.25">
      <c r="A112" s="1">
        <f t="shared" ca="1" si="3"/>
        <v>7410</v>
      </c>
      <c r="B112" s="5">
        <v>748</v>
      </c>
      <c r="C112" s="6">
        <v>747.7</v>
      </c>
      <c r="D112" s="7">
        <v>28</v>
      </c>
      <c r="E112" s="8">
        <v>26</v>
      </c>
      <c r="F112" s="9">
        <v>0</v>
      </c>
      <c r="G112" s="10">
        <v>0</v>
      </c>
      <c r="H112" s="11">
        <v>0</v>
      </c>
    </row>
    <row r="113" spans="1:8" x14ac:dyDescent="0.25">
      <c r="A113" s="1">
        <f t="shared" ca="1" si="3"/>
        <v>7411</v>
      </c>
      <c r="B113" s="5">
        <v>748</v>
      </c>
      <c r="C113" s="6">
        <v>747.5</v>
      </c>
      <c r="D113" s="7">
        <v>28</v>
      </c>
      <c r="E113" s="8">
        <v>25</v>
      </c>
      <c r="F113" s="9">
        <v>0</v>
      </c>
      <c r="G113" s="10">
        <v>0</v>
      </c>
      <c r="H113" s="11">
        <v>0</v>
      </c>
    </row>
    <row r="114" spans="1:8" x14ac:dyDescent="0.25">
      <c r="A114" s="1">
        <f t="shared" ca="1" si="3"/>
        <v>7412</v>
      </c>
      <c r="B114" s="5">
        <v>748.5</v>
      </c>
      <c r="C114" s="6">
        <v>748</v>
      </c>
      <c r="D114" s="7">
        <v>30</v>
      </c>
      <c r="E114" s="8">
        <v>27</v>
      </c>
      <c r="F114" s="9">
        <v>0</v>
      </c>
      <c r="G114" s="10">
        <v>0</v>
      </c>
      <c r="H114" s="11">
        <v>0</v>
      </c>
    </row>
    <row r="115" spans="1:8" x14ac:dyDescent="0.25">
      <c r="A115" s="1">
        <f t="shared" ca="1" si="3"/>
        <v>7413</v>
      </c>
      <c r="B115" s="5">
        <v>747.6</v>
      </c>
      <c r="C115" s="6">
        <v>747.1</v>
      </c>
      <c r="D115" s="7">
        <v>29</v>
      </c>
      <c r="E115" s="8">
        <v>26</v>
      </c>
      <c r="F115" s="9">
        <v>0</v>
      </c>
      <c r="G115" s="10">
        <v>0</v>
      </c>
      <c r="H115" s="11">
        <v>0</v>
      </c>
    </row>
    <row r="116" spans="1:8" x14ac:dyDescent="0.25">
      <c r="A116" s="1">
        <f t="shared" ca="1" si="3"/>
        <v>7414</v>
      </c>
      <c r="B116" s="5">
        <v>747.4</v>
      </c>
      <c r="C116" s="6">
        <v>747</v>
      </c>
      <c r="D116" s="7">
        <v>29</v>
      </c>
      <c r="E116" s="8">
        <v>26</v>
      </c>
      <c r="F116" s="9">
        <v>0</v>
      </c>
      <c r="G116" s="10">
        <v>0</v>
      </c>
      <c r="H116" s="11">
        <v>0</v>
      </c>
    </row>
    <row r="117" spans="1:8" x14ac:dyDescent="0.25">
      <c r="A117" s="1">
        <f t="shared" ca="1" si="3"/>
        <v>7415</v>
      </c>
      <c r="B117" s="5">
        <v>747.3</v>
      </c>
      <c r="C117" s="6">
        <v>747.1</v>
      </c>
      <c r="D117" s="7">
        <v>30</v>
      </c>
      <c r="E117" s="8">
        <v>26</v>
      </c>
      <c r="F117" s="9">
        <v>0</v>
      </c>
      <c r="G117" s="10">
        <v>0</v>
      </c>
      <c r="H117" s="11">
        <v>0</v>
      </c>
    </row>
    <row r="118" spans="1:8" x14ac:dyDescent="0.25">
      <c r="A118" s="1">
        <f t="shared" ca="1" si="3"/>
        <v>7416</v>
      </c>
      <c r="B118" s="5">
        <v>748.7</v>
      </c>
      <c r="C118" s="6">
        <v>748.4</v>
      </c>
      <c r="D118" s="7">
        <v>28</v>
      </c>
      <c r="E118" s="8">
        <v>26.8</v>
      </c>
      <c r="F118" s="9">
        <v>0</v>
      </c>
      <c r="G118" s="10">
        <v>0</v>
      </c>
      <c r="H118" s="11">
        <v>0</v>
      </c>
    </row>
    <row r="119" spans="1:8" x14ac:dyDescent="0.25">
      <c r="A119" s="1">
        <f t="shared" ca="1" si="3"/>
        <v>7417</v>
      </c>
      <c r="B119" s="5">
        <v>750.5</v>
      </c>
      <c r="C119" s="6">
        <v>750</v>
      </c>
      <c r="D119" s="7">
        <v>29</v>
      </c>
      <c r="E119" s="8">
        <v>26</v>
      </c>
      <c r="F119" s="9">
        <v>0</v>
      </c>
      <c r="G119" s="10">
        <v>0</v>
      </c>
      <c r="H119" s="11">
        <v>0</v>
      </c>
    </row>
    <row r="120" spans="1:8" x14ac:dyDescent="0.25">
      <c r="A120" s="1">
        <f t="shared" ca="1" si="3"/>
        <v>7418</v>
      </c>
      <c r="B120" s="5">
        <v>749</v>
      </c>
      <c r="C120" s="6">
        <v>748.8</v>
      </c>
      <c r="D120" s="7">
        <v>27.5</v>
      </c>
      <c r="E120" s="8">
        <v>26</v>
      </c>
      <c r="F120" s="9">
        <v>0</v>
      </c>
      <c r="G120" s="10">
        <v>0</v>
      </c>
      <c r="H120" s="11">
        <v>0</v>
      </c>
    </row>
    <row r="121" spans="1:8" x14ac:dyDescent="0.25">
      <c r="A121" s="1">
        <f t="shared" ca="1" si="3"/>
        <v>7419</v>
      </c>
      <c r="B121" s="5">
        <v>749</v>
      </c>
      <c r="C121" s="6">
        <v>748.5</v>
      </c>
      <c r="D121" s="7">
        <v>27</v>
      </c>
      <c r="E121" s="8">
        <v>25</v>
      </c>
      <c r="F121" s="9">
        <v>0</v>
      </c>
      <c r="G121" s="10">
        <v>0</v>
      </c>
      <c r="H121" s="11">
        <v>0</v>
      </c>
    </row>
    <row r="122" spans="1:8" x14ac:dyDescent="0.25">
      <c r="A122" s="1">
        <f t="shared" ca="1" si="3"/>
        <v>7420</v>
      </c>
      <c r="B122" s="5">
        <v>749</v>
      </c>
      <c r="C122" s="6">
        <v>748.5</v>
      </c>
      <c r="D122" s="7">
        <v>28.5</v>
      </c>
      <c r="E122" s="8">
        <v>25</v>
      </c>
      <c r="F122" s="9">
        <v>0</v>
      </c>
      <c r="G122" s="10">
        <v>0</v>
      </c>
      <c r="H122" s="11">
        <v>0</v>
      </c>
    </row>
    <row r="123" spans="1:8" x14ac:dyDescent="0.25">
      <c r="A123" s="1">
        <f t="shared" ca="1" si="3"/>
        <v>7421</v>
      </c>
      <c r="B123" s="5">
        <v>749.2</v>
      </c>
      <c r="C123" s="6">
        <v>748.1</v>
      </c>
      <c r="D123" s="7">
        <v>29</v>
      </c>
      <c r="E123" s="8">
        <v>26</v>
      </c>
      <c r="F123" s="9">
        <v>0</v>
      </c>
      <c r="G123" s="10">
        <v>0</v>
      </c>
      <c r="H123" s="11">
        <v>0</v>
      </c>
    </row>
    <row r="124" spans="1:8" x14ac:dyDescent="0.25">
      <c r="A124" s="1">
        <f t="shared" ca="1" si="3"/>
        <v>7422</v>
      </c>
      <c r="B124" s="5">
        <v>749.5</v>
      </c>
      <c r="C124" s="6">
        <v>748.1</v>
      </c>
      <c r="D124" s="7">
        <v>29</v>
      </c>
      <c r="E124" s="8">
        <v>26</v>
      </c>
      <c r="F124" s="9">
        <v>0</v>
      </c>
      <c r="G124" s="10">
        <v>0</v>
      </c>
      <c r="H124" s="11">
        <v>0</v>
      </c>
    </row>
    <row r="125" spans="1:8" x14ac:dyDescent="0.25">
      <c r="A125" s="1">
        <f t="shared" ca="1" si="3"/>
        <v>7423</v>
      </c>
      <c r="B125" s="5">
        <v>749</v>
      </c>
      <c r="C125" s="6">
        <v>748.6</v>
      </c>
      <c r="D125" s="7">
        <v>29.5</v>
      </c>
      <c r="E125" s="8">
        <v>27</v>
      </c>
      <c r="F125" s="9">
        <v>0</v>
      </c>
      <c r="G125" s="10">
        <v>0</v>
      </c>
      <c r="H125" s="11">
        <v>0</v>
      </c>
    </row>
    <row r="126" spans="1:8" x14ac:dyDescent="0.25">
      <c r="A126" s="1">
        <f t="shared" ca="1" si="3"/>
        <v>7424</v>
      </c>
      <c r="B126" s="5">
        <v>749</v>
      </c>
      <c r="C126" s="6">
        <v>748.5</v>
      </c>
      <c r="D126" s="7">
        <v>28.8</v>
      </c>
      <c r="E126" s="8">
        <v>26</v>
      </c>
      <c r="F126" s="9">
        <v>0</v>
      </c>
      <c r="G126" s="10">
        <v>0</v>
      </c>
      <c r="H126" s="11">
        <v>0</v>
      </c>
    </row>
    <row r="127" spans="1:8" x14ac:dyDescent="0.25">
      <c r="A127" s="1">
        <f t="shared" ca="1" si="3"/>
        <v>7425</v>
      </c>
      <c r="B127" s="5">
        <v>750</v>
      </c>
      <c r="C127" s="6">
        <v>749.3</v>
      </c>
      <c r="D127" s="7">
        <v>28.5</v>
      </c>
      <c r="E127" s="8">
        <v>25</v>
      </c>
      <c r="F127" s="9">
        <v>0</v>
      </c>
      <c r="G127" s="10">
        <v>0</v>
      </c>
      <c r="H127" s="11">
        <v>0</v>
      </c>
    </row>
    <row r="128" spans="1:8" x14ac:dyDescent="0.25">
      <c r="A128" s="1">
        <f t="shared" ca="1" si="3"/>
        <v>7426</v>
      </c>
      <c r="B128" s="5">
        <v>750</v>
      </c>
      <c r="C128" s="6">
        <v>749</v>
      </c>
      <c r="D128" s="7">
        <v>28.5</v>
      </c>
      <c r="E128" s="8">
        <v>26</v>
      </c>
      <c r="F128" s="9">
        <v>0</v>
      </c>
      <c r="G128" s="10">
        <v>0</v>
      </c>
      <c r="H128" s="11">
        <v>0</v>
      </c>
    </row>
    <row r="129" spans="1:8" x14ac:dyDescent="0.25">
      <c r="A129" s="1" t="str">
        <f t="shared" ca="1" si="3"/>
        <v>Totaal</v>
      </c>
      <c r="B129" s="28">
        <f t="shared" ref="B129:E129" si="7">IF(COUNT(B99:B128)&gt;0,AVERAGE(B99:B128),"")</f>
        <v>748.64</v>
      </c>
      <c r="C129" s="29">
        <f t="shared" si="7"/>
        <v>748.12333333333322</v>
      </c>
      <c r="D129" s="30">
        <f t="shared" si="7"/>
        <v>28.353333333333332</v>
      </c>
      <c r="E129" s="31">
        <f t="shared" si="7"/>
        <v>25.446666666666669</v>
      </c>
      <c r="F129" s="32">
        <f>SUM(F99:F128)/10</f>
        <v>0.3</v>
      </c>
      <c r="G129" s="33">
        <f>SUM(G99:G128)/10</f>
        <v>0.3</v>
      </c>
      <c r="H129" s="34">
        <f>SUM(H99:H128)/10</f>
        <v>0</v>
      </c>
    </row>
    <row r="130" spans="1:8" x14ac:dyDescent="0.25">
      <c r="A130" s="1">
        <f t="shared" ca="1" si="3"/>
        <v>7427</v>
      </c>
      <c r="B130" s="5">
        <v>748</v>
      </c>
      <c r="C130" s="6">
        <v>747.6</v>
      </c>
      <c r="D130" s="7">
        <v>27.5</v>
      </c>
      <c r="E130" s="8">
        <v>26</v>
      </c>
      <c r="F130" s="9">
        <v>0</v>
      </c>
      <c r="G130" s="10">
        <v>0</v>
      </c>
      <c r="H130" s="11">
        <v>0</v>
      </c>
    </row>
    <row r="131" spans="1:8" x14ac:dyDescent="0.25">
      <c r="A131" s="1">
        <f t="shared" ca="1" si="3"/>
        <v>7428</v>
      </c>
      <c r="B131" s="5">
        <v>747.5</v>
      </c>
      <c r="C131" s="6">
        <v>747</v>
      </c>
      <c r="D131" s="7">
        <v>27.5</v>
      </c>
      <c r="E131" s="8">
        <v>26</v>
      </c>
      <c r="F131" s="9">
        <v>0</v>
      </c>
      <c r="G131" s="10">
        <v>0</v>
      </c>
      <c r="H131" s="11">
        <v>0</v>
      </c>
    </row>
    <row r="132" spans="1:8" x14ac:dyDescent="0.25">
      <c r="A132" s="1">
        <f t="shared" ca="1" si="3"/>
        <v>7429</v>
      </c>
      <c r="B132" s="5">
        <v>747</v>
      </c>
      <c r="C132" s="6">
        <v>746.7</v>
      </c>
      <c r="D132" s="7">
        <v>27.8</v>
      </c>
      <c r="E132" s="8">
        <v>26</v>
      </c>
      <c r="F132" s="9">
        <v>0</v>
      </c>
      <c r="G132" s="10">
        <v>0</v>
      </c>
      <c r="H132" s="11">
        <v>0</v>
      </c>
    </row>
    <row r="133" spans="1:8" x14ac:dyDescent="0.25">
      <c r="A133" s="1">
        <f t="shared" ca="1" si="3"/>
        <v>7430</v>
      </c>
      <c r="B133" s="5">
        <v>748</v>
      </c>
      <c r="C133" s="6">
        <v>747.5</v>
      </c>
      <c r="D133" s="7">
        <v>28</v>
      </c>
      <c r="E133" s="8">
        <v>25.3</v>
      </c>
      <c r="F133" s="9">
        <v>0</v>
      </c>
      <c r="G133" s="10">
        <v>0</v>
      </c>
      <c r="H133" s="11">
        <v>0</v>
      </c>
    </row>
    <row r="134" spans="1:8" x14ac:dyDescent="0.25">
      <c r="A134" s="1">
        <f t="shared" ca="1" si="3"/>
        <v>7431</v>
      </c>
      <c r="B134" s="5">
        <v>749</v>
      </c>
      <c r="C134" s="6">
        <v>748.6</v>
      </c>
      <c r="D134" s="7">
        <v>28</v>
      </c>
      <c r="E134" s="8">
        <v>27</v>
      </c>
      <c r="F134" s="9">
        <v>0</v>
      </c>
      <c r="G134" s="10">
        <v>0</v>
      </c>
      <c r="H134" s="11">
        <v>0</v>
      </c>
    </row>
    <row r="135" spans="1:8" x14ac:dyDescent="0.25">
      <c r="A135" s="1">
        <f t="shared" ref="A135:A198" ca="1" si="8">IF(ISTEXT(A134),A133+1,IF(MONTH(A134+1)=MONTH(A134),A134+1,"Totaal"))</f>
        <v>7432</v>
      </c>
      <c r="B135" s="5">
        <v>748.5</v>
      </c>
      <c r="C135" s="6">
        <v>748.1</v>
      </c>
      <c r="D135" s="7">
        <v>28.3</v>
      </c>
      <c r="E135" s="8">
        <v>26</v>
      </c>
      <c r="F135" s="9">
        <v>0</v>
      </c>
      <c r="G135" s="10">
        <v>0</v>
      </c>
      <c r="H135" s="11">
        <v>0</v>
      </c>
    </row>
    <row r="136" spans="1:8" x14ac:dyDescent="0.25">
      <c r="A136" s="1">
        <f t="shared" ca="1" si="8"/>
        <v>7433</v>
      </c>
      <c r="B136" s="5">
        <v>749</v>
      </c>
      <c r="C136" s="6">
        <v>748.6</v>
      </c>
      <c r="D136" s="7">
        <v>28.5</v>
      </c>
      <c r="E136" s="8">
        <v>26</v>
      </c>
      <c r="F136" s="9">
        <v>0</v>
      </c>
      <c r="G136" s="10">
        <v>0</v>
      </c>
      <c r="H136" s="11">
        <v>0</v>
      </c>
    </row>
    <row r="137" spans="1:8" x14ac:dyDescent="0.25">
      <c r="A137" s="1">
        <f t="shared" ca="1" si="8"/>
        <v>7434</v>
      </c>
      <c r="B137" s="5">
        <v>749</v>
      </c>
      <c r="C137" s="6">
        <v>748.3</v>
      </c>
      <c r="D137" s="7">
        <v>28.5</v>
      </c>
      <c r="E137" s="8">
        <v>26.3</v>
      </c>
      <c r="F137" s="9">
        <v>0</v>
      </c>
      <c r="G137" s="10">
        <v>14</v>
      </c>
      <c r="H137" s="11">
        <v>0</v>
      </c>
    </row>
    <row r="138" spans="1:8" x14ac:dyDescent="0.25">
      <c r="A138" s="1">
        <f t="shared" ca="1" si="8"/>
        <v>7435</v>
      </c>
      <c r="B138" s="5">
        <v>749</v>
      </c>
      <c r="C138" s="6">
        <v>748.6</v>
      </c>
      <c r="D138" s="7">
        <v>28</v>
      </c>
      <c r="E138" s="8">
        <v>26.5</v>
      </c>
      <c r="F138" s="9">
        <v>0</v>
      </c>
      <c r="G138" s="10">
        <v>0</v>
      </c>
      <c r="H138" s="11">
        <v>0</v>
      </c>
    </row>
    <row r="139" spans="1:8" x14ac:dyDescent="0.25">
      <c r="A139" s="1">
        <f t="shared" ca="1" si="8"/>
        <v>7436</v>
      </c>
      <c r="B139" s="5">
        <v>749</v>
      </c>
      <c r="C139" s="6">
        <v>748.5</v>
      </c>
      <c r="D139" s="7">
        <v>28</v>
      </c>
      <c r="E139" s="8">
        <v>26.5</v>
      </c>
      <c r="F139" s="9">
        <v>0</v>
      </c>
      <c r="G139" s="10">
        <v>16</v>
      </c>
      <c r="H139" s="11">
        <v>0</v>
      </c>
    </row>
    <row r="140" spans="1:8" x14ac:dyDescent="0.25">
      <c r="A140" s="1">
        <f t="shared" ca="1" si="8"/>
        <v>7437</v>
      </c>
      <c r="B140" s="5">
        <v>749</v>
      </c>
      <c r="C140" s="6">
        <v>748.1</v>
      </c>
      <c r="D140" s="7">
        <v>28</v>
      </c>
      <c r="E140" s="8">
        <v>25.5</v>
      </c>
      <c r="F140" s="9">
        <v>26</v>
      </c>
      <c r="G140" s="10">
        <v>12</v>
      </c>
      <c r="H140" s="11">
        <v>0</v>
      </c>
    </row>
    <row r="141" spans="1:8" x14ac:dyDescent="0.25">
      <c r="A141" s="1">
        <f t="shared" ca="1" si="8"/>
        <v>7438</v>
      </c>
      <c r="B141" s="5">
        <v>749</v>
      </c>
      <c r="C141" s="6">
        <v>747.5</v>
      </c>
      <c r="D141" s="7">
        <v>28</v>
      </c>
      <c r="E141" s="8">
        <v>25</v>
      </c>
      <c r="F141" s="9">
        <v>20</v>
      </c>
      <c r="G141" s="10">
        <v>20</v>
      </c>
      <c r="H141" s="11">
        <v>0</v>
      </c>
    </row>
    <row r="142" spans="1:8" x14ac:dyDescent="0.25">
      <c r="A142" s="1">
        <f t="shared" ca="1" si="8"/>
        <v>7439</v>
      </c>
      <c r="B142" s="5">
        <v>748</v>
      </c>
      <c r="C142" s="6">
        <v>747.2</v>
      </c>
      <c r="D142" s="7">
        <v>27</v>
      </c>
      <c r="E142" s="8">
        <v>25</v>
      </c>
      <c r="F142" s="9">
        <v>20</v>
      </c>
      <c r="G142" s="10">
        <v>27</v>
      </c>
      <c r="H142" s="11">
        <v>0</v>
      </c>
    </row>
    <row r="143" spans="1:8" x14ac:dyDescent="0.25">
      <c r="A143" s="1">
        <f t="shared" ca="1" si="8"/>
        <v>7440</v>
      </c>
      <c r="B143" s="5">
        <v>747.5</v>
      </c>
      <c r="C143" s="6">
        <v>747</v>
      </c>
      <c r="D143" s="7">
        <v>27.3</v>
      </c>
      <c r="E143" s="8">
        <v>25</v>
      </c>
      <c r="F143" s="9">
        <v>10</v>
      </c>
      <c r="G143" s="10">
        <v>0</v>
      </c>
      <c r="H143" s="11">
        <v>0</v>
      </c>
    </row>
    <row r="144" spans="1:8" x14ac:dyDescent="0.25">
      <c r="A144" s="1">
        <f t="shared" ca="1" si="8"/>
        <v>7441</v>
      </c>
      <c r="B144" s="5">
        <v>747.5</v>
      </c>
      <c r="C144" s="6">
        <v>747</v>
      </c>
      <c r="D144" s="7">
        <v>28</v>
      </c>
      <c r="E144" s="8">
        <v>25</v>
      </c>
      <c r="F144" s="9">
        <v>0</v>
      </c>
      <c r="G144" s="10">
        <v>0</v>
      </c>
      <c r="H144" s="11">
        <v>0</v>
      </c>
    </row>
    <row r="145" spans="1:8" x14ac:dyDescent="0.25">
      <c r="A145" s="1">
        <f t="shared" ca="1" si="8"/>
        <v>7442</v>
      </c>
      <c r="B145" s="5">
        <v>747.5</v>
      </c>
      <c r="C145" s="6">
        <v>747</v>
      </c>
      <c r="D145" s="7">
        <v>28</v>
      </c>
      <c r="E145" s="8">
        <v>25.5</v>
      </c>
      <c r="F145" s="9">
        <v>40</v>
      </c>
      <c r="G145" s="10">
        <v>41</v>
      </c>
      <c r="H145" s="11">
        <v>0</v>
      </c>
    </row>
    <row r="146" spans="1:8" x14ac:dyDescent="0.25">
      <c r="A146" s="1">
        <f t="shared" ca="1" si="8"/>
        <v>7443</v>
      </c>
      <c r="B146" s="5">
        <v>747</v>
      </c>
      <c r="C146" s="6">
        <v>746.9</v>
      </c>
      <c r="D146" s="7">
        <v>28</v>
      </c>
      <c r="E146" s="8">
        <v>25.8</v>
      </c>
      <c r="F146" s="9">
        <v>0</v>
      </c>
      <c r="G146" s="10">
        <v>90</v>
      </c>
      <c r="H146" s="11">
        <v>0</v>
      </c>
    </row>
    <row r="147" spans="1:8" x14ac:dyDescent="0.25">
      <c r="A147" s="1">
        <f t="shared" ca="1" si="8"/>
        <v>7444</v>
      </c>
      <c r="B147" s="5">
        <v>747</v>
      </c>
      <c r="C147" s="6">
        <v>746.5</v>
      </c>
      <c r="D147" s="7">
        <v>28</v>
      </c>
      <c r="E147" s="8">
        <v>25</v>
      </c>
      <c r="F147" s="9">
        <v>132</v>
      </c>
      <c r="G147" s="10">
        <v>0</v>
      </c>
      <c r="H147" s="11">
        <v>0</v>
      </c>
    </row>
    <row r="148" spans="1:8" x14ac:dyDescent="0.25">
      <c r="A148" s="1">
        <f t="shared" ca="1" si="8"/>
        <v>7445</v>
      </c>
      <c r="B148" s="5">
        <v>747</v>
      </c>
      <c r="C148" s="6">
        <v>746.8</v>
      </c>
      <c r="D148" s="7">
        <v>27.3</v>
      </c>
      <c r="E148" s="8">
        <v>26</v>
      </c>
      <c r="F148" s="9">
        <v>0</v>
      </c>
      <c r="G148" s="10">
        <v>15</v>
      </c>
      <c r="H148" s="11">
        <v>0</v>
      </c>
    </row>
    <row r="149" spans="1:8" x14ac:dyDescent="0.25">
      <c r="A149" s="1">
        <f t="shared" ca="1" si="8"/>
        <v>7446</v>
      </c>
      <c r="B149" s="5">
        <v>747</v>
      </c>
      <c r="C149" s="6">
        <v>746.8</v>
      </c>
      <c r="D149" s="7">
        <v>27.8</v>
      </c>
      <c r="E149" s="8">
        <v>25.3</v>
      </c>
      <c r="F149" s="9">
        <v>61</v>
      </c>
      <c r="G149" s="10">
        <v>0</v>
      </c>
      <c r="H149" s="11">
        <v>0</v>
      </c>
    </row>
    <row r="150" spans="1:8" x14ac:dyDescent="0.25">
      <c r="A150" s="1">
        <f t="shared" ca="1" si="8"/>
        <v>7447</v>
      </c>
      <c r="B150" s="5">
        <v>747</v>
      </c>
      <c r="C150" s="6">
        <v>746.7</v>
      </c>
      <c r="D150" s="7">
        <v>28</v>
      </c>
      <c r="E150" s="8">
        <v>27</v>
      </c>
      <c r="F150" s="9">
        <v>0</v>
      </c>
      <c r="G150" s="10">
        <v>0</v>
      </c>
      <c r="H150" s="11">
        <v>0</v>
      </c>
    </row>
    <row r="151" spans="1:8" x14ac:dyDescent="0.25">
      <c r="A151" s="1">
        <f t="shared" ca="1" si="8"/>
        <v>7448</v>
      </c>
      <c r="B151" s="5">
        <v>746.4</v>
      </c>
      <c r="C151" s="6">
        <v>746</v>
      </c>
      <c r="D151" s="7">
        <v>28.3</v>
      </c>
      <c r="E151" s="8">
        <v>26</v>
      </c>
      <c r="F151" s="9">
        <v>0</v>
      </c>
      <c r="G151" s="10">
        <v>0</v>
      </c>
      <c r="H151" s="11">
        <v>0</v>
      </c>
    </row>
    <row r="152" spans="1:8" x14ac:dyDescent="0.25">
      <c r="A152" s="1">
        <f t="shared" ca="1" si="8"/>
        <v>7449</v>
      </c>
      <c r="B152" s="5">
        <v>746.4</v>
      </c>
      <c r="C152" s="6">
        <v>746</v>
      </c>
      <c r="D152" s="7">
        <v>28</v>
      </c>
      <c r="E152" s="8">
        <v>26</v>
      </c>
      <c r="F152" s="9">
        <v>0</v>
      </c>
      <c r="G152" s="10">
        <v>0</v>
      </c>
      <c r="H152" s="11">
        <v>0</v>
      </c>
    </row>
    <row r="153" spans="1:8" x14ac:dyDescent="0.25">
      <c r="A153" s="1">
        <f t="shared" ca="1" si="8"/>
        <v>7450</v>
      </c>
      <c r="B153" s="5">
        <v>746.3</v>
      </c>
      <c r="C153" s="6">
        <v>745</v>
      </c>
      <c r="D153" s="7">
        <v>26</v>
      </c>
      <c r="E153" s="8">
        <v>26</v>
      </c>
      <c r="F153" s="9">
        <v>0</v>
      </c>
      <c r="G153" s="10">
        <v>0</v>
      </c>
      <c r="H153" s="11">
        <v>0</v>
      </c>
    </row>
    <row r="154" spans="1:8" x14ac:dyDescent="0.25">
      <c r="A154" s="1">
        <f t="shared" ca="1" si="8"/>
        <v>7451</v>
      </c>
      <c r="B154" s="5">
        <v>745</v>
      </c>
      <c r="C154" s="6">
        <v>744</v>
      </c>
      <c r="D154" s="7">
        <v>26.5</v>
      </c>
      <c r="E154" s="8">
        <v>24</v>
      </c>
      <c r="F154" s="9">
        <v>144</v>
      </c>
      <c r="G154" s="10">
        <v>22</v>
      </c>
      <c r="H154" s="11">
        <v>0</v>
      </c>
    </row>
    <row r="155" spans="1:8" x14ac:dyDescent="0.25">
      <c r="A155" s="1">
        <f t="shared" ca="1" si="8"/>
        <v>7452</v>
      </c>
      <c r="B155" s="5">
        <v>745</v>
      </c>
      <c r="C155" s="6">
        <v>744.8</v>
      </c>
      <c r="D155" s="7">
        <v>27</v>
      </c>
      <c r="E155" s="8">
        <v>25.5</v>
      </c>
      <c r="F155" s="9">
        <v>17</v>
      </c>
      <c r="G155" s="10">
        <v>0</v>
      </c>
      <c r="H155" s="11">
        <v>0</v>
      </c>
    </row>
    <row r="156" spans="1:8" x14ac:dyDescent="0.25">
      <c r="A156" s="1">
        <f t="shared" ca="1" si="8"/>
        <v>7453</v>
      </c>
      <c r="B156" s="5">
        <v>747</v>
      </c>
      <c r="C156" s="6">
        <v>746</v>
      </c>
      <c r="D156" s="7">
        <v>27</v>
      </c>
      <c r="E156" s="8">
        <v>26.5</v>
      </c>
      <c r="F156" s="9">
        <v>0</v>
      </c>
      <c r="G156" s="10">
        <v>0</v>
      </c>
      <c r="H156" s="11">
        <v>0</v>
      </c>
    </row>
    <row r="157" spans="1:8" x14ac:dyDescent="0.25">
      <c r="A157" s="1">
        <f t="shared" ca="1" si="8"/>
        <v>7454</v>
      </c>
      <c r="B157" s="5">
        <v>746.8</v>
      </c>
      <c r="C157" s="6">
        <v>746.5</v>
      </c>
      <c r="D157" s="7">
        <v>28</v>
      </c>
      <c r="E157" s="8">
        <v>26.3</v>
      </c>
      <c r="F157" s="9">
        <v>0</v>
      </c>
      <c r="G157" s="10">
        <v>0</v>
      </c>
      <c r="H157" s="11">
        <v>0</v>
      </c>
    </row>
    <row r="158" spans="1:8" x14ac:dyDescent="0.25">
      <c r="A158" s="1">
        <f t="shared" ca="1" si="8"/>
        <v>7455</v>
      </c>
      <c r="B158" s="5">
        <v>747</v>
      </c>
      <c r="C158" s="6">
        <v>746</v>
      </c>
      <c r="D158" s="7">
        <v>28.5</v>
      </c>
      <c r="E158" s="8">
        <v>26</v>
      </c>
      <c r="F158" s="9">
        <v>0</v>
      </c>
      <c r="G158" s="10">
        <v>0</v>
      </c>
      <c r="H158" s="11">
        <v>0</v>
      </c>
    </row>
    <row r="159" spans="1:8" x14ac:dyDescent="0.25">
      <c r="A159" s="1">
        <f t="shared" ca="1" si="8"/>
        <v>7456</v>
      </c>
      <c r="B159" s="5">
        <v>747</v>
      </c>
      <c r="C159" s="6">
        <v>746</v>
      </c>
      <c r="D159" s="7">
        <v>28</v>
      </c>
      <c r="E159" s="8">
        <v>26</v>
      </c>
      <c r="F159" s="9">
        <v>0</v>
      </c>
      <c r="G159" s="10">
        <v>0</v>
      </c>
      <c r="H159" s="11">
        <v>0</v>
      </c>
    </row>
    <row r="160" spans="1:8" x14ac:dyDescent="0.25">
      <c r="A160" s="1">
        <f t="shared" ca="1" si="8"/>
        <v>7457</v>
      </c>
      <c r="B160" s="5">
        <v>747</v>
      </c>
      <c r="C160" s="6">
        <v>746.5</v>
      </c>
      <c r="D160" s="7">
        <v>29</v>
      </c>
      <c r="E160" s="8">
        <v>26.3</v>
      </c>
      <c r="F160" s="9">
        <v>0</v>
      </c>
      <c r="G160" s="10">
        <v>0</v>
      </c>
      <c r="H160" s="11">
        <v>0</v>
      </c>
    </row>
    <row r="161" spans="1:8" x14ac:dyDescent="0.25">
      <c r="A161" s="1" t="str">
        <f t="shared" ca="1" si="8"/>
        <v>Totaal</v>
      </c>
      <c r="B161" s="28">
        <f>IF(COUNT(B130:B160)&gt;0,AVERAGE(B130:B160),"")</f>
        <v>747.46451612903229</v>
      </c>
      <c r="C161" s="29">
        <f t="shared" ref="C161" si="9">IF(COUNT(C130:C160)&gt;0,AVERAGE(C130:C160),"")</f>
        <v>746.89677419354837</v>
      </c>
      <c r="D161" s="30">
        <f t="shared" ref="D161" si="10">IF(COUNT(D130:D160)&gt;0,AVERAGE(D130:D160),"")</f>
        <v>27.799999999999997</v>
      </c>
      <c r="E161" s="31">
        <f t="shared" ref="E161" si="11">IF(COUNT(E130:E160)&gt;0,AVERAGE(E130:E160),"")</f>
        <v>25.816129032258065</v>
      </c>
      <c r="F161" s="32">
        <f>SUM(F130:F160)/10</f>
        <v>47</v>
      </c>
      <c r="G161" s="33">
        <f>SUM(G130:G160)/10</f>
        <v>25.7</v>
      </c>
      <c r="H161" s="34">
        <f>SUM(H130:H160)/10</f>
        <v>0</v>
      </c>
    </row>
    <row r="162" spans="1:8" x14ac:dyDescent="0.25">
      <c r="A162" s="1">
        <f t="shared" ca="1" si="8"/>
        <v>7458</v>
      </c>
      <c r="B162" s="5">
        <v>748</v>
      </c>
      <c r="C162" s="6">
        <v>747.5</v>
      </c>
      <c r="D162" s="7">
        <v>29</v>
      </c>
      <c r="E162" s="8">
        <v>27</v>
      </c>
      <c r="F162" s="9">
        <v>4</v>
      </c>
      <c r="G162" s="10">
        <v>0</v>
      </c>
      <c r="H162" s="11">
        <v>0</v>
      </c>
    </row>
    <row r="163" spans="1:8" x14ac:dyDescent="0.25">
      <c r="A163" s="1">
        <f t="shared" ca="1" si="8"/>
        <v>7459</v>
      </c>
      <c r="B163" s="5">
        <v>748</v>
      </c>
      <c r="C163" s="6">
        <v>747.8</v>
      </c>
      <c r="D163" s="7">
        <v>29</v>
      </c>
      <c r="E163" s="8">
        <v>27</v>
      </c>
      <c r="F163" s="9">
        <v>10</v>
      </c>
      <c r="G163" s="10">
        <v>0</v>
      </c>
      <c r="H163" s="11">
        <v>0</v>
      </c>
    </row>
    <row r="164" spans="1:8" x14ac:dyDescent="0.25">
      <c r="A164" s="1">
        <f t="shared" ca="1" si="8"/>
        <v>7460</v>
      </c>
      <c r="B164" s="5">
        <v>748.3</v>
      </c>
      <c r="C164" s="6">
        <v>748</v>
      </c>
      <c r="D164" s="7">
        <v>29.5</v>
      </c>
      <c r="E164" s="8">
        <v>26.5</v>
      </c>
      <c r="F164" s="9">
        <v>0</v>
      </c>
      <c r="G164" s="10">
        <v>0</v>
      </c>
      <c r="H164" s="11">
        <v>0</v>
      </c>
    </row>
    <row r="165" spans="1:8" x14ac:dyDescent="0.25">
      <c r="A165" s="1">
        <f t="shared" ca="1" si="8"/>
        <v>7461</v>
      </c>
      <c r="B165" s="5">
        <v>748</v>
      </c>
      <c r="C165" s="6">
        <v>747.8</v>
      </c>
      <c r="D165" s="7">
        <v>28.8</v>
      </c>
      <c r="E165" s="8">
        <v>26.5</v>
      </c>
      <c r="F165" s="9">
        <v>0</v>
      </c>
      <c r="G165" s="10">
        <v>6</v>
      </c>
      <c r="H165" s="11">
        <v>0</v>
      </c>
    </row>
    <row r="166" spans="1:8" x14ac:dyDescent="0.25">
      <c r="A166" s="1">
        <f t="shared" ca="1" si="8"/>
        <v>7462</v>
      </c>
      <c r="B166" s="5">
        <v>748.5</v>
      </c>
      <c r="C166" s="6">
        <v>748.2</v>
      </c>
      <c r="D166" s="7">
        <v>29</v>
      </c>
      <c r="E166" s="8">
        <v>26</v>
      </c>
      <c r="F166" s="9">
        <v>9</v>
      </c>
      <c r="G166" s="10">
        <v>0</v>
      </c>
      <c r="H166" s="11">
        <v>40</v>
      </c>
    </row>
    <row r="167" spans="1:8" x14ac:dyDescent="0.25">
      <c r="A167" s="1">
        <f t="shared" ca="1" si="8"/>
        <v>7463</v>
      </c>
      <c r="B167" s="5">
        <v>748.4</v>
      </c>
      <c r="C167" s="6">
        <v>748.2</v>
      </c>
      <c r="D167" s="7">
        <v>29</v>
      </c>
      <c r="E167" s="8">
        <v>26</v>
      </c>
      <c r="F167" s="9">
        <v>0</v>
      </c>
      <c r="G167" s="10">
        <v>0</v>
      </c>
      <c r="H167" s="11">
        <v>0</v>
      </c>
    </row>
    <row r="168" spans="1:8" x14ac:dyDescent="0.25">
      <c r="A168" s="1">
        <f t="shared" ca="1" si="8"/>
        <v>7464</v>
      </c>
      <c r="B168" s="5">
        <v>748.2</v>
      </c>
      <c r="C168" s="6">
        <v>748</v>
      </c>
      <c r="D168" s="7">
        <v>30</v>
      </c>
      <c r="E168" s="8">
        <v>27</v>
      </c>
      <c r="F168" s="9">
        <v>9</v>
      </c>
      <c r="G168" s="10">
        <v>0</v>
      </c>
      <c r="H168" s="11">
        <v>16</v>
      </c>
    </row>
    <row r="169" spans="1:8" x14ac:dyDescent="0.25">
      <c r="A169" s="1">
        <f t="shared" ca="1" si="8"/>
        <v>7465</v>
      </c>
      <c r="B169" s="5">
        <v>748</v>
      </c>
      <c r="C169" s="6">
        <v>747.6</v>
      </c>
      <c r="D169" s="7">
        <v>27</v>
      </c>
      <c r="E169" s="8">
        <v>26</v>
      </c>
      <c r="F169" s="9">
        <v>40</v>
      </c>
      <c r="G169" s="10">
        <v>110</v>
      </c>
      <c r="H169" s="11">
        <v>60</v>
      </c>
    </row>
    <row r="170" spans="1:8" x14ac:dyDescent="0.25">
      <c r="A170" s="1">
        <f t="shared" ca="1" si="8"/>
        <v>7466</v>
      </c>
      <c r="B170" s="5">
        <v>748</v>
      </c>
      <c r="C170" s="6">
        <v>747.5</v>
      </c>
      <c r="D170" s="7">
        <v>29</v>
      </c>
      <c r="E170" s="8">
        <v>26</v>
      </c>
      <c r="F170" s="9">
        <v>0</v>
      </c>
      <c r="G170" s="10">
        <v>0</v>
      </c>
      <c r="H170" s="11">
        <v>0</v>
      </c>
    </row>
    <row r="171" spans="1:8" x14ac:dyDescent="0.25">
      <c r="A171" s="1">
        <f t="shared" ca="1" si="8"/>
        <v>7467</v>
      </c>
      <c r="B171" s="5">
        <v>748.5</v>
      </c>
      <c r="C171" s="6">
        <v>748</v>
      </c>
      <c r="D171" s="7">
        <v>29</v>
      </c>
      <c r="E171" s="8">
        <v>26</v>
      </c>
      <c r="F171" s="9">
        <v>0</v>
      </c>
      <c r="G171" s="10">
        <v>0</v>
      </c>
      <c r="H171" s="11">
        <v>0</v>
      </c>
    </row>
    <row r="172" spans="1:8" x14ac:dyDescent="0.25">
      <c r="A172" s="1">
        <f t="shared" ca="1" si="8"/>
        <v>7468</v>
      </c>
      <c r="B172" s="5">
        <v>749</v>
      </c>
      <c r="C172" s="6">
        <v>748.7</v>
      </c>
      <c r="D172" s="7">
        <v>30</v>
      </c>
      <c r="E172" s="8">
        <v>27</v>
      </c>
      <c r="F172" s="9">
        <v>0</v>
      </c>
      <c r="G172" s="10">
        <v>0</v>
      </c>
      <c r="H172" s="11">
        <v>0</v>
      </c>
    </row>
    <row r="173" spans="1:8" x14ac:dyDescent="0.25">
      <c r="A173" s="1">
        <f t="shared" ca="1" si="8"/>
        <v>7469</v>
      </c>
      <c r="B173" s="5">
        <v>748.5</v>
      </c>
      <c r="C173" s="6">
        <v>748.2</v>
      </c>
      <c r="D173" s="7">
        <v>29.5</v>
      </c>
      <c r="E173" s="8">
        <v>27</v>
      </c>
      <c r="F173" s="9">
        <v>0</v>
      </c>
      <c r="G173" s="10">
        <v>0</v>
      </c>
      <c r="H173" s="11">
        <v>0</v>
      </c>
    </row>
    <row r="174" spans="1:8" x14ac:dyDescent="0.25">
      <c r="A174" s="1">
        <f t="shared" ca="1" si="8"/>
        <v>7470</v>
      </c>
      <c r="B174" s="5">
        <v>748.5</v>
      </c>
      <c r="C174" s="6">
        <v>748.3</v>
      </c>
      <c r="D174" s="7">
        <v>29.5</v>
      </c>
      <c r="E174" s="8">
        <v>27</v>
      </c>
      <c r="F174" s="9">
        <v>0</v>
      </c>
      <c r="G174" s="10">
        <v>0</v>
      </c>
      <c r="H174" s="11">
        <v>0</v>
      </c>
    </row>
    <row r="175" spans="1:8" x14ac:dyDescent="0.25">
      <c r="A175" s="1">
        <f t="shared" ca="1" si="8"/>
        <v>7471</v>
      </c>
      <c r="B175" s="5">
        <v>748.7</v>
      </c>
      <c r="C175" s="6">
        <v>748.5</v>
      </c>
      <c r="D175" s="7">
        <v>29.5</v>
      </c>
      <c r="E175" s="8">
        <v>27</v>
      </c>
      <c r="F175" s="9">
        <v>0</v>
      </c>
      <c r="G175" s="10">
        <v>57</v>
      </c>
      <c r="H175" s="11">
        <v>0</v>
      </c>
    </row>
    <row r="176" spans="1:8" x14ac:dyDescent="0.25">
      <c r="A176" s="1">
        <f t="shared" ca="1" si="8"/>
        <v>7472</v>
      </c>
      <c r="B176" s="5">
        <v>748.5</v>
      </c>
      <c r="C176" s="6">
        <v>748</v>
      </c>
      <c r="D176" s="7">
        <v>29</v>
      </c>
      <c r="E176" s="8">
        <v>26</v>
      </c>
      <c r="F176" s="9">
        <v>25</v>
      </c>
      <c r="G176" s="10">
        <v>0</v>
      </c>
      <c r="H176" s="11">
        <v>0</v>
      </c>
    </row>
    <row r="177" spans="1:8" x14ac:dyDescent="0.25">
      <c r="A177" s="1">
        <f t="shared" ca="1" si="8"/>
        <v>7473</v>
      </c>
      <c r="B177" s="5">
        <v>748.6</v>
      </c>
      <c r="C177" s="6">
        <v>748</v>
      </c>
      <c r="D177" s="7">
        <v>29.3</v>
      </c>
      <c r="E177" s="8">
        <v>27</v>
      </c>
      <c r="F177" s="9">
        <v>0</v>
      </c>
      <c r="G177" s="10">
        <v>0</v>
      </c>
      <c r="H177" s="11">
        <v>0</v>
      </c>
    </row>
    <row r="178" spans="1:8" x14ac:dyDescent="0.25">
      <c r="A178" s="1">
        <f t="shared" ca="1" si="8"/>
        <v>7474</v>
      </c>
      <c r="B178" s="5">
        <v>748.6</v>
      </c>
      <c r="C178" s="6">
        <v>748.5</v>
      </c>
      <c r="D178" s="7">
        <v>29.3</v>
      </c>
      <c r="E178" s="8">
        <v>26</v>
      </c>
      <c r="F178" s="9">
        <v>7</v>
      </c>
      <c r="G178" s="10">
        <v>8</v>
      </c>
      <c r="H178" s="11">
        <v>0</v>
      </c>
    </row>
    <row r="179" spans="1:8" x14ac:dyDescent="0.25">
      <c r="A179" s="1">
        <f t="shared" ca="1" si="8"/>
        <v>7475</v>
      </c>
      <c r="B179" s="5">
        <v>748.9</v>
      </c>
      <c r="C179" s="6">
        <v>748.7</v>
      </c>
      <c r="D179" s="7">
        <v>29</v>
      </c>
      <c r="E179" s="8">
        <v>27</v>
      </c>
      <c r="F179" s="9">
        <v>0</v>
      </c>
      <c r="G179" s="10">
        <v>41</v>
      </c>
      <c r="H179" s="11">
        <v>0</v>
      </c>
    </row>
    <row r="180" spans="1:8" x14ac:dyDescent="0.25">
      <c r="A180" s="1">
        <f t="shared" ca="1" si="8"/>
        <v>7476</v>
      </c>
      <c r="B180" s="5">
        <v>749</v>
      </c>
      <c r="C180" s="6">
        <v>748.7</v>
      </c>
      <c r="D180" s="7">
        <v>28</v>
      </c>
      <c r="E180" s="8">
        <v>26.5</v>
      </c>
      <c r="F180" s="9">
        <v>50</v>
      </c>
      <c r="G180" s="10">
        <v>0</v>
      </c>
      <c r="H180" s="11">
        <v>90</v>
      </c>
    </row>
    <row r="181" spans="1:8" x14ac:dyDescent="0.25">
      <c r="A181" s="1">
        <f t="shared" ca="1" si="8"/>
        <v>7477</v>
      </c>
      <c r="B181" s="5">
        <v>749</v>
      </c>
      <c r="C181" s="6">
        <v>748.5</v>
      </c>
      <c r="D181" s="7">
        <v>28</v>
      </c>
      <c r="E181" s="8">
        <v>26</v>
      </c>
      <c r="F181" s="9">
        <v>0</v>
      </c>
      <c r="G181" s="10">
        <v>0</v>
      </c>
      <c r="H181" s="11">
        <v>0</v>
      </c>
    </row>
    <row r="182" spans="1:8" x14ac:dyDescent="0.25">
      <c r="A182" s="1">
        <f t="shared" ca="1" si="8"/>
        <v>7478</v>
      </c>
      <c r="B182" s="5">
        <v>749</v>
      </c>
      <c r="C182" s="6">
        <v>748.5</v>
      </c>
      <c r="D182" s="7">
        <v>28.5</v>
      </c>
      <c r="E182" s="8">
        <v>26</v>
      </c>
      <c r="F182" s="9">
        <v>5</v>
      </c>
      <c r="G182" s="10">
        <v>9</v>
      </c>
      <c r="H182" s="11">
        <v>0</v>
      </c>
    </row>
    <row r="183" spans="1:8" x14ac:dyDescent="0.25">
      <c r="A183" s="1">
        <f t="shared" ca="1" si="8"/>
        <v>7479</v>
      </c>
      <c r="B183" s="5">
        <v>749</v>
      </c>
      <c r="C183" s="6">
        <v>748.7</v>
      </c>
      <c r="D183" s="7">
        <v>28</v>
      </c>
      <c r="E183" s="8">
        <v>26</v>
      </c>
      <c r="F183" s="9">
        <v>0</v>
      </c>
      <c r="G183" s="10">
        <v>24</v>
      </c>
      <c r="H183" s="11">
        <v>0</v>
      </c>
    </row>
    <row r="184" spans="1:8" x14ac:dyDescent="0.25">
      <c r="A184" s="1">
        <f t="shared" ca="1" si="8"/>
        <v>7480</v>
      </c>
      <c r="B184" s="5">
        <v>749</v>
      </c>
      <c r="C184" s="6">
        <v>748.6</v>
      </c>
      <c r="D184" s="7">
        <v>28</v>
      </c>
      <c r="E184" s="8">
        <v>26</v>
      </c>
      <c r="F184" s="9">
        <v>14</v>
      </c>
      <c r="G184" s="10">
        <v>25</v>
      </c>
      <c r="H184" s="11">
        <v>0</v>
      </c>
    </row>
    <row r="185" spans="1:8" x14ac:dyDescent="0.25">
      <c r="A185" s="1">
        <f t="shared" ca="1" si="8"/>
        <v>7481</v>
      </c>
      <c r="B185" s="5">
        <v>749.2</v>
      </c>
      <c r="C185" s="6">
        <v>748.9</v>
      </c>
      <c r="D185" s="7">
        <v>28.8</v>
      </c>
      <c r="E185" s="8">
        <v>25</v>
      </c>
      <c r="F185" s="9">
        <v>30</v>
      </c>
      <c r="G185" s="10">
        <v>0</v>
      </c>
      <c r="H185" s="11">
        <v>0</v>
      </c>
    </row>
    <row r="186" spans="1:8" x14ac:dyDescent="0.25">
      <c r="A186" s="1">
        <f t="shared" ca="1" si="8"/>
        <v>7482</v>
      </c>
      <c r="B186" s="5">
        <v>749.3</v>
      </c>
      <c r="C186" s="6">
        <v>749</v>
      </c>
      <c r="D186" s="7">
        <v>28.5</v>
      </c>
      <c r="E186" s="8">
        <v>26</v>
      </c>
      <c r="F186" s="9">
        <v>0</v>
      </c>
      <c r="G186" s="10">
        <v>0</v>
      </c>
      <c r="H186" s="11">
        <v>0</v>
      </c>
    </row>
    <row r="187" spans="1:8" x14ac:dyDescent="0.25">
      <c r="A187" s="1">
        <f t="shared" ca="1" si="8"/>
        <v>7483</v>
      </c>
      <c r="B187" s="5">
        <v>749.2</v>
      </c>
      <c r="C187" s="6">
        <v>749</v>
      </c>
      <c r="D187" s="7">
        <v>28</v>
      </c>
      <c r="E187" s="8">
        <v>26</v>
      </c>
      <c r="F187" s="9">
        <v>0</v>
      </c>
      <c r="G187" s="10">
        <v>152</v>
      </c>
      <c r="H187" s="11">
        <v>0</v>
      </c>
    </row>
    <row r="188" spans="1:8" x14ac:dyDescent="0.25">
      <c r="A188" s="1">
        <f t="shared" ca="1" si="8"/>
        <v>7484</v>
      </c>
      <c r="B188" s="5">
        <v>749</v>
      </c>
      <c r="C188" s="6">
        <v>748.7</v>
      </c>
      <c r="D188" s="7">
        <v>28</v>
      </c>
      <c r="E188" s="8">
        <v>25</v>
      </c>
      <c r="F188" s="9">
        <v>140</v>
      </c>
      <c r="G188" s="10">
        <v>0</v>
      </c>
      <c r="H188" s="11">
        <v>180</v>
      </c>
    </row>
    <row r="189" spans="1:8" x14ac:dyDescent="0.25">
      <c r="A189" s="1">
        <f t="shared" ca="1" si="8"/>
        <v>7485</v>
      </c>
      <c r="B189" s="5">
        <v>748.6</v>
      </c>
      <c r="C189" s="6">
        <v>748.1</v>
      </c>
      <c r="D189" s="7">
        <v>28</v>
      </c>
      <c r="E189" s="8">
        <v>26</v>
      </c>
      <c r="F189" s="9">
        <v>0</v>
      </c>
      <c r="G189" s="10">
        <v>0</v>
      </c>
      <c r="H189" s="11">
        <v>0</v>
      </c>
    </row>
    <row r="190" spans="1:8" x14ac:dyDescent="0.25">
      <c r="A190" s="1">
        <f t="shared" ca="1" si="8"/>
        <v>7486</v>
      </c>
      <c r="B190" s="5">
        <v>749</v>
      </c>
      <c r="C190" s="6">
        <v>748.5</v>
      </c>
      <c r="D190" s="7">
        <v>28.8</v>
      </c>
      <c r="E190" s="8">
        <v>26</v>
      </c>
      <c r="F190" s="9">
        <v>10</v>
      </c>
      <c r="G190" s="10">
        <v>11</v>
      </c>
      <c r="H190" s="11">
        <v>0</v>
      </c>
    </row>
    <row r="191" spans="1:8" x14ac:dyDescent="0.25">
      <c r="A191" s="1">
        <f t="shared" ca="1" si="8"/>
        <v>7487</v>
      </c>
      <c r="B191" s="5">
        <v>750</v>
      </c>
      <c r="C191" s="6">
        <v>749.6</v>
      </c>
      <c r="D191" s="7">
        <v>29</v>
      </c>
      <c r="E191" s="8">
        <v>26</v>
      </c>
      <c r="F191" s="9">
        <v>15</v>
      </c>
      <c r="G191" s="10">
        <v>32</v>
      </c>
      <c r="H191" s="11">
        <v>75</v>
      </c>
    </row>
    <row r="192" spans="1:8" x14ac:dyDescent="0.25">
      <c r="A192" s="1" t="str">
        <f t="shared" ca="1" si="8"/>
        <v>Totaal</v>
      </c>
      <c r="B192" s="28">
        <f t="shared" ref="B192:E192" si="12">IF(COUNT(B162:B191)&gt;0,AVERAGE(B162:B191),"")</f>
        <v>748.68333333333328</v>
      </c>
      <c r="C192" s="29">
        <f t="shared" si="12"/>
        <v>748.34333333333336</v>
      </c>
      <c r="D192" s="30">
        <f t="shared" si="12"/>
        <v>28.8</v>
      </c>
      <c r="E192" s="31">
        <f t="shared" si="12"/>
        <v>26.283333333333335</v>
      </c>
      <c r="F192" s="32">
        <f>SUM(F162:F191)/10</f>
        <v>36.799999999999997</v>
      </c>
      <c r="G192" s="33">
        <f>SUM(G162:G191)/10</f>
        <v>47.5</v>
      </c>
      <c r="H192" s="34">
        <f>SUM(H162:H191)/10</f>
        <v>46.1</v>
      </c>
    </row>
    <row r="193" spans="1:8" x14ac:dyDescent="0.25">
      <c r="A193" s="1">
        <f t="shared" ca="1" si="8"/>
        <v>7488</v>
      </c>
      <c r="B193" s="5">
        <v>751</v>
      </c>
      <c r="C193" s="6">
        <v>750.6</v>
      </c>
      <c r="D193" s="7">
        <v>29</v>
      </c>
      <c r="E193" s="8">
        <v>26</v>
      </c>
      <c r="F193" s="9">
        <v>47</v>
      </c>
      <c r="G193" s="10">
        <v>0</v>
      </c>
      <c r="H193" s="11">
        <v>0</v>
      </c>
    </row>
    <row r="194" spans="1:8" x14ac:dyDescent="0.25">
      <c r="A194" s="1">
        <f t="shared" ca="1" si="8"/>
        <v>7489</v>
      </c>
      <c r="B194" s="5">
        <v>750.5</v>
      </c>
      <c r="C194" s="6">
        <v>750</v>
      </c>
      <c r="D194" s="7">
        <v>29</v>
      </c>
      <c r="E194" s="8">
        <v>26</v>
      </c>
      <c r="F194" s="9">
        <v>0</v>
      </c>
      <c r="G194" s="10">
        <v>0</v>
      </c>
      <c r="H194" s="11">
        <v>0</v>
      </c>
    </row>
    <row r="195" spans="1:8" x14ac:dyDescent="0.25">
      <c r="A195" s="1">
        <f t="shared" ca="1" si="8"/>
        <v>7490</v>
      </c>
      <c r="B195" s="5">
        <v>749.5</v>
      </c>
      <c r="C195" s="6">
        <v>749</v>
      </c>
      <c r="D195" s="7">
        <v>28</v>
      </c>
      <c r="E195" s="8">
        <v>26.5</v>
      </c>
      <c r="F195" s="9">
        <v>0</v>
      </c>
      <c r="G195" s="10">
        <v>0</v>
      </c>
      <c r="H195" s="11">
        <v>0</v>
      </c>
    </row>
    <row r="196" spans="1:8" x14ac:dyDescent="0.25">
      <c r="A196" s="1">
        <f t="shared" ca="1" si="8"/>
        <v>7491</v>
      </c>
      <c r="B196" s="5">
        <v>750</v>
      </c>
      <c r="C196" s="6">
        <v>749.6</v>
      </c>
      <c r="D196" s="7">
        <v>28</v>
      </c>
      <c r="E196" s="8">
        <v>26</v>
      </c>
      <c r="F196" s="9">
        <v>2</v>
      </c>
      <c r="G196" s="10">
        <v>0</v>
      </c>
      <c r="H196" s="11">
        <v>0</v>
      </c>
    </row>
    <row r="197" spans="1:8" x14ac:dyDescent="0.25">
      <c r="A197" s="1">
        <f t="shared" ca="1" si="8"/>
        <v>7492</v>
      </c>
      <c r="B197" s="5">
        <v>750</v>
      </c>
      <c r="C197" s="6">
        <v>749.7</v>
      </c>
      <c r="D197" s="7">
        <v>28</v>
      </c>
      <c r="E197" s="8">
        <v>25.5</v>
      </c>
      <c r="F197" s="9">
        <v>30</v>
      </c>
      <c r="G197" s="10">
        <v>0</v>
      </c>
      <c r="H197" s="11">
        <v>0</v>
      </c>
    </row>
    <row r="198" spans="1:8" x14ac:dyDescent="0.25">
      <c r="A198" s="1">
        <f t="shared" ca="1" si="8"/>
        <v>7493</v>
      </c>
      <c r="B198" s="5">
        <v>749.5</v>
      </c>
      <c r="C198" s="6">
        <v>749</v>
      </c>
      <c r="D198" s="7">
        <v>26</v>
      </c>
      <c r="E198" s="8">
        <v>25</v>
      </c>
      <c r="F198" s="9">
        <v>0</v>
      </c>
      <c r="G198" s="10">
        <v>32</v>
      </c>
      <c r="H198" s="11">
        <v>0</v>
      </c>
    </row>
    <row r="199" spans="1:8" x14ac:dyDescent="0.25">
      <c r="A199" s="1">
        <f t="shared" ref="A199:A262" ca="1" si="13">IF(ISTEXT(A198),A197+1,IF(MONTH(A198+1)=MONTH(A198),A198+1,"Totaal"))</f>
        <v>7494</v>
      </c>
      <c r="B199" s="5">
        <v>749.5</v>
      </c>
      <c r="C199" s="6">
        <v>749</v>
      </c>
      <c r="D199" s="7">
        <v>28</v>
      </c>
      <c r="E199" s="8">
        <v>26</v>
      </c>
      <c r="F199" s="9">
        <v>9</v>
      </c>
      <c r="G199" s="10">
        <v>0</v>
      </c>
      <c r="H199" s="11">
        <v>0</v>
      </c>
    </row>
    <row r="200" spans="1:8" x14ac:dyDescent="0.25">
      <c r="A200" s="1">
        <f t="shared" ca="1" si="13"/>
        <v>7495</v>
      </c>
      <c r="B200" s="5">
        <v>749</v>
      </c>
      <c r="C200" s="6">
        <v>748.5</v>
      </c>
      <c r="D200" s="7">
        <v>27</v>
      </c>
      <c r="E200" s="8">
        <v>25</v>
      </c>
      <c r="F200" s="9">
        <v>35</v>
      </c>
      <c r="G200" s="10">
        <v>21</v>
      </c>
      <c r="H200" s="11">
        <v>0</v>
      </c>
    </row>
    <row r="201" spans="1:8" x14ac:dyDescent="0.25">
      <c r="A201" s="1">
        <f t="shared" ca="1" si="13"/>
        <v>7496</v>
      </c>
      <c r="B201" s="5">
        <v>749.5</v>
      </c>
      <c r="C201" s="6">
        <v>749</v>
      </c>
      <c r="D201" s="7">
        <v>28.8</v>
      </c>
      <c r="E201" s="8">
        <v>26</v>
      </c>
      <c r="F201" s="9">
        <v>0</v>
      </c>
      <c r="G201" s="10">
        <v>121</v>
      </c>
      <c r="H201" s="11">
        <v>0</v>
      </c>
    </row>
    <row r="202" spans="1:8" x14ac:dyDescent="0.25">
      <c r="A202" s="1">
        <f t="shared" ca="1" si="13"/>
        <v>7497</v>
      </c>
      <c r="B202" s="5">
        <v>749</v>
      </c>
      <c r="C202" s="6">
        <v>748.6</v>
      </c>
      <c r="D202" s="7">
        <v>28</v>
      </c>
      <c r="E202" s="8">
        <v>25.8</v>
      </c>
      <c r="F202" s="9">
        <v>135</v>
      </c>
      <c r="G202" s="10">
        <v>0</v>
      </c>
      <c r="H202" s="11">
        <v>145</v>
      </c>
    </row>
    <row r="203" spans="1:8" x14ac:dyDescent="0.25">
      <c r="A203" s="1">
        <f t="shared" ca="1" si="13"/>
        <v>7498</v>
      </c>
      <c r="B203" s="5">
        <v>749</v>
      </c>
      <c r="C203" s="6">
        <v>748</v>
      </c>
      <c r="D203" s="7">
        <v>28</v>
      </c>
      <c r="E203" s="8">
        <v>25</v>
      </c>
      <c r="F203" s="9">
        <v>0</v>
      </c>
      <c r="G203" s="10">
        <v>2</v>
      </c>
      <c r="H203" s="11">
        <v>0</v>
      </c>
    </row>
    <row r="204" spans="1:8" x14ac:dyDescent="0.25">
      <c r="A204" s="1">
        <f t="shared" ca="1" si="13"/>
        <v>7499</v>
      </c>
      <c r="B204" s="5">
        <v>750.7</v>
      </c>
      <c r="C204" s="6">
        <v>750</v>
      </c>
      <c r="D204" s="7">
        <v>29</v>
      </c>
      <c r="E204" s="8">
        <v>26</v>
      </c>
      <c r="F204" s="9">
        <v>3</v>
      </c>
      <c r="G204" s="10">
        <v>4</v>
      </c>
      <c r="H204" s="11">
        <v>0</v>
      </c>
    </row>
    <row r="205" spans="1:8" x14ac:dyDescent="0.25">
      <c r="A205" s="1">
        <f t="shared" ca="1" si="13"/>
        <v>7500</v>
      </c>
      <c r="B205" s="5">
        <v>749.6</v>
      </c>
      <c r="C205" s="6">
        <v>749</v>
      </c>
      <c r="D205" s="7">
        <v>28</v>
      </c>
      <c r="E205" s="8">
        <v>26</v>
      </c>
      <c r="F205" s="9">
        <v>12</v>
      </c>
      <c r="G205" s="10">
        <v>25</v>
      </c>
      <c r="H205" s="11">
        <v>0</v>
      </c>
    </row>
    <row r="206" spans="1:8" x14ac:dyDescent="0.25">
      <c r="A206" s="1">
        <f t="shared" ca="1" si="13"/>
        <v>7501</v>
      </c>
      <c r="B206" s="5">
        <v>749</v>
      </c>
      <c r="C206" s="6">
        <v>748.5</v>
      </c>
      <c r="D206" s="7">
        <v>28</v>
      </c>
      <c r="E206" s="8">
        <v>25</v>
      </c>
      <c r="F206" s="9">
        <v>40</v>
      </c>
      <c r="G206" s="10">
        <v>65</v>
      </c>
      <c r="H206" s="11">
        <v>0</v>
      </c>
    </row>
    <row r="207" spans="1:8" x14ac:dyDescent="0.25">
      <c r="A207" s="1">
        <f t="shared" ca="1" si="13"/>
        <v>7502</v>
      </c>
      <c r="B207" s="5">
        <v>750.3</v>
      </c>
      <c r="C207" s="6">
        <v>750</v>
      </c>
      <c r="D207" s="7">
        <v>28.8</v>
      </c>
      <c r="E207" s="8">
        <v>26</v>
      </c>
      <c r="F207" s="9">
        <v>30</v>
      </c>
      <c r="G207" s="10">
        <v>0</v>
      </c>
      <c r="H207" s="11">
        <v>0</v>
      </c>
    </row>
    <row r="208" spans="1:8" x14ac:dyDescent="0.25">
      <c r="A208" s="1">
        <f t="shared" ca="1" si="13"/>
        <v>7503</v>
      </c>
      <c r="B208" s="5">
        <v>750</v>
      </c>
      <c r="C208" s="6">
        <v>749.5</v>
      </c>
      <c r="D208" s="7">
        <v>28.3</v>
      </c>
      <c r="E208" s="8">
        <v>26</v>
      </c>
      <c r="F208" s="9">
        <v>0</v>
      </c>
      <c r="G208" s="10">
        <v>0</v>
      </c>
      <c r="H208" s="11">
        <v>0</v>
      </c>
    </row>
    <row r="209" spans="1:8" x14ac:dyDescent="0.25">
      <c r="A209" s="1">
        <f t="shared" ca="1" si="13"/>
        <v>7504</v>
      </c>
      <c r="B209" s="5">
        <v>750</v>
      </c>
      <c r="C209" s="6">
        <v>749.7</v>
      </c>
      <c r="D209" s="7">
        <v>29</v>
      </c>
      <c r="E209" s="8">
        <v>26</v>
      </c>
      <c r="F209" s="9">
        <v>0</v>
      </c>
      <c r="G209" s="10">
        <v>3</v>
      </c>
      <c r="H209" s="11">
        <v>0</v>
      </c>
    </row>
    <row r="210" spans="1:8" x14ac:dyDescent="0.25">
      <c r="A210" s="1">
        <f t="shared" ca="1" si="13"/>
        <v>7505</v>
      </c>
      <c r="B210" s="5">
        <v>750</v>
      </c>
      <c r="C210" s="6">
        <v>749.6</v>
      </c>
      <c r="D210" s="7">
        <v>28</v>
      </c>
      <c r="E210" s="8">
        <v>25</v>
      </c>
      <c r="F210" s="9">
        <v>0</v>
      </c>
      <c r="G210" s="10">
        <v>32</v>
      </c>
      <c r="H210" s="11">
        <v>90</v>
      </c>
    </row>
    <row r="211" spans="1:8" x14ac:dyDescent="0.25">
      <c r="A211" s="1">
        <f t="shared" ca="1" si="13"/>
        <v>7506</v>
      </c>
      <c r="B211" s="5">
        <v>750</v>
      </c>
      <c r="C211" s="6">
        <v>749.7</v>
      </c>
      <c r="D211" s="7">
        <v>28.5</v>
      </c>
      <c r="E211" s="8">
        <v>25</v>
      </c>
      <c r="F211" s="9">
        <v>73</v>
      </c>
      <c r="G211" s="10">
        <v>0</v>
      </c>
      <c r="H211" s="11">
        <v>60</v>
      </c>
    </row>
    <row r="212" spans="1:8" x14ac:dyDescent="0.25">
      <c r="A212" s="1">
        <f t="shared" ca="1" si="13"/>
        <v>7507</v>
      </c>
      <c r="B212" s="5">
        <v>750.3</v>
      </c>
      <c r="C212" s="6">
        <v>750</v>
      </c>
      <c r="D212" s="7">
        <v>28</v>
      </c>
      <c r="E212" s="8">
        <v>26</v>
      </c>
      <c r="F212" s="9">
        <v>0</v>
      </c>
      <c r="G212" s="10">
        <v>11</v>
      </c>
      <c r="H212" s="11">
        <v>0</v>
      </c>
    </row>
    <row r="213" spans="1:8" x14ac:dyDescent="0.25">
      <c r="A213" s="1">
        <f t="shared" ca="1" si="13"/>
        <v>7508</v>
      </c>
      <c r="B213" s="5">
        <v>751</v>
      </c>
      <c r="C213" s="6">
        <v>750.7</v>
      </c>
      <c r="D213" s="7">
        <v>28.3</v>
      </c>
      <c r="E213" s="8">
        <v>25</v>
      </c>
      <c r="F213" s="9">
        <v>8</v>
      </c>
      <c r="G213" s="10">
        <v>0</v>
      </c>
      <c r="H213" s="11">
        <v>0</v>
      </c>
    </row>
    <row r="214" spans="1:8" x14ac:dyDescent="0.25">
      <c r="A214" s="1">
        <f t="shared" ca="1" si="13"/>
        <v>7509</v>
      </c>
      <c r="B214" s="5">
        <v>750.7</v>
      </c>
      <c r="C214" s="6">
        <v>750</v>
      </c>
      <c r="D214" s="7">
        <v>28.5</v>
      </c>
      <c r="E214" s="8">
        <v>26</v>
      </c>
      <c r="F214" s="9">
        <v>0</v>
      </c>
      <c r="G214" s="10">
        <v>0</v>
      </c>
      <c r="H214" s="11">
        <v>0</v>
      </c>
    </row>
    <row r="215" spans="1:8" x14ac:dyDescent="0.25">
      <c r="A215" s="1">
        <f t="shared" ca="1" si="13"/>
        <v>7510</v>
      </c>
      <c r="B215" s="5">
        <v>751</v>
      </c>
      <c r="C215" s="6">
        <v>750.5</v>
      </c>
      <c r="D215" s="7">
        <v>29.5</v>
      </c>
      <c r="E215" s="8">
        <v>27</v>
      </c>
      <c r="F215" s="9">
        <v>0</v>
      </c>
      <c r="G215" s="10">
        <v>0</v>
      </c>
      <c r="H215" s="11">
        <v>0</v>
      </c>
    </row>
    <row r="216" spans="1:8" x14ac:dyDescent="0.25">
      <c r="A216" s="1">
        <f t="shared" ca="1" si="13"/>
        <v>7511</v>
      </c>
      <c r="B216" s="5">
        <v>750.5</v>
      </c>
      <c r="C216" s="6">
        <v>750</v>
      </c>
      <c r="D216" s="7">
        <v>29</v>
      </c>
      <c r="E216" s="8">
        <v>26</v>
      </c>
      <c r="F216" s="9">
        <v>0</v>
      </c>
      <c r="G216" s="10">
        <v>0</v>
      </c>
      <c r="H216" s="11">
        <v>0</v>
      </c>
    </row>
    <row r="217" spans="1:8" x14ac:dyDescent="0.25">
      <c r="A217" s="1">
        <f t="shared" ca="1" si="13"/>
        <v>7512</v>
      </c>
      <c r="B217" s="5">
        <v>750</v>
      </c>
      <c r="C217" s="6">
        <v>749.5</v>
      </c>
      <c r="D217" s="7">
        <v>30</v>
      </c>
      <c r="E217" s="8">
        <v>27</v>
      </c>
      <c r="F217" s="9">
        <v>0</v>
      </c>
      <c r="G217" s="10">
        <v>0</v>
      </c>
      <c r="H217" s="11">
        <v>0</v>
      </c>
    </row>
    <row r="218" spans="1:8" x14ac:dyDescent="0.25">
      <c r="A218" s="1">
        <f t="shared" ca="1" si="13"/>
        <v>7513</v>
      </c>
      <c r="B218" s="5">
        <v>749</v>
      </c>
      <c r="C218" s="6">
        <v>748.5</v>
      </c>
      <c r="D218" s="7">
        <v>30</v>
      </c>
      <c r="E218" s="8">
        <v>27</v>
      </c>
      <c r="F218" s="9">
        <v>0</v>
      </c>
      <c r="G218" s="10">
        <v>0</v>
      </c>
      <c r="H218" s="11">
        <v>0</v>
      </c>
    </row>
    <row r="219" spans="1:8" x14ac:dyDescent="0.25">
      <c r="A219" s="1">
        <f t="shared" ca="1" si="13"/>
        <v>7514</v>
      </c>
      <c r="B219" s="5">
        <v>749</v>
      </c>
      <c r="C219" s="6">
        <v>748.5</v>
      </c>
      <c r="D219" s="7">
        <v>29</v>
      </c>
      <c r="E219" s="8">
        <v>27</v>
      </c>
      <c r="F219" s="9">
        <v>0</v>
      </c>
      <c r="G219" s="10">
        <v>0</v>
      </c>
      <c r="H219" s="11">
        <v>0</v>
      </c>
    </row>
    <row r="220" spans="1:8" x14ac:dyDescent="0.25">
      <c r="A220" s="1">
        <f t="shared" ca="1" si="13"/>
        <v>7515</v>
      </c>
      <c r="B220" s="5">
        <v>750</v>
      </c>
      <c r="C220" s="6">
        <v>749.5</v>
      </c>
      <c r="D220" s="7">
        <v>29</v>
      </c>
      <c r="E220" s="8">
        <v>26</v>
      </c>
      <c r="F220" s="9">
        <v>30</v>
      </c>
      <c r="G220" s="10">
        <v>3</v>
      </c>
      <c r="H220" s="11">
        <v>0</v>
      </c>
    </row>
    <row r="221" spans="1:8" x14ac:dyDescent="0.25">
      <c r="A221" s="1">
        <f t="shared" ca="1" si="13"/>
        <v>7516</v>
      </c>
      <c r="B221" s="5">
        <v>750</v>
      </c>
      <c r="C221" s="6">
        <v>749.5</v>
      </c>
      <c r="D221" s="7">
        <v>29</v>
      </c>
      <c r="E221" s="8">
        <v>26</v>
      </c>
      <c r="F221" s="9">
        <v>0</v>
      </c>
      <c r="G221" s="10">
        <v>8</v>
      </c>
      <c r="H221" s="11">
        <v>0</v>
      </c>
    </row>
    <row r="222" spans="1:8" x14ac:dyDescent="0.25">
      <c r="A222" s="1">
        <f t="shared" ca="1" si="13"/>
        <v>7517</v>
      </c>
      <c r="B222" s="5">
        <v>750</v>
      </c>
      <c r="C222" s="6">
        <v>749.7</v>
      </c>
      <c r="D222" s="7">
        <v>29</v>
      </c>
      <c r="E222" s="8">
        <v>27</v>
      </c>
      <c r="F222" s="9">
        <v>0</v>
      </c>
      <c r="G222" s="10">
        <v>0</v>
      </c>
      <c r="H222" s="11">
        <v>0</v>
      </c>
    </row>
    <row r="223" spans="1:8" x14ac:dyDescent="0.25">
      <c r="A223" s="1">
        <f t="shared" ca="1" si="13"/>
        <v>7518</v>
      </c>
      <c r="B223" s="5">
        <v>749</v>
      </c>
      <c r="C223" s="6">
        <v>748.5</v>
      </c>
      <c r="D223" s="7">
        <v>29.3</v>
      </c>
      <c r="E223" s="8">
        <v>27</v>
      </c>
      <c r="F223" s="9">
        <v>5</v>
      </c>
      <c r="G223" s="10">
        <v>0</v>
      </c>
      <c r="H223" s="11">
        <v>0</v>
      </c>
    </row>
    <row r="224" spans="1:8" x14ac:dyDescent="0.25">
      <c r="A224" s="1" t="str">
        <f t="shared" ca="1" si="13"/>
        <v>Totaal</v>
      </c>
      <c r="B224" s="28">
        <f>IF(COUNT(B193:B223)&gt;0,AVERAGE(B193:B223),"")</f>
        <v>749.89032258064515</v>
      </c>
      <c r="C224" s="29">
        <f t="shared" ref="C224" si="14">IF(COUNT(C193:C223)&gt;0,AVERAGE(C193:C223),"")</f>
        <v>749.41612903225825</v>
      </c>
      <c r="D224" s="30">
        <f t="shared" ref="D224" si="15">IF(COUNT(D193:D223)&gt;0,AVERAGE(D193:D223),"")</f>
        <v>28.516129032258064</v>
      </c>
      <c r="E224" s="31">
        <f t="shared" ref="E224" si="16">IF(COUNT(E193:E223)&gt;0,AVERAGE(E193:E223),"")</f>
        <v>25.961290322580645</v>
      </c>
      <c r="F224" s="32">
        <f>SUM(F193:F223)/10</f>
        <v>45.9</v>
      </c>
      <c r="G224" s="33">
        <f>SUM(G193:G223)/10</f>
        <v>32.700000000000003</v>
      </c>
      <c r="H224" s="34">
        <f>SUM(H193:H223)/10</f>
        <v>29.5</v>
      </c>
    </row>
    <row r="225" spans="1:8" x14ac:dyDescent="0.25">
      <c r="A225" s="1">
        <f t="shared" ca="1" si="13"/>
        <v>7519</v>
      </c>
      <c r="B225" s="5">
        <v>749</v>
      </c>
      <c r="C225" s="6">
        <v>748.7</v>
      </c>
      <c r="D225" s="7">
        <v>30</v>
      </c>
      <c r="E225" s="8">
        <v>27</v>
      </c>
      <c r="F225" s="9">
        <v>0</v>
      </c>
      <c r="G225" s="10">
        <v>4</v>
      </c>
      <c r="H225" s="11">
        <v>0</v>
      </c>
    </row>
    <row r="226" spans="1:8" x14ac:dyDescent="0.25">
      <c r="A226" s="1">
        <f t="shared" ca="1" si="13"/>
        <v>7520</v>
      </c>
      <c r="B226" s="5">
        <v>749.6</v>
      </c>
      <c r="C226" s="6">
        <v>749</v>
      </c>
      <c r="D226" s="7">
        <v>30</v>
      </c>
      <c r="E226" s="8">
        <v>27</v>
      </c>
      <c r="F226" s="9">
        <v>5</v>
      </c>
      <c r="G226" s="10">
        <v>33</v>
      </c>
      <c r="H226" s="11">
        <v>0</v>
      </c>
    </row>
    <row r="227" spans="1:8" x14ac:dyDescent="0.25">
      <c r="A227" s="1">
        <f t="shared" ca="1" si="13"/>
        <v>7521</v>
      </c>
      <c r="B227" s="5">
        <v>749.5</v>
      </c>
      <c r="C227" s="6">
        <v>749</v>
      </c>
      <c r="D227" s="7">
        <v>29</v>
      </c>
      <c r="E227" s="8">
        <v>26</v>
      </c>
      <c r="F227" s="9">
        <v>130</v>
      </c>
      <c r="G227" s="10">
        <v>5</v>
      </c>
      <c r="H227" s="11">
        <v>0</v>
      </c>
    </row>
    <row r="228" spans="1:8" x14ac:dyDescent="0.25">
      <c r="A228" s="1">
        <f t="shared" ca="1" si="13"/>
        <v>7522</v>
      </c>
      <c r="B228" s="5">
        <v>749</v>
      </c>
      <c r="C228" s="6">
        <v>748.5</v>
      </c>
      <c r="D228" s="7">
        <v>28.5</v>
      </c>
      <c r="E228" s="8">
        <v>26</v>
      </c>
      <c r="F228" s="9">
        <v>1</v>
      </c>
      <c r="G228" s="10">
        <v>0</v>
      </c>
      <c r="H228" s="11">
        <v>0</v>
      </c>
    </row>
    <row r="229" spans="1:8" x14ac:dyDescent="0.25">
      <c r="A229" s="1">
        <f t="shared" ca="1" si="13"/>
        <v>7523</v>
      </c>
      <c r="B229" s="5">
        <v>749</v>
      </c>
      <c r="C229" s="6">
        <v>748.5</v>
      </c>
      <c r="D229" s="7">
        <v>29</v>
      </c>
      <c r="E229" s="8">
        <v>26</v>
      </c>
      <c r="F229" s="9">
        <v>0</v>
      </c>
      <c r="G229" s="10">
        <v>28</v>
      </c>
      <c r="H229" s="11">
        <v>0</v>
      </c>
    </row>
    <row r="230" spans="1:8" x14ac:dyDescent="0.25">
      <c r="A230" s="1">
        <f t="shared" ca="1" si="13"/>
        <v>7524</v>
      </c>
      <c r="B230" s="5">
        <v>748.5</v>
      </c>
      <c r="C230" s="6">
        <v>748</v>
      </c>
      <c r="D230" s="7">
        <v>28.8</v>
      </c>
      <c r="E230" s="8">
        <v>28</v>
      </c>
      <c r="F230" s="9">
        <v>25</v>
      </c>
      <c r="G230" s="10">
        <v>0</v>
      </c>
      <c r="H230" s="11">
        <v>40</v>
      </c>
    </row>
    <row r="231" spans="1:8" x14ac:dyDescent="0.25">
      <c r="A231" s="1">
        <f t="shared" ca="1" si="13"/>
        <v>7525</v>
      </c>
      <c r="B231" s="5">
        <v>748.2</v>
      </c>
      <c r="C231" s="6">
        <v>748</v>
      </c>
      <c r="D231" s="7">
        <v>28.5</v>
      </c>
      <c r="E231" s="8">
        <v>27.5</v>
      </c>
      <c r="F231" s="9">
        <v>0</v>
      </c>
      <c r="G231" s="10">
        <v>6</v>
      </c>
      <c r="H231" s="11">
        <v>0</v>
      </c>
    </row>
    <row r="232" spans="1:8" x14ac:dyDescent="0.25">
      <c r="A232" s="1">
        <f t="shared" ca="1" si="13"/>
        <v>7526</v>
      </c>
      <c r="B232" s="5">
        <v>748.3</v>
      </c>
      <c r="C232" s="6">
        <v>748</v>
      </c>
      <c r="D232" s="7">
        <v>28.3</v>
      </c>
      <c r="E232" s="8">
        <v>26.5</v>
      </c>
      <c r="F232" s="9">
        <v>0</v>
      </c>
      <c r="G232" s="10">
        <v>20</v>
      </c>
      <c r="H232" s="11">
        <v>0</v>
      </c>
    </row>
    <row r="233" spans="1:8" x14ac:dyDescent="0.25">
      <c r="A233" s="1">
        <f t="shared" ca="1" si="13"/>
        <v>7527</v>
      </c>
      <c r="B233" s="5">
        <v>748.5</v>
      </c>
      <c r="C233" s="6">
        <v>748.3</v>
      </c>
      <c r="D233" s="7">
        <v>28</v>
      </c>
      <c r="E233" s="8">
        <v>26</v>
      </c>
      <c r="F233" s="9">
        <v>42</v>
      </c>
      <c r="G233" s="10">
        <v>0</v>
      </c>
      <c r="H233" s="11">
        <v>0</v>
      </c>
    </row>
    <row r="234" spans="1:8" x14ac:dyDescent="0.25">
      <c r="A234" s="1">
        <f t="shared" ca="1" si="13"/>
        <v>7528</v>
      </c>
      <c r="B234" s="5">
        <v>748.3</v>
      </c>
      <c r="C234" s="6">
        <v>748</v>
      </c>
      <c r="D234" s="7">
        <v>29</v>
      </c>
      <c r="E234" s="8">
        <v>26.5</v>
      </c>
      <c r="F234" s="9">
        <v>0</v>
      </c>
      <c r="G234" s="10">
        <v>0</v>
      </c>
      <c r="H234" s="11">
        <v>0</v>
      </c>
    </row>
    <row r="235" spans="1:8" x14ac:dyDescent="0.25">
      <c r="A235" s="1">
        <f t="shared" ca="1" si="13"/>
        <v>7529</v>
      </c>
      <c r="B235" s="5">
        <v>747.6</v>
      </c>
      <c r="C235" s="6">
        <v>747</v>
      </c>
      <c r="D235" s="7">
        <v>30</v>
      </c>
      <c r="E235" s="8">
        <v>28</v>
      </c>
      <c r="F235" s="9">
        <v>0</v>
      </c>
      <c r="G235" s="10">
        <v>0</v>
      </c>
      <c r="H235" s="11">
        <v>0</v>
      </c>
    </row>
    <row r="236" spans="1:8" x14ac:dyDescent="0.25">
      <c r="A236" s="1">
        <f t="shared" ca="1" si="13"/>
        <v>7530</v>
      </c>
      <c r="B236" s="5">
        <v>746.4</v>
      </c>
      <c r="C236" s="6">
        <v>746</v>
      </c>
      <c r="D236" s="7">
        <v>29</v>
      </c>
      <c r="E236" s="8">
        <v>28</v>
      </c>
      <c r="F236" s="9">
        <v>0</v>
      </c>
      <c r="G236" s="10">
        <v>0</v>
      </c>
      <c r="H236" s="11">
        <v>0</v>
      </c>
    </row>
    <row r="237" spans="1:8" x14ac:dyDescent="0.25">
      <c r="A237" s="1">
        <f t="shared" ca="1" si="13"/>
        <v>7531</v>
      </c>
      <c r="B237" s="5">
        <v>749.6</v>
      </c>
      <c r="C237" s="6">
        <v>748</v>
      </c>
      <c r="D237" s="7">
        <v>30</v>
      </c>
      <c r="E237" s="8">
        <v>27</v>
      </c>
      <c r="F237" s="9">
        <v>0</v>
      </c>
      <c r="G237" s="10">
        <v>0</v>
      </c>
      <c r="H237" s="11">
        <v>0</v>
      </c>
    </row>
    <row r="238" spans="1:8" x14ac:dyDescent="0.25">
      <c r="A238" s="1">
        <f t="shared" ca="1" si="13"/>
        <v>7532</v>
      </c>
      <c r="B238" s="5">
        <v>748.5</v>
      </c>
      <c r="C238" s="6">
        <v>748</v>
      </c>
      <c r="D238" s="7">
        <v>30</v>
      </c>
      <c r="E238" s="8">
        <v>27</v>
      </c>
      <c r="F238" s="9">
        <v>8</v>
      </c>
      <c r="G238" s="10">
        <v>9</v>
      </c>
      <c r="H238" s="11">
        <v>0</v>
      </c>
    </row>
    <row r="239" spans="1:8" x14ac:dyDescent="0.25">
      <c r="A239" s="1">
        <f t="shared" ca="1" si="13"/>
        <v>7533</v>
      </c>
      <c r="B239" s="5">
        <v>748</v>
      </c>
      <c r="C239" s="6">
        <v>747.5</v>
      </c>
      <c r="D239" s="7">
        <v>30</v>
      </c>
      <c r="E239" s="8">
        <v>27</v>
      </c>
      <c r="F239" s="9">
        <v>0</v>
      </c>
      <c r="G239" s="10">
        <v>0</v>
      </c>
      <c r="H239" s="11">
        <v>0</v>
      </c>
    </row>
    <row r="240" spans="1:8" x14ac:dyDescent="0.25">
      <c r="A240" s="1">
        <f t="shared" ca="1" si="13"/>
        <v>7534</v>
      </c>
      <c r="B240" s="5">
        <v>747.5</v>
      </c>
      <c r="C240" s="6">
        <v>747</v>
      </c>
      <c r="D240" s="7">
        <v>29</v>
      </c>
      <c r="E240" s="8">
        <v>27</v>
      </c>
      <c r="F240" s="9">
        <v>38</v>
      </c>
      <c r="G240" s="10">
        <v>17</v>
      </c>
      <c r="H240" s="11">
        <v>0</v>
      </c>
    </row>
    <row r="241" spans="1:8" x14ac:dyDescent="0.25">
      <c r="A241" s="1">
        <f t="shared" ca="1" si="13"/>
        <v>7535</v>
      </c>
      <c r="B241" s="5">
        <v>749.6</v>
      </c>
      <c r="C241" s="6">
        <v>748</v>
      </c>
      <c r="D241" s="7">
        <v>30.3</v>
      </c>
      <c r="E241" s="8">
        <v>28</v>
      </c>
      <c r="F241" s="9">
        <v>0</v>
      </c>
      <c r="G241" s="10">
        <v>15</v>
      </c>
      <c r="H241" s="11">
        <v>0</v>
      </c>
    </row>
    <row r="242" spans="1:8" x14ac:dyDescent="0.25">
      <c r="A242" s="1">
        <f t="shared" ca="1" si="13"/>
        <v>7536</v>
      </c>
      <c r="B242" s="5">
        <v>749.2</v>
      </c>
      <c r="C242" s="6">
        <v>748</v>
      </c>
      <c r="D242" s="7">
        <v>30.3</v>
      </c>
      <c r="E242" s="8">
        <v>29</v>
      </c>
      <c r="F242" s="9">
        <v>0</v>
      </c>
      <c r="G242" s="10">
        <v>0</v>
      </c>
      <c r="H242" s="11">
        <v>0</v>
      </c>
    </row>
    <row r="243" spans="1:8" x14ac:dyDescent="0.25">
      <c r="A243" s="1">
        <f t="shared" ca="1" si="13"/>
        <v>7537</v>
      </c>
      <c r="B243" s="5">
        <v>750</v>
      </c>
      <c r="C243" s="6">
        <v>749.6</v>
      </c>
      <c r="D243" s="7">
        <v>31</v>
      </c>
      <c r="E243" s="8">
        <v>29</v>
      </c>
      <c r="F243" s="9">
        <v>0</v>
      </c>
      <c r="G243" s="10">
        <v>0</v>
      </c>
      <c r="H243" s="11">
        <v>0</v>
      </c>
    </row>
    <row r="244" spans="1:8" x14ac:dyDescent="0.25">
      <c r="A244" s="1">
        <f t="shared" ca="1" si="13"/>
        <v>7538</v>
      </c>
      <c r="B244" s="5">
        <v>749.6</v>
      </c>
      <c r="C244" s="6">
        <v>748</v>
      </c>
      <c r="D244" s="7">
        <v>29.3</v>
      </c>
      <c r="E244" s="8">
        <v>28</v>
      </c>
      <c r="F244" s="9">
        <v>0</v>
      </c>
      <c r="G244" s="10">
        <v>0</v>
      </c>
      <c r="H244" s="11">
        <v>0</v>
      </c>
    </row>
    <row r="245" spans="1:8" x14ac:dyDescent="0.25">
      <c r="A245" s="1">
        <f t="shared" ca="1" si="13"/>
        <v>7539</v>
      </c>
      <c r="B245" s="5">
        <v>747.2</v>
      </c>
      <c r="C245" s="6">
        <v>747</v>
      </c>
      <c r="D245" s="7">
        <v>29</v>
      </c>
      <c r="E245" s="8">
        <v>27</v>
      </c>
      <c r="F245" s="9">
        <v>0</v>
      </c>
      <c r="G245" s="10">
        <v>3</v>
      </c>
      <c r="H245" s="11">
        <v>0</v>
      </c>
    </row>
    <row r="246" spans="1:8" x14ac:dyDescent="0.25">
      <c r="A246" s="1">
        <f t="shared" ca="1" si="13"/>
        <v>7540</v>
      </c>
      <c r="B246" s="5">
        <v>746.8</v>
      </c>
      <c r="C246" s="6">
        <v>746.5</v>
      </c>
      <c r="D246" s="7">
        <v>28</v>
      </c>
      <c r="E246" s="8">
        <v>27</v>
      </c>
      <c r="F246" s="9">
        <v>0</v>
      </c>
      <c r="G246" s="10">
        <v>16</v>
      </c>
      <c r="H246" s="11">
        <v>0</v>
      </c>
    </row>
    <row r="247" spans="1:8" x14ac:dyDescent="0.25">
      <c r="A247" s="1">
        <f t="shared" ca="1" si="13"/>
        <v>7541</v>
      </c>
      <c r="B247" s="5">
        <v>749.2</v>
      </c>
      <c r="C247" s="6">
        <v>748.9</v>
      </c>
      <c r="D247" s="7">
        <v>30</v>
      </c>
      <c r="E247" s="8">
        <v>28</v>
      </c>
      <c r="F247" s="9">
        <v>0</v>
      </c>
      <c r="G247" s="10">
        <v>2</v>
      </c>
      <c r="H247" s="11">
        <v>0</v>
      </c>
    </row>
    <row r="248" spans="1:8" x14ac:dyDescent="0.25">
      <c r="A248" s="1">
        <f t="shared" ca="1" si="13"/>
        <v>7542</v>
      </c>
      <c r="B248" s="5">
        <v>750</v>
      </c>
      <c r="C248" s="6">
        <v>749.5</v>
      </c>
      <c r="D248" s="7">
        <v>30</v>
      </c>
      <c r="E248" s="8">
        <v>28</v>
      </c>
      <c r="F248" s="9">
        <v>0</v>
      </c>
      <c r="G248" s="10">
        <v>0</v>
      </c>
      <c r="H248" s="11">
        <v>0</v>
      </c>
    </row>
    <row r="249" spans="1:8" x14ac:dyDescent="0.25">
      <c r="A249" s="1">
        <f t="shared" ca="1" si="13"/>
        <v>7543</v>
      </c>
      <c r="B249" s="5">
        <v>750.6</v>
      </c>
      <c r="C249" s="6">
        <v>749</v>
      </c>
      <c r="D249" s="7">
        <v>30.3</v>
      </c>
      <c r="E249" s="8">
        <v>28.5</v>
      </c>
      <c r="F249" s="9">
        <v>0</v>
      </c>
      <c r="G249" s="10">
        <v>48</v>
      </c>
      <c r="H249" s="11">
        <v>50</v>
      </c>
    </row>
    <row r="250" spans="1:8" x14ac:dyDescent="0.25">
      <c r="A250" s="1">
        <f t="shared" ca="1" si="13"/>
        <v>7544</v>
      </c>
      <c r="B250" s="5">
        <v>749</v>
      </c>
      <c r="C250" s="6">
        <v>748.7</v>
      </c>
      <c r="D250" s="7">
        <v>29.3</v>
      </c>
      <c r="E250" s="8">
        <v>27</v>
      </c>
      <c r="F250" s="9">
        <v>40</v>
      </c>
      <c r="G250" s="10">
        <v>23</v>
      </c>
      <c r="H250" s="11">
        <v>0</v>
      </c>
    </row>
    <row r="251" spans="1:8" x14ac:dyDescent="0.25">
      <c r="A251" s="1">
        <f t="shared" ca="1" si="13"/>
        <v>7545</v>
      </c>
      <c r="B251" s="5">
        <v>749</v>
      </c>
      <c r="C251" s="6">
        <v>748.5</v>
      </c>
      <c r="D251" s="7">
        <v>28.5</v>
      </c>
      <c r="E251" s="8">
        <v>26</v>
      </c>
      <c r="F251" s="9">
        <v>50</v>
      </c>
      <c r="G251" s="10">
        <v>42</v>
      </c>
      <c r="H251" s="11">
        <v>0</v>
      </c>
    </row>
    <row r="252" spans="1:8" x14ac:dyDescent="0.25">
      <c r="A252" s="1">
        <f t="shared" ca="1" si="13"/>
        <v>7546</v>
      </c>
      <c r="B252" s="5">
        <v>749</v>
      </c>
      <c r="C252" s="6">
        <v>748</v>
      </c>
      <c r="D252" s="7">
        <v>30</v>
      </c>
      <c r="E252" s="8">
        <v>26</v>
      </c>
      <c r="F252" s="9">
        <v>60</v>
      </c>
      <c r="G252" s="10">
        <v>74</v>
      </c>
      <c r="H252" s="11">
        <v>70</v>
      </c>
    </row>
    <row r="253" spans="1:8" x14ac:dyDescent="0.25">
      <c r="A253" s="1">
        <f t="shared" ca="1" si="13"/>
        <v>7547</v>
      </c>
      <c r="B253" s="5">
        <v>748</v>
      </c>
      <c r="C253" s="6">
        <v>747</v>
      </c>
      <c r="D253" s="7">
        <v>28</v>
      </c>
      <c r="E253" s="8">
        <v>26</v>
      </c>
      <c r="F253" s="9">
        <v>135</v>
      </c>
      <c r="G253" s="10">
        <v>36</v>
      </c>
      <c r="H253" s="11">
        <v>100</v>
      </c>
    </row>
    <row r="254" spans="1:8" x14ac:dyDescent="0.25">
      <c r="A254" s="1">
        <f t="shared" ca="1" si="13"/>
        <v>7548</v>
      </c>
      <c r="B254" s="5">
        <v>748.1</v>
      </c>
      <c r="C254" s="6">
        <v>747.6</v>
      </c>
      <c r="D254" s="7">
        <v>30</v>
      </c>
      <c r="E254" s="8">
        <v>27</v>
      </c>
      <c r="F254" s="9">
        <v>0</v>
      </c>
      <c r="G254" s="10">
        <v>0</v>
      </c>
      <c r="H254" s="11">
        <v>65</v>
      </c>
    </row>
    <row r="255" spans="1:8" x14ac:dyDescent="0.25">
      <c r="A255" s="1">
        <f t="shared" ca="1" si="13"/>
        <v>7549</v>
      </c>
      <c r="B255" s="5">
        <v>748.3</v>
      </c>
      <c r="C255" s="6">
        <v>747.5</v>
      </c>
      <c r="D255" s="7">
        <v>29</v>
      </c>
      <c r="E255" s="8">
        <v>27</v>
      </c>
      <c r="F255" s="9">
        <v>55</v>
      </c>
      <c r="G255" s="10">
        <v>32</v>
      </c>
      <c r="H255" s="11">
        <v>75</v>
      </c>
    </row>
    <row r="256" spans="1:8" x14ac:dyDescent="0.25">
      <c r="A256" s="1" t="str">
        <f t="shared" ca="1" si="13"/>
        <v>Totaal</v>
      </c>
      <c r="B256" s="28">
        <f>IF(COUNT(B225:B255)&gt;0,AVERAGE(B225:B255),"")</f>
        <v>748.68064516129027</v>
      </c>
      <c r="C256" s="29">
        <f t="shared" ref="C256" si="17">IF(COUNT(C225:C255)&gt;0,AVERAGE(C225:C255),"")</f>
        <v>748.04193548387093</v>
      </c>
      <c r="D256" s="30">
        <f t="shared" ref="D256" si="18">IF(COUNT(D225:D255)&gt;0,AVERAGE(D225:D255),"")</f>
        <v>29.35806451612903</v>
      </c>
      <c r="E256" s="31">
        <f t="shared" ref="E256" si="19">IF(COUNT(E225:E255)&gt;0,AVERAGE(E225:E255),"")</f>
        <v>27.161290322580644</v>
      </c>
      <c r="F256" s="32">
        <f>SUM(F225:F255)/10</f>
        <v>58.9</v>
      </c>
      <c r="G256" s="33">
        <f>SUM(G225:G255)/10</f>
        <v>41.3</v>
      </c>
      <c r="H256" s="34">
        <f>SUM(H225:H255)/10</f>
        <v>40</v>
      </c>
    </row>
    <row r="257" spans="1:8" x14ac:dyDescent="0.25">
      <c r="A257" s="1">
        <f t="shared" ca="1" si="13"/>
        <v>7550</v>
      </c>
      <c r="B257" s="5">
        <v>748.8</v>
      </c>
      <c r="C257" s="6">
        <v>747.2</v>
      </c>
      <c r="D257" s="7">
        <v>29.3</v>
      </c>
      <c r="E257" s="8">
        <v>27</v>
      </c>
      <c r="F257" s="9">
        <v>0</v>
      </c>
      <c r="G257" s="10">
        <v>0</v>
      </c>
      <c r="H257" s="11">
        <v>0</v>
      </c>
    </row>
    <row r="258" spans="1:8" x14ac:dyDescent="0.25">
      <c r="A258" s="1">
        <f t="shared" ca="1" si="13"/>
        <v>7551</v>
      </c>
      <c r="B258" s="5">
        <v>748.6</v>
      </c>
      <c r="C258" s="6">
        <v>748</v>
      </c>
      <c r="D258" s="7">
        <v>30</v>
      </c>
      <c r="E258" s="8">
        <v>28</v>
      </c>
      <c r="F258" s="9">
        <v>0</v>
      </c>
      <c r="G258" s="10">
        <v>3</v>
      </c>
      <c r="H258" s="11">
        <v>0</v>
      </c>
    </row>
    <row r="259" spans="1:8" x14ac:dyDescent="0.25">
      <c r="A259" s="1">
        <f t="shared" ca="1" si="13"/>
        <v>7552</v>
      </c>
      <c r="B259" s="5">
        <v>748</v>
      </c>
      <c r="C259" s="6">
        <v>747.5</v>
      </c>
      <c r="D259" s="7">
        <v>29.3</v>
      </c>
      <c r="E259" s="8">
        <v>27.3</v>
      </c>
      <c r="F259" s="9">
        <v>5</v>
      </c>
      <c r="G259" s="10">
        <v>0</v>
      </c>
      <c r="H259" s="11">
        <v>0</v>
      </c>
    </row>
    <row r="260" spans="1:8" x14ac:dyDescent="0.25">
      <c r="A260" s="1">
        <f t="shared" ca="1" si="13"/>
        <v>7553</v>
      </c>
      <c r="B260" s="5">
        <v>747.7</v>
      </c>
      <c r="C260" s="6">
        <v>747.5</v>
      </c>
      <c r="D260" s="7">
        <v>30.3</v>
      </c>
      <c r="E260" s="8">
        <v>27.5</v>
      </c>
      <c r="F260" s="9">
        <v>0</v>
      </c>
      <c r="G260" s="10">
        <v>0</v>
      </c>
      <c r="H260" s="11">
        <v>0</v>
      </c>
    </row>
    <row r="261" spans="1:8" x14ac:dyDescent="0.25">
      <c r="A261" s="1">
        <f t="shared" ca="1" si="13"/>
        <v>7554</v>
      </c>
      <c r="B261" s="5">
        <v>748</v>
      </c>
      <c r="C261" s="6">
        <v>747.3</v>
      </c>
      <c r="D261" s="7">
        <v>30</v>
      </c>
      <c r="E261" s="8">
        <v>27</v>
      </c>
      <c r="F261" s="9">
        <v>0</v>
      </c>
      <c r="G261" s="10">
        <v>42</v>
      </c>
      <c r="H261" s="11">
        <v>0</v>
      </c>
    </row>
    <row r="262" spans="1:8" x14ac:dyDescent="0.25">
      <c r="A262" s="1">
        <f t="shared" ca="1" si="13"/>
        <v>7555</v>
      </c>
      <c r="B262" s="5">
        <v>748.2</v>
      </c>
      <c r="C262" s="6">
        <v>747.7</v>
      </c>
      <c r="D262" s="7">
        <v>29.3</v>
      </c>
      <c r="E262" s="8">
        <v>27</v>
      </c>
      <c r="F262" s="9">
        <v>42</v>
      </c>
      <c r="G262" s="10">
        <v>8</v>
      </c>
      <c r="H262" s="11">
        <v>0</v>
      </c>
    </row>
    <row r="263" spans="1:8" x14ac:dyDescent="0.25">
      <c r="A263" s="1">
        <f t="shared" ref="A263:A326" ca="1" si="20">IF(ISTEXT(A262),A261+1,IF(MONTH(A262+1)=MONTH(A262),A262+1,"Totaal"))</f>
        <v>7556</v>
      </c>
      <c r="B263" s="5">
        <v>749</v>
      </c>
      <c r="C263" s="6">
        <v>747.6</v>
      </c>
      <c r="D263" s="7">
        <v>27</v>
      </c>
      <c r="E263" s="8">
        <v>26</v>
      </c>
      <c r="F263" s="9">
        <v>58</v>
      </c>
      <c r="G263" s="10">
        <v>97</v>
      </c>
      <c r="H263" s="11">
        <v>70</v>
      </c>
    </row>
    <row r="264" spans="1:8" x14ac:dyDescent="0.25">
      <c r="A264" s="1">
        <f t="shared" ca="1" si="20"/>
        <v>7557</v>
      </c>
      <c r="B264" s="5">
        <v>747.5</v>
      </c>
      <c r="C264" s="6">
        <v>747.2</v>
      </c>
      <c r="D264" s="7">
        <v>28</v>
      </c>
      <c r="E264" s="8">
        <v>26</v>
      </c>
      <c r="F264" s="9">
        <v>70</v>
      </c>
      <c r="G264" s="10">
        <v>68</v>
      </c>
      <c r="H264" s="11">
        <v>100</v>
      </c>
    </row>
    <row r="265" spans="1:8" x14ac:dyDescent="0.25">
      <c r="A265" s="1">
        <f t="shared" ca="1" si="20"/>
        <v>7558</v>
      </c>
      <c r="B265" s="5">
        <v>747.6</v>
      </c>
      <c r="C265" s="6">
        <v>747.3</v>
      </c>
      <c r="D265" s="7">
        <v>28</v>
      </c>
      <c r="E265" s="8">
        <v>26</v>
      </c>
      <c r="F265" s="9">
        <v>58</v>
      </c>
      <c r="G265" s="10">
        <v>11</v>
      </c>
      <c r="H265" s="11">
        <v>0</v>
      </c>
    </row>
    <row r="266" spans="1:8" x14ac:dyDescent="0.25">
      <c r="A266" s="1">
        <f t="shared" ca="1" si="20"/>
        <v>7559</v>
      </c>
      <c r="B266" s="5">
        <v>749.2</v>
      </c>
      <c r="C266" s="6">
        <v>748.3</v>
      </c>
      <c r="D266" s="7">
        <v>29.5</v>
      </c>
      <c r="E266" s="8">
        <v>27.8</v>
      </c>
      <c r="F266" s="9">
        <v>0</v>
      </c>
      <c r="G266" s="10">
        <v>0</v>
      </c>
      <c r="H266" s="11">
        <v>0</v>
      </c>
    </row>
    <row r="267" spans="1:8" x14ac:dyDescent="0.25">
      <c r="A267" s="1">
        <f t="shared" ca="1" si="20"/>
        <v>7560</v>
      </c>
      <c r="B267" s="5">
        <v>749</v>
      </c>
      <c r="C267" s="6">
        <v>748.5</v>
      </c>
      <c r="D267" s="7">
        <v>30</v>
      </c>
      <c r="E267" s="8">
        <v>28</v>
      </c>
      <c r="F267" s="9">
        <v>0</v>
      </c>
      <c r="G267" s="10">
        <v>0</v>
      </c>
      <c r="H267" s="11">
        <v>0</v>
      </c>
    </row>
    <row r="268" spans="1:8" x14ac:dyDescent="0.25">
      <c r="A268" s="1">
        <f t="shared" ca="1" si="20"/>
        <v>7561</v>
      </c>
      <c r="B268" s="5">
        <v>748</v>
      </c>
      <c r="C268" s="6">
        <v>747.7</v>
      </c>
      <c r="D268" s="7">
        <v>30</v>
      </c>
      <c r="E268" s="8">
        <v>28.3</v>
      </c>
      <c r="F268" s="9">
        <v>0</v>
      </c>
      <c r="G268" s="10">
        <v>0</v>
      </c>
      <c r="H268" s="11">
        <v>0</v>
      </c>
    </row>
    <row r="269" spans="1:8" x14ac:dyDescent="0.25">
      <c r="A269" s="1">
        <f t="shared" ca="1" si="20"/>
        <v>7562</v>
      </c>
      <c r="B269" s="5">
        <v>748.2</v>
      </c>
      <c r="C269" s="6">
        <v>746.58</v>
      </c>
      <c r="D269" s="7">
        <v>28.3</v>
      </c>
      <c r="E269" s="8">
        <v>27</v>
      </c>
      <c r="F269" s="9">
        <v>5</v>
      </c>
      <c r="G269" s="10">
        <v>14</v>
      </c>
      <c r="H269" s="11">
        <v>0</v>
      </c>
    </row>
    <row r="270" spans="1:8" x14ac:dyDescent="0.25">
      <c r="A270" s="1">
        <f t="shared" ca="1" si="20"/>
        <v>7563</v>
      </c>
      <c r="B270" s="5">
        <v>748.1</v>
      </c>
      <c r="C270" s="6">
        <v>747.7</v>
      </c>
      <c r="D270" s="7">
        <v>29.5</v>
      </c>
      <c r="E270" s="8">
        <v>27</v>
      </c>
      <c r="F270" s="9">
        <v>0</v>
      </c>
      <c r="G270" s="10">
        <v>0</v>
      </c>
      <c r="H270" s="11">
        <v>0</v>
      </c>
    </row>
    <row r="271" spans="1:8" x14ac:dyDescent="0.25">
      <c r="A271" s="1">
        <f t="shared" ca="1" si="20"/>
        <v>7564</v>
      </c>
      <c r="B271" s="5">
        <v>747.4</v>
      </c>
      <c r="C271" s="6">
        <v>747</v>
      </c>
      <c r="D271" s="7">
        <v>27</v>
      </c>
      <c r="E271" s="8">
        <v>27</v>
      </c>
      <c r="F271" s="9">
        <v>76</v>
      </c>
      <c r="G271" s="10">
        <v>54</v>
      </c>
      <c r="H271" s="11">
        <v>120</v>
      </c>
    </row>
    <row r="272" spans="1:8" x14ac:dyDescent="0.25">
      <c r="A272" s="1">
        <f t="shared" ca="1" si="20"/>
        <v>7565</v>
      </c>
      <c r="B272" s="5">
        <v>747</v>
      </c>
      <c r="C272" s="6">
        <v>746.2</v>
      </c>
      <c r="D272" s="7">
        <v>30</v>
      </c>
      <c r="E272" s="8">
        <v>27</v>
      </c>
      <c r="F272" s="9">
        <v>0</v>
      </c>
      <c r="G272" s="10">
        <v>6</v>
      </c>
      <c r="H272" s="11">
        <v>0</v>
      </c>
    </row>
    <row r="273" spans="1:8" x14ac:dyDescent="0.25">
      <c r="A273" s="1">
        <f t="shared" ca="1" si="20"/>
        <v>7566</v>
      </c>
      <c r="B273" s="5">
        <v>747.5</v>
      </c>
      <c r="C273" s="6">
        <v>746.8</v>
      </c>
      <c r="D273" s="7">
        <v>29</v>
      </c>
      <c r="E273" s="8">
        <v>28</v>
      </c>
      <c r="F273" s="9">
        <v>10</v>
      </c>
      <c r="G273" s="10">
        <v>35</v>
      </c>
      <c r="H273" s="11">
        <v>0</v>
      </c>
    </row>
    <row r="274" spans="1:8" x14ac:dyDescent="0.25">
      <c r="A274" s="1">
        <f t="shared" ca="1" si="20"/>
        <v>7567</v>
      </c>
      <c r="B274" s="5">
        <v>748</v>
      </c>
      <c r="C274" s="6">
        <v>747.2</v>
      </c>
      <c r="D274" s="7">
        <v>29.8</v>
      </c>
      <c r="E274" s="8">
        <v>28</v>
      </c>
      <c r="F274" s="9">
        <v>36</v>
      </c>
      <c r="G274" s="10">
        <v>3</v>
      </c>
      <c r="H274" s="11">
        <v>30</v>
      </c>
    </row>
    <row r="275" spans="1:8" x14ac:dyDescent="0.25">
      <c r="A275" s="1">
        <f t="shared" ca="1" si="20"/>
        <v>7568</v>
      </c>
      <c r="B275" s="5">
        <v>747</v>
      </c>
      <c r="C275" s="6">
        <v>746.5</v>
      </c>
      <c r="D275" s="7">
        <v>28</v>
      </c>
      <c r="E275" s="8">
        <v>27</v>
      </c>
      <c r="F275" s="9">
        <v>34</v>
      </c>
      <c r="G275" s="10">
        <v>81</v>
      </c>
      <c r="H275" s="11">
        <v>0</v>
      </c>
    </row>
    <row r="276" spans="1:8" x14ac:dyDescent="0.25">
      <c r="A276" s="1">
        <f t="shared" ca="1" si="20"/>
        <v>7569</v>
      </c>
      <c r="B276" s="5">
        <v>746.7</v>
      </c>
      <c r="C276" s="6">
        <v>746.2</v>
      </c>
      <c r="D276" s="7">
        <v>28</v>
      </c>
      <c r="E276" s="8">
        <v>27</v>
      </c>
      <c r="F276" s="9">
        <v>80</v>
      </c>
      <c r="G276" s="10">
        <v>47</v>
      </c>
      <c r="H276" s="11">
        <v>160</v>
      </c>
    </row>
    <row r="277" spans="1:8" x14ac:dyDescent="0.25">
      <c r="A277" s="1">
        <f t="shared" ca="1" si="20"/>
        <v>7570</v>
      </c>
      <c r="B277" s="5">
        <v>747.41</v>
      </c>
      <c r="C277" s="6">
        <v>746.1</v>
      </c>
      <c r="D277" s="7">
        <v>28.3</v>
      </c>
      <c r="E277" s="8">
        <v>26.8</v>
      </c>
      <c r="F277" s="9">
        <v>60</v>
      </c>
      <c r="G277" s="10">
        <v>45</v>
      </c>
      <c r="H277" s="11">
        <v>0</v>
      </c>
    </row>
    <row r="278" spans="1:8" x14ac:dyDescent="0.25">
      <c r="A278" s="1">
        <f t="shared" ca="1" si="20"/>
        <v>7571</v>
      </c>
      <c r="B278" s="5">
        <v>747</v>
      </c>
      <c r="C278" s="6">
        <v>747</v>
      </c>
      <c r="D278" s="7">
        <v>29.5</v>
      </c>
      <c r="E278" s="8">
        <v>27</v>
      </c>
      <c r="F278" s="9">
        <v>23</v>
      </c>
      <c r="G278" s="10">
        <v>0</v>
      </c>
      <c r="H278" s="11">
        <v>0</v>
      </c>
    </row>
    <row r="279" spans="1:8" x14ac:dyDescent="0.25">
      <c r="A279" s="1">
        <f t="shared" ca="1" si="20"/>
        <v>7572</v>
      </c>
      <c r="B279" s="5">
        <v>747</v>
      </c>
      <c r="C279" s="6">
        <v>745.6</v>
      </c>
      <c r="D279" s="7">
        <v>28</v>
      </c>
      <c r="E279" s="8">
        <v>27</v>
      </c>
      <c r="F279" s="9">
        <v>4</v>
      </c>
      <c r="G279" s="10">
        <v>30</v>
      </c>
      <c r="H279" s="11">
        <v>93</v>
      </c>
    </row>
    <row r="280" spans="1:8" x14ac:dyDescent="0.25">
      <c r="A280" s="1">
        <f t="shared" ca="1" si="20"/>
        <v>7573</v>
      </c>
      <c r="B280" s="5">
        <v>744.8</v>
      </c>
      <c r="C280" s="6">
        <v>745.2</v>
      </c>
      <c r="D280" s="7">
        <v>28</v>
      </c>
      <c r="E280" s="8">
        <v>27</v>
      </c>
      <c r="F280" s="9">
        <v>42</v>
      </c>
      <c r="G280" s="10">
        <v>0</v>
      </c>
      <c r="H280" s="11">
        <v>42</v>
      </c>
    </row>
    <row r="281" spans="1:8" x14ac:dyDescent="0.25">
      <c r="A281" s="1">
        <f t="shared" ca="1" si="20"/>
        <v>7574</v>
      </c>
      <c r="B281" s="5">
        <v>747.2</v>
      </c>
      <c r="C281" s="6">
        <v>746.5</v>
      </c>
      <c r="D281" s="7">
        <v>30.5</v>
      </c>
      <c r="E281" s="8">
        <v>28</v>
      </c>
      <c r="F281" s="9">
        <v>0</v>
      </c>
      <c r="G281" s="10">
        <v>56</v>
      </c>
      <c r="H281" s="11">
        <v>0</v>
      </c>
    </row>
    <row r="282" spans="1:8" x14ac:dyDescent="0.25">
      <c r="A282" s="1">
        <f t="shared" ca="1" si="20"/>
        <v>7575</v>
      </c>
      <c r="B282" s="5">
        <v>747.1</v>
      </c>
      <c r="C282" s="6">
        <v>746.6</v>
      </c>
      <c r="D282" s="7">
        <v>30</v>
      </c>
      <c r="E282" s="8">
        <v>28</v>
      </c>
      <c r="F282" s="9">
        <v>40</v>
      </c>
      <c r="G282" s="10">
        <v>0</v>
      </c>
      <c r="H282" s="11">
        <v>40</v>
      </c>
    </row>
    <row r="283" spans="1:8" x14ac:dyDescent="0.25">
      <c r="A283" s="1">
        <f t="shared" ca="1" si="20"/>
        <v>7576</v>
      </c>
      <c r="B283" s="5">
        <v>747</v>
      </c>
      <c r="C283" s="6">
        <v>746.7</v>
      </c>
      <c r="D283" s="7">
        <v>29</v>
      </c>
      <c r="E283" s="8">
        <v>27</v>
      </c>
      <c r="F283" s="9">
        <v>0</v>
      </c>
      <c r="G283" s="10">
        <v>0</v>
      </c>
      <c r="H283" s="11">
        <v>0</v>
      </c>
    </row>
    <row r="284" spans="1:8" x14ac:dyDescent="0.25">
      <c r="A284" s="1">
        <f t="shared" ca="1" si="20"/>
        <v>7577</v>
      </c>
      <c r="B284" s="5">
        <v>747</v>
      </c>
      <c r="C284" s="6">
        <v>746.5</v>
      </c>
      <c r="D284" s="7">
        <v>30</v>
      </c>
      <c r="E284" s="8">
        <v>28</v>
      </c>
      <c r="F284" s="9">
        <v>0</v>
      </c>
      <c r="G284" s="10">
        <v>0</v>
      </c>
      <c r="H284" s="11">
        <v>0</v>
      </c>
    </row>
    <row r="285" spans="1:8" x14ac:dyDescent="0.25">
      <c r="A285" s="1">
        <f t="shared" ca="1" si="20"/>
        <v>7578</v>
      </c>
      <c r="B285" s="5">
        <v>747.5</v>
      </c>
      <c r="C285" s="6">
        <v>747</v>
      </c>
      <c r="D285" s="7">
        <v>30</v>
      </c>
      <c r="E285" s="8">
        <v>28</v>
      </c>
      <c r="F285" s="9">
        <v>15</v>
      </c>
      <c r="G285" s="10">
        <v>37</v>
      </c>
      <c r="H285" s="11">
        <v>0</v>
      </c>
    </row>
    <row r="286" spans="1:8" x14ac:dyDescent="0.25">
      <c r="A286" s="1">
        <f t="shared" ca="1" si="20"/>
        <v>7579</v>
      </c>
      <c r="B286" s="5">
        <v>748.5</v>
      </c>
      <c r="C286" s="6">
        <v>748.2</v>
      </c>
      <c r="D286" s="7">
        <v>31</v>
      </c>
      <c r="E286" s="8">
        <v>29</v>
      </c>
      <c r="F286" s="9">
        <v>0</v>
      </c>
      <c r="G286" s="10">
        <v>2</v>
      </c>
      <c r="H286" s="11">
        <v>40</v>
      </c>
    </row>
    <row r="287" spans="1:8" x14ac:dyDescent="0.25">
      <c r="A287" s="1" t="str">
        <f t="shared" ca="1" si="20"/>
        <v>Totaal</v>
      </c>
      <c r="B287" s="28">
        <f t="shared" ref="B287:E287" si="21">IF(COUNT(B257:B286)&gt;0,AVERAGE(B257:B286),"")</f>
        <v>747.66700000000003</v>
      </c>
      <c r="C287" s="29">
        <f t="shared" si="21"/>
        <v>747.04600000000005</v>
      </c>
      <c r="D287" s="30">
        <f t="shared" si="21"/>
        <v>29.153333333333329</v>
      </c>
      <c r="E287" s="31">
        <f t="shared" si="21"/>
        <v>27.323333333333334</v>
      </c>
      <c r="F287" s="32">
        <f>SUM(F257:F286)/10</f>
        <v>65.8</v>
      </c>
      <c r="G287" s="33">
        <f>SUM(G257:G286)/10</f>
        <v>63.9</v>
      </c>
      <c r="H287" s="34">
        <f>SUM(H257:H286)/10</f>
        <v>69.5</v>
      </c>
    </row>
    <row r="288" spans="1:8" x14ac:dyDescent="0.25">
      <c r="A288" s="1">
        <f t="shared" ca="1" si="20"/>
        <v>7580</v>
      </c>
      <c r="B288" s="5">
        <v>747.2</v>
      </c>
      <c r="C288" s="6">
        <v>747.6</v>
      </c>
      <c r="D288" s="7">
        <v>28</v>
      </c>
      <c r="E288" s="8">
        <v>26</v>
      </c>
      <c r="F288" s="9">
        <v>6</v>
      </c>
      <c r="G288" s="10">
        <v>0</v>
      </c>
      <c r="H288" s="11">
        <v>0</v>
      </c>
    </row>
    <row r="289" spans="1:8" x14ac:dyDescent="0.25">
      <c r="A289" s="1">
        <f t="shared" ca="1" si="20"/>
        <v>7581</v>
      </c>
      <c r="B289" s="5">
        <v>748</v>
      </c>
      <c r="C289" s="6">
        <v>747.7</v>
      </c>
      <c r="D289" s="7">
        <v>31</v>
      </c>
      <c r="E289" s="8">
        <v>27.5</v>
      </c>
      <c r="F289" s="9">
        <v>0</v>
      </c>
      <c r="G289" s="10">
        <v>0</v>
      </c>
      <c r="H289" s="11">
        <v>0</v>
      </c>
    </row>
    <row r="290" spans="1:8" x14ac:dyDescent="0.25">
      <c r="A290" s="1">
        <f t="shared" ca="1" si="20"/>
        <v>7582</v>
      </c>
      <c r="B290" s="5">
        <v>749</v>
      </c>
      <c r="C290" s="6">
        <v>748.5</v>
      </c>
      <c r="D290" s="7">
        <v>31</v>
      </c>
      <c r="E290" s="8">
        <v>28</v>
      </c>
      <c r="F290" s="9">
        <v>0</v>
      </c>
      <c r="G290" s="10">
        <v>0</v>
      </c>
      <c r="H290" s="11">
        <v>0</v>
      </c>
    </row>
    <row r="291" spans="1:8" x14ac:dyDescent="0.25">
      <c r="A291" s="1">
        <f t="shared" ca="1" si="20"/>
        <v>7583</v>
      </c>
      <c r="B291" s="5">
        <v>749.5</v>
      </c>
      <c r="C291" s="6">
        <v>748</v>
      </c>
      <c r="D291" s="7">
        <v>32</v>
      </c>
      <c r="E291" s="8">
        <v>29</v>
      </c>
      <c r="F291" s="9">
        <v>0</v>
      </c>
      <c r="G291" s="10">
        <v>0</v>
      </c>
      <c r="H291" s="11">
        <v>0</v>
      </c>
    </row>
    <row r="292" spans="1:8" x14ac:dyDescent="0.25">
      <c r="A292" s="1">
        <f t="shared" ca="1" si="20"/>
        <v>7584</v>
      </c>
      <c r="B292" s="5">
        <v>749.7</v>
      </c>
      <c r="C292" s="6">
        <v>748.2</v>
      </c>
      <c r="D292" s="7">
        <v>31</v>
      </c>
      <c r="E292" s="8">
        <v>29</v>
      </c>
      <c r="F292" s="9">
        <v>0</v>
      </c>
      <c r="G292" s="10">
        <v>0</v>
      </c>
      <c r="H292" s="11">
        <v>0</v>
      </c>
    </row>
    <row r="293" spans="1:8" x14ac:dyDescent="0.25">
      <c r="A293" s="1">
        <f t="shared" ca="1" si="20"/>
        <v>7585</v>
      </c>
      <c r="B293" s="5">
        <v>746.8</v>
      </c>
      <c r="C293" s="6">
        <v>746.5</v>
      </c>
      <c r="D293" s="7">
        <v>30</v>
      </c>
      <c r="E293" s="8">
        <v>28.3</v>
      </c>
      <c r="F293" s="9">
        <v>0</v>
      </c>
      <c r="G293" s="10">
        <v>7</v>
      </c>
      <c r="H293" s="11">
        <v>0</v>
      </c>
    </row>
    <row r="294" spans="1:8" x14ac:dyDescent="0.25">
      <c r="A294" s="1">
        <f t="shared" ca="1" si="20"/>
        <v>7586</v>
      </c>
      <c r="B294" s="5">
        <v>746</v>
      </c>
      <c r="C294" s="6">
        <v>746.3</v>
      </c>
      <c r="D294" s="7">
        <v>31</v>
      </c>
      <c r="E294" s="8">
        <v>29.3</v>
      </c>
      <c r="F294" s="9">
        <v>0</v>
      </c>
      <c r="G294" s="10">
        <v>0</v>
      </c>
      <c r="H294" s="11">
        <v>0</v>
      </c>
    </row>
    <row r="295" spans="1:8" x14ac:dyDescent="0.25">
      <c r="A295" s="1">
        <f t="shared" ca="1" si="20"/>
        <v>7587</v>
      </c>
      <c r="B295" s="5">
        <v>746.5</v>
      </c>
      <c r="C295" s="6">
        <v>746.3</v>
      </c>
      <c r="D295" s="7">
        <v>30.8</v>
      </c>
      <c r="E295" s="8">
        <v>28.8</v>
      </c>
      <c r="F295" s="9">
        <v>0</v>
      </c>
      <c r="G295" s="10">
        <v>0</v>
      </c>
      <c r="H295" s="11">
        <v>80</v>
      </c>
    </row>
    <row r="296" spans="1:8" x14ac:dyDescent="0.25">
      <c r="A296" s="1">
        <f t="shared" ca="1" si="20"/>
        <v>7588</v>
      </c>
      <c r="B296" s="5">
        <v>748.5</v>
      </c>
      <c r="C296" s="6">
        <v>747</v>
      </c>
      <c r="D296" s="7">
        <v>30</v>
      </c>
      <c r="E296" s="8">
        <v>27.5</v>
      </c>
      <c r="F296" s="9">
        <v>37</v>
      </c>
      <c r="G296" s="10">
        <v>32</v>
      </c>
      <c r="H296" s="11">
        <v>0</v>
      </c>
    </row>
    <row r="297" spans="1:8" x14ac:dyDescent="0.25">
      <c r="A297" s="1">
        <f t="shared" ca="1" si="20"/>
        <v>7589</v>
      </c>
      <c r="B297" s="5">
        <v>748.2</v>
      </c>
      <c r="C297" s="6">
        <v>747.6</v>
      </c>
      <c r="D297" s="7">
        <v>30</v>
      </c>
      <c r="E297" s="8">
        <v>28</v>
      </c>
      <c r="F297" s="9">
        <v>10</v>
      </c>
      <c r="G297" s="10">
        <v>56</v>
      </c>
      <c r="H297" s="11">
        <v>0</v>
      </c>
    </row>
    <row r="298" spans="1:8" x14ac:dyDescent="0.25">
      <c r="A298" s="1">
        <f t="shared" ca="1" si="20"/>
        <v>7590</v>
      </c>
      <c r="B298" s="5">
        <v>748</v>
      </c>
      <c r="C298" s="6">
        <v>747.5</v>
      </c>
      <c r="D298" s="7">
        <v>31</v>
      </c>
      <c r="E298" s="8">
        <v>28.5</v>
      </c>
      <c r="F298" s="9">
        <v>15</v>
      </c>
      <c r="G298" s="10">
        <v>21</v>
      </c>
      <c r="H298" s="11">
        <v>0</v>
      </c>
    </row>
    <row r="299" spans="1:8" x14ac:dyDescent="0.25">
      <c r="A299" s="1">
        <f t="shared" ca="1" si="20"/>
        <v>7591</v>
      </c>
      <c r="B299" s="5">
        <v>747.6</v>
      </c>
      <c r="C299" s="6">
        <v>747</v>
      </c>
      <c r="D299" s="7">
        <v>30</v>
      </c>
      <c r="E299" s="8">
        <v>28</v>
      </c>
      <c r="F299" s="9">
        <v>45</v>
      </c>
      <c r="G299" s="10">
        <v>0</v>
      </c>
      <c r="H299" s="11">
        <v>150</v>
      </c>
    </row>
    <row r="300" spans="1:8" x14ac:dyDescent="0.25">
      <c r="A300" s="1">
        <f t="shared" ca="1" si="20"/>
        <v>7592</v>
      </c>
      <c r="B300" s="5">
        <v>746</v>
      </c>
      <c r="C300" s="6">
        <v>745.9</v>
      </c>
      <c r="D300" s="7">
        <v>29.5</v>
      </c>
      <c r="E300" s="8">
        <v>27.8</v>
      </c>
      <c r="F300" s="9">
        <v>0</v>
      </c>
      <c r="G300" s="10">
        <v>0</v>
      </c>
      <c r="H300" s="11">
        <v>0</v>
      </c>
    </row>
    <row r="301" spans="1:8" x14ac:dyDescent="0.25">
      <c r="A301" s="1">
        <f t="shared" ca="1" si="20"/>
        <v>7593</v>
      </c>
      <c r="B301" s="5">
        <v>746.5</v>
      </c>
      <c r="C301" s="6">
        <v>745</v>
      </c>
      <c r="D301" s="7">
        <v>30.3</v>
      </c>
      <c r="E301" s="8">
        <v>28.3</v>
      </c>
      <c r="F301" s="9">
        <v>0</v>
      </c>
      <c r="G301" s="10">
        <v>0</v>
      </c>
      <c r="H301" s="11">
        <v>0</v>
      </c>
    </row>
    <row r="302" spans="1:8" x14ac:dyDescent="0.25">
      <c r="A302" s="1">
        <f t="shared" ca="1" si="20"/>
        <v>7594</v>
      </c>
      <c r="B302" s="5">
        <v>746</v>
      </c>
      <c r="C302" s="6">
        <v>745.6</v>
      </c>
      <c r="D302" s="7">
        <v>30.5</v>
      </c>
      <c r="E302" s="8">
        <v>28.5</v>
      </c>
      <c r="F302" s="9">
        <v>0</v>
      </c>
      <c r="G302" s="10">
        <v>0</v>
      </c>
      <c r="H302" s="11">
        <v>0</v>
      </c>
    </row>
    <row r="303" spans="1:8" x14ac:dyDescent="0.25">
      <c r="A303" s="1">
        <f t="shared" ca="1" si="20"/>
        <v>7595</v>
      </c>
      <c r="B303" s="5">
        <v>747</v>
      </c>
      <c r="C303" s="6">
        <v>746</v>
      </c>
      <c r="D303" s="7">
        <v>28</v>
      </c>
      <c r="E303" s="8">
        <v>27</v>
      </c>
      <c r="F303" s="9">
        <v>0</v>
      </c>
      <c r="G303" s="10">
        <v>0</v>
      </c>
      <c r="H303" s="11">
        <v>0</v>
      </c>
    </row>
    <row r="304" spans="1:8" x14ac:dyDescent="0.25">
      <c r="A304" s="1">
        <f t="shared" ca="1" si="20"/>
        <v>7596</v>
      </c>
      <c r="B304" s="5">
        <v>746.8</v>
      </c>
      <c r="C304" s="6">
        <v>746.3</v>
      </c>
      <c r="D304" s="7">
        <v>30</v>
      </c>
      <c r="E304" s="8">
        <v>28</v>
      </c>
      <c r="F304" s="9">
        <v>0</v>
      </c>
      <c r="G304" s="10">
        <v>0</v>
      </c>
      <c r="H304" s="11">
        <v>70</v>
      </c>
    </row>
    <row r="305" spans="1:8" x14ac:dyDescent="0.25">
      <c r="A305" s="1">
        <f t="shared" ca="1" si="20"/>
        <v>7597</v>
      </c>
      <c r="B305" s="5">
        <v>746.5</v>
      </c>
      <c r="C305" s="6">
        <v>746</v>
      </c>
      <c r="D305" s="7">
        <v>31</v>
      </c>
      <c r="E305" s="8">
        <v>28.3</v>
      </c>
      <c r="F305" s="9">
        <v>30</v>
      </c>
      <c r="G305" s="10">
        <v>0</v>
      </c>
      <c r="H305" s="11">
        <v>0</v>
      </c>
    </row>
    <row r="306" spans="1:8" x14ac:dyDescent="0.25">
      <c r="A306" s="1">
        <f t="shared" ca="1" si="20"/>
        <v>7598</v>
      </c>
      <c r="B306" s="5">
        <v>746</v>
      </c>
      <c r="C306" s="6">
        <v>745.6</v>
      </c>
      <c r="D306" s="7">
        <v>30.5</v>
      </c>
      <c r="E306" s="8">
        <v>28.3</v>
      </c>
      <c r="F306" s="9">
        <v>0</v>
      </c>
      <c r="G306" s="10">
        <v>41</v>
      </c>
      <c r="H306" s="11">
        <v>48</v>
      </c>
    </row>
    <row r="307" spans="1:8" x14ac:dyDescent="0.25">
      <c r="A307" s="1">
        <f t="shared" ca="1" si="20"/>
        <v>7599</v>
      </c>
      <c r="B307" s="5">
        <v>744.5</v>
      </c>
      <c r="C307" s="6">
        <v>745</v>
      </c>
      <c r="D307" s="7">
        <v>28</v>
      </c>
      <c r="E307" s="8">
        <v>27</v>
      </c>
      <c r="F307" s="9">
        <v>40</v>
      </c>
      <c r="G307" s="10">
        <v>52</v>
      </c>
      <c r="H307" s="11">
        <v>0</v>
      </c>
    </row>
    <row r="308" spans="1:8" x14ac:dyDescent="0.25">
      <c r="A308" s="1">
        <f t="shared" ca="1" si="20"/>
        <v>7600</v>
      </c>
      <c r="B308" s="5">
        <v>746</v>
      </c>
      <c r="C308" s="6">
        <v>745.5</v>
      </c>
      <c r="D308" s="7">
        <v>28.5</v>
      </c>
      <c r="E308" s="8">
        <v>27</v>
      </c>
      <c r="F308" s="9">
        <v>143</v>
      </c>
      <c r="G308" s="10">
        <v>4</v>
      </c>
      <c r="H308" s="11">
        <v>60</v>
      </c>
    </row>
    <row r="309" spans="1:8" x14ac:dyDescent="0.25">
      <c r="A309" s="1">
        <f t="shared" ca="1" si="20"/>
        <v>7601</v>
      </c>
      <c r="B309" s="5">
        <v>745</v>
      </c>
      <c r="C309" s="6">
        <v>744.4</v>
      </c>
      <c r="D309" s="7">
        <v>28.5</v>
      </c>
      <c r="E309" s="8">
        <v>26</v>
      </c>
      <c r="F309" s="9">
        <v>0</v>
      </c>
      <c r="G309" s="10">
        <v>0</v>
      </c>
      <c r="H309" s="11">
        <v>0</v>
      </c>
    </row>
    <row r="310" spans="1:8" x14ac:dyDescent="0.25">
      <c r="A310" s="1">
        <f t="shared" ca="1" si="20"/>
        <v>7602</v>
      </c>
      <c r="B310" s="5">
        <v>745</v>
      </c>
      <c r="C310" s="6">
        <v>743</v>
      </c>
      <c r="D310" s="7">
        <v>28</v>
      </c>
      <c r="E310" s="8">
        <v>27</v>
      </c>
      <c r="F310" s="9">
        <v>97</v>
      </c>
      <c r="G310" s="10">
        <v>198</v>
      </c>
      <c r="H310" s="11">
        <v>0</v>
      </c>
    </row>
    <row r="311" spans="1:8" x14ac:dyDescent="0.25">
      <c r="A311" s="1">
        <f t="shared" ca="1" si="20"/>
        <v>7603</v>
      </c>
      <c r="B311" s="5">
        <v>745</v>
      </c>
      <c r="C311" s="6">
        <v>744</v>
      </c>
      <c r="D311" s="7">
        <v>28</v>
      </c>
      <c r="E311" s="8">
        <v>27</v>
      </c>
      <c r="F311" s="9">
        <v>19</v>
      </c>
      <c r="G311" s="10">
        <v>0</v>
      </c>
      <c r="H311" s="11">
        <v>57</v>
      </c>
    </row>
    <row r="312" spans="1:8" x14ac:dyDescent="0.25">
      <c r="A312" s="1">
        <f t="shared" ca="1" si="20"/>
        <v>7604</v>
      </c>
      <c r="B312" s="5">
        <v>745.9</v>
      </c>
      <c r="C312" s="6">
        <v>744.7</v>
      </c>
      <c r="D312" s="7">
        <v>28</v>
      </c>
      <c r="E312" s="8">
        <v>27.5</v>
      </c>
      <c r="F312" s="9">
        <v>0</v>
      </c>
      <c r="G312" s="10">
        <v>30</v>
      </c>
      <c r="H312" s="11">
        <v>0</v>
      </c>
    </row>
    <row r="313" spans="1:8" x14ac:dyDescent="0.25">
      <c r="A313" s="1">
        <f t="shared" ca="1" si="20"/>
        <v>7605</v>
      </c>
      <c r="B313" s="5">
        <v>745.5</v>
      </c>
      <c r="C313" s="6">
        <v>745</v>
      </c>
      <c r="D313" s="7">
        <v>28.5</v>
      </c>
      <c r="E313" s="8">
        <v>27</v>
      </c>
      <c r="F313" s="9">
        <v>22</v>
      </c>
      <c r="G313" s="10">
        <v>9</v>
      </c>
      <c r="H313" s="11">
        <v>0</v>
      </c>
    </row>
    <row r="314" spans="1:8" x14ac:dyDescent="0.25">
      <c r="A314" s="1">
        <f t="shared" ca="1" si="20"/>
        <v>7606</v>
      </c>
      <c r="B314" s="5">
        <v>746</v>
      </c>
      <c r="C314" s="6">
        <v>745</v>
      </c>
      <c r="D314" s="7">
        <v>27</v>
      </c>
      <c r="E314" s="8">
        <v>26.5</v>
      </c>
      <c r="F314" s="9">
        <v>13</v>
      </c>
      <c r="G314" s="10">
        <v>94</v>
      </c>
      <c r="H314" s="11">
        <v>20</v>
      </c>
    </row>
    <row r="315" spans="1:8" x14ac:dyDescent="0.25">
      <c r="A315" s="1">
        <f t="shared" ca="1" si="20"/>
        <v>7607</v>
      </c>
      <c r="B315" s="5">
        <v>746.5</v>
      </c>
      <c r="C315" s="6">
        <v>744.5</v>
      </c>
      <c r="D315" s="7">
        <v>27.5</v>
      </c>
      <c r="E315" s="8">
        <v>26</v>
      </c>
      <c r="F315" s="9">
        <v>40</v>
      </c>
      <c r="G315" s="10">
        <v>0</v>
      </c>
      <c r="H315" s="11">
        <v>30</v>
      </c>
    </row>
    <row r="316" spans="1:8" x14ac:dyDescent="0.25">
      <c r="A316" s="1">
        <f t="shared" ca="1" si="20"/>
        <v>7608</v>
      </c>
      <c r="B316" s="5">
        <v>745.2</v>
      </c>
      <c r="C316" s="6">
        <v>744.5</v>
      </c>
      <c r="D316" s="7">
        <v>28</v>
      </c>
      <c r="E316" s="8">
        <v>27</v>
      </c>
      <c r="F316" s="9">
        <v>0</v>
      </c>
      <c r="G316" s="10">
        <v>25</v>
      </c>
      <c r="H316" s="11">
        <v>0</v>
      </c>
    </row>
    <row r="317" spans="1:8" x14ac:dyDescent="0.25">
      <c r="A317" s="1">
        <f t="shared" ca="1" si="20"/>
        <v>7609</v>
      </c>
      <c r="B317" s="5">
        <v>746.5</v>
      </c>
      <c r="C317" s="6">
        <v>746</v>
      </c>
      <c r="D317" s="7">
        <v>29</v>
      </c>
      <c r="E317" s="8">
        <v>27</v>
      </c>
      <c r="F317" s="9">
        <v>0</v>
      </c>
      <c r="G317" s="10">
        <v>0</v>
      </c>
      <c r="H317" s="11">
        <v>0</v>
      </c>
    </row>
    <row r="318" spans="1:8" x14ac:dyDescent="0.25">
      <c r="A318" s="1">
        <f t="shared" ca="1" si="20"/>
        <v>7610</v>
      </c>
      <c r="B318" s="5">
        <v>746</v>
      </c>
      <c r="C318" s="6">
        <v>745.5</v>
      </c>
      <c r="D318" s="7">
        <v>24.5</v>
      </c>
      <c r="E318" s="8">
        <v>24</v>
      </c>
      <c r="F318" s="9">
        <v>500</v>
      </c>
      <c r="G318" s="10">
        <v>1311</v>
      </c>
      <c r="H318" s="11">
        <v>0</v>
      </c>
    </row>
    <row r="319" spans="1:8" x14ac:dyDescent="0.25">
      <c r="A319" s="1" t="str">
        <f t="shared" ca="1" si="20"/>
        <v>Totaal</v>
      </c>
      <c r="B319" s="28">
        <f>IF(COUNT(B288:B318)&gt;0,AVERAGE(B288:B318),"")</f>
        <v>746.67419354838717</v>
      </c>
      <c r="C319" s="29">
        <f t="shared" ref="C319" si="22">IF(COUNT(C288:C318)&gt;0,AVERAGE(C288:C318),"")</f>
        <v>745.99032258064517</v>
      </c>
      <c r="D319" s="30">
        <f t="shared" ref="D319" si="23">IF(COUNT(D288:D318)&gt;0,AVERAGE(D288:D318),"")</f>
        <v>29.325806451612905</v>
      </c>
      <c r="E319" s="31">
        <f t="shared" ref="E319" si="24">IF(COUNT(E288:E318)&gt;0,AVERAGE(E288:E318),"")</f>
        <v>27.519354838709678</v>
      </c>
      <c r="F319" s="32">
        <f>SUM(F288:F318)/10</f>
        <v>101.7</v>
      </c>
      <c r="G319" s="33">
        <f>SUM(G288:G318)/10</f>
        <v>188</v>
      </c>
      <c r="H319" s="34">
        <f>SUM(H288:H318)/10</f>
        <v>51.5</v>
      </c>
    </row>
    <row r="320" spans="1:8" x14ac:dyDescent="0.25">
      <c r="A320" s="1">
        <f t="shared" ca="1" si="20"/>
        <v>7611</v>
      </c>
      <c r="B320" s="5">
        <v>746</v>
      </c>
      <c r="C320" s="6">
        <v>744.5</v>
      </c>
      <c r="D320" s="7">
        <v>27</v>
      </c>
      <c r="E320" s="8">
        <v>24.5</v>
      </c>
      <c r="F320" s="9">
        <v>208</v>
      </c>
      <c r="G320" s="10">
        <v>128</v>
      </c>
      <c r="H320" s="11">
        <v>152</v>
      </c>
    </row>
    <row r="321" spans="1:8" x14ac:dyDescent="0.25">
      <c r="A321" s="1">
        <f t="shared" ca="1" si="20"/>
        <v>7612</v>
      </c>
      <c r="B321" s="5">
        <v>746</v>
      </c>
      <c r="C321" s="6">
        <v>745.5</v>
      </c>
      <c r="D321" s="7">
        <v>28.8</v>
      </c>
      <c r="E321" s="8">
        <v>26</v>
      </c>
      <c r="F321" s="9">
        <v>88</v>
      </c>
      <c r="G321" s="10">
        <v>5</v>
      </c>
      <c r="H321" s="11">
        <v>0</v>
      </c>
    </row>
    <row r="322" spans="1:8" x14ac:dyDescent="0.25">
      <c r="A322" s="1">
        <f t="shared" ca="1" si="20"/>
        <v>7613</v>
      </c>
      <c r="B322" s="5">
        <v>745</v>
      </c>
      <c r="C322" s="6">
        <v>744.2</v>
      </c>
      <c r="D322" s="7">
        <v>24.5</v>
      </c>
      <c r="E322" s="8">
        <v>23</v>
      </c>
      <c r="F322" s="9">
        <v>230</v>
      </c>
      <c r="G322" s="10">
        <v>110</v>
      </c>
      <c r="H322" s="11">
        <v>160</v>
      </c>
    </row>
    <row r="323" spans="1:8" x14ac:dyDescent="0.25">
      <c r="A323" s="1">
        <f t="shared" ca="1" si="20"/>
        <v>7614</v>
      </c>
      <c r="B323" s="5">
        <v>746</v>
      </c>
      <c r="C323" s="6">
        <v>745.4</v>
      </c>
      <c r="D323" s="7">
        <v>28</v>
      </c>
      <c r="E323" s="8">
        <v>25</v>
      </c>
      <c r="F323" s="9">
        <v>0</v>
      </c>
      <c r="G323" s="10">
        <v>224</v>
      </c>
      <c r="H323" s="11">
        <v>101</v>
      </c>
    </row>
    <row r="324" spans="1:8" x14ac:dyDescent="0.25">
      <c r="A324" s="1">
        <f t="shared" ca="1" si="20"/>
        <v>7615</v>
      </c>
      <c r="B324" s="5">
        <v>747</v>
      </c>
      <c r="C324" s="6">
        <v>746.5</v>
      </c>
      <c r="D324" s="7">
        <v>28</v>
      </c>
      <c r="E324" s="8">
        <v>26</v>
      </c>
      <c r="F324" s="9">
        <v>250</v>
      </c>
      <c r="G324" s="10">
        <v>14</v>
      </c>
      <c r="H324" s="11">
        <v>98</v>
      </c>
    </row>
    <row r="325" spans="1:8" x14ac:dyDescent="0.25">
      <c r="A325" s="1">
        <f t="shared" ca="1" si="20"/>
        <v>7616</v>
      </c>
      <c r="B325" s="5">
        <v>747.5</v>
      </c>
      <c r="C325" s="6">
        <v>746.5</v>
      </c>
      <c r="D325" s="7">
        <v>29</v>
      </c>
      <c r="E325" s="8">
        <v>26</v>
      </c>
      <c r="F325" s="9">
        <v>9</v>
      </c>
      <c r="G325" s="10">
        <v>4</v>
      </c>
      <c r="H325" s="11">
        <v>0</v>
      </c>
    </row>
    <row r="326" spans="1:8" x14ac:dyDescent="0.25">
      <c r="A326" s="1">
        <f t="shared" ca="1" si="20"/>
        <v>7617</v>
      </c>
      <c r="B326" s="5">
        <v>747.5</v>
      </c>
      <c r="C326" s="6">
        <v>746</v>
      </c>
      <c r="D326" s="7">
        <v>29.8</v>
      </c>
      <c r="E326" s="8">
        <v>26.5</v>
      </c>
      <c r="F326" s="9">
        <v>0</v>
      </c>
      <c r="G326" s="10">
        <v>1</v>
      </c>
      <c r="H326" s="11">
        <v>0</v>
      </c>
    </row>
    <row r="327" spans="1:8" x14ac:dyDescent="0.25">
      <c r="A327" s="1">
        <f t="shared" ref="A327:A382" ca="1" si="25">IF(ISTEXT(A326),A325+1,IF(MONTH(A326+1)=MONTH(A326),A326+1,"Totaal"))</f>
        <v>7618</v>
      </c>
      <c r="B327" s="5">
        <v>747</v>
      </c>
      <c r="C327" s="6">
        <v>746.5</v>
      </c>
      <c r="D327" s="7">
        <v>29</v>
      </c>
      <c r="E327" s="8">
        <v>26</v>
      </c>
      <c r="F327" s="9">
        <v>0</v>
      </c>
      <c r="G327" s="10">
        <v>0</v>
      </c>
      <c r="H327" s="11">
        <v>0</v>
      </c>
    </row>
    <row r="328" spans="1:8" x14ac:dyDescent="0.25">
      <c r="A328" s="1">
        <f t="shared" ca="1" si="25"/>
        <v>7619</v>
      </c>
      <c r="B328" s="5">
        <v>748</v>
      </c>
      <c r="C328" s="6">
        <v>747.5</v>
      </c>
      <c r="D328" s="7">
        <v>29</v>
      </c>
      <c r="E328" s="8">
        <v>26</v>
      </c>
      <c r="F328" s="9">
        <v>21</v>
      </c>
      <c r="G328" s="10">
        <v>77</v>
      </c>
      <c r="H328" s="11">
        <v>80</v>
      </c>
    </row>
    <row r="329" spans="1:8" x14ac:dyDescent="0.25">
      <c r="A329" s="1">
        <f t="shared" ca="1" si="25"/>
        <v>7620</v>
      </c>
      <c r="B329" s="5">
        <v>747.5</v>
      </c>
      <c r="C329" s="6">
        <v>747</v>
      </c>
      <c r="D329" s="7">
        <v>28.8</v>
      </c>
      <c r="E329" s="8">
        <v>26.3</v>
      </c>
      <c r="F329" s="9">
        <v>71</v>
      </c>
      <c r="G329" s="10">
        <v>38</v>
      </c>
      <c r="H329" s="11">
        <v>11</v>
      </c>
    </row>
    <row r="330" spans="1:8" x14ac:dyDescent="0.25">
      <c r="A330" s="1">
        <f t="shared" ca="1" si="25"/>
        <v>7621</v>
      </c>
      <c r="B330" s="5">
        <v>747</v>
      </c>
      <c r="C330" s="6">
        <v>746.5</v>
      </c>
      <c r="D330" s="7">
        <v>29</v>
      </c>
      <c r="E330" s="8">
        <v>27</v>
      </c>
      <c r="F330" s="9">
        <v>35</v>
      </c>
      <c r="G330" s="10">
        <v>17</v>
      </c>
      <c r="H330" s="11">
        <v>12</v>
      </c>
    </row>
    <row r="331" spans="1:8" x14ac:dyDescent="0.25">
      <c r="A331" s="1">
        <f t="shared" ca="1" si="25"/>
        <v>7622</v>
      </c>
      <c r="B331" s="5">
        <v>747.6</v>
      </c>
      <c r="C331" s="6">
        <v>746</v>
      </c>
      <c r="D331" s="7">
        <v>29.5</v>
      </c>
      <c r="E331" s="8">
        <v>26.5</v>
      </c>
      <c r="F331" s="9">
        <v>90</v>
      </c>
      <c r="G331" s="10">
        <v>78</v>
      </c>
      <c r="H331" s="11">
        <v>55</v>
      </c>
    </row>
    <row r="332" spans="1:8" x14ac:dyDescent="0.25">
      <c r="A332" s="1">
        <f t="shared" ca="1" si="25"/>
        <v>7623</v>
      </c>
      <c r="B332" s="5">
        <v>747.5</v>
      </c>
      <c r="C332" s="6">
        <v>746.6</v>
      </c>
      <c r="D332" s="7">
        <v>29.5</v>
      </c>
      <c r="E332" s="8">
        <v>26</v>
      </c>
      <c r="F332" s="9">
        <v>52</v>
      </c>
      <c r="G332" s="10">
        <v>6</v>
      </c>
      <c r="H332" s="11">
        <v>0</v>
      </c>
    </row>
    <row r="333" spans="1:8" x14ac:dyDescent="0.25">
      <c r="A333" s="1">
        <f t="shared" ca="1" si="25"/>
        <v>7624</v>
      </c>
      <c r="B333" s="5">
        <v>747.2</v>
      </c>
      <c r="C333" s="6">
        <v>746.8</v>
      </c>
      <c r="D333" s="7">
        <v>29</v>
      </c>
      <c r="E333" s="8">
        <v>26</v>
      </c>
      <c r="F333" s="9">
        <v>0</v>
      </c>
      <c r="G333" s="10">
        <v>74</v>
      </c>
      <c r="H333" s="11">
        <v>82</v>
      </c>
    </row>
    <row r="334" spans="1:8" x14ac:dyDescent="0.25">
      <c r="A334" s="1">
        <f t="shared" ca="1" si="25"/>
        <v>7625</v>
      </c>
      <c r="B334" s="5">
        <v>747</v>
      </c>
      <c r="C334" s="6">
        <v>746.5</v>
      </c>
      <c r="D334" s="7">
        <v>26.8</v>
      </c>
      <c r="E334" s="8">
        <v>26</v>
      </c>
      <c r="F334" s="9">
        <v>82</v>
      </c>
      <c r="G334" s="10">
        <v>43</v>
      </c>
      <c r="H334" s="11">
        <v>5</v>
      </c>
    </row>
    <row r="335" spans="1:8" x14ac:dyDescent="0.25">
      <c r="A335" s="1">
        <f t="shared" ca="1" si="25"/>
        <v>7626</v>
      </c>
      <c r="B335" s="5">
        <v>747.1</v>
      </c>
      <c r="C335" s="6">
        <v>746.4</v>
      </c>
      <c r="D335" s="7">
        <v>29.8</v>
      </c>
      <c r="E335" s="8">
        <v>27</v>
      </c>
      <c r="F335" s="9">
        <v>58</v>
      </c>
      <c r="G335" s="10">
        <v>95</v>
      </c>
      <c r="H335" s="11">
        <v>43</v>
      </c>
    </row>
    <row r="336" spans="1:8" x14ac:dyDescent="0.25">
      <c r="A336" s="1">
        <f t="shared" ca="1" si="25"/>
        <v>7627</v>
      </c>
      <c r="B336" s="5">
        <v>747</v>
      </c>
      <c r="C336" s="6">
        <v>746.5</v>
      </c>
      <c r="D336" s="7">
        <v>28.5</v>
      </c>
      <c r="E336" s="8">
        <v>27</v>
      </c>
      <c r="F336" s="9">
        <v>72</v>
      </c>
      <c r="G336" s="10">
        <v>48</v>
      </c>
      <c r="H336" s="11">
        <v>12</v>
      </c>
    </row>
    <row r="337" spans="1:8" x14ac:dyDescent="0.25">
      <c r="A337" s="1">
        <f t="shared" ca="1" si="25"/>
        <v>7628</v>
      </c>
      <c r="B337" s="5">
        <v>746.9</v>
      </c>
      <c r="C337" s="6">
        <v>746.5</v>
      </c>
      <c r="D337" s="7">
        <v>27</v>
      </c>
      <c r="E337" s="8">
        <v>25.5</v>
      </c>
      <c r="F337" s="9">
        <v>132</v>
      </c>
      <c r="G337" s="10">
        <v>125</v>
      </c>
      <c r="H337" s="11">
        <v>124</v>
      </c>
    </row>
    <row r="338" spans="1:8" x14ac:dyDescent="0.25">
      <c r="A338" s="1">
        <f t="shared" ca="1" si="25"/>
        <v>7629</v>
      </c>
      <c r="B338" s="5">
        <v>746.6</v>
      </c>
      <c r="C338" s="6">
        <v>746</v>
      </c>
      <c r="D338" s="7">
        <v>26.5</v>
      </c>
      <c r="E338" s="8">
        <v>25.3</v>
      </c>
      <c r="F338" s="9">
        <v>80</v>
      </c>
      <c r="G338" s="10">
        <v>21</v>
      </c>
      <c r="H338" s="11">
        <v>0</v>
      </c>
    </row>
    <row r="339" spans="1:8" x14ac:dyDescent="0.25">
      <c r="A339" s="1">
        <f t="shared" ca="1" si="25"/>
        <v>7630</v>
      </c>
      <c r="B339" s="5">
        <v>747</v>
      </c>
      <c r="C339" s="6">
        <v>746</v>
      </c>
      <c r="D339" s="7">
        <v>28.8</v>
      </c>
      <c r="E339" s="8">
        <v>25</v>
      </c>
      <c r="F339" s="9">
        <v>15</v>
      </c>
      <c r="G339" s="10">
        <v>0</v>
      </c>
      <c r="H339" s="11">
        <v>7</v>
      </c>
    </row>
    <row r="340" spans="1:8" x14ac:dyDescent="0.25">
      <c r="A340" s="1">
        <f t="shared" ca="1" si="25"/>
        <v>7631</v>
      </c>
      <c r="B340" s="5">
        <v>748.5</v>
      </c>
      <c r="C340" s="6">
        <v>747</v>
      </c>
      <c r="D340" s="7">
        <v>29</v>
      </c>
      <c r="E340" s="8">
        <v>27</v>
      </c>
      <c r="F340" s="9">
        <v>0</v>
      </c>
      <c r="G340" s="10">
        <v>28</v>
      </c>
      <c r="H340" s="11">
        <v>15</v>
      </c>
    </row>
    <row r="341" spans="1:8" x14ac:dyDescent="0.25">
      <c r="A341" s="1">
        <f t="shared" ca="1" si="25"/>
        <v>7632</v>
      </c>
      <c r="B341" s="5">
        <v>748.6</v>
      </c>
      <c r="C341" s="6">
        <v>747</v>
      </c>
      <c r="D341" s="7">
        <v>29</v>
      </c>
      <c r="E341" s="8">
        <v>27</v>
      </c>
      <c r="F341" s="9">
        <v>0</v>
      </c>
      <c r="G341" s="10">
        <v>1</v>
      </c>
      <c r="H341" s="11">
        <v>0</v>
      </c>
    </row>
    <row r="342" spans="1:8" x14ac:dyDescent="0.25">
      <c r="A342" s="1">
        <f t="shared" ca="1" si="25"/>
        <v>7633</v>
      </c>
      <c r="B342" s="5">
        <v>748.4</v>
      </c>
      <c r="C342" s="6">
        <v>747.2</v>
      </c>
      <c r="D342" s="7">
        <v>28.5</v>
      </c>
      <c r="E342" s="8">
        <v>26</v>
      </c>
      <c r="F342" s="9">
        <v>11</v>
      </c>
      <c r="G342" s="10">
        <v>85</v>
      </c>
      <c r="H342" s="11">
        <v>21</v>
      </c>
    </row>
    <row r="343" spans="1:8" x14ac:dyDescent="0.25">
      <c r="A343" s="1">
        <f t="shared" ca="1" si="25"/>
        <v>7634</v>
      </c>
      <c r="B343" s="5">
        <v>748.5</v>
      </c>
      <c r="C343" s="6">
        <v>747</v>
      </c>
      <c r="D343" s="7">
        <v>29</v>
      </c>
      <c r="E343" s="8">
        <v>27</v>
      </c>
      <c r="F343" s="9">
        <v>0</v>
      </c>
      <c r="G343" s="10">
        <v>0</v>
      </c>
      <c r="H343" s="11">
        <v>0</v>
      </c>
    </row>
    <row r="344" spans="1:8" x14ac:dyDescent="0.25">
      <c r="A344" s="1">
        <f t="shared" ca="1" si="25"/>
        <v>7635</v>
      </c>
      <c r="B344" s="5">
        <v>748.9</v>
      </c>
      <c r="C344" s="6">
        <v>747.5</v>
      </c>
      <c r="D344" s="7">
        <v>29.3</v>
      </c>
      <c r="E344" s="8">
        <v>27</v>
      </c>
      <c r="F344" s="9">
        <v>140</v>
      </c>
      <c r="G344" s="10">
        <v>0</v>
      </c>
      <c r="H344" s="11">
        <v>0</v>
      </c>
    </row>
    <row r="345" spans="1:8" x14ac:dyDescent="0.25">
      <c r="A345" s="1">
        <f t="shared" ca="1" si="25"/>
        <v>7636</v>
      </c>
      <c r="B345" s="5">
        <v>748.3</v>
      </c>
      <c r="C345" s="6">
        <v>747.7</v>
      </c>
      <c r="D345" s="7">
        <v>30</v>
      </c>
      <c r="E345" s="8">
        <v>28</v>
      </c>
      <c r="F345" s="9">
        <v>0</v>
      </c>
      <c r="G345" s="10">
        <v>0</v>
      </c>
      <c r="H345" s="11">
        <v>0</v>
      </c>
    </row>
    <row r="346" spans="1:8" x14ac:dyDescent="0.25">
      <c r="A346" s="1">
        <f t="shared" ca="1" si="25"/>
        <v>7637</v>
      </c>
      <c r="B346" s="5">
        <v>749.6</v>
      </c>
      <c r="C346" s="6">
        <v>748.6</v>
      </c>
      <c r="D346" s="7">
        <v>29</v>
      </c>
      <c r="E346" s="8">
        <v>26.5</v>
      </c>
      <c r="F346" s="9">
        <v>0</v>
      </c>
      <c r="G346" s="10">
        <v>0</v>
      </c>
      <c r="H346" s="11">
        <v>6</v>
      </c>
    </row>
    <row r="347" spans="1:8" x14ac:dyDescent="0.25">
      <c r="A347" s="1">
        <f t="shared" ca="1" si="25"/>
        <v>7638</v>
      </c>
      <c r="B347" s="5">
        <v>749.4</v>
      </c>
      <c r="C347" s="6">
        <v>748.5</v>
      </c>
      <c r="D347" s="7">
        <v>29</v>
      </c>
      <c r="E347" s="8">
        <v>26</v>
      </c>
      <c r="F347" s="9">
        <v>0</v>
      </c>
      <c r="G347" s="10">
        <v>1</v>
      </c>
      <c r="H347" s="11">
        <v>0</v>
      </c>
    </row>
    <row r="348" spans="1:8" x14ac:dyDescent="0.25">
      <c r="A348" s="1">
        <f t="shared" ca="1" si="25"/>
        <v>7639</v>
      </c>
      <c r="B348" s="5">
        <v>749.5</v>
      </c>
      <c r="C348" s="6">
        <v>749</v>
      </c>
      <c r="D348" s="7">
        <v>29</v>
      </c>
      <c r="E348" s="8">
        <v>26</v>
      </c>
      <c r="F348" s="9">
        <v>6</v>
      </c>
      <c r="G348" s="10">
        <v>28</v>
      </c>
      <c r="H348" s="11">
        <v>10</v>
      </c>
    </row>
    <row r="349" spans="1:8" x14ac:dyDescent="0.25">
      <c r="A349" s="1">
        <f t="shared" ca="1" si="25"/>
        <v>7640</v>
      </c>
      <c r="B349" s="5">
        <v>748.5</v>
      </c>
      <c r="C349" s="6">
        <v>748</v>
      </c>
      <c r="D349" s="7">
        <v>28</v>
      </c>
      <c r="E349" s="8">
        <v>26</v>
      </c>
      <c r="F349" s="9">
        <v>40</v>
      </c>
      <c r="G349" s="10">
        <v>0</v>
      </c>
      <c r="H349" s="11">
        <v>0</v>
      </c>
    </row>
    <row r="350" spans="1:8" x14ac:dyDescent="0.25">
      <c r="A350" s="1" t="str">
        <f t="shared" ca="1" si="25"/>
        <v>Totaal</v>
      </c>
      <c r="B350" s="28">
        <f t="shared" ref="B350:E350" si="26">IF(COUNT(B320:B349)&gt;0,AVERAGE(B320:B349),"")</f>
        <v>747.5533333333334</v>
      </c>
      <c r="C350" s="29">
        <f t="shared" si="26"/>
        <v>746.69666666666672</v>
      </c>
      <c r="D350" s="30">
        <f t="shared" si="26"/>
        <v>28.536666666666665</v>
      </c>
      <c r="E350" s="31">
        <f t="shared" si="26"/>
        <v>26.103333333333335</v>
      </c>
      <c r="F350" s="32">
        <f>SUM(F320:F349)/10</f>
        <v>169</v>
      </c>
      <c r="G350" s="33">
        <f>SUM(G320:G349)/10</f>
        <v>125.1</v>
      </c>
      <c r="H350" s="34">
        <f>SUM(H320:H349)/10</f>
        <v>99.4</v>
      </c>
    </row>
    <row r="351" spans="1:8" x14ac:dyDescent="0.25">
      <c r="A351" s="1">
        <f t="shared" ca="1" si="25"/>
        <v>7641</v>
      </c>
      <c r="B351" s="5">
        <v>749</v>
      </c>
      <c r="C351" s="6">
        <v>748.5</v>
      </c>
      <c r="D351" s="7">
        <v>28</v>
      </c>
      <c r="E351" s="8">
        <v>26</v>
      </c>
      <c r="F351" s="9">
        <v>30</v>
      </c>
      <c r="G351" s="10">
        <v>34</v>
      </c>
      <c r="H351" s="11">
        <v>21</v>
      </c>
    </row>
    <row r="352" spans="1:8" x14ac:dyDescent="0.25">
      <c r="A352" s="1">
        <f t="shared" ca="1" si="25"/>
        <v>7642</v>
      </c>
      <c r="B352" s="5">
        <v>748.5</v>
      </c>
      <c r="C352" s="6">
        <v>748</v>
      </c>
      <c r="D352" s="7">
        <v>28</v>
      </c>
      <c r="E352" s="8">
        <v>26</v>
      </c>
      <c r="F352" s="9">
        <v>35</v>
      </c>
      <c r="G352" s="10">
        <v>40</v>
      </c>
      <c r="H352" s="11">
        <v>30</v>
      </c>
    </row>
    <row r="353" spans="1:8" x14ac:dyDescent="0.25">
      <c r="A353" s="1">
        <f t="shared" ca="1" si="25"/>
        <v>7643</v>
      </c>
      <c r="B353" s="5">
        <v>747.5</v>
      </c>
      <c r="C353" s="6">
        <v>747</v>
      </c>
      <c r="D353" s="7">
        <v>27</v>
      </c>
      <c r="E353" s="8">
        <v>25</v>
      </c>
      <c r="F353" s="9">
        <v>23</v>
      </c>
      <c r="G353" s="10">
        <v>0</v>
      </c>
      <c r="H353" s="11">
        <v>12</v>
      </c>
    </row>
    <row r="354" spans="1:8" x14ac:dyDescent="0.25">
      <c r="A354" s="1">
        <f t="shared" ca="1" si="25"/>
        <v>7644</v>
      </c>
      <c r="B354" s="5">
        <v>748.5</v>
      </c>
      <c r="C354" s="6">
        <v>747</v>
      </c>
      <c r="D354" s="7">
        <v>27</v>
      </c>
      <c r="E354" s="8">
        <v>25</v>
      </c>
      <c r="F354" s="9">
        <v>0</v>
      </c>
      <c r="G354" s="10">
        <v>0</v>
      </c>
      <c r="H354" s="11">
        <v>0</v>
      </c>
    </row>
    <row r="355" spans="1:8" x14ac:dyDescent="0.25">
      <c r="A355" s="1">
        <f t="shared" ca="1" si="25"/>
        <v>7645</v>
      </c>
      <c r="B355" s="5">
        <v>746.5</v>
      </c>
      <c r="C355" s="6">
        <v>746</v>
      </c>
      <c r="D355" s="7">
        <v>29</v>
      </c>
      <c r="E355" s="8">
        <v>26</v>
      </c>
      <c r="F355" s="9">
        <v>0</v>
      </c>
      <c r="G355" s="10">
        <v>0</v>
      </c>
      <c r="H355" s="11">
        <v>0</v>
      </c>
    </row>
    <row r="356" spans="1:8" x14ac:dyDescent="0.25">
      <c r="A356" s="1">
        <f t="shared" ca="1" si="25"/>
        <v>7646</v>
      </c>
      <c r="B356" s="5">
        <v>746</v>
      </c>
      <c r="C356" s="6">
        <v>745</v>
      </c>
      <c r="D356" s="7">
        <v>29</v>
      </c>
      <c r="E356" s="8">
        <v>26</v>
      </c>
      <c r="F356" s="9">
        <v>4</v>
      </c>
      <c r="G356" s="10">
        <v>0</v>
      </c>
      <c r="H356" s="11">
        <v>8</v>
      </c>
    </row>
    <row r="357" spans="1:8" x14ac:dyDescent="0.25">
      <c r="A357" s="1">
        <f t="shared" ca="1" si="25"/>
        <v>7647</v>
      </c>
      <c r="B357" s="5">
        <v>746.5</v>
      </c>
      <c r="C357" s="6">
        <v>746</v>
      </c>
      <c r="D357" s="7">
        <v>29</v>
      </c>
      <c r="E357" s="8">
        <v>26</v>
      </c>
      <c r="F357" s="9">
        <v>0</v>
      </c>
      <c r="G357" s="10">
        <v>0</v>
      </c>
      <c r="H357" s="11">
        <v>0</v>
      </c>
    </row>
    <row r="358" spans="1:8" x14ac:dyDescent="0.25">
      <c r="A358" s="1">
        <f t="shared" ca="1" si="25"/>
        <v>7648</v>
      </c>
      <c r="B358" s="5">
        <v>747.5</v>
      </c>
      <c r="C358" s="6">
        <v>747</v>
      </c>
      <c r="D358" s="7">
        <v>28</v>
      </c>
      <c r="E358" s="8">
        <v>25.5</v>
      </c>
      <c r="F358" s="9">
        <v>8</v>
      </c>
      <c r="G358" s="10">
        <v>31</v>
      </c>
      <c r="H358" s="11">
        <v>0</v>
      </c>
    </row>
    <row r="359" spans="1:8" x14ac:dyDescent="0.25">
      <c r="A359" s="1">
        <f t="shared" ca="1" si="25"/>
        <v>7649</v>
      </c>
      <c r="B359" s="5">
        <v>748</v>
      </c>
      <c r="C359" s="6">
        <v>747.5</v>
      </c>
      <c r="D359" s="7">
        <v>27</v>
      </c>
      <c r="E359" s="8">
        <v>25</v>
      </c>
      <c r="F359" s="9">
        <v>42</v>
      </c>
      <c r="G359" s="10">
        <v>0</v>
      </c>
      <c r="H359" s="11">
        <v>23</v>
      </c>
    </row>
    <row r="360" spans="1:8" x14ac:dyDescent="0.25">
      <c r="A360" s="1">
        <f t="shared" ca="1" si="25"/>
        <v>7650</v>
      </c>
      <c r="B360" s="5">
        <v>747.6</v>
      </c>
      <c r="C360" s="6">
        <v>747</v>
      </c>
      <c r="D360" s="7">
        <v>28</v>
      </c>
      <c r="E360" s="8">
        <v>26</v>
      </c>
      <c r="F360" s="9">
        <v>0</v>
      </c>
      <c r="G360" s="10">
        <v>0</v>
      </c>
      <c r="H360" s="11">
        <v>0</v>
      </c>
    </row>
    <row r="361" spans="1:8" x14ac:dyDescent="0.25">
      <c r="A361" s="1">
        <f t="shared" ca="1" si="25"/>
        <v>7651</v>
      </c>
      <c r="B361" s="5">
        <v>747.3</v>
      </c>
      <c r="C361" s="6">
        <v>747</v>
      </c>
      <c r="D361" s="7">
        <v>27.5</v>
      </c>
      <c r="E361" s="8">
        <v>24</v>
      </c>
      <c r="F361" s="9">
        <v>0</v>
      </c>
      <c r="G361" s="10">
        <v>61</v>
      </c>
      <c r="H361" s="11">
        <v>0</v>
      </c>
    </row>
    <row r="362" spans="1:8" x14ac:dyDescent="0.25">
      <c r="A362" s="1">
        <f t="shared" ca="1" si="25"/>
        <v>7652</v>
      </c>
      <c r="B362" s="5">
        <v>747.6</v>
      </c>
      <c r="C362" s="6">
        <v>747.1</v>
      </c>
      <c r="D362" s="7">
        <v>27</v>
      </c>
      <c r="E362" s="8">
        <v>26</v>
      </c>
      <c r="F362" s="9">
        <v>100</v>
      </c>
      <c r="G362" s="10">
        <v>46</v>
      </c>
      <c r="H362" s="11">
        <v>57</v>
      </c>
    </row>
    <row r="363" spans="1:8" x14ac:dyDescent="0.25">
      <c r="A363" s="1">
        <f t="shared" ca="1" si="25"/>
        <v>7653</v>
      </c>
      <c r="B363" s="5">
        <v>747.4</v>
      </c>
      <c r="C363" s="6">
        <v>747</v>
      </c>
      <c r="D363" s="7">
        <v>27.8</v>
      </c>
      <c r="E363" s="8">
        <v>26</v>
      </c>
      <c r="F363" s="9">
        <v>82</v>
      </c>
      <c r="G363" s="10">
        <v>7</v>
      </c>
      <c r="H363" s="11">
        <v>61</v>
      </c>
    </row>
    <row r="364" spans="1:8" x14ac:dyDescent="0.25">
      <c r="A364" s="1">
        <f t="shared" ca="1" si="25"/>
        <v>7654</v>
      </c>
      <c r="B364" s="5">
        <v>747.2</v>
      </c>
      <c r="C364" s="6">
        <v>746.7</v>
      </c>
      <c r="D364" s="7">
        <v>28</v>
      </c>
      <c r="E364" s="8">
        <v>26</v>
      </c>
      <c r="F364" s="9">
        <v>0</v>
      </c>
      <c r="G364" s="10">
        <v>0</v>
      </c>
      <c r="H364" s="11">
        <v>0</v>
      </c>
    </row>
    <row r="365" spans="1:8" x14ac:dyDescent="0.25">
      <c r="A365" s="1">
        <f t="shared" ca="1" si="25"/>
        <v>7655</v>
      </c>
      <c r="B365" s="5">
        <v>747</v>
      </c>
      <c r="C365" s="6">
        <v>746.5</v>
      </c>
      <c r="D365" s="7">
        <v>27</v>
      </c>
      <c r="E365" s="8">
        <v>25</v>
      </c>
      <c r="F365" s="9">
        <v>0</v>
      </c>
      <c r="G365" s="10">
        <v>0</v>
      </c>
      <c r="H365" s="11">
        <v>0</v>
      </c>
    </row>
    <row r="366" spans="1:8" x14ac:dyDescent="0.25">
      <c r="A366" s="1">
        <f t="shared" ca="1" si="25"/>
        <v>7656</v>
      </c>
      <c r="B366" s="5">
        <v>746.5</v>
      </c>
      <c r="C366" s="6">
        <v>746</v>
      </c>
      <c r="D366" s="7">
        <v>28.5</v>
      </c>
      <c r="E366" s="8">
        <v>26</v>
      </c>
      <c r="F366" s="9">
        <v>0</v>
      </c>
      <c r="G366" s="10">
        <v>1</v>
      </c>
      <c r="H366" s="11">
        <v>0</v>
      </c>
    </row>
    <row r="367" spans="1:8" x14ac:dyDescent="0.25">
      <c r="A367" s="1">
        <f t="shared" ca="1" si="25"/>
        <v>7657</v>
      </c>
      <c r="B367" s="5">
        <v>747.5</v>
      </c>
      <c r="C367" s="6">
        <v>747</v>
      </c>
      <c r="D367" s="7">
        <v>27</v>
      </c>
      <c r="E367" s="8">
        <v>25</v>
      </c>
      <c r="F367" s="9">
        <v>0</v>
      </c>
      <c r="G367" s="10">
        <v>46</v>
      </c>
      <c r="H367" s="11">
        <v>0</v>
      </c>
    </row>
    <row r="368" spans="1:8" x14ac:dyDescent="0.25">
      <c r="A368" s="1">
        <f t="shared" ca="1" si="25"/>
        <v>7658</v>
      </c>
      <c r="B368" s="5">
        <v>747.2</v>
      </c>
      <c r="C368" s="6">
        <v>747</v>
      </c>
      <c r="D368" s="7">
        <v>27.5</v>
      </c>
      <c r="E368" s="8">
        <v>25.8</v>
      </c>
      <c r="F368" s="9">
        <v>53</v>
      </c>
      <c r="G368" s="10">
        <v>15</v>
      </c>
      <c r="H368" s="11">
        <v>30</v>
      </c>
    </row>
    <row r="369" spans="1:8" x14ac:dyDescent="0.25">
      <c r="A369" s="1">
        <f t="shared" ca="1" si="25"/>
        <v>7659</v>
      </c>
      <c r="B369" s="5">
        <v>747</v>
      </c>
      <c r="C369" s="6">
        <v>746</v>
      </c>
      <c r="D369" s="7">
        <v>27</v>
      </c>
      <c r="E369" s="8">
        <v>24</v>
      </c>
      <c r="F369" s="9">
        <v>0</v>
      </c>
      <c r="G369" s="10">
        <v>0</v>
      </c>
      <c r="H369" s="11">
        <v>0</v>
      </c>
    </row>
    <row r="370" spans="1:8" x14ac:dyDescent="0.25">
      <c r="A370" s="1">
        <f t="shared" ca="1" si="25"/>
        <v>7660</v>
      </c>
      <c r="B370" s="5">
        <v>747</v>
      </c>
      <c r="C370" s="6">
        <v>746.5</v>
      </c>
      <c r="D370" s="7">
        <v>27</v>
      </c>
      <c r="E370" s="8">
        <v>25</v>
      </c>
      <c r="F370" s="9">
        <v>55</v>
      </c>
      <c r="G370" s="10">
        <v>25</v>
      </c>
      <c r="H370" s="11">
        <v>48</v>
      </c>
    </row>
    <row r="371" spans="1:8" x14ac:dyDescent="0.25">
      <c r="A371" s="1">
        <f t="shared" ca="1" si="25"/>
        <v>7661</v>
      </c>
      <c r="B371" s="5">
        <v>747</v>
      </c>
      <c r="C371" s="6">
        <v>746.4</v>
      </c>
      <c r="D371" s="7">
        <v>27</v>
      </c>
      <c r="E371" s="8">
        <v>25.5</v>
      </c>
      <c r="F371" s="9">
        <v>0</v>
      </c>
      <c r="G371" s="10">
        <v>1</v>
      </c>
      <c r="H371" s="11">
        <v>0</v>
      </c>
    </row>
    <row r="372" spans="1:8" x14ac:dyDescent="0.25">
      <c r="A372" s="1">
        <f t="shared" ca="1" si="25"/>
        <v>7662</v>
      </c>
      <c r="B372" s="5">
        <v>747.6</v>
      </c>
      <c r="C372" s="6">
        <v>747</v>
      </c>
      <c r="D372" s="7">
        <v>27.3</v>
      </c>
      <c r="E372" s="8">
        <v>26</v>
      </c>
      <c r="F372" s="9">
        <v>20</v>
      </c>
      <c r="G372" s="10">
        <v>0</v>
      </c>
      <c r="H372" s="11">
        <v>0</v>
      </c>
    </row>
    <row r="373" spans="1:8" x14ac:dyDescent="0.25">
      <c r="A373" s="1">
        <f t="shared" ca="1" si="25"/>
        <v>7663</v>
      </c>
      <c r="B373" s="5">
        <v>748.6</v>
      </c>
      <c r="C373" s="6">
        <v>748.2</v>
      </c>
      <c r="D373" s="7">
        <v>26.3</v>
      </c>
      <c r="E373" s="8">
        <v>24</v>
      </c>
      <c r="F373" s="9">
        <v>16</v>
      </c>
      <c r="G373" s="10">
        <v>83</v>
      </c>
      <c r="H373" s="11">
        <v>9</v>
      </c>
    </row>
    <row r="374" spans="1:8" x14ac:dyDescent="0.25">
      <c r="A374" s="1">
        <f t="shared" ca="1" si="25"/>
        <v>7664</v>
      </c>
      <c r="B374" s="5">
        <v>749.5</v>
      </c>
      <c r="C374" s="6">
        <v>748.1</v>
      </c>
      <c r="D374" s="7">
        <v>25.3</v>
      </c>
      <c r="E374" s="8">
        <v>24</v>
      </c>
      <c r="F374" s="9">
        <v>132</v>
      </c>
      <c r="G374" s="10">
        <v>27</v>
      </c>
      <c r="H374" s="11">
        <v>103</v>
      </c>
    </row>
    <row r="375" spans="1:8" x14ac:dyDescent="0.25">
      <c r="A375" s="1">
        <f t="shared" ca="1" si="25"/>
        <v>7665</v>
      </c>
      <c r="B375" s="5">
        <v>748.6</v>
      </c>
      <c r="C375" s="6">
        <v>748.2</v>
      </c>
      <c r="D375" s="7">
        <v>27</v>
      </c>
      <c r="E375" s="8">
        <v>25</v>
      </c>
      <c r="F375" s="9">
        <v>43</v>
      </c>
      <c r="G375" s="10">
        <v>0</v>
      </c>
      <c r="H375" s="11">
        <v>14</v>
      </c>
    </row>
    <row r="376" spans="1:8" x14ac:dyDescent="0.25">
      <c r="A376" s="1">
        <f t="shared" ca="1" si="25"/>
        <v>7666</v>
      </c>
      <c r="B376" s="5">
        <v>748.4</v>
      </c>
      <c r="C376" s="6">
        <v>747</v>
      </c>
      <c r="D376" s="7">
        <v>28</v>
      </c>
      <c r="E376" s="8">
        <v>26</v>
      </c>
      <c r="F376" s="9">
        <v>0</v>
      </c>
      <c r="G376" s="10">
        <v>0</v>
      </c>
      <c r="H376" s="11">
        <v>0</v>
      </c>
    </row>
    <row r="377" spans="1:8" x14ac:dyDescent="0.25">
      <c r="A377" s="1">
        <f t="shared" ca="1" si="25"/>
        <v>7667</v>
      </c>
      <c r="B377" s="5">
        <v>748.7</v>
      </c>
      <c r="C377" s="6">
        <v>748.2</v>
      </c>
      <c r="D377" s="7">
        <v>28</v>
      </c>
      <c r="E377" s="8">
        <v>26</v>
      </c>
      <c r="F377" s="9">
        <v>0</v>
      </c>
      <c r="G377" s="10">
        <v>26</v>
      </c>
      <c r="H377" s="11">
        <v>0</v>
      </c>
    </row>
    <row r="378" spans="1:8" x14ac:dyDescent="0.25">
      <c r="A378" s="1">
        <f t="shared" ca="1" si="25"/>
        <v>7668</v>
      </c>
      <c r="B378" s="5">
        <v>747</v>
      </c>
      <c r="C378" s="6">
        <v>747.5</v>
      </c>
      <c r="D378" s="7">
        <v>26.5</v>
      </c>
      <c r="E378" s="8">
        <v>24</v>
      </c>
      <c r="F378" s="9">
        <v>305</v>
      </c>
      <c r="G378" s="10">
        <v>308</v>
      </c>
      <c r="H378" s="11">
        <v>280</v>
      </c>
    </row>
    <row r="379" spans="1:8" x14ac:dyDescent="0.25">
      <c r="A379" s="1">
        <f t="shared" ca="1" si="25"/>
        <v>7669</v>
      </c>
      <c r="B379" s="5">
        <v>748.5</v>
      </c>
      <c r="C379" s="6">
        <v>747</v>
      </c>
      <c r="D379" s="7">
        <v>27.5</v>
      </c>
      <c r="E379" s="8">
        <v>24</v>
      </c>
      <c r="F379" s="9">
        <v>312</v>
      </c>
      <c r="G379" s="10">
        <v>0</v>
      </c>
      <c r="H379" s="11">
        <v>279</v>
      </c>
    </row>
    <row r="380" spans="1:8" x14ac:dyDescent="0.25">
      <c r="A380" s="1">
        <f t="shared" ca="1" si="25"/>
        <v>7670</v>
      </c>
      <c r="B380" s="5">
        <v>748.5</v>
      </c>
      <c r="C380" s="6">
        <v>747</v>
      </c>
      <c r="D380" s="7">
        <v>26.5</v>
      </c>
      <c r="E380" s="8">
        <v>25</v>
      </c>
      <c r="F380" s="9">
        <v>2</v>
      </c>
      <c r="G380" s="10">
        <v>0</v>
      </c>
      <c r="H380" s="11">
        <v>0</v>
      </c>
    </row>
    <row r="381" spans="1:8" x14ac:dyDescent="0.25">
      <c r="A381" s="1">
        <f t="shared" ca="1" si="25"/>
        <v>7671</v>
      </c>
      <c r="B381" s="5">
        <v>746.2</v>
      </c>
      <c r="C381" s="6">
        <v>746.8</v>
      </c>
      <c r="D381" s="7">
        <v>28</v>
      </c>
      <c r="E381" s="8">
        <v>26</v>
      </c>
      <c r="F381" s="9">
        <v>15</v>
      </c>
      <c r="G381" s="10">
        <v>0</v>
      </c>
      <c r="H381" s="11">
        <v>6</v>
      </c>
    </row>
    <row r="382" spans="1:8" x14ac:dyDescent="0.25">
      <c r="A382" s="1" t="str">
        <f t="shared" ca="1" si="25"/>
        <v>Totaal</v>
      </c>
      <c r="B382" s="28">
        <f>IF(COUNT(B351:B381)&gt;0,AVERAGE(B351:B381),"")</f>
        <v>747.60967741935485</v>
      </c>
      <c r="C382" s="29">
        <f t="shared" ref="C382" si="27">IF(COUNT(C351:C381)&gt;0,AVERAGE(C351:C381),"")</f>
        <v>747.00645161290322</v>
      </c>
      <c r="D382" s="30">
        <f t="shared" ref="D382" si="28">IF(COUNT(D351:D381)&gt;0,AVERAGE(D351:D381),"")</f>
        <v>27.474193548387092</v>
      </c>
      <c r="E382" s="31">
        <f t="shared" ref="E382" si="29">IF(COUNT(E351:E381)&gt;0,AVERAGE(E351:E381),"")</f>
        <v>25.316129032258065</v>
      </c>
      <c r="F382" s="32">
        <f>SUM(F351:F381)/10</f>
        <v>127.7</v>
      </c>
      <c r="G382" s="33">
        <f>SUM(G351:G381)/10</f>
        <v>75.099999999999994</v>
      </c>
      <c r="H382" s="34">
        <f>SUM(H351:H381)/10</f>
        <v>98.1</v>
      </c>
    </row>
  </sheetData>
  <sheetProtection sheet="1" objects="1" scenarios="1" selectLockedCells="1"/>
  <mergeCells count="5">
    <mergeCell ref="F3:H3"/>
    <mergeCell ref="B3:C3"/>
    <mergeCell ref="D3:E3"/>
    <mergeCell ref="A3:A4"/>
    <mergeCell ref="A1:H1"/>
  </mergeCells>
  <conditionalFormatting sqref="A5:H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Q9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0" max="10" width="10.140625" bestFit="1" customWidth="1"/>
  </cols>
  <sheetData>
    <row r="1" spans="1:17" x14ac:dyDescent="0.25">
      <c r="A1" t="s">
        <v>13</v>
      </c>
      <c r="D1" t="s">
        <v>25</v>
      </c>
      <c r="G1" t="s">
        <v>23</v>
      </c>
      <c r="J1" t="s">
        <v>24</v>
      </c>
    </row>
    <row r="2" spans="1:17" ht="15.75" thickBot="1" x14ac:dyDescent="0.3"/>
    <row r="3" spans="1:17" ht="15.75" thickBot="1" x14ac:dyDescent="0.3">
      <c r="J3" s="50" t="s">
        <v>4</v>
      </c>
      <c r="K3" s="49" t="s">
        <v>32</v>
      </c>
      <c r="L3" s="49"/>
      <c r="M3" s="49" t="s">
        <v>35</v>
      </c>
      <c r="N3" s="49"/>
      <c r="O3" s="49" t="s">
        <v>5</v>
      </c>
      <c r="P3" s="49"/>
      <c r="Q3" s="49"/>
    </row>
    <row r="4" spans="1:17" x14ac:dyDescent="0.25">
      <c r="A4" s="37" t="s">
        <v>14</v>
      </c>
      <c r="B4" s="36" t="s">
        <v>15</v>
      </c>
      <c r="D4" s="36" t="s">
        <v>26</v>
      </c>
      <c r="E4" s="36" t="s">
        <v>28</v>
      </c>
      <c r="G4" s="22" t="s">
        <v>16</v>
      </c>
      <c r="H4" s="22" t="s">
        <v>17</v>
      </c>
      <c r="J4" s="51"/>
      <c r="K4" s="26" t="s">
        <v>30</v>
      </c>
      <c r="L4" s="26" t="s">
        <v>31</v>
      </c>
      <c r="M4" s="26" t="s">
        <v>33</v>
      </c>
      <c r="N4" s="26" t="s">
        <v>34</v>
      </c>
      <c r="O4" s="27" t="s">
        <v>1</v>
      </c>
      <c r="P4" s="27" t="s">
        <v>2</v>
      </c>
      <c r="Q4" s="27" t="s">
        <v>3</v>
      </c>
    </row>
    <row r="5" spans="1:17" x14ac:dyDescent="0.25">
      <c r="A5" s="17">
        <v>81</v>
      </c>
      <c r="B5" t="s">
        <v>1</v>
      </c>
      <c r="D5" t="s">
        <v>11</v>
      </c>
      <c r="E5" t="s">
        <v>27</v>
      </c>
      <c r="G5" t="s">
        <v>18</v>
      </c>
      <c r="H5" s="18">
        <v>0</v>
      </c>
      <c r="J5" s="52">
        <v>7352</v>
      </c>
      <c r="K5" s="18">
        <v>0</v>
      </c>
      <c r="L5" s="18">
        <v>0</v>
      </c>
      <c r="M5" s="18">
        <v>0</v>
      </c>
      <c r="N5" s="18">
        <v>0</v>
      </c>
      <c r="O5" s="18">
        <v>4</v>
      </c>
      <c r="P5" s="18">
        <v>0</v>
      </c>
      <c r="Q5" s="18">
        <v>0</v>
      </c>
    </row>
    <row r="6" spans="1:17" ht="15.75" thickBot="1" x14ac:dyDescent="0.3">
      <c r="A6" s="17">
        <v>83</v>
      </c>
      <c r="B6" t="s">
        <v>2</v>
      </c>
      <c r="D6" s="38" t="s">
        <v>38</v>
      </c>
      <c r="E6" s="38" t="s">
        <v>40</v>
      </c>
      <c r="G6" t="s">
        <v>19</v>
      </c>
      <c r="H6" s="18">
        <v>1</v>
      </c>
      <c r="J6" s="53">
        <v>7356</v>
      </c>
      <c r="K6" s="20">
        <v>0</v>
      </c>
      <c r="L6" s="20">
        <v>0</v>
      </c>
      <c r="M6" s="20">
        <v>0</v>
      </c>
      <c r="N6" s="20">
        <v>0</v>
      </c>
      <c r="O6" s="20">
        <v>4</v>
      </c>
      <c r="P6" s="20">
        <v>0</v>
      </c>
      <c r="Q6" s="20">
        <v>0</v>
      </c>
    </row>
    <row r="7" spans="1:17" ht="15.75" thickBot="1" x14ac:dyDescent="0.3">
      <c r="A7" s="21">
        <v>82</v>
      </c>
      <c r="B7" s="19" t="s">
        <v>3</v>
      </c>
      <c r="D7" s="41" t="s">
        <v>36</v>
      </c>
      <c r="E7" s="38" t="s">
        <v>41</v>
      </c>
      <c r="G7" t="s">
        <v>20</v>
      </c>
      <c r="H7" s="18">
        <v>4</v>
      </c>
    </row>
    <row r="8" spans="1:17" ht="15.75" thickBot="1" x14ac:dyDescent="0.3">
      <c r="D8" s="39" t="s">
        <v>8</v>
      </c>
      <c r="E8" s="39" t="s">
        <v>29</v>
      </c>
      <c r="G8" t="s">
        <v>21</v>
      </c>
      <c r="H8" s="18">
        <v>6</v>
      </c>
    </row>
    <row r="9" spans="1:17" ht="15.75" thickBot="1" x14ac:dyDescent="0.3">
      <c r="G9" s="19" t="s">
        <v>22</v>
      </c>
      <c r="H9" s="20">
        <v>7</v>
      </c>
    </row>
  </sheetData>
  <mergeCells count="4">
    <mergeCell ref="O3:Q3"/>
    <mergeCell ref="M3:N3"/>
    <mergeCell ref="K3:L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9"/>
  <sheetViews>
    <sheetView workbookViewId="0"/>
  </sheetViews>
  <sheetFormatPr defaultRowHeight="15" x14ac:dyDescent="0.25"/>
  <sheetData>
    <row r="1" spans="1:5" x14ac:dyDescent="0.25">
      <c r="A1" s="16" t="s">
        <v>6</v>
      </c>
      <c r="B1" s="15" t="s">
        <v>4</v>
      </c>
      <c r="C1" s="16" t="s">
        <v>7</v>
      </c>
      <c r="D1" s="16" t="s">
        <v>8</v>
      </c>
      <c r="E1" s="16" t="s">
        <v>9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19200101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48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19200102</v>
      </c>
      <c r="C3" s="18">
        <v>1</v>
      </c>
      <c r="D3" s="23">
        <f t="shared" ca="1" si="0"/>
        <v>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19200103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19200104</v>
      </c>
      <c r="C5" s="18">
        <v>1</v>
      </c>
      <c r="D5" s="23">
        <f t="shared" ca="1" si="0"/>
        <v>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19200105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19200106</v>
      </c>
      <c r="C7" s="18">
        <v>1</v>
      </c>
      <c r="D7" s="23">
        <f t="shared" ca="1" si="0"/>
        <v>118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19200107</v>
      </c>
      <c r="C8" s="18">
        <v>1</v>
      </c>
      <c r="D8" s="23">
        <f t="shared" ca="1" si="0"/>
        <v>24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19200108</v>
      </c>
      <c r="C9" s="18">
        <v>1</v>
      </c>
      <c r="D9" s="23">
        <f t="shared" ca="1" si="0"/>
        <v>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19200109</v>
      </c>
      <c r="C10" s="18">
        <v>1</v>
      </c>
      <c r="D10" s="23">
        <f t="shared" ca="1" si="0"/>
        <v>12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19200110</v>
      </c>
      <c r="C11" s="18">
        <v>1</v>
      </c>
      <c r="D11" s="23">
        <f t="shared" ca="1" si="0"/>
        <v>18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19200111</v>
      </c>
      <c r="C12" s="18">
        <v>1</v>
      </c>
      <c r="D12" s="23">
        <f t="shared" ca="1" si="0"/>
        <v>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19200112</v>
      </c>
      <c r="C13" s="18">
        <v>1</v>
      </c>
      <c r="D13" s="23">
        <f t="shared" ca="1" si="0"/>
        <v>34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19200113</v>
      </c>
      <c r="C14" s="18">
        <v>1</v>
      </c>
      <c r="D14" s="23">
        <f t="shared" ca="1" si="0"/>
        <v>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19200114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19200115</v>
      </c>
      <c r="C16" s="18">
        <v>1</v>
      </c>
      <c r="D16" s="23">
        <f t="shared" ca="1" si="0"/>
        <v>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19200116</v>
      </c>
      <c r="C17" s="18">
        <v>1</v>
      </c>
      <c r="D17" s="23">
        <f t="shared" ca="1" si="0"/>
        <v>35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19200117</v>
      </c>
      <c r="C18" s="18">
        <v>1</v>
      </c>
      <c r="D18" s="23">
        <f t="shared" ca="1" si="0"/>
        <v>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19200118</v>
      </c>
      <c r="C19" s="18">
        <v>1</v>
      </c>
      <c r="D19" s="23">
        <f t="shared" ca="1" si="0"/>
        <v>65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19200119</v>
      </c>
      <c r="C20" s="18">
        <v>1</v>
      </c>
      <c r="D20" s="23">
        <f t="shared" ca="1" si="0"/>
        <v>42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19200120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19200121</v>
      </c>
      <c r="C22" s="18">
        <v>1</v>
      </c>
      <c r="D22" s="23">
        <f t="shared" ca="1" si="0"/>
        <v>56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19200122</v>
      </c>
      <c r="C23" s="18">
        <v>1</v>
      </c>
      <c r="D23" s="23">
        <f t="shared" ca="1" si="0"/>
        <v>127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19200123</v>
      </c>
      <c r="C24" s="18">
        <v>1</v>
      </c>
      <c r="D24" s="23">
        <f t="shared" ca="1" si="0"/>
        <v>17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19200124</v>
      </c>
      <c r="C25" s="18">
        <v>1</v>
      </c>
      <c r="D25" s="23">
        <f t="shared" ca="1" si="0"/>
        <v>18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19200125</v>
      </c>
      <c r="C26" s="18">
        <v>1</v>
      </c>
      <c r="D26" s="23">
        <f t="shared" ca="1" si="0"/>
        <v>102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19200126</v>
      </c>
      <c r="C27" s="18">
        <v>1</v>
      </c>
      <c r="D27" s="23">
        <f t="shared" ca="1" si="0"/>
        <v>11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19200127</v>
      </c>
      <c r="C28" s="18">
        <v>1</v>
      </c>
      <c r="D28" s="23">
        <f t="shared" ca="1" si="0"/>
        <v>24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19200128</v>
      </c>
      <c r="C29" s="18">
        <v>1</v>
      </c>
      <c r="D29" s="23">
        <f t="shared" ca="1" si="0"/>
        <v>16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19200129</v>
      </c>
      <c r="C30" s="18">
        <v>1</v>
      </c>
      <c r="D30" s="23">
        <f t="shared" ca="1" si="0"/>
        <v>27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19200130</v>
      </c>
      <c r="C31" s="18">
        <v>1</v>
      </c>
      <c r="D31" s="23">
        <f t="shared" ca="1" si="0"/>
        <v>19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19200131</v>
      </c>
      <c r="C32" s="18">
        <v>1</v>
      </c>
      <c r="D32" s="23">
        <f t="shared" ca="1" si="0"/>
        <v>67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19200201</v>
      </c>
      <c r="C33" s="18">
        <v>1</v>
      </c>
      <c r="D33" s="23">
        <f t="shared" ca="1" si="0"/>
        <v>81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19200202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19200203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19200204</v>
      </c>
      <c r="C36" s="18">
        <v>1</v>
      </c>
      <c r="D36" s="23">
        <f t="shared" ca="1" si="0"/>
        <v>59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19200205</v>
      </c>
      <c r="C37" s="18">
        <v>1</v>
      </c>
      <c r="D37" s="23">
        <f t="shared" ca="1" si="0"/>
        <v>13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19200206</v>
      </c>
      <c r="C38" s="18">
        <v>1</v>
      </c>
      <c r="D38" s="23">
        <f t="shared" ca="1" si="0"/>
        <v>39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19200207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19200208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19200209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19200210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19200211</v>
      </c>
      <c r="C43" s="18">
        <v>1</v>
      </c>
      <c r="D43" s="23">
        <f t="shared" ca="1" si="0"/>
        <v>128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19200212</v>
      </c>
      <c r="C44" s="18">
        <v>1</v>
      </c>
      <c r="D44" s="23">
        <f t="shared" ca="1" si="0"/>
        <v>31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19200213</v>
      </c>
      <c r="C45" s="18">
        <v>1</v>
      </c>
      <c r="D45" s="23">
        <f t="shared" ca="1" si="0"/>
        <v>16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19200214</v>
      </c>
      <c r="C46" s="18">
        <v>1</v>
      </c>
      <c r="D46" s="23">
        <f t="shared" ca="1" si="0"/>
        <v>17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19200215</v>
      </c>
      <c r="C47" s="18">
        <v>1</v>
      </c>
      <c r="D47" s="23" t="str">
        <f t="shared" ca="1" si="0"/>
        <v>—</v>
      </c>
      <c r="E47" s="24">
        <f t="shared" ca="1" si="1"/>
        <v>7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19200216</v>
      </c>
      <c r="C48" s="18">
        <v>1</v>
      </c>
      <c r="D48" s="23">
        <f t="shared" ca="1" si="0"/>
        <v>22</v>
      </c>
      <c r="E48" s="24">
        <f t="shared" ca="1" si="1"/>
        <v>4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19200217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19200218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19200219</v>
      </c>
      <c r="C51" s="18">
        <v>1</v>
      </c>
      <c r="D51" s="23" t="str">
        <f t="shared" ca="1" si="0"/>
        <v>—</v>
      </c>
      <c r="E51" s="24">
        <f t="shared" ca="1" si="1"/>
        <v>7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19200220</v>
      </c>
      <c r="C52" s="18">
        <v>1</v>
      </c>
      <c r="D52" s="23">
        <f t="shared" ca="1" si="0"/>
        <v>7</v>
      </c>
      <c r="E52" s="24">
        <f t="shared" ca="1" si="1"/>
        <v>4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19200221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19200222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19200223</v>
      </c>
      <c r="C55" s="18">
        <v>1</v>
      </c>
      <c r="D55" s="23">
        <f t="shared" ca="1" si="0"/>
        <v>200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19200224</v>
      </c>
      <c r="C56" s="18">
        <v>1</v>
      </c>
      <c r="D56" s="23">
        <f t="shared" ca="1" si="0"/>
        <v>10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19200225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19200226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19200227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19200228</v>
      </c>
      <c r="C60" s="18">
        <v>1</v>
      </c>
      <c r="D60" s="23">
        <f t="shared" ca="1" si="0"/>
        <v>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19200229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19200301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19200302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19200303</v>
      </c>
      <c r="C64" s="18">
        <v>1</v>
      </c>
      <c r="D64" s="23">
        <f t="shared" ca="1" si="0"/>
        <v>15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19200304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19200305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19200306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19200307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19200308</v>
      </c>
      <c r="C69" s="18">
        <v>1</v>
      </c>
      <c r="D69" s="23">
        <f t="shared" ca="1" si="2"/>
        <v>15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19200309</v>
      </c>
      <c r="C70" s="18">
        <v>1</v>
      </c>
      <c r="D70" s="23">
        <f t="shared" ca="1" si="2"/>
        <v>10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19200310</v>
      </c>
      <c r="C71" s="18">
        <v>1</v>
      </c>
      <c r="D71" s="23">
        <f t="shared" ca="1" si="2"/>
        <v>12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19200311</v>
      </c>
      <c r="C72" s="18">
        <v>1</v>
      </c>
      <c r="D72" s="23">
        <f t="shared" ca="1" si="2"/>
        <v>32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19200312</v>
      </c>
      <c r="C73" s="18">
        <v>1</v>
      </c>
      <c r="D73" s="23">
        <f t="shared" ca="1" si="2"/>
        <v>16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19200313</v>
      </c>
      <c r="C74" s="18">
        <v>1</v>
      </c>
      <c r="D74" s="23">
        <f t="shared" ca="1" si="2"/>
        <v>5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19200314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19200315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19200316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19200317</v>
      </c>
      <c r="C78" s="18">
        <v>1</v>
      </c>
      <c r="D78" s="23">
        <f t="shared" ca="1" si="2"/>
        <v>12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19200318</v>
      </c>
      <c r="C79" s="18">
        <v>1</v>
      </c>
      <c r="D79" s="23">
        <f t="shared" ca="1" si="2"/>
        <v>25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19200319</v>
      </c>
      <c r="C80" s="18">
        <v>1</v>
      </c>
      <c r="D80" s="23">
        <f t="shared" ca="1" si="2"/>
        <v>13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19200320</v>
      </c>
      <c r="C81" s="18">
        <v>1</v>
      </c>
      <c r="D81" s="23">
        <f t="shared" ca="1" si="2"/>
        <v>22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19200321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19200322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19200323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19200324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19200325</v>
      </c>
      <c r="C86" s="18">
        <v>1</v>
      </c>
      <c r="D86" s="23">
        <f t="shared" ca="1" si="2"/>
        <v>118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19200326</v>
      </c>
      <c r="C87" s="18">
        <v>1</v>
      </c>
      <c r="D87" s="23">
        <f t="shared" ca="1" si="2"/>
        <v>146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19200327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19200328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19200329</v>
      </c>
      <c r="C90" s="18">
        <v>1</v>
      </c>
      <c r="D90" s="23">
        <f t="shared" ca="1" si="2"/>
        <v>30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19200330</v>
      </c>
      <c r="C91" s="18">
        <v>1</v>
      </c>
      <c r="D91" s="23">
        <f t="shared" ca="1" si="2"/>
        <v>7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19200331</v>
      </c>
      <c r="C92" s="18">
        <v>1</v>
      </c>
      <c r="D92" s="23">
        <f t="shared" ca="1" si="2"/>
        <v>48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19200401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19200402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19200403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19200404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19200405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19200406</v>
      </c>
      <c r="C98" s="18">
        <v>1</v>
      </c>
      <c r="D98" s="23">
        <f t="shared" ca="1" si="2"/>
        <v>3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19200407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19200408</v>
      </c>
      <c r="C100" s="18">
        <v>1</v>
      </c>
      <c r="D100" s="23">
        <f t="shared" ca="1" si="2"/>
        <v>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19200409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19200410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19200411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19200412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19200413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19200414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19200415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19200416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19200417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19200418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19200419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19200420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19200421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19200422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19200423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19200424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19200425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19200426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19200427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19200428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19200429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19200430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19200501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19200502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19200503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19200504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19200505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19200506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19200507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19200508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19200509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19200510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19200511</v>
      </c>
      <c r="C133" s="18">
        <v>1</v>
      </c>
      <c r="D133" s="23">
        <f t="shared" ca="1" si="4"/>
        <v>26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19200512</v>
      </c>
      <c r="C134" s="18">
        <v>1</v>
      </c>
      <c r="D134" s="23">
        <f t="shared" ca="1" si="4"/>
        <v>20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19200513</v>
      </c>
      <c r="C135" s="18">
        <v>1</v>
      </c>
      <c r="D135" s="23">
        <f t="shared" ca="1" si="4"/>
        <v>20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19200514</v>
      </c>
      <c r="C136" s="18">
        <v>1</v>
      </c>
      <c r="D136" s="23">
        <f t="shared" ca="1" si="4"/>
        <v>10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19200515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19200516</v>
      </c>
      <c r="C138" s="18">
        <v>1</v>
      </c>
      <c r="D138" s="23">
        <f t="shared" ca="1" si="4"/>
        <v>40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19200517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19200518</v>
      </c>
      <c r="C140" s="18">
        <v>1</v>
      </c>
      <c r="D140" s="23">
        <f t="shared" ca="1" si="4"/>
        <v>132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19200519</v>
      </c>
      <c r="C141" s="18">
        <v>1</v>
      </c>
      <c r="D141" s="23">
        <f t="shared" ca="1" si="4"/>
        <v>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19200520</v>
      </c>
      <c r="C142" s="18">
        <v>1</v>
      </c>
      <c r="D142" s="23">
        <f t="shared" ca="1" si="4"/>
        <v>61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19200521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19200522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19200523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19200524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19200525</v>
      </c>
      <c r="C147" s="18">
        <v>1</v>
      </c>
      <c r="D147" s="23">
        <f t="shared" ca="1" si="4"/>
        <v>144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19200526</v>
      </c>
      <c r="C148" s="18">
        <v>1</v>
      </c>
      <c r="D148" s="23">
        <f t="shared" ca="1" si="4"/>
        <v>17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19200527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19200528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19200529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19200530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19200531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19200601</v>
      </c>
      <c r="C154" s="18">
        <v>1</v>
      </c>
      <c r="D154" s="23">
        <f t="shared" ca="1" si="4"/>
        <v>4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19200602</v>
      </c>
      <c r="C155" s="18">
        <v>1</v>
      </c>
      <c r="D155" s="23">
        <f t="shared" ca="1" si="4"/>
        <v>10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19200603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19200604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19200605</v>
      </c>
      <c r="C158" s="18">
        <v>1</v>
      </c>
      <c r="D158" s="23">
        <f t="shared" ca="1" si="4"/>
        <v>9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19200606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19200607</v>
      </c>
      <c r="C160" s="18">
        <v>1</v>
      </c>
      <c r="D160" s="23">
        <f t="shared" ca="1" si="4"/>
        <v>9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19200608</v>
      </c>
      <c r="C161" s="18">
        <v>1</v>
      </c>
      <c r="D161" s="23">
        <f t="shared" ca="1" si="4"/>
        <v>40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19200609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19200610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19200611</v>
      </c>
      <c r="C164" s="18">
        <v>1</v>
      </c>
      <c r="D164" s="23">
        <f t="shared" ca="1" si="4"/>
        <v>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19200612</v>
      </c>
      <c r="C165" s="18">
        <v>1</v>
      </c>
      <c r="D165" s="23">
        <f t="shared" ca="1" si="4"/>
        <v>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19200613</v>
      </c>
      <c r="C166" s="18">
        <v>1</v>
      </c>
      <c r="D166" s="23">
        <f t="shared" ca="1" si="4"/>
        <v>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19200614</v>
      </c>
      <c r="C167" s="18">
        <v>1</v>
      </c>
      <c r="D167" s="23">
        <f t="shared" ca="1" si="4"/>
        <v>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19200615</v>
      </c>
      <c r="C168" s="18">
        <v>1</v>
      </c>
      <c r="D168" s="23">
        <f t="shared" ca="1" si="4"/>
        <v>25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19200616</v>
      </c>
      <c r="C169" s="18">
        <v>1</v>
      </c>
      <c r="D169" s="23">
        <f t="shared" ca="1" si="4"/>
        <v>0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19200617</v>
      </c>
      <c r="C170" s="18">
        <v>1</v>
      </c>
      <c r="D170" s="23">
        <f t="shared" ca="1" si="4"/>
        <v>7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19200618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19200619</v>
      </c>
      <c r="C172" s="18">
        <v>1</v>
      </c>
      <c r="D172" s="23">
        <f t="shared" ca="1" si="4"/>
        <v>50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19200620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19200621</v>
      </c>
      <c r="C174" s="18">
        <v>1</v>
      </c>
      <c r="D174" s="23">
        <f t="shared" ca="1" si="4"/>
        <v>5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19200622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19200623</v>
      </c>
      <c r="C176" s="18">
        <v>1</v>
      </c>
      <c r="D176" s="23">
        <f t="shared" ca="1" si="4"/>
        <v>14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19200624</v>
      </c>
      <c r="C177" s="18">
        <v>1</v>
      </c>
      <c r="D177" s="23">
        <f t="shared" ca="1" si="4"/>
        <v>30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19200625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19200626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19200627</v>
      </c>
      <c r="C180" s="18">
        <v>1</v>
      </c>
      <c r="D180" s="23">
        <f t="shared" ca="1" si="4"/>
        <v>140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19200628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19200629</v>
      </c>
      <c r="C182" s="18">
        <v>1</v>
      </c>
      <c r="D182" s="23">
        <f t="shared" ca="1" si="4"/>
        <v>10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19200630</v>
      </c>
      <c r="C183" s="18">
        <v>1</v>
      </c>
      <c r="D183" s="23">
        <f t="shared" ca="1" si="4"/>
        <v>15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19200701</v>
      </c>
      <c r="C184" s="18">
        <v>1</v>
      </c>
      <c r="D184" s="23">
        <f t="shared" ca="1" si="4"/>
        <v>47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19200702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19200703</v>
      </c>
      <c r="C186" s="18">
        <v>1</v>
      </c>
      <c r="D186" s="23">
        <f t="shared" ca="1" si="4"/>
        <v>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19200704</v>
      </c>
      <c r="C187" s="18">
        <v>1</v>
      </c>
      <c r="D187" s="23">
        <f t="shared" ca="1" si="4"/>
        <v>2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19200705</v>
      </c>
      <c r="C188" s="18">
        <v>1</v>
      </c>
      <c r="D188" s="23">
        <f t="shared" ca="1" si="4"/>
        <v>30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19200706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19200707</v>
      </c>
      <c r="C190" s="18">
        <v>1</v>
      </c>
      <c r="D190" s="23">
        <f t="shared" ca="1" si="4"/>
        <v>9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19200708</v>
      </c>
      <c r="C191" s="18">
        <v>1</v>
      </c>
      <c r="D191" s="23">
        <f t="shared" ca="1" si="4"/>
        <v>35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19200709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19200710</v>
      </c>
      <c r="C193" s="18">
        <v>1</v>
      </c>
      <c r="D193" s="23">
        <f t="shared" ca="1" si="4"/>
        <v>135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19200711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19200712</v>
      </c>
      <c r="C195" s="18">
        <v>1</v>
      </c>
      <c r="D195" s="23">
        <f t="shared" ca="1" si="6"/>
        <v>3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19200713</v>
      </c>
      <c r="C196" s="18">
        <v>1</v>
      </c>
      <c r="D196" s="23">
        <f t="shared" ca="1" si="6"/>
        <v>12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19200714</v>
      </c>
      <c r="C197" s="18">
        <v>1</v>
      </c>
      <c r="D197" s="23">
        <f t="shared" ca="1" si="6"/>
        <v>40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19200715</v>
      </c>
      <c r="C198" s="18">
        <v>1</v>
      </c>
      <c r="D198" s="23">
        <f t="shared" ca="1" si="6"/>
        <v>30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19200716</v>
      </c>
      <c r="C199" s="18">
        <v>1</v>
      </c>
      <c r="D199" s="23">
        <f t="shared" ca="1" si="6"/>
        <v>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19200717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19200718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19200719</v>
      </c>
      <c r="C202" s="18">
        <v>1</v>
      </c>
      <c r="D202" s="23">
        <f t="shared" ca="1" si="6"/>
        <v>73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19200720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19200721</v>
      </c>
      <c r="C204" s="18">
        <v>1</v>
      </c>
      <c r="D204" s="23">
        <f t="shared" ca="1" si="6"/>
        <v>8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19200722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19200723</v>
      </c>
      <c r="C206" s="18">
        <v>1</v>
      </c>
      <c r="D206" s="23">
        <f t="shared" ca="1" si="6"/>
        <v>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19200724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19200725</v>
      </c>
      <c r="C208" s="18">
        <v>1</v>
      </c>
      <c r="D208" s="23">
        <f t="shared" ca="1" si="6"/>
        <v>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19200726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19200727</v>
      </c>
      <c r="C210" s="18">
        <v>1</v>
      </c>
      <c r="D210" s="23">
        <f t="shared" ca="1" si="6"/>
        <v>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19200728</v>
      </c>
      <c r="C211" s="18">
        <v>1</v>
      </c>
      <c r="D211" s="23">
        <f t="shared" ca="1" si="6"/>
        <v>30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19200729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19200730</v>
      </c>
      <c r="C213" s="18">
        <v>1</v>
      </c>
      <c r="D213" s="23">
        <f t="shared" ca="1" si="6"/>
        <v>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19200731</v>
      </c>
      <c r="C214" s="18">
        <v>1</v>
      </c>
      <c r="D214" s="23">
        <f t="shared" ca="1" si="6"/>
        <v>5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19200801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19200802</v>
      </c>
      <c r="C216" s="18">
        <v>1</v>
      </c>
      <c r="D216" s="23">
        <f t="shared" ca="1" si="6"/>
        <v>5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19200803</v>
      </c>
      <c r="C217" s="18">
        <v>1</v>
      </c>
      <c r="D217" s="23">
        <f t="shared" ca="1" si="6"/>
        <v>130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19200804</v>
      </c>
      <c r="C218" s="18">
        <v>1</v>
      </c>
      <c r="D218" s="23">
        <f t="shared" ca="1" si="6"/>
        <v>1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19200805</v>
      </c>
      <c r="C219" s="18">
        <v>1</v>
      </c>
      <c r="D219" s="23">
        <f t="shared" ca="1" si="6"/>
        <v>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19200806</v>
      </c>
      <c r="C220" s="18">
        <v>1</v>
      </c>
      <c r="D220" s="23">
        <f t="shared" ca="1" si="6"/>
        <v>25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19200807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19200808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19200809</v>
      </c>
      <c r="C223" s="18">
        <v>1</v>
      </c>
      <c r="D223" s="23">
        <f t="shared" ca="1" si="6"/>
        <v>42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19200810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19200811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19200812</v>
      </c>
      <c r="C226" s="18">
        <v>1</v>
      </c>
      <c r="D226" s="23">
        <f t="shared" ca="1" si="6"/>
        <v>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19200813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19200814</v>
      </c>
      <c r="C228" s="18">
        <v>1</v>
      </c>
      <c r="D228" s="23">
        <f t="shared" ca="1" si="6"/>
        <v>8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19200815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19200816</v>
      </c>
      <c r="C230" s="18">
        <v>1</v>
      </c>
      <c r="D230" s="23">
        <f t="shared" ca="1" si="6"/>
        <v>38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19200817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19200818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19200819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19200820</v>
      </c>
      <c r="C234" s="18">
        <v>1</v>
      </c>
      <c r="D234" s="23">
        <f t="shared" ca="1" si="6"/>
        <v>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19200821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19200822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19200823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19200824</v>
      </c>
      <c r="C238" s="18">
        <v>1</v>
      </c>
      <c r="D238" s="23">
        <f t="shared" ca="1" si="6"/>
        <v>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19200825</v>
      </c>
      <c r="C239" s="18">
        <v>1</v>
      </c>
      <c r="D239" s="23">
        <f t="shared" ca="1" si="6"/>
        <v>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19200826</v>
      </c>
      <c r="C240" s="18">
        <v>1</v>
      </c>
      <c r="D240" s="23">
        <f t="shared" ca="1" si="6"/>
        <v>40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19200827</v>
      </c>
      <c r="C241" s="18">
        <v>1</v>
      </c>
      <c r="D241" s="23">
        <f t="shared" ca="1" si="6"/>
        <v>50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19200828</v>
      </c>
      <c r="C242" s="18">
        <v>1</v>
      </c>
      <c r="D242" s="23">
        <f t="shared" ca="1" si="6"/>
        <v>60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19200829</v>
      </c>
      <c r="C243" s="18">
        <v>1</v>
      </c>
      <c r="D243" s="23">
        <f t="shared" ca="1" si="6"/>
        <v>135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19200830</v>
      </c>
      <c r="C244" s="18">
        <v>1</v>
      </c>
      <c r="D244" s="23">
        <f t="shared" ca="1" si="6"/>
        <v>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19200831</v>
      </c>
      <c r="C245" s="18">
        <v>1</v>
      </c>
      <c r="D245" s="23">
        <f t="shared" ca="1" si="6"/>
        <v>55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19200901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19200902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19200903</v>
      </c>
      <c r="C248" s="18">
        <v>1</v>
      </c>
      <c r="D248" s="23">
        <f t="shared" ca="1" si="6"/>
        <v>5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19200904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19200905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19200906</v>
      </c>
      <c r="C251" s="18">
        <v>1</v>
      </c>
      <c r="D251" s="23">
        <f t="shared" ca="1" si="6"/>
        <v>42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19200907</v>
      </c>
      <c r="C252" s="18">
        <v>1</v>
      </c>
      <c r="D252" s="23">
        <f t="shared" ca="1" si="6"/>
        <v>58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19200908</v>
      </c>
      <c r="C253" s="18">
        <v>1</v>
      </c>
      <c r="D253" s="23">
        <f t="shared" ca="1" si="6"/>
        <v>70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19200909</v>
      </c>
      <c r="C254" s="18">
        <v>1</v>
      </c>
      <c r="D254" s="23">
        <f t="shared" ca="1" si="6"/>
        <v>58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19200910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19200911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19200912</v>
      </c>
      <c r="C257" s="18">
        <v>1</v>
      </c>
      <c r="D257" s="23">
        <f t="shared" ca="1" si="6"/>
        <v>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19200913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5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19200914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19200915</v>
      </c>
      <c r="C260" s="18">
        <v>1</v>
      </c>
      <c r="D260" s="23">
        <f t="shared" ca="1" si="8"/>
        <v>76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19200916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19200917</v>
      </c>
      <c r="C262" s="18">
        <v>1</v>
      </c>
      <c r="D262" s="23">
        <f t="shared" ca="1" si="8"/>
        <v>10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19200918</v>
      </c>
      <c r="C263" s="18">
        <v>1</v>
      </c>
      <c r="D263" s="23">
        <f t="shared" ca="1" si="8"/>
        <v>36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19200919</v>
      </c>
      <c r="C264" s="18">
        <v>1</v>
      </c>
      <c r="D264" s="23">
        <f t="shared" ca="1" si="8"/>
        <v>34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19200920</v>
      </c>
      <c r="C265" s="18">
        <v>1</v>
      </c>
      <c r="D265" s="23">
        <f t="shared" ca="1" si="8"/>
        <v>80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19200921</v>
      </c>
      <c r="C266" s="18">
        <v>1</v>
      </c>
      <c r="D266" s="23">
        <f t="shared" ca="1" si="8"/>
        <v>60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19200922</v>
      </c>
      <c r="C267" s="18">
        <v>1</v>
      </c>
      <c r="D267" s="23">
        <f t="shared" ca="1" si="8"/>
        <v>23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19200923</v>
      </c>
      <c r="C268" s="18">
        <v>1</v>
      </c>
      <c r="D268" s="23">
        <f t="shared" ca="1" si="8"/>
        <v>4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19200924</v>
      </c>
      <c r="C269" s="18">
        <v>1</v>
      </c>
      <c r="D269" s="23">
        <f t="shared" ca="1" si="8"/>
        <v>42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19200925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19200926</v>
      </c>
      <c r="C271" s="18">
        <v>1</v>
      </c>
      <c r="D271" s="23">
        <f t="shared" ca="1" si="8"/>
        <v>40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19200927</v>
      </c>
      <c r="C272" s="18">
        <v>1</v>
      </c>
      <c r="D272" s="23">
        <f t="shared" ca="1" si="8"/>
        <v>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19200928</v>
      </c>
      <c r="C273" s="18">
        <v>1</v>
      </c>
      <c r="D273" s="23">
        <f t="shared" ca="1" si="8"/>
        <v>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19200929</v>
      </c>
      <c r="C274" s="18">
        <v>1</v>
      </c>
      <c r="D274" s="23">
        <f t="shared" ca="1" si="8"/>
        <v>15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19200930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19201001</v>
      </c>
      <c r="C276" s="18">
        <v>1</v>
      </c>
      <c r="D276" s="23">
        <f t="shared" ca="1" si="8"/>
        <v>6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19201002</v>
      </c>
      <c r="C277" s="18">
        <v>1</v>
      </c>
      <c r="D277" s="23">
        <f t="shared" ca="1" si="8"/>
        <v>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19201003</v>
      </c>
      <c r="C278" s="18">
        <v>1</v>
      </c>
      <c r="D278" s="23">
        <f t="shared" ca="1" si="8"/>
        <v>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19201004</v>
      </c>
      <c r="C279" s="18">
        <v>1</v>
      </c>
      <c r="D279" s="23">
        <f t="shared" ca="1" si="8"/>
        <v>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19201005</v>
      </c>
      <c r="C280" s="18">
        <v>1</v>
      </c>
      <c r="D280" s="23">
        <f t="shared" ca="1" si="8"/>
        <v>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19201006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19201007</v>
      </c>
      <c r="C282" s="18">
        <v>1</v>
      </c>
      <c r="D282" s="23">
        <f t="shared" ca="1" si="8"/>
        <v>0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19201008</v>
      </c>
      <c r="C283" s="18">
        <v>1</v>
      </c>
      <c r="D283" s="23">
        <f t="shared" ca="1" si="8"/>
        <v>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19201009</v>
      </c>
      <c r="C284" s="18">
        <v>1</v>
      </c>
      <c r="D284" s="23">
        <f t="shared" ca="1" si="8"/>
        <v>37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19201010</v>
      </c>
      <c r="C285" s="18">
        <v>1</v>
      </c>
      <c r="D285" s="23">
        <f t="shared" ca="1" si="8"/>
        <v>10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19201011</v>
      </c>
      <c r="C286" s="18">
        <v>1</v>
      </c>
      <c r="D286" s="23">
        <f t="shared" ca="1" si="8"/>
        <v>15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19201012</v>
      </c>
      <c r="C287" s="18">
        <v>1</v>
      </c>
      <c r="D287" s="23">
        <f t="shared" ca="1" si="8"/>
        <v>45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19201013</v>
      </c>
      <c r="C288" s="18">
        <v>1</v>
      </c>
      <c r="D288" s="23">
        <f t="shared" ca="1" si="8"/>
        <v>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19201014</v>
      </c>
      <c r="C289" s="18">
        <v>1</v>
      </c>
      <c r="D289" s="23">
        <f t="shared" ca="1" si="8"/>
        <v>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19201015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19201016</v>
      </c>
      <c r="C291" s="18">
        <v>1</v>
      </c>
      <c r="D291" s="23">
        <f t="shared" ca="1" si="8"/>
        <v>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19201017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19201018</v>
      </c>
      <c r="C293" s="18">
        <v>1</v>
      </c>
      <c r="D293" s="23">
        <f t="shared" ca="1" si="8"/>
        <v>30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19201019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19201020</v>
      </c>
      <c r="C295" s="18">
        <v>1</v>
      </c>
      <c r="D295" s="23">
        <f t="shared" ca="1" si="8"/>
        <v>40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19201021</v>
      </c>
      <c r="C296" s="18">
        <v>1</v>
      </c>
      <c r="D296" s="23">
        <f t="shared" ca="1" si="8"/>
        <v>143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19201022</v>
      </c>
      <c r="C297" s="18">
        <v>1</v>
      </c>
      <c r="D297" s="23">
        <f t="shared" ca="1" si="8"/>
        <v>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19201023</v>
      </c>
      <c r="C298" s="18">
        <v>1</v>
      </c>
      <c r="D298" s="23">
        <f t="shared" ca="1" si="8"/>
        <v>97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19201024</v>
      </c>
      <c r="C299" s="18">
        <v>1</v>
      </c>
      <c r="D299" s="23">
        <f t="shared" ca="1" si="8"/>
        <v>19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19201025</v>
      </c>
      <c r="C300" s="18">
        <v>1</v>
      </c>
      <c r="D300" s="23">
        <f t="shared" ca="1" si="8"/>
        <v>0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19201026</v>
      </c>
      <c r="C301" s="18">
        <v>1</v>
      </c>
      <c r="D301" s="23">
        <f t="shared" ca="1" si="8"/>
        <v>22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19201027</v>
      </c>
      <c r="C302" s="18">
        <v>1</v>
      </c>
      <c r="D302" s="23">
        <f t="shared" ca="1" si="8"/>
        <v>13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19201028</v>
      </c>
      <c r="C303" s="18">
        <v>1</v>
      </c>
      <c r="D303" s="23">
        <f t="shared" ca="1" si="8"/>
        <v>40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19201029</v>
      </c>
      <c r="C304" s="18">
        <v>1</v>
      </c>
      <c r="D304" s="23">
        <f t="shared" ca="1" si="8"/>
        <v>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19201030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19201031</v>
      </c>
      <c r="C306" s="18">
        <v>1</v>
      </c>
      <c r="D306" s="23">
        <f t="shared" ca="1" si="8"/>
        <v>500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19201101</v>
      </c>
      <c r="C307" s="18">
        <v>1</v>
      </c>
      <c r="D307" s="23">
        <f t="shared" ca="1" si="8"/>
        <v>208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19201102</v>
      </c>
      <c r="C308" s="18">
        <v>1</v>
      </c>
      <c r="D308" s="23">
        <f t="shared" ca="1" si="8"/>
        <v>88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19201103</v>
      </c>
      <c r="C309" s="18">
        <v>1</v>
      </c>
      <c r="D309" s="23">
        <f t="shared" ca="1" si="8"/>
        <v>230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19201104</v>
      </c>
      <c r="C310" s="18">
        <v>1</v>
      </c>
      <c r="D310" s="23">
        <f t="shared" ca="1" si="8"/>
        <v>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19201105</v>
      </c>
      <c r="C311" s="18">
        <v>1</v>
      </c>
      <c r="D311" s="23">
        <f t="shared" ca="1" si="8"/>
        <v>250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19201106</v>
      </c>
      <c r="C312" s="18">
        <v>1</v>
      </c>
      <c r="D312" s="23">
        <f t="shared" ca="1" si="8"/>
        <v>9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19201107</v>
      </c>
      <c r="C313" s="18">
        <v>1</v>
      </c>
      <c r="D313" s="23">
        <f t="shared" ca="1" si="8"/>
        <v>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19201108</v>
      </c>
      <c r="C314" s="18">
        <v>1</v>
      </c>
      <c r="D314" s="23">
        <f t="shared" ca="1" si="8"/>
        <v>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19201109</v>
      </c>
      <c r="C315" s="18">
        <v>1</v>
      </c>
      <c r="D315" s="23">
        <f t="shared" ca="1" si="8"/>
        <v>21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19201110</v>
      </c>
      <c r="C316" s="18">
        <v>1</v>
      </c>
      <c r="D316" s="23">
        <f t="shared" ca="1" si="8"/>
        <v>71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19201111</v>
      </c>
      <c r="C317" s="18">
        <v>1</v>
      </c>
      <c r="D317" s="23">
        <f t="shared" ca="1" si="8"/>
        <v>35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19201112</v>
      </c>
      <c r="C318" s="18">
        <v>1</v>
      </c>
      <c r="D318" s="23">
        <f t="shared" ca="1" si="8"/>
        <v>90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19201113</v>
      </c>
      <c r="C319" s="18">
        <v>1</v>
      </c>
      <c r="D319" s="23">
        <f t="shared" ca="1" si="8"/>
        <v>52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19201114</v>
      </c>
      <c r="C320" s="18">
        <v>1</v>
      </c>
      <c r="D320" s="23">
        <f t="shared" ca="1" si="8"/>
        <v>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19201115</v>
      </c>
      <c r="C321" s="18">
        <v>1</v>
      </c>
      <c r="D321" s="23">
        <f t="shared" ca="1" si="8"/>
        <v>82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19201116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58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19201117</v>
      </c>
      <c r="C323" s="18">
        <v>1</v>
      </c>
      <c r="D323" s="23">
        <f t="shared" ca="1" si="10"/>
        <v>72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19201118</v>
      </c>
      <c r="C324" s="18">
        <v>1</v>
      </c>
      <c r="D324" s="23">
        <f t="shared" ca="1" si="10"/>
        <v>132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19201119</v>
      </c>
      <c r="C325" s="18">
        <v>1</v>
      </c>
      <c r="D325" s="23">
        <f t="shared" ca="1" si="10"/>
        <v>80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19201120</v>
      </c>
      <c r="C326" s="18">
        <v>1</v>
      </c>
      <c r="D326" s="23">
        <f t="shared" ca="1" si="10"/>
        <v>15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19201121</v>
      </c>
      <c r="C327" s="18">
        <v>1</v>
      </c>
      <c r="D327" s="23">
        <f t="shared" ca="1" si="10"/>
        <v>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19201122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19201123</v>
      </c>
      <c r="C329" s="18">
        <v>1</v>
      </c>
      <c r="D329" s="23">
        <f t="shared" ca="1" si="10"/>
        <v>11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19201124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19201125</v>
      </c>
      <c r="C331" s="18">
        <v>1</v>
      </c>
      <c r="D331" s="23">
        <f t="shared" ca="1" si="10"/>
        <v>140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19201126</v>
      </c>
      <c r="C332" s="18">
        <v>1</v>
      </c>
      <c r="D332" s="23">
        <f t="shared" ca="1" si="10"/>
        <v>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19201127</v>
      </c>
      <c r="C333" s="18">
        <v>1</v>
      </c>
      <c r="D333" s="23">
        <f t="shared" ca="1" si="10"/>
        <v>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19201128</v>
      </c>
      <c r="C334" s="18">
        <v>1</v>
      </c>
      <c r="D334" s="23">
        <f t="shared" ca="1" si="10"/>
        <v>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19201129</v>
      </c>
      <c r="C335" s="18">
        <v>1</v>
      </c>
      <c r="D335" s="23">
        <f t="shared" ca="1" si="10"/>
        <v>6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19201130</v>
      </c>
      <c r="C336" s="18">
        <v>1</v>
      </c>
      <c r="D336" s="23">
        <f t="shared" ca="1" si="10"/>
        <v>40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19201201</v>
      </c>
      <c r="C337" s="18">
        <v>1</v>
      </c>
      <c r="D337" s="23">
        <f t="shared" ca="1" si="10"/>
        <v>30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19201202</v>
      </c>
      <c r="C338" s="18">
        <v>1</v>
      </c>
      <c r="D338" s="23">
        <f t="shared" ca="1" si="10"/>
        <v>35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19201203</v>
      </c>
      <c r="C339" s="18">
        <v>1</v>
      </c>
      <c r="D339" s="23">
        <f t="shared" ca="1" si="10"/>
        <v>23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19201204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19201205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19201206</v>
      </c>
      <c r="C342" s="18">
        <v>1</v>
      </c>
      <c r="D342" s="23">
        <f t="shared" ca="1" si="10"/>
        <v>4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19201207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19201208</v>
      </c>
      <c r="C344" s="18">
        <v>1</v>
      </c>
      <c r="D344" s="23">
        <f t="shared" ca="1" si="10"/>
        <v>8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19201209</v>
      </c>
      <c r="C345" s="18">
        <v>1</v>
      </c>
      <c r="D345" s="23">
        <f t="shared" ca="1" si="10"/>
        <v>42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19201210</v>
      </c>
      <c r="C346" s="18">
        <v>1</v>
      </c>
      <c r="D346" s="23">
        <f t="shared" ca="1" si="10"/>
        <v>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19201211</v>
      </c>
      <c r="C347" s="18">
        <v>1</v>
      </c>
      <c r="D347" s="23">
        <f t="shared" ca="1" si="10"/>
        <v>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19201212</v>
      </c>
      <c r="C348" s="18">
        <v>1</v>
      </c>
      <c r="D348" s="23">
        <f t="shared" ca="1" si="10"/>
        <v>100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19201213</v>
      </c>
      <c r="C349" s="18">
        <v>1</v>
      </c>
      <c r="D349" s="23">
        <f t="shared" ca="1" si="10"/>
        <v>82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19201214</v>
      </c>
      <c r="C350" s="18">
        <v>1</v>
      </c>
      <c r="D350" s="23">
        <f t="shared" ca="1" si="10"/>
        <v>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19201215</v>
      </c>
      <c r="C351" s="18">
        <v>1</v>
      </c>
      <c r="D351" s="23">
        <f t="shared" ca="1" si="10"/>
        <v>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19201216</v>
      </c>
      <c r="C352" s="18">
        <v>1</v>
      </c>
      <c r="D352" s="23">
        <f t="shared" ca="1" si="10"/>
        <v>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19201217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19201218</v>
      </c>
      <c r="C354" s="18">
        <v>1</v>
      </c>
      <c r="D354" s="23">
        <f t="shared" ca="1" si="10"/>
        <v>53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19201219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19201220</v>
      </c>
      <c r="C356" s="18">
        <v>1</v>
      </c>
      <c r="D356" s="23">
        <f t="shared" ca="1" si="10"/>
        <v>55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19201221</v>
      </c>
      <c r="C357" s="18">
        <v>1</v>
      </c>
      <c r="D357" s="23">
        <f t="shared" ca="1" si="10"/>
        <v>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19201222</v>
      </c>
      <c r="C358" s="18">
        <v>1</v>
      </c>
      <c r="D358" s="23">
        <f t="shared" ca="1" si="10"/>
        <v>20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19201223</v>
      </c>
      <c r="C359" s="18">
        <v>1</v>
      </c>
      <c r="D359" s="23">
        <f t="shared" ca="1" si="10"/>
        <v>16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19201224</v>
      </c>
      <c r="C360" s="18">
        <v>1</v>
      </c>
      <c r="D360" s="23">
        <f t="shared" ca="1" si="10"/>
        <v>132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19201225</v>
      </c>
      <c r="C361" s="18">
        <v>1</v>
      </c>
      <c r="D361" s="23">
        <f t="shared" ca="1" si="10"/>
        <v>43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19201226</v>
      </c>
      <c r="C362" s="18">
        <v>1</v>
      </c>
      <c r="D362" s="23">
        <f t="shared" ca="1" si="10"/>
        <v>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19201227</v>
      </c>
      <c r="C363" s="18">
        <v>1</v>
      </c>
      <c r="D363" s="23">
        <f t="shared" ca="1" si="10"/>
        <v>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19201228</v>
      </c>
      <c r="C364" s="18">
        <v>1</v>
      </c>
      <c r="D364" s="23">
        <f t="shared" ca="1" si="10"/>
        <v>305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19201229</v>
      </c>
      <c r="C365" s="18">
        <v>1</v>
      </c>
      <c r="D365" s="23">
        <f t="shared" ca="1" si="10"/>
        <v>312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19201230</v>
      </c>
      <c r="C366" s="18">
        <v>1</v>
      </c>
      <c r="D366" s="23">
        <f t="shared" ca="1" si="10"/>
        <v>2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81</v>
      </c>
      <c r="B367" t="str">
        <f ca="1">TEXT(DATE(YEAR(Invoer!$A$5),1,1)+MOD(ROWS(B$2:B367)-1,DATE(YEAR(Invoer!$A$5),12,31)-DATE(YEAR(Invoer!$A$5),1,1)+1),"jjjjmmdd")</f>
        <v>19201231</v>
      </c>
      <c r="C367" s="18">
        <v>1</v>
      </c>
      <c r="D367" s="23">
        <f t="shared" ca="1" si="10"/>
        <v>15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19200101</v>
      </c>
      <c r="C368" s="18">
        <v>1</v>
      </c>
      <c r="D368" s="23">
        <f t="shared" ca="1" si="10"/>
        <v>14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19200102</v>
      </c>
      <c r="C369" s="18">
        <v>1</v>
      </c>
      <c r="D369" s="23">
        <f t="shared" ca="1" si="10"/>
        <v>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19200103</v>
      </c>
      <c r="C370" s="18">
        <v>1</v>
      </c>
      <c r="D370" s="23">
        <f t="shared" ca="1" si="10"/>
        <v>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19200104</v>
      </c>
      <c r="C371" s="18">
        <v>1</v>
      </c>
      <c r="D371" s="23">
        <f t="shared" ca="1" si="10"/>
        <v>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19200105</v>
      </c>
      <c r="C372" s="18">
        <v>1</v>
      </c>
      <c r="D372" s="23">
        <f t="shared" ca="1" si="10"/>
        <v>50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19200106</v>
      </c>
      <c r="C373" s="18">
        <v>1</v>
      </c>
      <c r="D373" s="23">
        <f t="shared" ca="1" si="10"/>
        <v>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19200107</v>
      </c>
      <c r="C374" s="18">
        <v>1</v>
      </c>
      <c r="D374" s="23">
        <f t="shared" ca="1" si="10"/>
        <v>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19200108</v>
      </c>
      <c r="C375" s="18">
        <v>1</v>
      </c>
      <c r="D375" s="23">
        <f t="shared" ca="1" si="10"/>
        <v>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19200109</v>
      </c>
      <c r="C376" s="18">
        <v>1</v>
      </c>
      <c r="D376" s="23">
        <f t="shared" ca="1" si="10"/>
        <v>25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19200110</v>
      </c>
      <c r="C377" s="18">
        <v>1</v>
      </c>
      <c r="D377" s="23">
        <f t="shared" ca="1" si="10"/>
        <v>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19200111</v>
      </c>
      <c r="C378" s="18">
        <v>1</v>
      </c>
      <c r="D378" s="23">
        <f t="shared" ca="1" si="10"/>
        <v>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19200112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19200113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19200114</v>
      </c>
      <c r="C381" s="18">
        <v>1</v>
      </c>
      <c r="D381" s="23">
        <f t="shared" ca="1" si="10"/>
        <v>65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19200115</v>
      </c>
      <c r="C382" s="18">
        <v>1</v>
      </c>
      <c r="D382" s="23">
        <f t="shared" ca="1" si="10"/>
        <v>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19200116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19200117</v>
      </c>
      <c r="C384" s="18">
        <v>1</v>
      </c>
      <c r="D384" s="23">
        <f t="shared" ca="1" si="10"/>
        <v>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19200118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19200119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78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19200120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19200121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19200122</v>
      </c>
      <c r="C389" s="18">
        <v>1</v>
      </c>
      <c r="D389" s="23">
        <f t="shared" ca="1" si="12"/>
        <v>119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19200123</v>
      </c>
      <c r="C390" s="18">
        <v>1</v>
      </c>
      <c r="D390" s="23">
        <f t="shared" ca="1" si="12"/>
        <v>10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19200124</v>
      </c>
      <c r="C391" s="18">
        <v>1</v>
      </c>
      <c r="D391" s="23">
        <f t="shared" ca="1" si="12"/>
        <v>10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19200125</v>
      </c>
      <c r="C392" s="18">
        <v>1</v>
      </c>
      <c r="D392" s="23">
        <f t="shared" ca="1" si="12"/>
        <v>120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19200126</v>
      </c>
      <c r="C393" s="18">
        <v>1</v>
      </c>
      <c r="D393" s="23">
        <f t="shared" ca="1" si="12"/>
        <v>10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19200127</v>
      </c>
      <c r="C394" s="18">
        <v>1</v>
      </c>
      <c r="D394" s="23">
        <f t="shared" ca="1" si="12"/>
        <v>10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19200128</v>
      </c>
      <c r="C395" s="18">
        <v>1</v>
      </c>
      <c r="D395" s="23">
        <f t="shared" ca="1" si="12"/>
        <v>15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19200129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19200130</v>
      </c>
      <c r="C397" s="18">
        <v>1</v>
      </c>
      <c r="D397" s="23">
        <f t="shared" ca="1" si="12"/>
        <v>14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19200131</v>
      </c>
      <c r="C398" s="18">
        <v>1</v>
      </c>
      <c r="D398" s="23">
        <f t="shared" ca="1" si="12"/>
        <v>72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19200201</v>
      </c>
      <c r="C399" s="18">
        <v>1</v>
      </c>
      <c r="D399" s="23">
        <f t="shared" ca="1" si="12"/>
        <v>10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19200202</v>
      </c>
      <c r="C400" s="18">
        <v>1</v>
      </c>
      <c r="D400" s="23">
        <f t="shared" ca="1" si="12"/>
        <v>51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19200203</v>
      </c>
      <c r="C401" s="18">
        <v>1</v>
      </c>
      <c r="D401" s="23">
        <f t="shared" ca="1" si="12"/>
        <v>21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19200204</v>
      </c>
      <c r="C402" s="18">
        <v>1</v>
      </c>
      <c r="D402" s="23">
        <f t="shared" ca="1" si="12"/>
        <v>42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19200205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19200206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19200207</v>
      </c>
      <c r="C405" s="18">
        <v>1</v>
      </c>
      <c r="D405" s="23">
        <f t="shared" ca="1" si="12"/>
        <v>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19200208</v>
      </c>
      <c r="C406" s="18">
        <v>1</v>
      </c>
      <c r="D406" s="23">
        <f t="shared" ca="1" si="12"/>
        <v>15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19200209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19200210</v>
      </c>
      <c r="C408" s="18">
        <v>1</v>
      </c>
      <c r="D408" s="23">
        <f t="shared" ca="1" si="12"/>
        <v>238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19200211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19200212</v>
      </c>
      <c r="C410" s="18">
        <v>1</v>
      </c>
      <c r="D410" s="23">
        <f t="shared" ca="1" si="12"/>
        <v>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19200213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19200214</v>
      </c>
      <c r="C412" s="18">
        <v>1</v>
      </c>
      <c r="D412" s="23">
        <f t="shared" ca="1" si="12"/>
        <v>25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19200215</v>
      </c>
      <c r="C413" s="18">
        <v>1</v>
      </c>
      <c r="D413" s="23">
        <f t="shared" ca="1" si="12"/>
        <v>11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19200216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19200217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19200218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19200219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19200220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19200221</v>
      </c>
      <c r="C419" s="18">
        <v>1</v>
      </c>
      <c r="D419" s="23">
        <f t="shared" ca="1" si="12"/>
        <v>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19200222</v>
      </c>
      <c r="C420" s="18">
        <v>1</v>
      </c>
      <c r="D420" s="23">
        <f t="shared" ca="1" si="12"/>
        <v>236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19200223</v>
      </c>
      <c r="C421" s="18">
        <v>1</v>
      </c>
      <c r="D421" s="23">
        <f t="shared" ca="1" si="12"/>
        <v>28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19200224</v>
      </c>
      <c r="C422" s="18">
        <v>1</v>
      </c>
      <c r="D422" s="23">
        <f t="shared" ca="1" si="12"/>
        <v>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19200225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19200226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19200227</v>
      </c>
      <c r="C425" s="18">
        <v>1</v>
      </c>
      <c r="D425" s="23">
        <f t="shared" ca="1" si="12"/>
        <v>3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19200228</v>
      </c>
      <c r="C426" s="18">
        <v>1</v>
      </c>
      <c r="D426" s="23">
        <f t="shared" ca="1" si="12"/>
        <v>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19200229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19200301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19200302</v>
      </c>
      <c r="C429" s="18">
        <v>1</v>
      </c>
      <c r="D429" s="23">
        <f t="shared" ca="1" si="12"/>
        <v>14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19200303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19200304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19200305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19200306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19200307</v>
      </c>
      <c r="C434" s="18">
        <v>1</v>
      </c>
      <c r="D434" s="23">
        <f t="shared" ca="1" si="12"/>
        <v>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19200308</v>
      </c>
      <c r="C435" s="18">
        <v>1</v>
      </c>
      <c r="D435" s="23">
        <f t="shared" ca="1" si="12"/>
        <v>25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19200309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19200310</v>
      </c>
      <c r="C437" s="18">
        <v>1</v>
      </c>
      <c r="D437" s="23">
        <f t="shared" ca="1" si="12"/>
        <v>13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19200311</v>
      </c>
      <c r="C438" s="18">
        <v>1</v>
      </c>
      <c r="D438" s="23">
        <f t="shared" ca="1" si="12"/>
        <v>17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19200312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19200313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19200314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19200315</v>
      </c>
      <c r="C442" s="18">
        <v>1</v>
      </c>
      <c r="D442" s="23">
        <f t="shared" ca="1" si="12"/>
        <v>24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19200316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19200317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19200318</v>
      </c>
      <c r="C445" s="18">
        <v>1</v>
      </c>
      <c r="D445" s="23">
        <f t="shared" ca="1" si="12"/>
        <v>35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19200319</v>
      </c>
      <c r="C446" s="18">
        <v>1</v>
      </c>
      <c r="D446" s="23">
        <f t="shared" ca="1" si="12"/>
        <v>12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19200320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19200321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19200322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19200323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19200324</v>
      </c>
      <c r="C451" s="18">
        <v>1</v>
      </c>
      <c r="D451" s="23">
        <f t="shared" ca="1" si="14"/>
        <v>65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19200325</v>
      </c>
      <c r="C452" s="18">
        <v>1</v>
      </c>
      <c r="D452" s="23">
        <f t="shared" ca="1" si="14"/>
        <v>233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19200326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19200327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19200328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19200329</v>
      </c>
      <c r="C456" s="18">
        <v>1</v>
      </c>
      <c r="D456" s="23">
        <f t="shared" ca="1" si="14"/>
        <v>11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19200330</v>
      </c>
      <c r="C457" s="18">
        <v>1</v>
      </c>
      <c r="D457" s="23">
        <f t="shared" ca="1" si="14"/>
        <v>50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19200331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19200401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19200402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19200403</v>
      </c>
      <c r="C461" s="18">
        <v>1</v>
      </c>
      <c r="D461" s="23">
        <f t="shared" ca="1" si="14"/>
        <v>3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19200404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19200405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19200406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19200407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19200408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19200409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19200410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19200411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19200412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19200413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19200414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19200415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19200416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19200417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19200418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19200419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19200420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19200421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19200422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19200423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19200424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19200425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19200426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19200427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19200428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19200429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19200430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19200501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19200502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19200503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19200504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19200505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19200506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19200507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19200508</v>
      </c>
      <c r="C496" s="18">
        <v>1</v>
      </c>
      <c r="D496" s="23">
        <f t="shared" ca="1" si="14"/>
        <v>14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19200509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19200510</v>
      </c>
      <c r="C498" s="18">
        <v>1</v>
      </c>
      <c r="D498" s="23">
        <f t="shared" ca="1" si="14"/>
        <v>16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19200511</v>
      </c>
      <c r="C499" s="18">
        <v>1</v>
      </c>
      <c r="D499" s="23">
        <f t="shared" ca="1" si="14"/>
        <v>12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19200512</v>
      </c>
      <c r="C500" s="18">
        <v>1</v>
      </c>
      <c r="D500" s="23">
        <f t="shared" ca="1" si="14"/>
        <v>20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19200513</v>
      </c>
      <c r="C501" s="18">
        <v>1</v>
      </c>
      <c r="D501" s="23">
        <f t="shared" ca="1" si="14"/>
        <v>27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19200514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19200515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19200516</v>
      </c>
      <c r="C504" s="18">
        <v>1</v>
      </c>
      <c r="D504" s="23">
        <f t="shared" ca="1" si="14"/>
        <v>41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19200517</v>
      </c>
      <c r="C505" s="18">
        <v>1</v>
      </c>
      <c r="D505" s="23">
        <f t="shared" ca="1" si="14"/>
        <v>90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19200518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19200519</v>
      </c>
      <c r="C507" s="18">
        <v>1</v>
      </c>
      <c r="D507" s="23">
        <f t="shared" ca="1" si="14"/>
        <v>15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19200520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19200521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19200522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19200523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19200524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19200525</v>
      </c>
      <c r="C513" s="18">
        <v>1</v>
      </c>
      <c r="D513" s="23">
        <f t="shared" ca="1" si="14"/>
        <v>22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19200526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19200527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19200528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19200529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19200530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19200531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19200601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19200602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19200603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19200604</v>
      </c>
      <c r="C523" s="18">
        <v>1</v>
      </c>
      <c r="D523" s="23">
        <f t="shared" ca="1" si="16"/>
        <v>6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19200605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19200606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19200607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19200608</v>
      </c>
      <c r="C527" s="18">
        <v>1</v>
      </c>
      <c r="D527" s="23">
        <f t="shared" ca="1" si="16"/>
        <v>110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19200609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19200610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19200611</v>
      </c>
      <c r="C530" s="18">
        <v>1</v>
      </c>
      <c r="D530" s="23">
        <f t="shared" ca="1" si="16"/>
        <v>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19200612</v>
      </c>
      <c r="C531" s="18">
        <v>1</v>
      </c>
      <c r="D531" s="23">
        <f t="shared" ca="1" si="16"/>
        <v>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19200613</v>
      </c>
      <c r="C532" s="18">
        <v>1</v>
      </c>
      <c r="D532" s="23">
        <f t="shared" ca="1" si="16"/>
        <v>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19200614</v>
      </c>
      <c r="C533" s="18">
        <v>1</v>
      </c>
      <c r="D533" s="23">
        <f t="shared" ca="1" si="16"/>
        <v>57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19200615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19200616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19200617</v>
      </c>
      <c r="C536" s="18">
        <v>1</v>
      </c>
      <c r="D536" s="23">
        <f t="shared" ca="1" si="16"/>
        <v>8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19200618</v>
      </c>
      <c r="C537" s="18">
        <v>1</v>
      </c>
      <c r="D537" s="23">
        <f t="shared" ca="1" si="16"/>
        <v>41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19200619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19200620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19200621</v>
      </c>
      <c r="C540" s="18">
        <v>1</v>
      </c>
      <c r="D540" s="23">
        <f t="shared" ca="1" si="16"/>
        <v>9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19200622</v>
      </c>
      <c r="C541" s="18">
        <v>1</v>
      </c>
      <c r="D541" s="23">
        <f t="shared" ca="1" si="16"/>
        <v>24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19200623</v>
      </c>
      <c r="C542" s="18">
        <v>1</v>
      </c>
      <c r="D542" s="23">
        <f t="shared" ca="1" si="16"/>
        <v>25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19200624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19200625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19200626</v>
      </c>
      <c r="C545" s="18">
        <v>1</v>
      </c>
      <c r="D545" s="23">
        <f t="shared" ca="1" si="16"/>
        <v>152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19200627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19200628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19200629</v>
      </c>
      <c r="C548" s="18">
        <v>1</v>
      </c>
      <c r="D548" s="23">
        <f t="shared" ca="1" si="16"/>
        <v>11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19200630</v>
      </c>
      <c r="C549" s="18">
        <v>1</v>
      </c>
      <c r="D549" s="23">
        <f t="shared" ca="1" si="16"/>
        <v>32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19200701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19200702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19200703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19200704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19200705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19200706</v>
      </c>
      <c r="C555" s="18">
        <v>1</v>
      </c>
      <c r="D555" s="23">
        <f t="shared" ca="1" si="16"/>
        <v>32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19200707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19200708</v>
      </c>
      <c r="C557" s="18">
        <v>1</v>
      </c>
      <c r="D557" s="23">
        <f t="shared" ca="1" si="16"/>
        <v>21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19200709</v>
      </c>
      <c r="C558" s="18">
        <v>1</v>
      </c>
      <c r="D558" s="23">
        <f t="shared" ca="1" si="16"/>
        <v>121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19200710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19200711</v>
      </c>
      <c r="C560" s="18">
        <v>1</v>
      </c>
      <c r="D560" s="23">
        <f t="shared" ca="1" si="16"/>
        <v>2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19200712</v>
      </c>
      <c r="C561" s="18">
        <v>1</v>
      </c>
      <c r="D561" s="23">
        <f t="shared" ca="1" si="16"/>
        <v>4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19200713</v>
      </c>
      <c r="C562" s="18">
        <v>1</v>
      </c>
      <c r="D562" s="23">
        <f t="shared" ca="1" si="16"/>
        <v>25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19200714</v>
      </c>
      <c r="C563" s="18">
        <v>1</v>
      </c>
      <c r="D563" s="23">
        <f t="shared" ca="1" si="16"/>
        <v>65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19200715</v>
      </c>
      <c r="C564" s="18">
        <v>1</v>
      </c>
      <c r="D564" s="23">
        <f t="shared" ca="1" si="16"/>
        <v>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19200716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19200717</v>
      </c>
      <c r="C566" s="18">
        <v>1</v>
      </c>
      <c r="D566" s="23">
        <f t="shared" ca="1" si="16"/>
        <v>3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19200718</v>
      </c>
      <c r="C567" s="18">
        <v>1</v>
      </c>
      <c r="D567" s="23">
        <f t="shared" ca="1" si="16"/>
        <v>32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19200719</v>
      </c>
      <c r="C568" s="18">
        <v>1</v>
      </c>
      <c r="D568" s="23">
        <f t="shared" ca="1" si="16"/>
        <v>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19200720</v>
      </c>
      <c r="C569" s="18">
        <v>1</v>
      </c>
      <c r="D569" s="23">
        <f t="shared" ca="1" si="16"/>
        <v>11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19200721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19200722</v>
      </c>
      <c r="C571" s="18">
        <v>1</v>
      </c>
      <c r="D571" s="23">
        <f t="shared" ca="1" si="16"/>
        <v>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19200723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19200724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19200725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19200726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19200727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19200728</v>
      </c>
      <c r="C577" s="18">
        <v>1</v>
      </c>
      <c r="D577" s="23">
        <f t="shared" ca="1" si="16"/>
        <v>3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19200729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8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19200730</v>
      </c>
      <c r="C579" s="18">
        <v>1</v>
      </c>
      <c r="D579" s="23">
        <f t="shared" ca="1" si="18"/>
        <v>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19200731</v>
      </c>
      <c r="C580" s="18">
        <v>1</v>
      </c>
      <c r="D580" s="23">
        <f t="shared" ca="1" si="18"/>
        <v>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19200801</v>
      </c>
      <c r="C581" s="18">
        <v>1</v>
      </c>
      <c r="D581" s="23">
        <f t="shared" ca="1" si="18"/>
        <v>4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19200802</v>
      </c>
      <c r="C582" s="18">
        <v>1</v>
      </c>
      <c r="D582" s="23">
        <f t="shared" ca="1" si="18"/>
        <v>33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19200803</v>
      </c>
      <c r="C583" s="18">
        <v>1</v>
      </c>
      <c r="D583" s="23">
        <f t="shared" ca="1" si="18"/>
        <v>5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19200804</v>
      </c>
      <c r="C584" s="18">
        <v>1</v>
      </c>
      <c r="D584" s="23">
        <f t="shared" ca="1" si="18"/>
        <v>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19200805</v>
      </c>
      <c r="C585" s="18">
        <v>1</v>
      </c>
      <c r="D585" s="23">
        <f t="shared" ca="1" si="18"/>
        <v>28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19200806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19200807</v>
      </c>
      <c r="C587" s="18">
        <v>1</v>
      </c>
      <c r="D587" s="23">
        <f t="shared" ca="1" si="18"/>
        <v>6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19200808</v>
      </c>
      <c r="C588" s="18">
        <v>1</v>
      </c>
      <c r="D588" s="23">
        <f t="shared" ca="1" si="18"/>
        <v>20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19200809</v>
      </c>
      <c r="C589" s="18">
        <v>1</v>
      </c>
      <c r="D589" s="23">
        <f t="shared" ca="1" si="18"/>
        <v>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19200810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19200811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19200812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19200813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19200814</v>
      </c>
      <c r="C594" s="18">
        <v>1</v>
      </c>
      <c r="D594" s="23">
        <f t="shared" ca="1" si="18"/>
        <v>9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19200815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19200816</v>
      </c>
      <c r="C596" s="18">
        <v>1</v>
      </c>
      <c r="D596" s="23">
        <f t="shared" ca="1" si="18"/>
        <v>17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19200817</v>
      </c>
      <c r="C597" s="18">
        <v>1</v>
      </c>
      <c r="D597" s="23">
        <f t="shared" ca="1" si="18"/>
        <v>15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19200818</v>
      </c>
      <c r="C598" s="18">
        <v>1</v>
      </c>
      <c r="D598" s="23">
        <f t="shared" ca="1" si="18"/>
        <v>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19200819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19200820</v>
      </c>
      <c r="C600" s="18">
        <v>1</v>
      </c>
      <c r="D600" s="23">
        <f t="shared" ca="1" si="18"/>
        <v>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19200821</v>
      </c>
      <c r="C601" s="18">
        <v>1</v>
      </c>
      <c r="D601" s="23">
        <f t="shared" ca="1" si="18"/>
        <v>3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19200822</v>
      </c>
      <c r="C602" s="18">
        <v>1</v>
      </c>
      <c r="D602" s="23">
        <f t="shared" ca="1" si="18"/>
        <v>16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19200823</v>
      </c>
      <c r="C603" s="18">
        <v>1</v>
      </c>
      <c r="D603" s="23">
        <f t="shared" ca="1" si="18"/>
        <v>2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19200824</v>
      </c>
      <c r="C604" s="18">
        <v>1</v>
      </c>
      <c r="D604" s="23">
        <f t="shared" ca="1" si="18"/>
        <v>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19200825</v>
      </c>
      <c r="C605" s="18">
        <v>1</v>
      </c>
      <c r="D605" s="23">
        <f t="shared" ca="1" si="18"/>
        <v>48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19200826</v>
      </c>
      <c r="C606" s="18">
        <v>1</v>
      </c>
      <c r="D606" s="23">
        <f t="shared" ca="1" si="18"/>
        <v>23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19200827</v>
      </c>
      <c r="C607" s="18">
        <v>1</v>
      </c>
      <c r="D607" s="23">
        <f t="shared" ca="1" si="18"/>
        <v>42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19200828</v>
      </c>
      <c r="C608" s="18">
        <v>1</v>
      </c>
      <c r="D608" s="23">
        <f t="shared" ca="1" si="18"/>
        <v>74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19200829</v>
      </c>
      <c r="C609" s="18">
        <v>1</v>
      </c>
      <c r="D609" s="23">
        <f t="shared" ca="1" si="18"/>
        <v>36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19200830</v>
      </c>
      <c r="C610" s="18">
        <v>1</v>
      </c>
      <c r="D610" s="23">
        <f t="shared" ca="1" si="18"/>
        <v>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19200831</v>
      </c>
      <c r="C611" s="18">
        <v>1</v>
      </c>
      <c r="D611" s="23">
        <f t="shared" ca="1" si="18"/>
        <v>32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19200901</v>
      </c>
      <c r="C612" s="18">
        <v>1</v>
      </c>
      <c r="D612" s="23">
        <f t="shared" ca="1" si="18"/>
        <v>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19200902</v>
      </c>
      <c r="C613" s="18">
        <v>1</v>
      </c>
      <c r="D613" s="23">
        <f t="shared" ca="1" si="18"/>
        <v>3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19200903</v>
      </c>
      <c r="C614" s="18">
        <v>1</v>
      </c>
      <c r="D614" s="23">
        <f t="shared" ca="1" si="18"/>
        <v>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19200904</v>
      </c>
      <c r="C615" s="18">
        <v>1</v>
      </c>
      <c r="D615" s="23">
        <f t="shared" ca="1" si="18"/>
        <v>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19200905</v>
      </c>
      <c r="C616" s="18">
        <v>1</v>
      </c>
      <c r="D616" s="23">
        <f t="shared" ca="1" si="18"/>
        <v>42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19200906</v>
      </c>
      <c r="C617" s="18">
        <v>1</v>
      </c>
      <c r="D617" s="23">
        <f t="shared" ca="1" si="18"/>
        <v>8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19200907</v>
      </c>
      <c r="C618" s="18">
        <v>1</v>
      </c>
      <c r="D618" s="23">
        <f t="shared" ca="1" si="18"/>
        <v>97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19200908</v>
      </c>
      <c r="C619" s="18">
        <v>1</v>
      </c>
      <c r="D619" s="23">
        <f t="shared" ca="1" si="18"/>
        <v>68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19200909</v>
      </c>
      <c r="C620" s="18">
        <v>1</v>
      </c>
      <c r="D620" s="23">
        <f t="shared" ca="1" si="18"/>
        <v>11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19200910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19200911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19200912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19200913</v>
      </c>
      <c r="C624" s="18">
        <v>1</v>
      </c>
      <c r="D624" s="23">
        <f t="shared" ca="1" si="18"/>
        <v>14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19200914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19200915</v>
      </c>
      <c r="C626" s="18">
        <v>1</v>
      </c>
      <c r="D626" s="23">
        <f t="shared" ca="1" si="18"/>
        <v>54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19200916</v>
      </c>
      <c r="C627" s="18">
        <v>1</v>
      </c>
      <c r="D627" s="23">
        <f t="shared" ca="1" si="18"/>
        <v>6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19200917</v>
      </c>
      <c r="C628" s="18">
        <v>1</v>
      </c>
      <c r="D628" s="23">
        <f t="shared" ca="1" si="18"/>
        <v>35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19200918</v>
      </c>
      <c r="C629" s="18">
        <v>1</v>
      </c>
      <c r="D629" s="23">
        <f t="shared" ca="1" si="18"/>
        <v>3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19200919</v>
      </c>
      <c r="C630" s="18">
        <v>1</v>
      </c>
      <c r="D630" s="23">
        <f t="shared" ca="1" si="18"/>
        <v>81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19200920</v>
      </c>
      <c r="C631" s="18">
        <v>1</v>
      </c>
      <c r="D631" s="23">
        <f t="shared" ca="1" si="18"/>
        <v>47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19200921</v>
      </c>
      <c r="C632" s="18">
        <v>1</v>
      </c>
      <c r="D632" s="23">
        <f t="shared" ca="1" si="18"/>
        <v>45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19200922</v>
      </c>
      <c r="C633" s="18">
        <v>1</v>
      </c>
      <c r="D633" s="23">
        <f t="shared" ca="1" si="18"/>
        <v>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19200923</v>
      </c>
      <c r="C634" s="18">
        <v>1</v>
      </c>
      <c r="D634" s="23">
        <f t="shared" ca="1" si="18"/>
        <v>30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19200924</v>
      </c>
      <c r="C635" s="18">
        <v>1</v>
      </c>
      <c r="D635" s="23">
        <f t="shared" ca="1" si="18"/>
        <v>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19200925</v>
      </c>
      <c r="C636" s="18">
        <v>1</v>
      </c>
      <c r="D636" s="23">
        <f t="shared" ca="1" si="18"/>
        <v>56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19200926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19200927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19200928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19200929</v>
      </c>
      <c r="C640" s="18">
        <v>1</v>
      </c>
      <c r="D640" s="23">
        <f t="shared" ca="1" si="18"/>
        <v>37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19200930</v>
      </c>
      <c r="C641" s="18">
        <v>1</v>
      </c>
      <c r="D641" s="23">
        <f t="shared" ca="1" si="18"/>
        <v>2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19201001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19201002</v>
      </c>
      <c r="C643" s="18">
        <v>1</v>
      </c>
      <c r="D643" s="23">
        <f t="shared" ca="1" si="20"/>
        <v>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19201003</v>
      </c>
      <c r="C644" s="18">
        <v>1</v>
      </c>
      <c r="D644" s="23">
        <f t="shared" ca="1" si="20"/>
        <v>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19201004</v>
      </c>
      <c r="C645" s="18">
        <v>1</v>
      </c>
      <c r="D645" s="23">
        <f t="shared" ca="1" si="20"/>
        <v>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19201005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19201006</v>
      </c>
      <c r="C647" s="18">
        <v>1</v>
      </c>
      <c r="D647" s="23">
        <f t="shared" ca="1" si="20"/>
        <v>7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19201007</v>
      </c>
      <c r="C648" s="18">
        <v>1</v>
      </c>
      <c r="D648" s="23">
        <f t="shared" ca="1" si="20"/>
        <v>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19201008</v>
      </c>
      <c r="C649" s="18">
        <v>1</v>
      </c>
      <c r="D649" s="23">
        <f t="shared" ca="1" si="20"/>
        <v>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19201009</v>
      </c>
      <c r="C650" s="18">
        <v>1</v>
      </c>
      <c r="D650" s="23">
        <f t="shared" ca="1" si="20"/>
        <v>32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19201010</v>
      </c>
      <c r="C651" s="18">
        <v>1</v>
      </c>
      <c r="D651" s="23">
        <f t="shared" ca="1" si="20"/>
        <v>56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19201011</v>
      </c>
      <c r="C652" s="18">
        <v>1</v>
      </c>
      <c r="D652" s="23">
        <f t="shared" ca="1" si="20"/>
        <v>21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19201012</v>
      </c>
      <c r="C653" s="18">
        <v>1</v>
      </c>
      <c r="D653" s="23">
        <f t="shared" ca="1" si="20"/>
        <v>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19201013</v>
      </c>
      <c r="C654" s="18">
        <v>1</v>
      </c>
      <c r="D654" s="23">
        <f t="shared" ca="1" si="20"/>
        <v>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19201014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19201015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19201016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19201017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19201018</v>
      </c>
      <c r="C659" s="18">
        <v>1</v>
      </c>
      <c r="D659" s="23">
        <f t="shared" ca="1" si="20"/>
        <v>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19201019</v>
      </c>
      <c r="C660" s="18">
        <v>1</v>
      </c>
      <c r="D660" s="23">
        <f t="shared" ca="1" si="20"/>
        <v>41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19201020</v>
      </c>
      <c r="C661" s="18">
        <v>1</v>
      </c>
      <c r="D661" s="23">
        <f t="shared" ca="1" si="20"/>
        <v>52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19201021</v>
      </c>
      <c r="C662" s="18">
        <v>1</v>
      </c>
      <c r="D662" s="23">
        <f t="shared" ca="1" si="20"/>
        <v>4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19201022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19201023</v>
      </c>
      <c r="C664" s="18">
        <v>1</v>
      </c>
      <c r="D664" s="23">
        <f t="shared" ca="1" si="20"/>
        <v>198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19201024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19201025</v>
      </c>
      <c r="C666" s="18">
        <v>1</v>
      </c>
      <c r="D666" s="23">
        <f t="shared" ca="1" si="20"/>
        <v>30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19201026</v>
      </c>
      <c r="C667" s="18">
        <v>1</v>
      </c>
      <c r="D667" s="23">
        <f t="shared" ca="1" si="20"/>
        <v>9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19201027</v>
      </c>
      <c r="C668" s="18">
        <v>1</v>
      </c>
      <c r="D668" s="23">
        <f t="shared" ca="1" si="20"/>
        <v>94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19201028</v>
      </c>
      <c r="C669" s="18">
        <v>1</v>
      </c>
      <c r="D669" s="23">
        <f t="shared" ca="1" si="20"/>
        <v>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19201029</v>
      </c>
      <c r="C670" s="18">
        <v>1</v>
      </c>
      <c r="D670" s="23">
        <f t="shared" ca="1" si="20"/>
        <v>25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19201030</v>
      </c>
      <c r="C671" s="18">
        <v>1</v>
      </c>
      <c r="D671" s="23">
        <f t="shared" ca="1" si="20"/>
        <v>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19201031</v>
      </c>
      <c r="C672" s="18">
        <v>1</v>
      </c>
      <c r="D672" s="23">
        <f t="shared" ca="1" si="20"/>
        <v>1311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19201101</v>
      </c>
      <c r="C673" s="18">
        <v>1</v>
      </c>
      <c r="D673" s="23">
        <f t="shared" ca="1" si="20"/>
        <v>128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19201102</v>
      </c>
      <c r="C674" s="18">
        <v>1</v>
      </c>
      <c r="D674" s="23">
        <f t="shared" ca="1" si="20"/>
        <v>5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19201103</v>
      </c>
      <c r="C675" s="18">
        <v>1</v>
      </c>
      <c r="D675" s="23">
        <f t="shared" ca="1" si="20"/>
        <v>110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19201104</v>
      </c>
      <c r="C676" s="18">
        <v>1</v>
      </c>
      <c r="D676" s="23">
        <f t="shared" ca="1" si="20"/>
        <v>224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19201105</v>
      </c>
      <c r="C677" s="18">
        <v>1</v>
      </c>
      <c r="D677" s="23">
        <f t="shared" ca="1" si="20"/>
        <v>14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19201106</v>
      </c>
      <c r="C678" s="18">
        <v>1</v>
      </c>
      <c r="D678" s="23">
        <f t="shared" ca="1" si="20"/>
        <v>4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19201107</v>
      </c>
      <c r="C679" s="18">
        <v>1</v>
      </c>
      <c r="D679" s="23">
        <f t="shared" ca="1" si="20"/>
        <v>1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19201108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19201109</v>
      </c>
      <c r="C681" s="18">
        <v>1</v>
      </c>
      <c r="D681" s="23">
        <f t="shared" ca="1" si="20"/>
        <v>77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19201110</v>
      </c>
      <c r="C682" s="18">
        <v>1</v>
      </c>
      <c r="D682" s="23">
        <f t="shared" ca="1" si="20"/>
        <v>38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19201111</v>
      </c>
      <c r="C683" s="18">
        <v>1</v>
      </c>
      <c r="D683" s="23">
        <f t="shared" ca="1" si="20"/>
        <v>17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19201112</v>
      </c>
      <c r="C684" s="18">
        <v>1</v>
      </c>
      <c r="D684" s="23">
        <f t="shared" ca="1" si="20"/>
        <v>78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19201113</v>
      </c>
      <c r="C685" s="18">
        <v>1</v>
      </c>
      <c r="D685" s="23">
        <f t="shared" ca="1" si="20"/>
        <v>6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19201114</v>
      </c>
      <c r="C686" s="18">
        <v>1</v>
      </c>
      <c r="D686" s="23">
        <f t="shared" ca="1" si="20"/>
        <v>74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19201115</v>
      </c>
      <c r="C687" s="18">
        <v>1</v>
      </c>
      <c r="D687" s="23">
        <f t="shared" ca="1" si="20"/>
        <v>43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19201116</v>
      </c>
      <c r="C688" s="18">
        <v>1</v>
      </c>
      <c r="D688" s="23">
        <f t="shared" ca="1" si="20"/>
        <v>95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19201117</v>
      </c>
      <c r="C689" s="18">
        <v>1</v>
      </c>
      <c r="D689" s="23">
        <f t="shared" ca="1" si="20"/>
        <v>48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19201118</v>
      </c>
      <c r="C690" s="18">
        <v>1</v>
      </c>
      <c r="D690" s="23">
        <f t="shared" ca="1" si="20"/>
        <v>125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19201119</v>
      </c>
      <c r="C691" s="18">
        <v>1</v>
      </c>
      <c r="D691" s="23">
        <f t="shared" ca="1" si="20"/>
        <v>21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19201120</v>
      </c>
      <c r="C692" s="18">
        <v>1</v>
      </c>
      <c r="D692" s="23">
        <f t="shared" ca="1" si="20"/>
        <v>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19201121</v>
      </c>
      <c r="C693" s="18">
        <v>1</v>
      </c>
      <c r="D693" s="23">
        <f t="shared" ca="1" si="20"/>
        <v>28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19201122</v>
      </c>
      <c r="C694" s="18">
        <v>1</v>
      </c>
      <c r="D694" s="23">
        <f t="shared" ca="1" si="20"/>
        <v>1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19201123</v>
      </c>
      <c r="C695" s="18">
        <v>1</v>
      </c>
      <c r="D695" s="23">
        <f t="shared" ca="1" si="20"/>
        <v>85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19201124</v>
      </c>
      <c r="C696" s="18">
        <v>1</v>
      </c>
      <c r="D696" s="23">
        <f t="shared" ca="1" si="20"/>
        <v>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19201125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19201126</v>
      </c>
      <c r="C698" s="18">
        <v>1</v>
      </c>
      <c r="D698" s="23">
        <f t="shared" ca="1" si="20"/>
        <v>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19201127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19201128</v>
      </c>
      <c r="C700" s="18">
        <v>1</v>
      </c>
      <c r="D700" s="23">
        <f t="shared" ca="1" si="20"/>
        <v>1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19201129</v>
      </c>
      <c r="C701" s="18">
        <v>1</v>
      </c>
      <c r="D701" s="23">
        <f t="shared" ca="1" si="20"/>
        <v>28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19201130</v>
      </c>
      <c r="C702" s="18">
        <v>1</v>
      </c>
      <c r="D702" s="23">
        <f t="shared" ca="1" si="20"/>
        <v>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19201201</v>
      </c>
      <c r="C703" s="18">
        <v>1</v>
      </c>
      <c r="D703" s="23">
        <f t="shared" ca="1" si="20"/>
        <v>34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19201202</v>
      </c>
      <c r="C704" s="18">
        <v>1</v>
      </c>
      <c r="D704" s="23">
        <f t="shared" ca="1" si="20"/>
        <v>40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19201203</v>
      </c>
      <c r="C705" s="18">
        <v>1</v>
      </c>
      <c r="D705" s="23">
        <f t="shared" ca="1" si="20"/>
        <v>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19201204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19201205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19201206</v>
      </c>
      <c r="C708" s="18">
        <v>1</v>
      </c>
      <c r="D708" s="23">
        <f t="shared" ca="1" si="22"/>
        <v>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19201207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19201208</v>
      </c>
      <c r="C710" s="18">
        <v>1</v>
      </c>
      <c r="D710" s="23">
        <f t="shared" ca="1" si="22"/>
        <v>31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19201209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19201210</v>
      </c>
      <c r="C712" s="18">
        <v>1</v>
      </c>
      <c r="D712" s="23">
        <f t="shared" ca="1" si="22"/>
        <v>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19201211</v>
      </c>
      <c r="C713" s="18">
        <v>1</v>
      </c>
      <c r="D713" s="23">
        <f t="shared" ca="1" si="22"/>
        <v>61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19201212</v>
      </c>
      <c r="C714" s="18">
        <v>1</v>
      </c>
      <c r="D714" s="23">
        <f t="shared" ca="1" si="22"/>
        <v>46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19201213</v>
      </c>
      <c r="C715" s="18">
        <v>1</v>
      </c>
      <c r="D715" s="23">
        <f t="shared" ca="1" si="22"/>
        <v>7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19201214</v>
      </c>
      <c r="C716" s="18">
        <v>1</v>
      </c>
      <c r="D716" s="23">
        <f t="shared" ca="1" si="22"/>
        <v>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19201215</v>
      </c>
      <c r="C717" s="18">
        <v>1</v>
      </c>
      <c r="D717" s="23">
        <f t="shared" ca="1" si="22"/>
        <v>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19201216</v>
      </c>
      <c r="C718" s="18">
        <v>1</v>
      </c>
      <c r="D718" s="23">
        <f t="shared" ca="1" si="22"/>
        <v>1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19201217</v>
      </c>
      <c r="C719" s="18">
        <v>1</v>
      </c>
      <c r="D719" s="23">
        <f t="shared" ca="1" si="22"/>
        <v>46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19201218</v>
      </c>
      <c r="C720" s="18">
        <v>1</v>
      </c>
      <c r="D720" s="23">
        <f t="shared" ca="1" si="22"/>
        <v>15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19201219</v>
      </c>
      <c r="C721" s="18">
        <v>1</v>
      </c>
      <c r="D721" s="23">
        <f t="shared" ca="1" si="22"/>
        <v>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19201220</v>
      </c>
      <c r="C722" s="18">
        <v>1</v>
      </c>
      <c r="D722" s="23">
        <f t="shared" ca="1" si="22"/>
        <v>25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19201221</v>
      </c>
      <c r="C723" s="18">
        <v>1</v>
      </c>
      <c r="D723" s="23">
        <f t="shared" ca="1" si="22"/>
        <v>1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19201222</v>
      </c>
      <c r="C724" s="18">
        <v>1</v>
      </c>
      <c r="D724" s="23">
        <f t="shared" ca="1" si="22"/>
        <v>0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19201223</v>
      </c>
      <c r="C725" s="18">
        <v>1</v>
      </c>
      <c r="D725" s="23">
        <f t="shared" ca="1" si="22"/>
        <v>83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19201224</v>
      </c>
      <c r="C726" s="18">
        <v>1</v>
      </c>
      <c r="D726" s="23">
        <f t="shared" ca="1" si="22"/>
        <v>27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19201225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19201226</v>
      </c>
      <c r="C728" s="18">
        <v>1</v>
      </c>
      <c r="D728" s="23">
        <f t="shared" ca="1" si="22"/>
        <v>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19201227</v>
      </c>
      <c r="C729" s="18">
        <v>1</v>
      </c>
      <c r="D729" s="23">
        <f t="shared" ca="1" si="22"/>
        <v>26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19201228</v>
      </c>
      <c r="C730" s="18">
        <v>1</v>
      </c>
      <c r="D730" s="23">
        <f t="shared" ca="1" si="22"/>
        <v>308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19201229</v>
      </c>
      <c r="C731" s="18">
        <v>1</v>
      </c>
      <c r="D731" s="23">
        <f t="shared" ca="1" si="22"/>
        <v>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83</v>
      </c>
      <c r="B732" t="str">
        <f ca="1">TEXT(DATE(YEAR(Invoer!$A$5),1,1)+MOD(ROWS(B$2:B732)-1,DATE(YEAR(Invoer!$A$5),12,31)-DATE(YEAR(Invoer!$A$5),1,1)+1),"jjjjmmdd")</f>
        <v>19201230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83</v>
      </c>
      <c r="B733" t="str">
        <f ca="1">TEXT(DATE(YEAR(Invoer!$A$5),1,1)+MOD(ROWS(B$2:B733)-1,DATE(YEAR(Invoer!$A$5),12,31)-DATE(YEAR(Invoer!$A$5),1,1)+1),"jjjjmmdd")</f>
        <v>19201231</v>
      </c>
      <c r="C733" s="18">
        <v>1</v>
      </c>
      <c r="D733" s="23">
        <f t="shared" ca="1" si="22"/>
        <v>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19200101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19200102</v>
      </c>
      <c r="C735" s="18">
        <v>1</v>
      </c>
      <c r="D735" s="23">
        <f t="shared" ca="1" si="22"/>
        <v>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19200103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19200104</v>
      </c>
      <c r="C737" s="18">
        <v>1</v>
      </c>
      <c r="D737" s="23">
        <f t="shared" ca="1" si="22"/>
        <v>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19200105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19200106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19200107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19200108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19200109</v>
      </c>
      <c r="C742" s="18">
        <v>1</v>
      </c>
      <c r="D742" s="23">
        <f t="shared" ca="1" si="22"/>
        <v>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19200110</v>
      </c>
      <c r="C743" s="18">
        <v>1</v>
      </c>
      <c r="D743" s="23">
        <f t="shared" ca="1" si="22"/>
        <v>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19200111</v>
      </c>
      <c r="C744" s="18">
        <v>1</v>
      </c>
      <c r="D744" s="23">
        <f t="shared" ca="1" si="22"/>
        <v>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19200112</v>
      </c>
      <c r="C745" s="18">
        <v>1</v>
      </c>
      <c r="D745" s="23">
        <f t="shared" ca="1" si="22"/>
        <v>68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19200113</v>
      </c>
      <c r="C746" s="18">
        <v>1</v>
      </c>
      <c r="D746" s="23">
        <f t="shared" ca="1" si="22"/>
        <v>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19200114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19200115</v>
      </c>
      <c r="C748" s="18">
        <v>1</v>
      </c>
      <c r="D748" s="23">
        <f t="shared" ca="1" si="22"/>
        <v>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19200116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19200117</v>
      </c>
      <c r="C750" s="18">
        <v>1</v>
      </c>
      <c r="D750" s="23">
        <f t="shared" ca="1" si="22"/>
        <v>65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19200118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19200119</v>
      </c>
      <c r="C752" s="18">
        <v>1</v>
      </c>
      <c r="D752" s="23">
        <f t="shared" ca="1" si="22"/>
        <v>82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19200120</v>
      </c>
      <c r="C753" s="18">
        <v>1</v>
      </c>
      <c r="D753" s="23">
        <f t="shared" ca="1" si="22"/>
        <v>70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19200121</v>
      </c>
      <c r="C754" s="18">
        <v>1</v>
      </c>
      <c r="D754" s="23">
        <f t="shared" ca="1" si="22"/>
        <v>48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19200122</v>
      </c>
      <c r="C755" s="18">
        <v>1</v>
      </c>
      <c r="D755" s="23">
        <f t="shared" ca="1" si="22"/>
        <v>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19200123</v>
      </c>
      <c r="C756" s="18">
        <v>1</v>
      </c>
      <c r="D756" s="23">
        <f t="shared" ca="1" si="22"/>
        <v>160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19200124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19200125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19200126</v>
      </c>
      <c r="C759" s="18">
        <v>1</v>
      </c>
      <c r="D759" s="23">
        <f t="shared" ca="1" si="22"/>
        <v>80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19200127</v>
      </c>
      <c r="C760" s="18">
        <v>1</v>
      </c>
      <c r="D760" s="23">
        <f t="shared" ca="1" si="22"/>
        <v>70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19200128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19200129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19200130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19200131</v>
      </c>
      <c r="C764" s="18">
        <v>1</v>
      </c>
      <c r="D764" s="23">
        <f t="shared" ca="1" si="22"/>
        <v>60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19200201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19200202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19200203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19200204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19200205</v>
      </c>
      <c r="C769" s="18">
        <v>1</v>
      </c>
      <c r="D769" s="23">
        <f t="shared" ca="1" si="22"/>
        <v>43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19200206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19200207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19200208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19200209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19200210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19200211</v>
      </c>
      <c r="C775" s="18">
        <v>1</v>
      </c>
      <c r="D775" s="23">
        <f t="shared" ca="1" si="24"/>
        <v>68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19200212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19200213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19200214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19200215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19200216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19200217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19200218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19200219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19200220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19200221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19200222</v>
      </c>
      <c r="C786" s="18">
        <v>1</v>
      </c>
      <c r="D786" s="23">
        <f t="shared" ca="1" si="24"/>
        <v>120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19200223</v>
      </c>
      <c r="C787" s="18">
        <v>1</v>
      </c>
      <c r="D787" s="23">
        <f t="shared" ca="1" si="24"/>
        <v>190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19200224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19200225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19200226</v>
      </c>
      <c r="C790" s="18">
        <v>1</v>
      </c>
      <c r="D790" s="23">
        <f t="shared" ca="1" si="24"/>
        <v>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19200227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19200228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19200229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19200301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19200302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19200303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19200304</v>
      </c>
      <c r="C797" s="18">
        <v>1</v>
      </c>
      <c r="D797" s="23">
        <f t="shared" ca="1" si="24"/>
        <v>110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19200305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19200306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19200307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19200308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19200309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19200310</v>
      </c>
      <c r="C803" s="18">
        <v>1</v>
      </c>
      <c r="D803" s="23">
        <f t="shared" ca="1" si="24"/>
        <v>78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19200311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19200312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19200313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19200314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19200315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19200316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19200317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19200318</v>
      </c>
      <c r="C811" s="18">
        <v>1</v>
      </c>
      <c r="D811" s="23">
        <f t="shared" ca="1" si="24"/>
        <v>42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19200319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19200320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19200321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19200322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19200323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19200324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19200325</v>
      </c>
      <c r="C818" s="18">
        <v>1</v>
      </c>
      <c r="D818" s="23">
        <f t="shared" ca="1" si="24"/>
        <v>140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19200326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19200327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19200328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19200329</v>
      </c>
      <c r="C822" s="18">
        <v>1</v>
      </c>
      <c r="D822" s="23">
        <f t="shared" ca="1" si="24"/>
        <v>75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19200330</v>
      </c>
      <c r="C823" s="18">
        <v>1</v>
      </c>
      <c r="D823" s="23">
        <f t="shared" ca="1" si="24"/>
        <v>15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19200331</v>
      </c>
      <c r="C824" s="18">
        <v>1</v>
      </c>
      <c r="D824" s="23">
        <f t="shared" ca="1" si="24"/>
        <v>78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19200401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19200402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19200403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19200404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19200405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19200406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19200407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19200408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19200409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19200410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19200411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19200412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19200413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19200414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19200415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19200416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19200417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19200418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19200419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19200420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19200421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19200422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19200423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19200424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19200425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19200426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19200427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19200428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19200429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19200430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19200501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19200502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19200503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19200504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19200505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19200506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19200507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19200508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19200509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19200510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19200511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19200512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19200513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19200514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19200515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19200516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19200517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19200518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19200519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19200520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19200521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19200522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19200523</v>
      </c>
      <c r="C877" s="18">
        <v>1</v>
      </c>
      <c r="D877" s="23">
        <f t="shared" ca="1" si="26"/>
        <v>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19200524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19200525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19200526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19200527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19200528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19200529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19200530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19200531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19200601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19200602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19200603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19200604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19200605</v>
      </c>
      <c r="C890" s="18">
        <v>1</v>
      </c>
      <c r="D890" s="23">
        <f t="shared" ca="1" si="26"/>
        <v>40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19200606</v>
      </c>
      <c r="C891" s="18">
        <v>1</v>
      </c>
      <c r="D891" s="23">
        <f t="shared" ca="1" si="26"/>
        <v>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19200607</v>
      </c>
      <c r="C892" s="18">
        <v>1</v>
      </c>
      <c r="D892" s="23">
        <f t="shared" ca="1" si="26"/>
        <v>16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19200608</v>
      </c>
      <c r="C893" s="18">
        <v>1</v>
      </c>
      <c r="D893" s="23">
        <f t="shared" ca="1" si="26"/>
        <v>60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19200609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19200610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19200611</v>
      </c>
      <c r="C896" s="18">
        <v>1</v>
      </c>
      <c r="D896" s="23">
        <f t="shared" ca="1" si="26"/>
        <v>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19200612</v>
      </c>
      <c r="C897" s="18">
        <v>1</v>
      </c>
      <c r="D897" s="23">
        <f t="shared" ca="1" si="26"/>
        <v>0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19200613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19200614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19200615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19200616</v>
      </c>
      <c r="C901" s="18">
        <v>1</v>
      </c>
      <c r="D901" s="23">
        <f t="shared" ca="1" si="28"/>
        <v>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19200617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19200618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19200619</v>
      </c>
      <c r="C904" s="18">
        <v>1</v>
      </c>
      <c r="D904" s="23">
        <f t="shared" ca="1" si="28"/>
        <v>90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19200620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19200621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19200622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19200623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19200624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19200625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19200626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19200627</v>
      </c>
      <c r="C912" s="18">
        <v>1</v>
      </c>
      <c r="D912" s="23">
        <f t="shared" ca="1" si="28"/>
        <v>180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19200628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19200629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19200630</v>
      </c>
      <c r="C915" s="18">
        <v>1</v>
      </c>
      <c r="D915" s="23">
        <f t="shared" ca="1" si="28"/>
        <v>75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19200701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19200702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19200703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19200704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19200705</v>
      </c>
      <c r="C920" s="18">
        <v>1</v>
      </c>
      <c r="D920" s="23">
        <f t="shared" ca="1" si="28"/>
        <v>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19200706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19200707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19200708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19200709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19200710</v>
      </c>
      <c r="C925" s="18">
        <v>1</v>
      </c>
      <c r="D925" s="23">
        <f t="shared" ca="1" si="28"/>
        <v>145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19200711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19200712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19200713</v>
      </c>
      <c r="C928" s="18">
        <v>1</v>
      </c>
      <c r="D928" s="23">
        <f t="shared" ca="1" si="28"/>
        <v>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19200714</v>
      </c>
      <c r="C929" s="18">
        <v>1</v>
      </c>
      <c r="D929" s="23">
        <f t="shared" ca="1" si="28"/>
        <v>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19200715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19200716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19200717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19200718</v>
      </c>
      <c r="C933" s="18">
        <v>1</v>
      </c>
      <c r="D933" s="23">
        <f t="shared" ca="1" si="28"/>
        <v>90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19200719</v>
      </c>
      <c r="C934" s="18">
        <v>1</v>
      </c>
      <c r="D934" s="23">
        <f t="shared" ca="1" si="28"/>
        <v>60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19200720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19200721</v>
      </c>
      <c r="C936" s="18">
        <v>1</v>
      </c>
      <c r="D936" s="23">
        <f t="shared" ca="1" si="28"/>
        <v>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19200722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19200723</v>
      </c>
      <c r="C938" s="18">
        <v>1</v>
      </c>
      <c r="D938" s="23">
        <f t="shared" ca="1" si="28"/>
        <v>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19200724</v>
      </c>
      <c r="C939" s="18">
        <v>1</v>
      </c>
      <c r="D939" s="23">
        <f t="shared" ca="1" si="28"/>
        <v>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19200725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19200726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19200727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19200728</v>
      </c>
      <c r="C943" s="18">
        <v>1</v>
      </c>
      <c r="D943" s="23">
        <f t="shared" ca="1" si="28"/>
        <v>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19200729</v>
      </c>
      <c r="C944" s="18">
        <v>1</v>
      </c>
      <c r="D944" s="23">
        <f t="shared" ca="1" si="28"/>
        <v>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19200730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19200731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19200801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19200802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19200803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19200804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19200805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19200806</v>
      </c>
      <c r="C952" s="18">
        <v>1</v>
      </c>
      <c r="D952" s="23">
        <f t="shared" ca="1" si="28"/>
        <v>40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19200807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19200808</v>
      </c>
      <c r="C954" s="18">
        <v>1</v>
      </c>
      <c r="D954" s="23">
        <f t="shared" ca="1" si="28"/>
        <v>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19200809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19200810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19200811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19200812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19200813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19200814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19200815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19200816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19200817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19200818</v>
      </c>
      <c r="C964" s="18">
        <v>1</v>
      </c>
      <c r="D964" s="23">
        <f t="shared" ca="1" si="30"/>
        <v>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19200819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19200820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19200821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19200822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19200823</v>
      </c>
      <c r="C969" s="18">
        <v>1</v>
      </c>
      <c r="D969" s="23">
        <f t="shared" ca="1" si="30"/>
        <v>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19200824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19200825</v>
      </c>
      <c r="C971" s="18">
        <v>1</v>
      </c>
      <c r="D971" s="23">
        <f t="shared" ca="1" si="30"/>
        <v>50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19200826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19200827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19200828</v>
      </c>
      <c r="C974" s="18">
        <v>1</v>
      </c>
      <c r="D974" s="23">
        <f t="shared" ca="1" si="30"/>
        <v>70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19200829</v>
      </c>
      <c r="C975" s="18">
        <v>1</v>
      </c>
      <c r="D975" s="23">
        <f t="shared" ca="1" si="30"/>
        <v>100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19200830</v>
      </c>
      <c r="C976" s="18">
        <v>1</v>
      </c>
      <c r="D976" s="23">
        <f t="shared" ca="1" si="30"/>
        <v>65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19200831</v>
      </c>
      <c r="C977" s="18">
        <v>1</v>
      </c>
      <c r="D977" s="23">
        <f t="shared" ca="1" si="30"/>
        <v>75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19200901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19200902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19200903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19200904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19200905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19200906</v>
      </c>
      <c r="C983" s="18">
        <v>1</v>
      </c>
      <c r="D983" s="23">
        <f t="shared" ca="1" si="30"/>
        <v>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19200907</v>
      </c>
      <c r="C984" s="18">
        <v>1</v>
      </c>
      <c r="D984" s="23">
        <f t="shared" ca="1" si="30"/>
        <v>70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19200908</v>
      </c>
      <c r="C985" s="18">
        <v>1</v>
      </c>
      <c r="D985" s="23">
        <f t="shared" ca="1" si="30"/>
        <v>100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19200909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19200910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19200911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19200912</v>
      </c>
      <c r="C989" s="18">
        <v>1</v>
      </c>
      <c r="D989" s="23">
        <f t="shared" ca="1" si="30"/>
        <v>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19200913</v>
      </c>
      <c r="C990" s="18">
        <v>1</v>
      </c>
      <c r="D990" s="23">
        <f t="shared" ca="1" si="30"/>
        <v>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19200914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19200915</v>
      </c>
      <c r="C992" s="18">
        <v>1</v>
      </c>
      <c r="D992" s="23">
        <f t="shared" ca="1" si="30"/>
        <v>120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19200916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19200917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19200918</v>
      </c>
      <c r="C995" s="18">
        <v>1</v>
      </c>
      <c r="D995" s="23">
        <f t="shared" ca="1" si="30"/>
        <v>30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19200919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19200920</v>
      </c>
      <c r="C997" s="18">
        <v>1</v>
      </c>
      <c r="D997" s="23">
        <f t="shared" ca="1" si="30"/>
        <v>160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19200921</v>
      </c>
      <c r="C998" s="18">
        <v>1</v>
      </c>
      <c r="D998" s="23">
        <f t="shared" ca="1" si="30"/>
        <v>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19200922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19200923</v>
      </c>
      <c r="C1000" s="18">
        <v>1</v>
      </c>
      <c r="D1000" s="23">
        <f t="shared" ca="1" si="30"/>
        <v>93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19200924</v>
      </c>
      <c r="C1001" s="18">
        <v>1</v>
      </c>
      <c r="D1001" s="23">
        <f t="shared" ca="1" si="30"/>
        <v>42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19200925</v>
      </c>
      <c r="C1002" s="18">
        <v>1</v>
      </c>
      <c r="D1002" s="23">
        <f t="shared" ca="1" si="30"/>
        <v>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19200926</v>
      </c>
      <c r="C1003" s="18">
        <v>1</v>
      </c>
      <c r="D1003" s="23">
        <f t="shared" ca="1" si="30"/>
        <v>40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19200927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19200928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19200929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19200930</v>
      </c>
      <c r="C1007" s="18">
        <v>1</v>
      </c>
      <c r="D1007" s="23">
        <f t="shared" ca="1" si="30"/>
        <v>40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19201001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19201002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19201003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19201004</v>
      </c>
      <c r="C1011" s="18">
        <v>1</v>
      </c>
      <c r="D1011" s="23">
        <f t="shared" ca="1" si="30"/>
        <v>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19201005</v>
      </c>
      <c r="C1012" s="18">
        <v>1</v>
      </c>
      <c r="D1012" s="23">
        <f t="shared" ca="1" si="30"/>
        <v>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19201006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19201007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19201008</v>
      </c>
      <c r="C1015" s="18">
        <v>1</v>
      </c>
      <c r="D1015" s="23">
        <f t="shared" ca="1" si="30"/>
        <v>80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19201009</v>
      </c>
      <c r="C1016" s="18">
        <v>1</v>
      </c>
      <c r="D1016" s="23">
        <f t="shared" ca="1" si="30"/>
        <v>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19201010</v>
      </c>
      <c r="C1017" s="18">
        <v>1</v>
      </c>
      <c r="D1017" s="23">
        <f t="shared" ca="1" si="30"/>
        <v>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19201011</v>
      </c>
      <c r="C1018" s="18">
        <v>1</v>
      </c>
      <c r="D1018" s="23">
        <f t="shared" ca="1" si="30"/>
        <v>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19201012</v>
      </c>
      <c r="C1019" s="18">
        <v>1</v>
      </c>
      <c r="D1019" s="23">
        <f t="shared" ca="1" si="30"/>
        <v>150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19201013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19201014</v>
      </c>
      <c r="C1021" s="18">
        <v>1</v>
      </c>
      <c r="D1021" s="23">
        <f t="shared" ca="1" si="30"/>
        <v>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19201015</v>
      </c>
      <c r="C1022" s="18">
        <v>1</v>
      </c>
      <c r="D1022" s="23">
        <f t="shared" ca="1" si="30"/>
        <v>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19201016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19201017</v>
      </c>
      <c r="C1024" s="18">
        <v>1</v>
      </c>
      <c r="D1024" s="23">
        <f t="shared" ca="1" si="30"/>
        <v>70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19201018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19201019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48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19201020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19201021</v>
      </c>
      <c r="C1028" s="18">
        <v>1</v>
      </c>
      <c r="D1028" s="23">
        <f t="shared" ca="1" si="32"/>
        <v>60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19201022</v>
      </c>
      <c r="C1029" s="18">
        <v>1</v>
      </c>
      <c r="D1029" s="23">
        <f t="shared" ca="1" si="32"/>
        <v>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19201023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19201024</v>
      </c>
      <c r="C1031" s="18">
        <v>1</v>
      </c>
      <c r="D1031" s="23">
        <f t="shared" ca="1" si="32"/>
        <v>57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19201025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19201026</v>
      </c>
      <c r="C1033" s="18">
        <v>1</v>
      </c>
      <c r="D1033" s="23">
        <f t="shared" ca="1" si="32"/>
        <v>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19201027</v>
      </c>
      <c r="C1034" s="18">
        <v>1</v>
      </c>
      <c r="D1034" s="23">
        <f t="shared" ca="1" si="32"/>
        <v>20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19201028</v>
      </c>
      <c r="C1035" s="18">
        <v>1</v>
      </c>
      <c r="D1035" s="23">
        <f t="shared" ca="1" si="32"/>
        <v>30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19201029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19201030</v>
      </c>
      <c r="C1037" s="18">
        <v>1</v>
      </c>
      <c r="D1037" s="23">
        <f t="shared" ca="1" si="32"/>
        <v>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19201031</v>
      </c>
      <c r="C1038" s="18">
        <v>1</v>
      </c>
      <c r="D1038" s="23">
        <f t="shared" ca="1" si="32"/>
        <v>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19201101</v>
      </c>
      <c r="C1039" s="18">
        <v>1</v>
      </c>
      <c r="D1039" s="23">
        <f t="shared" ca="1" si="32"/>
        <v>152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19201102</v>
      </c>
      <c r="C1040" s="18">
        <v>1</v>
      </c>
      <c r="D1040" s="23">
        <f t="shared" ca="1" si="32"/>
        <v>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19201103</v>
      </c>
      <c r="C1041" s="18">
        <v>1</v>
      </c>
      <c r="D1041" s="23">
        <f t="shared" ca="1" si="32"/>
        <v>160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19201104</v>
      </c>
      <c r="C1042" s="18">
        <v>1</v>
      </c>
      <c r="D1042" s="23">
        <f t="shared" ca="1" si="32"/>
        <v>101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19201105</v>
      </c>
      <c r="C1043" s="18">
        <v>1</v>
      </c>
      <c r="D1043" s="23">
        <f t="shared" ca="1" si="32"/>
        <v>98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19201106</v>
      </c>
      <c r="C1044" s="18">
        <v>1</v>
      </c>
      <c r="D1044" s="23">
        <f t="shared" ca="1" si="32"/>
        <v>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19201107</v>
      </c>
      <c r="C1045" s="18">
        <v>1</v>
      </c>
      <c r="D1045" s="23">
        <f t="shared" ca="1" si="32"/>
        <v>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19201108</v>
      </c>
      <c r="C1046" s="18">
        <v>1</v>
      </c>
      <c r="D1046" s="23">
        <f t="shared" ca="1" si="32"/>
        <v>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19201109</v>
      </c>
      <c r="C1047" s="18">
        <v>1</v>
      </c>
      <c r="D1047" s="23">
        <f t="shared" ca="1" si="32"/>
        <v>80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19201110</v>
      </c>
      <c r="C1048" s="18">
        <v>1</v>
      </c>
      <c r="D1048" s="23">
        <f t="shared" ca="1" si="32"/>
        <v>11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19201111</v>
      </c>
      <c r="C1049" s="18">
        <v>1</v>
      </c>
      <c r="D1049" s="23">
        <f t="shared" ca="1" si="32"/>
        <v>12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19201112</v>
      </c>
      <c r="C1050" s="18">
        <v>1</v>
      </c>
      <c r="D1050" s="23">
        <f t="shared" ca="1" si="32"/>
        <v>55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19201113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19201114</v>
      </c>
      <c r="C1052" s="18">
        <v>1</v>
      </c>
      <c r="D1052" s="23">
        <f t="shared" ca="1" si="32"/>
        <v>82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19201115</v>
      </c>
      <c r="C1053" s="18">
        <v>1</v>
      </c>
      <c r="D1053" s="23">
        <f t="shared" ca="1" si="32"/>
        <v>5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19201116</v>
      </c>
      <c r="C1054" s="18">
        <v>1</v>
      </c>
      <c r="D1054" s="23">
        <f t="shared" ca="1" si="32"/>
        <v>43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19201117</v>
      </c>
      <c r="C1055" s="18">
        <v>1</v>
      </c>
      <c r="D1055" s="23">
        <f t="shared" ca="1" si="32"/>
        <v>12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19201118</v>
      </c>
      <c r="C1056" s="18">
        <v>1</v>
      </c>
      <c r="D1056" s="23">
        <f t="shared" ca="1" si="32"/>
        <v>124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19201119</v>
      </c>
      <c r="C1057" s="18">
        <v>1</v>
      </c>
      <c r="D1057" s="23">
        <f t="shared" ca="1" si="32"/>
        <v>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19201120</v>
      </c>
      <c r="C1058" s="18">
        <v>1</v>
      </c>
      <c r="D1058" s="23">
        <f t="shared" ca="1" si="32"/>
        <v>7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19201121</v>
      </c>
      <c r="C1059" s="18">
        <v>1</v>
      </c>
      <c r="D1059" s="23">
        <f t="shared" ca="1" si="32"/>
        <v>15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19201122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19201123</v>
      </c>
      <c r="C1061" s="18">
        <v>1</v>
      </c>
      <c r="D1061" s="23">
        <f t="shared" ca="1" si="32"/>
        <v>21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19201124</v>
      </c>
      <c r="C1062" s="18">
        <v>1</v>
      </c>
      <c r="D1062" s="23">
        <f t="shared" ca="1" si="32"/>
        <v>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19201125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19201126</v>
      </c>
      <c r="C1064" s="18">
        <v>1</v>
      </c>
      <c r="D1064" s="23">
        <f t="shared" ca="1" si="32"/>
        <v>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19201127</v>
      </c>
      <c r="C1065" s="18">
        <v>1</v>
      </c>
      <c r="D1065" s="23">
        <f t="shared" ca="1" si="32"/>
        <v>6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19201128</v>
      </c>
      <c r="C1066" s="18">
        <v>1</v>
      </c>
      <c r="D1066" s="23">
        <f t="shared" ca="1" si="32"/>
        <v>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19201129</v>
      </c>
      <c r="C1067" s="18">
        <v>1</v>
      </c>
      <c r="D1067" s="23">
        <f t="shared" ca="1" si="32"/>
        <v>10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19201130</v>
      </c>
      <c r="C1068" s="18">
        <v>1</v>
      </c>
      <c r="D1068" s="23">
        <f t="shared" ca="1" si="32"/>
        <v>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19201201</v>
      </c>
      <c r="C1069" s="18">
        <v>1</v>
      </c>
      <c r="D1069" s="23">
        <f t="shared" ca="1" si="32"/>
        <v>21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19201202</v>
      </c>
      <c r="C1070" s="18">
        <v>1</v>
      </c>
      <c r="D1070" s="23">
        <f t="shared" ca="1" si="32"/>
        <v>30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19201203</v>
      </c>
      <c r="C1071" s="18">
        <v>1</v>
      </c>
      <c r="D1071" s="23">
        <f t="shared" ca="1" si="32"/>
        <v>12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19201204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19201205</v>
      </c>
      <c r="C1073" s="18">
        <v>1</v>
      </c>
      <c r="D1073" s="23">
        <f t="shared" ca="1" si="32"/>
        <v>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19201206</v>
      </c>
      <c r="C1074" s="18">
        <v>1</v>
      </c>
      <c r="D1074" s="23">
        <f t="shared" ca="1" si="32"/>
        <v>8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19201207</v>
      </c>
      <c r="C1075" s="18">
        <v>1</v>
      </c>
      <c r="D1075" s="23">
        <f t="shared" ca="1" si="32"/>
        <v>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19201208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19201209</v>
      </c>
      <c r="C1077" s="18">
        <v>1</v>
      </c>
      <c r="D1077" s="23">
        <f t="shared" ca="1" si="32"/>
        <v>23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19201210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19201211</v>
      </c>
      <c r="C1079" s="18">
        <v>1</v>
      </c>
      <c r="D1079" s="23">
        <f t="shared" ca="1" si="32"/>
        <v>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19201212</v>
      </c>
      <c r="C1080" s="18">
        <v>1</v>
      </c>
      <c r="D1080" s="23">
        <f t="shared" ca="1" si="32"/>
        <v>57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19201213</v>
      </c>
      <c r="C1081" s="18">
        <v>1</v>
      </c>
      <c r="D1081" s="23">
        <f t="shared" ca="1" si="32"/>
        <v>61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19201214</v>
      </c>
      <c r="C1082" s="18">
        <v>1</v>
      </c>
      <c r="D1082" s="23">
        <f t="shared" ca="1" si="32"/>
        <v>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19201215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19201216</v>
      </c>
      <c r="C1084" s="18">
        <v>1</v>
      </c>
      <c r="D1084" s="23">
        <f t="shared" ca="1" si="32"/>
        <v>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19201217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19201218</v>
      </c>
      <c r="C1086" s="18">
        <v>1</v>
      </c>
      <c r="D1086" s="23">
        <f t="shared" ca="1" si="32"/>
        <v>30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19201219</v>
      </c>
      <c r="C1087" s="18">
        <v>1</v>
      </c>
      <c r="D1087" s="23">
        <f t="shared" ca="1" si="32"/>
        <v>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19201220</v>
      </c>
      <c r="C1088" s="18">
        <v>1</v>
      </c>
      <c r="D1088" s="23">
        <f t="shared" ca="1" si="32"/>
        <v>48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19201221</v>
      </c>
      <c r="C1089" s="18">
        <v>1</v>
      </c>
      <c r="D1089" s="23">
        <f t="shared" ca="1" si="32"/>
        <v>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19201222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19201223</v>
      </c>
      <c r="C1091" s="18">
        <v>1</v>
      </c>
      <c r="D1091" s="23">
        <f t="shared" ca="1" si="34"/>
        <v>9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19201224</v>
      </c>
      <c r="C1092" s="18">
        <v>1</v>
      </c>
      <c r="D1092" s="23">
        <f t="shared" ca="1" si="34"/>
        <v>103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19201225</v>
      </c>
      <c r="C1093" s="18">
        <v>1</v>
      </c>
      <c r="D1093" s="23">
        <f t="shared" ca="1" si="34"/>
        <v>14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19201226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19201227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19201228</v>
      </c>
      <c r="C1096" s="18">
        <v>1</v>
      </c>
      <c r="D1096" s="23">
        <f t="shared" ca="1" si="34"/>
        <v>280</v>
      </c>
      <c r="E1096" s="24">
        <f t="shared" ca="1" si="35"/>
        <v>0</v>
      </c>
    </row>
    <row r="1097" spans="1:5" x14ac:dyDescent="0.25">
      <c r="A1097" s="17">
        <f ca="1">INDEX(Stations,INT((ROWS(A$2:A1097)-1)/(DATE(YEAR(Invoer!$A$5),12,31)-DATE(YEAR(Invoer!$A$5),1,1)+1))+2,1)</f>
        <v>82</v>
      </c>
      <c r="B1097" t="str">
        <f ca="1">TEXT(DATE(YEAR(Invoer!$A$5),1,1)+MOD(ROWS(B$2:B1097)-1,DATE(YEAR(Invoer!$A$5),12,31)-DATE(YEAR(Invoer!$A$5),1,1)+1),"jjjjmmdd")</f>
        <v>19201229</v>
      </c>
      <c r="C1097" s="18">
        <v>1</v>
      </c>
      <c r="D1097" s="23">
        <f t="shared" ref="D1097:D1099" ca="1" si="36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"—",VLOOKUP(DATEVALUE(LEFT(B1097,4)&amp;"-"&amp;MID(B1097,5,2)&amp;"-"&amp;RIGHT(B1097,2)),Data,MATCH(VLOOKUP(A1097,Stations,2,FALSE()),OFFSET(Data,1,0,1),0),FALSE()))</f>
        <v>279</v>
      </c>
      <c r="E1097" s="24">
        <f t="shared" ref="E1097:E1099" ca="1" si="37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Lacking,IF(ISNA(MATCH(DATEVALUE(LEFT(B1097,4)&amp;"-"&amp;MID(B1097,5,2)&amp;"-"&amp;RIGHT(B1097,2)),OFFSET(Catalogus,0,0,,1),0)),Ok,VLOOKUP(DATEVALUE(LEFT(B1097,4)&amp;"-"&amp;MID(B1097,5,2)&amp;"-"&amp;RIGHT(B1097,2)),Catalogus,MATCH(VLOOKUP(A1097,Stations,2,FALSE()),OFFSET(Catalogus,1,0,1),0),FALSE())))</f>
        <v>0</v>
      </c>
    </row>
    <row r="1098" spans="1:5" x14ac:dyDescent="0.25">
      <c r="A1098" s="17">
        <f ca="1">INDEX(Stations,INT((ROWS(A$2:A1098)-1)/(DATE(YEAR(Invoer!$A$5),12,31)-DATE(YEAR(Invoer!$A$5),1,1)+1))+2,1)</f>
        <v>82</v>
      </c>
      <c r="B1098" t="str">
        <f ca="1">TEXT(DATE(YEAR(Invoer!$A$5),1,1)+MOD(ROWS(B$2:B1098)-1,DATE(YEAR(Invoer!$A$5),12,31)-DATE(YEAR(Invoer!$A$5),1,1)+1),"jjjjmmdd")</f>
        <v>19201230</v>
      </c>
      <c r="C1098" s="18">
        <v>1</v>
      </c>
      <c r="D1098" s="23">
        <f t="shared" ca="1" si="36"/>
        <v>0</v>
      </c>
      <c r="E1098" s="24">
        <f t="shared" ca="1" si="37"/>
        <v>0</v>
      </c>
    </row>
    <row r="1099" spans="1:5" x14ac:dyDescent="0.25">
      <c r="A1099" s="17">
        <f ca="1">INDEX(Stations,INT((ROWS(A$2:A1099)-1)/(DATE(YEAR(Invoer!$A$5),12,31)-DATE(YEAR(Invoer!$A$5),1,1)+1))+2,1)</f>
        <v>82</v>
      </c>
      <c r="B1099" t="str">
        <f ca="1">TEXT(DATE(YEAR(Invoer!$A$5),1,1)+MOD(ROWS(B$2:B1099)-1,DATE(YEAR(Invoer!$A$5),12,31)-DATE(YEAR(Invoer!$A$5),1,1)+1),"jjjjmmdd")</f>
        <v>19201231</v>
      </c>
      <c r="C1099" s="18">
        <v>1</v>
      </c>
      <c r="D1099" s="23">
        <f t="shared" ca="1" si="36"/>
        <v>6</v>
      </c>
      <c r="E1099" s="24">
        <f t="shared" ca="1" si="37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I1099"/>
  <sheetViews>
    <sheetView workbookViewId="0"/>
  </sheetViews>
  <sheetFormatPr defaultRowHeight="15" x14ac:dyDescent="0.25"/>
  <sheetData>
    <row r="1" spans="1:9" x14ac:dyDescent="0.25">
      <c r="A1" s="16" t="s">
        <v>6</v>
      </c>
      <c r="B1" s="15" t="s">
        <v>4</v>
      </c>
      <c r="C1" s="16" t="s">
        <v>10</v>
      </c>
      <c r="D1" s="16" t="s">
        <v>11</v>
      </c>
      <c r="E1" s="16" t="s">
        <v>12</v>
      </c>
      <c r="F1" s="16" t="s">
        <v>36</v>
      </c>
      <c r="G1" s="16" t="s">
        <v>37</v>
      </c>
      <c r="H1" s="16" t="s">
        <v>38</v>
      </c>
      <c r="I1" s="16" t="s">
        <v>39</v>
      </c>
    </row>
    <row r="2" spans="1:9" x14ac:dyDescent="0.25">
      <c r="A2" s="17">
        <f t="shared" ref="A2:A65" si="0">INDEX(Stations,2,1)</f>
        <v>81</v>
      </c>
      <c r="B2" t="str">
        <f ca="1">TEXT(DATE(YEAR(Invoer!$A$5),1,1)+INT((ROWS(B$2:B2)-1)/3),"jjjjmmdd")</f>
        <v>19200101</v>
      </c>
      <c r="C2" s="35" t="str">
        <f>IF(MOD(ROWS(C$2:C2)-1,3)=2,"24.00",INDEX(Data,2,2+MOD(ROWS(C$2:C2)-1,3)))</f>
        <v>08.00</v>
      </c>
      <c r="D2" s="23">
        <f ca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,EXACT($C2,"24.00")),"—",VLOOKUP(DATEVALUE(LEFT($B2,4)&amp;"-"&amp;MID($B2,5,2)&amp;"-"&amp;RIGHT($B2,2)),Data,MATCH(LEFT(VLOOKUP(D$1,Parameters,2,FALSE()),4)&amp;"*",OFFSET(Data,0,0,1),0)+MATCH($C2,OFFSET(Data,1,0,1),0)-2,FALSE()))</f>
        <v>749</v>
      </c>
      <c r="E2" s="40">
        <f t="shared" ref="E2:E65" ca="1" si="1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 t="str">
        <f t="shared" ref="F2:F65" ca="1" si="2">IF(OR(ISBLANK(VLOOKUP(DATEVALUE(LEFT($B2,4)&amp;"-"&amp;MID($B2,5,2)&amp;"-"&amp;RIGHT($B2,2)),Data,MATCH(LEFT(VLOOKUP(F$1,Parameters,2,FALSE()),4)&amp;"*",OFFSET(Data,1,0,1),0),FALSE())),ISTEXT(VLOOKUP(DATEVALUE(LEFT($B2,4)&amp;"-"&amp;MID($B2,5,2)&amp;"-"&amp;RIGHT($B2,2)),Data,MATCH(LEFT(VLOOKUP(F$1,Parameters,2,FALSE()),4)&amp;"*",OFFSET(Data,1,0,1),0),FALSE())),NOT(EXACT($C2,"24.00"))),"—",VLOOKUP(DATEVALUE(LEFT($B2,4)&amp;"-"&amp;MID($B2,5,2)&amp;"-"&amp;RIGHT($B2,2)),Data,MATCH(LEFT(VLOOKUP(F$1,Parameters,2,FALSE()),4)&amp;"*",OFFSET(Data,1,0,1),0),FALSE()))</f>
        <v>—</v>
      </c>
      <c r="G2" s="40">
        <f t="shared" ref="G2:G65" ca="1" si="3">IF(OR(ISBLANK(VLOOKUP(DATEVALUE(LEFT($B2,4)&amp;"-"&amp;MID($B2,5,2)&amp;"-"&amp;RIGHT($B2,2)),Data,MATCH(LEFT(VLOOKUP(MID(G$1,2,LEN(G$1)-1),Parameters,2,FALSE()),4)&amp;"*",OFFSET(Data,1,0,1),0),FALSE())),ISTEXT(VLOOKUP(DATEVALUE(LEFT($B2,4)&amp;"-"&amp;MID($B2,5,2)&amp;"-"&amp;RIGHT($B2,2)),Data,MATCH(LEFT(VLOOKUP(MID(G$1,2,LEN(G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1,0,1),0),FALSE())))</f>
        <v>7</v>
      </c>
      <c r="H2" s="23" t="str">
        <f t="shared" ref="H2:H65" ca="1" si="4">IF(OR(ISBLANK(VLOOKUP(DATEVALUE(LEFT($B2,4)&amp;"-"&amp;MID($B2,5,2)&amp;"-"&amp;RIGHT($B2,2)),Data,MATCH(LEFT(VLOOKUP(H$1,Parameters,2,FALSE()),4)&amp;"*",OFFSET(Data,1,0,1),0),FALSE())),ISTEXT(VLOOKUP(DATEVALUE(LEFT($B2,4)&amp;"-"&amp;MID($B2,5,2)&amp;"-"&amp;RIGHT($B2,2)),Data,MATCH(LEFT(VLOOKUP(H$1,Parameters,2,FALSE()),4)&amp;"*",OFFSET(Data,1,0,1),0),FALSE())),NOT(EXACT($C2,"24.00"))),"—",VLOOKUP(DATEVALUE(LEFT($B2,4)&amp;"-"&amp;MID($B2,5,2)&amp;"-"&amp;RIGHT($B2,2)),Data,MATCH(LEFT(VLOOKUP(H$1,Parameters,2,FALSE()),4)&amp;"*",OFFSET(Data,1,0,1),0),FALSE()))</f>
        <v>—</v>
      </c>
      <c r="I2" s="40">
        <f t="shared" ref="I2:I65" ca="1" si="5">IF(OR(ISBLANK(VLOOKUP(DATEVALUE(LEFT($B2,4)&amp;"-"&amp;MID($B2,5,2)&amp;"-"&amp;RIGHT($B2,2)),Data,MATCH(LEFT(VLOOKUP(MID(I$1,2,LEN(I$1)-1),Parameters,2,FALSE()),4)&amp;"*",OFFSET(Data,1,0,1),0),FALSE())),ISTEXT(VLOOKUP(DATEVALUE(LEFT($B2,4)&amp;"-"&amp;MID($B2,5,2)&amp;"-"&amp;RIGHT($B2,2)),Data,MATCH(LEFT(VLOOKUP(MID(I$1,2,LEN(I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4)&amp;"*",OFFSET(Catalogus,1,0,1),0),FALSE())))</f>
        <v>7</v>
      </c>
    </row>
    <row r="3" spans="1:9" x14ac:dyDescent="0.25">
      <c r="A3" s="17">
        <f t="shared" si="0"/>
        <v>81</v>
      </c>
      <c r="B3" t="str">
        <f ca="1">TEXT(DATE(YEAR(Invoer!$A$5),1,1)+INT((ROWS(B$2:B3)-1)/3),"jjjjmmdd")</f>
        <v>19200101</v>
      </c>
      <c r="C3" s="35" t="str">
        <f>IF(MOD(ROWS(C$2:C3)-1,3)=2,"24.00",INDEX(Data,2,2+MOD(ROWS(C$2:C3)-1,3)))</f>
        <v>14.00</v>
      </c>
      <c r="D3" s="23">
        <f t="shared" ref="D3:D66" ca="1" si="6">IF(OR(ISBLANK(VLOOKUP(DATEVALUE(LEFT($B3,4)&amp;"-"&amp;MID($B3,5,2)&amp;"-"&amp;RIGHT($B3,2)),Data,MATCH(LEFT(VLOOKUP(D$1,Parameters,2,FALSE()),4)&amp;"*",OFFSET(Data,0,0,1),0)+MATCH($C3,OFFSET(Data,1,0,1),0)-2,FALSE())),ISTEXT(VLOOKUP(DATEVALUE(LEFT($B3,4)&amp;"-"&amp;MID($B3,5,2)&amp;"-"&amp;RIGHT($B3,2)),Data,MATCH(LEFT(VLOOKUP(D$1,Parameters,2,FALSE()),4)&amp;"*",OFFSET(Data,0,0,1),0)+MATCH($C3,OFFSET(Data,1,0,1),0)-2,FALSE())),EXACT(C3,"24.00")),"—",VLOOKUP(DATEVALUE(LEFT($B3,4)&amp;"-"&amp;MID($B3,5,2)&amp;"-"&amp;RIGHT($B3,2)),Data,MATCH(LEFT(VLOOKUP(D$1,Parameters,2,FALSE()),4)&amp;"*",OFFSET(Data,0,0,1),0)+MATCH($C3,OFFSET(Data,1,0,1),0)-2,FALSE()))</f>
        <v>748</v>
      </c>
      <c r="E3" s="40">
        <f t="shared" ca="1" si="1"/>
        <v>0</v>
      </c>
      <c r="F3" s="23" t="str">
        <f t="shared" ca="1" si="2"/>
        <v>—</v>
      </c>
      <c r="G3" s="40">
        <f t="shared" ca="1" si="3"/>
        <v>7</v>
      </c>
      <c r="H3" s="23" t="str">
        <f t="shared" ca="1" si="4"/>
        <v>—</v>
      </c>
      <c r="I3" s="40">
        <f t="shared" ca="1" si="5"/>
        <v>7</v>
      </c>
    </row>
    <row r="4" spans="1:9" x14ac:dyDescent="0.25">
      <c r="A4" s="17">
        <f t="shared" si="0"/>
        <v>81</v>
      </c>
      <c r="B4" t="str">
        <f ca="1">TEXT(DATE(YEAR(Invoer!$A$5),1,1)+INT((ROWS(B$2:B4)-1)/3),"jjjjmmdd")</f>
        <v>19200101</v>
      </c>
      <c r="C4" s="35" t="str">
        <f>IF(MOD(ROWS(C$2:C4)-1,3)=2,"24.00",INDEX(Data,2,2+MOD(ROWS(C$2:C4)-1,3)))</f>
        <v>24.00</v>
      </c>
      <c r="D4" s="23" t="str">
        <f t="shared" ca="1" si="6"/>
        <v>—</v>
      </c>
      <c r="E4" s="40">
        <f t="shared" ca="1" si="1"/>
        <v>7</v>
      </c>
      <c r="F4" s="23">
        <f t="shared" ca="1" si="2"/>
        <v>25</v>
      </c>
      <c r="G4" s="40">
        <f t="shared" ca="1" si="3"/>
        <v>0</v>
      </c>
      <c r="H4" s="23">
        <f t="shared" ca="1" si="4"/>
        <v>27</v>
      </c>
      <c r="I4" s="40">
        <f t="shared" ca="1" si="5"/>
        <v>0</v>
      </c>
    </row>
    <row r="5" spans="1:9" x14ac:dyDescent="0.25">
      <c r="A5" s="17">
        <f t="shared" si="0"/>
        <v>81</v>
      </c>
      <c r="B5" t="str">
        <f ca="1">TEXT(DATE(YEAR(Invoer!$A$5),1,1)+INT((ROWS(B$2:B5)-1)/3),"jjjjmmdd")</f>
        <v>19200102</v>
      </c>
      <c r="C5" s="35" t="str">
        <f>IF(MOD(ROWS(C$2:C5)-1,3)=2,"24.00",INDEX(Data,2,2+MOD(ROWS(C$2:C5)-1,3)))</f>
        <v>08.00</v>
      </c>
      <c r="D5" s="23">
        <f t="shared" ca="1" si="6"/>
        <v>749.5</v>
      </c>
      <c r="E5" s="40">
        <f t="shared" ca="1" si="1"/>
        <v>0</v>
      </c>
      <c r="F5" s="23" t="str">
        <f t="shared" ca="1" si="2"/>
        <v>—</v>
      </c>
      <c r="G5" s="40">
        <f t="shared" ca="1" si="3"/>
        <v>7</v>
      </c>
      <c r="H5" s="23" t="str">
        <f t="shared" ca="1" si="4"/>
        <v>—</v>
      </c>
      <c r="I5" s="40">
        <f t="shared" ca="1" si="5"/>
        <v>7</v>
      </c>
    </row>
    <row r="6" spans="1:9" x14ac:dyDescent="0.25">
      <c r="A6" s="17">
        <f t="shared" si="0"/>
        <v>81</v>
      </c>
      <c r="B6" t="str">
        <f ca="1">TEXT(DATE(YEAR(Invoer!$A$5),1,1)+INT((ROWS(B$2:B6)-1)/3),"jjjjmmdd")</f>
        <v>19200102</v>
      </c>
      <c r="C6" s="35" t="str">
        <f>IF(MOD(ROWS(C$2:C6)-1,3)=2,"24.00",INDEX(Data,2,2+MOD(ROWS(C$2:C6)-1,3)))</f>
        <v>14.00</v>
      </c>
      <c r="D6" s="23">
        <f t="shared" ca="1" si="6"/>
        <v>748</v>
      </c>
      <c r="E6" s="40">
        <f t="shared" ca="1" si="1"/>
        <v>0</v>
      </c>
      <c r="F6" s="23" t="str">
        <f t="shared" ca="1" si="2"/>
        <v>—</v>
      </c>
      <c r="G6" s="40">
        <f t="shared" ca="1" si="3"/>
        <v>7</v>
      </c>
      <c r="H6" s="23" t="str">
        <f t="shared" ca="1" si="4"/>
        <v>—</v>
      </c>
      <c r="I6" s="40">
        <f t="shared" ca="1" si="5"/>
        <v>7</v>
      </c>
    </row>
    <row r="7" spans="1:9" x14ac:dyDescent="0.25">
      <c r="A7" s="17">
        <f t="shared" si="0"/>
        <v>81</v>
      </c>
      <c r="B7" t="str">
        <f ca="1">TEXT(DATE(YEAR(Invoer!$A$5),1,1)+INT((ROWS(B$2:B7)-1)/3),"jjjjmmdd")</f>
        <v>19200102</v>
      </c>
      <c r="C7" s="35" t="str">
        <f>IF(MOD(ROWS(C$2:C7)-1,3)=2,"24.00",INDEX(Data,2,2+MOD(ROWS(C$2:C7)-1,3)))</f>
        <v>24.00</v>
      </c>
      <c r="D7" s="23" t="str">
        <f t="shared" ca="1" si="6"/>
        <v>—</v>
      </c>
      <c r="E7" s="40">
        <f t="shared" ca="1" si="1"/>
        <v>7</v>
      </c>
      <c r="F7" s="23">
        <f t="shared" ca="1" si="2"/>
        <v>25.8</v>
      </c>
      <c r="G7" s="40">
        <f t="shared" ca="1" si="3"/>
        <v>0</v>
      </c>
      <c r="H7" s="23">
        <f t="shared" ca="1" si="4"/>
        <v>28</v>
      </c>
      <c r="I7" s="40">
        <f t="shared" ca="1" si="5"/>
        <v>0</v>
      </c>
    </row>
    <row r="8" spans="1:9" x14ac:dyDescent="0.25">
      <c r="A8" s="17">
        <f t="shared" si="0"/>
        <v>81</v>
      </c>
      <c r="B8" t="str">
        <f ca="1">TEXT(DATE(YEAR(Invoer!$A$5),1,1)+INT((ROWS(B$2:B8)-1)/3),"jjjjmmdd")</f>
        <v>19200103</v>
      </c>
      <c r="C8" s="35" t="str">
        <f>IF(MOD(ROWS(C$2:C8)-1,3)=2,"24.00",INDEX(Data,2,2+MOD(ROWS(C$2:C8)-1,3)))</f>
        <v>08.00</v>
      </c>
      <c r="D8" s="23">
        <f t="shared" ca="1" si="6"/>
        <v>748.3</v>
      </c>
      <c r="E8" s="40">
        <f t="shared" ca="1" si="1"/>
        <v>0</v>
      </c>
      <c r="F8" s="23" t="str">
        <f t="shared" ca="1" si="2"/>
        <v>—</v>
      </c>
      <c r="G8" s="40">
        <f t="shared" ca="1" si="3"/>
        <v>7</v>
      </c>
      <c r="H8" s="23" t="str">
        <f t="shared" ca="1" si="4"/>
        <v>—</v>
      </c>
      <c r="I8" s="40">
        <f t="shared" ca="1" si="5"/>
        <v>7</v>
      </c>
    </row>
    <row r="9" spans="1:9" x14ac:dyDescent="0.25">
      <c r="A9" s="17">
        <f t="shared" si="0"/>
        <v>81</v>
      </c>
      <c r="B9" t="str">
        <f ca="1">TEXT(DATE(YEAR(Invoer!$A$5),1,1)+INT((ROWS(B$2:B9)-1)/3),"jjjjmmdd")</f>
        <v>19200103</v>
      </c>
      <c r="C9" s="35" t="str">
        <f>IF(MOD(ROWS(C$2:C9)-1,3)=2,"24.00",INDEX(Data,2,2+MOD(ROWS(C$2:C9)-1,3)))</f>
        <v>14.00</v>
      </c>
      <c r="D9" s="23">
        <f t="shared" ca="1" si="6"/>
        <v>748</v>
      </c>
      <c r="E9" s="40">
        <f t="shared" ca="1" si="1"/>
        <v>0</v>
      </c>
      <c r="F9" s="23" t="str">
        <f t="shared" ca="1" si="2"/>
        <v>—</v>
      </c>
      <c r="G9" s="40">
        <f t="shared" ca="1" si="3"/>
        <v>7</v>
      </c>
      <c r="H9" s="23" t="str">
        <f t="shared" ca="1" si="4"/>
        <v>—</v>
      </c>
      <c r="I9" s="40">
        <f t="shared" ca="1" si="5"/>
        <v>7</v>
      </c>
    </row>
    <row r="10" spans="1:9" x14ac:dyDescent="0.25">
      <c r="A10" s="17">
        <f t="shared" si="0"/>
        <v>81</v>
      </c>
      <c r="B10" t="str">
        <f ca="1">TEXT(DATE(YEAR(Invoer!$A$5),1,1)+INT((ROWS(B$2:B10)-1)/3),"jjjjmmdd")</f>
        <v>19200103</v>
      </c>
      <c r="C10" s="35" t="str">
        <f>IF(MOD(ROWS(C$2:C10)-1,3)=2,"24.00",INDEX(Data,2,2+MOD(ROWS(C$2:C10)-1,3)))</f>
        <v>24.00</v>
      </c>
      <c r="D10" s="23" t="str">
        <f t="shared" ca="1" si="6"/>
        <v>—</v>
      </c>
      <c r="E10" s="40">
        <f t="shared" ca="1" si="1"/>
        <v>7</v>
      </c>
      <c r="F10" s="23">
        <f t="shared" ca="1" si="2"/>
        <v>25.5</v>
      </c>
      <c r="G10" s="40">
        <f t="shared" ca="1" si="3"/>
        <v>0</v>
      </c>
      <c r="H10" s="23">
        <f t="shared" ca="1" si="4"/>
        <v>29</v>
      </c>
      <c r="I10" s="40">
        <f t="shared" ca="1" si="5"/>
        <v>0</v>
      </c>
    </row>
    <row r="11" spans="1:9" x14ac:dyDescent="0.25">
      <c r="A11" s="17">
        <f t="shared" si="0"/>
        <v>81</v>
      </c>
      <c r="B11" t="str">
        <f ca="1">TEXT(DATE(YEAR(Invoer!$A$5),1,1)+INT((ROWS(B$2:B11)-1)/3),"jjjjmmdd")</f>
        <v>19200104</v>
      </c>
      <c r="C11" s="35" t="str">
        <f>IF(MOD(ROWS(C$2:C11)-1,3)=2,"24.00",INDEX(Data,2,2+MOD(ROWS(C$2:C11)-1,3)))</f>
        <v>08.00</v>
      </c>
      <c r="D11" s="23">
        <f t="shared" ca="1" si="6"/>
        <v>748.5</v>
      </c>
      <c r="E11" s="40">
        <f t="shared" ca="1" si="1"/>
        <v>0</v>
      </c>
      <c r="F11" s="23" t="str">
        <f t="shared" ca="1" si="2"/>
        <v>—</v>
      </c>
      <c r="G11" s="40">
        <f t="shared" ca="1" si="3"/>
        <v>7</v>
      </c>
      <c r="H11" s="23" t="str">
        <f t="shared" ca="1" si="4"/>
        <v>—</v>
      </c>
      <c r="I11" s="40">
        <f t="shared" ca="1" si="5"/>
        <v>7</v>
      </c>
    </row>
    <row r="12" spans="1:9" x14ac:dyDescent="0.25">
      <c r="A12" s="17">
        <f t="shared" si="0"/>
        <v>81</v>
      </c>
      <c r="B12" t="str">
        <f ca="1">TEXT(DATE(YEAR(Invoer!$A$5),1,1)+INT((ROWS(B$2:B12)-1)/3),"jjjjmmdd")</f>
        <v>19200104</v>
      </c>
      <c r="C12" s="35" t="str">
        <f>IF(MOD(ROWS(C$2:C12)-1,3)=2,"24.00",INDEX(Data,2,2+MOD(ROWS(C$2:C12)-1,3)))</f>
        <v>14.00</v>
      </c>
      <c r="D12" s="23">
        <f t="shared" ca="1" si="6"/>
        <v>748.5</v>
      </c>
      <c r="E12" s="40">
        <f t="shared" ca="1" si="1"/>
        <v>0</v>
      </c>
      <c r="F12" s="23" t="str">
        <f t="shared" ca="1" si="2"/>
        <v>—</v>
      </c>
      <c r="G12" s="40">
        <f t="shared" ca="1" si="3"/>
        <v>7</v>
      </c>
      <c r="H12" s="23" t="str">
        <f t="shared" ca="1" si="4"/>
        <v>—</v>
      </c>
      <c r="I12" s="40">
        <f t="shared" ca="1" si="5"/>
        <v>7</v>
      </c>
    </row>
    <row r="13" spans="1:9" x14ac:dyDescent="0.25">
      <c r="A13" s="17">
        <f t="shared" si="0"/>
        <v>81</v>
      </c>
      <c r="B13" t="str">
        <f ca="1">TEXT(DATE(YEAR(Invoer!$A$5),1,1)+INT((ROWS(B$2:B13)-1)/3),"jjjjmmdd")</f>
        <v>19200104</v>
      </c>
      <c r="C13" s="35" t="str">
        <f>IF(MOD(ROWS(C$2:C13)-1,3)=2,"24.00",INDEX(Data,2,2+MOD(ROWS(C$2:C13)-1,3)))</f>
        <v>24.00</v>
      </c>
      <c r="D13" s="23" t="str">
        <f t="shared" ca="1" si="6"/>
        <v>—</v>
      </c>
      <c r="E13" s="40">
        <f t="shared" ca="1" si="1"/>
        <v>7</v>
      </c>
      <c r="F13" s="23">
        <f t="shared" ca="1" si="2"/>
        <v>25.5</v>
      </c>
      <c r="G13" s="40">
        <f t="shared" ca="1" si="3"/>
        <v>0</v>
      </c>
      <c r="H13" s="23">
        <f t="shared" ca="1" si="4"/>
        <v>29</v>
      </c>
      <c r="I13" s="40">
        <f t="shared" ca="1" si="5"/>
        <v>0</v>
      </c>
    </row>
    <row r="14" spans="1:9" x14ac:dyDescent="0.25">
      <c r="A14" s="17">
        <f t="shared" si="0"/>
        <v>81</v>
      </c>
      <c r="B14" t="str">
        <f ca="1">TEXT(DATE(YEAR(Invoer!$A$5),1,1)+INT((ROWS(B$2:B14)-1)/3),"jjjjmmdd")</f>
        <v>19200105</v>
      </c>
      <c r="C14" s="35" t="str">
        <f>IF(MOD(ROWS(C$2:C14)-1,3)=2,"24.00",INDEX(Data,2,2+MOD(ROWS(C$2:C14)-1,3)))</f>
        <v>08.00</v>
      </c>
      <c r="D14" s="23">
        <f t="shared" ca="1" si="6"/>
        <v>748.2</v>
      </c>
      <c r="E14" s="40">
        <f t="shared" ca="1" si="1"/>
        <v>0</v>
      </c>
      <c r="F14" s="23" t="str">
        <f t="shared" ca="1" si="2"/>
        <v>—</v>
      </c>
      <c r="G14" s="40">
        <f t="shared" ca="1" si="3"/>
        <v>7</v>
      </c>
      <c r="H14" s="23" t="str">
        <f t="shared" ca="1" si="4"/>
        <v>—</v>
      </c>
      <c r="I14" s="40">
        <f t="shared" ca="1" si="5"/>
        <v>7</v>
      </c>
    </row>
    <row r="15" spans="1:9" x14ac:dyDescent="0.25">
      <c r="A15" s="17">
        <f t="shared" si="0"/>
        <v>81</v>
      </c>
      <c r="B15" t="str">
        <f ca="1">TEXT(DATE(YEAR(Invoer!$A$5),1,1)+INT((ROWS(B$2:B15)-1)/3),"jjjjmmdd")</f>
        <v>19200105</v>
      </c>
      <c r="C15" s="35" t="str">
        <f>IF(MOD(ROWS(C$2:C15)-1,3)=2,"24.00",INDEX(Data,2,2+MOD(ROWS(C$2:C15)-1,3)))</f>
        <v>14.00</v>
      </c>
      <c r="D15" s="23">
        <f t="shared" ca="1" si="6"/>
        <v>747.7</v>
      </c>
      <c r="E15" s="40">
        <f t="shared" ca="1" si="1"/>
        <v>0</v>
      </c>
      <c r="F15" s="23" t="str">
        <f t="shared" ca="1" si="2"/>
        <v>—</v>
      </c>
      <c r="G15" s="40">
        <f t="shared" ca="1" si="3"/>
        <v>7</v>
      </c>
      <c r="H15" s="23" t="str">
        <f t="shared" ca="1" si="4"/>
        <v>—</v>
      </c>
      <c r="I15" s="40">
        <f t="shared" ca="1" si="5"/>
        <v>7</v>
      </c>
    </row>
    <row r="16" spans="1:9" x14ac:dyDescent="0.25">
      <c r="A16" s="17">
        <f t="shared" si="0"/>
        <v>81</v>
      </c>
      <c r="B16" t="str">
        <f ca="1">TEXT(DATE(YEAR(Invoer!$A$5),1,1)+INT((ROWS(B$2:B16)-1)/3),"jjjjmmdd")</f>
        <v>19200105</v>
      </c>
      <c r="C16" s="35" t="str">
        <f>IF(MOD(ROWS(C$2:C16)-1,3)=2,"24.00",INDEX(Data,2,2+MOD(ROWS(C$2:C16)-1,3)))</f>
        <v>24.00</v>
      </c>
      <c r="D16" s="23" t="str">
        <f t="shared" ca="1" si="6"/>
        <v>—</v>
      </c>
      <c r="E16" s="40">
        <f t="shared" ca="1" si="1"/>
        <v>7</v>
      </c>
      <c r="F16" s="23">
        <f t="shared" ca="1" si="2"/>
        <v>25.5</v>
      </c>
      <c r="G16" s="40">
        <f t="shared" ca="1" si="3"/>
        <v>0</v>
      </c>
      <c r="H16" s="23">
        <f t="shared" ca="1" si="4"/>
        <v>28.3</v>
      </c>
      <c r="I16" s="40">
        <f t="shared" ca="1" si="5"/>
        <v>0</v>
      </c>
    </row>
    <row r="17" spans="1:9" x14ac:dyDescent="0.25">
      <c r="A17" s="17">
        <f t="shared" si="0"/>
        <v>81</v>
      </c>
      <c r="B17" t="str">
        <f ca="1">TEXT(DATE(YEAR(Invoer!$A$5),1,1)+INT((ROWS(B$2:B17)-1)/3),"jjjjmmdd")</f>
        <v>19200106</v>
      </c>
      <c r="C17" s="35" t="str">
        <f>IF(MOD(ROWS(C$2:C17)-1,3)=2,"24.00",INDEX(Data,2,2+MOD(ROWS(C$2:C17)-1,3)))</f>
        <v>08.00</v>
      </c>
      <c r="D17" s="23">
        <f t="shared" ca="1" si="6"/>
        <v>748</v>
      </c>
      <c r="E17" s="40">
        <f t="shared" ca="1" si="1"/>
        <v>0</v>
      </c>
      <c r="F17" s="23" t="str">
        <f t="shared" ca="1" si="2"/>
        <v>—</v>
      </c>
      <c r="G17" s="40">
        <f t="shared" ca="1" si="3"/>
        <v>7</v>
      </c>
      <c r="H17" s="23" t="str">
        <f t="shared" ca="1" si="4"/>
        <v>—</v>
      </c>
      <c r="I17" s="40">
        <f t="shared" ca="1" si="5"/>
        <v>7</v>
      </c>
    </row>
    <row r="18" spans="1:9" x14ac:dyDescent="0.25">
      <c r="A18" s="17">
        <f t="shared" si="0"/>
        <v>81</v>
      </c>
      <c r="B18" t="str">
        <f ca="1">TEXT(DATE(YEAR(Invoer!$A$5),1,1)+INT((ROWS(B$2:B18)-1)/3),"jjjjmmdd")</f>
        <v>19200106</v>
      </c>
      <c r="C18" s="35" t="str">
        <f>IF(MOD(ROWS(C$2:C18)-1,3)=2,"24.00",INDEX(Data,2,2+MOD(ROWS(C$2:C18)-1,3)))</f>
        <v>14.00</v>
      </c>
      <c r="D18" s="23">
        <f t="shared" ca="1" si="6"/>
        <v>747.5</v>
      </c>
      <c r="E18" s="40">
        <f t="shared" ca="1" si="1"/>
        <v>0</v>
      </c>
      <c r="F18" s="23" t="str">
        <f t="shared" ca="1" si="2"/>
        <v>—</v>
      </c>
      <c r="G18" s="40">
        <f t="shared" ca="1" si="3"/>
        <v>7</v>
      </c>
      <c r="H18" s="23" t="str">
        <f t="shared" ca="1" si="4"/>
        <v>—</v>
      </c>
      <c r="I18" s="40">
        <f t="shared" ca="1" si="5"/>
        <v>7</v>
      </c>
    </row>
    <row r="19" spans="1:9" x14ac:dyDescent="0.25">
      <c r="A19" s="17">
        <f t="shared" si="0"/>
        <v>81</v>
      </c>
      <c r="B19" t="str">
        <f ca="1">TEXT(DATE(YEAR(Invoer!$A$5),1,1)+INT((ROWS(B$2:B19)-1)/3),"jjjjmmdd")</f>
        <v>19200106</v>
      </c>
      <c r="C19" s="35" t="str">
        <f>IF(MOD(ROWS(C$2:C19)-1,3)=2,"24.00",INDEX(Data,2,2+MOD(ROWS(C$2:C19)-1,3)))</f>
        <v>24.00</v>
      </c>
      <c r="D19" s="23" t="str">
        <f t="shared" ca="1" si="6"/>
        <v>—</v>
      </c>
      <c r="E19" s="40">
        <f t="shared" ca="1" si="1"/>
        <v>7</v>
      </c>
      <c r="F19" s="23">
        <f t="shared" ca="1" si="2"/>
        <v>23</v>
      </c>
      <c r="G19" s="40">
        <f t="shared" ca="1" si="3"/>
        <v>0</v>
      </c>
      <c r="H19" s="23">
        <f t="shared" ca="1" si="4"/>
        <v>23.5</v>
      </c>
      <c r="I19" s="40">
        <f t="shared" ca="1" si="5"/>
        <v>0</v>
      </c>
    </row>
    <row r="20" spans="1:9" x14ac:dyDescent="0.25">
      <c r="A20" s="17">
        <f t="shared" si="0"/>
        <v>81</v>
      </c>
      <c r="B20" t="str">
        <f ca="1">TEXT(DATE(YEAR(Invoer!$A$5),1,1)+INT((ROWS(B$2:B20)-1)/3),"jjjjmmdd")</f>
        <v>19200107</v>
      </c>
      <c r="C20" s="35" t="str">
        <f>IF(MOD(ROWS(C$2:C20)-1,3)=2,"24.00",INDEX(Data,2,2+MOD(ROWS(C$2:C20)-1,3)))</f>
        <v>08.00</v>
      </c>
      <c r="D20" s="23">
        <f t="shared" ca="1" si="6"/>
        <v>749</v>
      </c>
      <c r="E20" s="40">
        <f t="shared" ca="1" si="1"/>
        <v>0</v>
      </c>
      <c r="F20" s="23" t="str">
        <f t="shared" ca="1" si="2"/>
        <v>—</v>
      </c>
      <c r="G20" s="40">
        <f t="shared" ca="1" si="3"/>
        <v>7</v>
      </c>
      <c r="H20" s="23" t="str">
        <f t="shared" ca="1" si="4"/>
        <v>—</v>
      </c>
      <c r="I20" s="40">
        <f t="shared" ca="1" si="5"/>
        <v>7</v>
      </c>
    </row>
    <row r="21" spans="1:9" x14ac:dyDescent="0.25">
      <c r="A21" s="17">
        <f t="shared" si="0"/>
        <v>81</v>
      </c>
      <c r="B21" t="str">
        <f ca="1">TEXT(DATE(YEAR(Invoer!$A$5),1,1)+INT((ROWS(B$2:B21)-1)/3),"jjjjmmdd")</f>
        <v>19200107</v>
      </c>
      <c r="C21" s="35" t="str">
        <f>IF(MOD(ROWS(C$2:C21)-1,3)=2,"24.00",INDEX(Data,2,2+MOD(ROWS(C$2:C21)-1,3)))</f>
        <v>14.00</v>
      </c>
      <c r="D21" s="23">
        <f t="shared" ca="1" si="6"/>
        <v>747.5</v>
      </c>
      <c r="E21" s="40">
        <f t="shared" ca="1" si="1"/>
        <v>0</v>
      </c>
      <c r="F21" s="23" t="str">
        <f t="shared" ca="1" si="2"/>
        <v>—</v>
      </c>
      <c r="G21" s="40">
        <f t="shared" ca="1" si="3"/>
        <v>7</v>
      </c>
      <c r="H21" s="23" t="str">
        <f t="shared" ca="1" si="4"/>
        <v>—</v>
      </c>
      <c r="I21" s="40">
        <f t="shared" ca="1" si="5"/>
        <v>7</v>
      </c>
    </row>
    <row r="22" spans="1:9" x14ac:dyDescent="0.25">
      <c r="A22" s="17">
        <f t="shared" si="0"/>
        <v>81</v>
      </c>
      <c r="B22" t="str">
        <f ca="1">TEXT(DATE(YEAR(Invoer!$A$5),1,1)+INT((ROWS(B$2:B22)-1)/3),"jjjjmmdd")</f>
        <v>19200107</v>
      </c>
      <c r="C22" s="35" t="str">
        <f>IF(MOD(ROWS(C$2:C22)-1,3)=2,"24.00",INDEX(Data,2,2+MOD(ROWS(C$2:C22)-1,3)))</f>
        <v>24.00</v>
      </c>
      <c r="D22" s="23" t="str">
        <f t="shared" ca="1" si="6"/>
        <v>—</v>
      </c>
      <c r="E22" s="40">
        <f t="shared" ca="1" si="1"/>
        <v>7</v>
      </c>
      <c r="F22" s="23">
        <f t="shared" ca="1" si="2"/>
        <v>23</v>
      </c>
      <c r="G22" s="40">
        <f t="shared" ca="1" si="3"/>
        <v>0</v>
      </c>
      <c r="H22" s="23">
        <f t="shared" ca="1" si="4"/>
        <v>25</v>
      </c>
      <c r="I22" s="40">
        <f t="shared" ca="1" si="5"/>
        <v>0</v>
      </c>
    </row>
    <row r="23" spans="1:9" x14ac:dyDescent="0.25">
      <c r="A23" s="17">
        <f t="shared" si="0"/>
        <v>81</v>
      </c>
      <c r="B23" t="str">
        <f ca="1">TEXT(DATE(YEAR(Invoer!$A$5),1,1)+INT((ROWS(B$2:B23)-1)/3),"jjjjmmdd")</f>
        <v>19200108</v>
      </c>
      <c r="C23" s="35" t="str">
        <f>IF(MOD(ROWS(C$2:C23)-1,3)=2,"24.00",INDEX(Data,2,2+MOD(ROWS(C$2:C23)-1,3)))</f>
        <v>08.00</v>
      </c>
      <c r="D23" s="23">
        <f t="shared" ca="1" si="6"/>
        <v>749</v>
      </c>
      <c r="E23" s="40">
        <f t="shared" ca="1" si="1"/>
        <v>0</v>
      </c>
      <c r="F23" s="23" t="str">
        <f t="shared" ca="1" si="2"/>
        <v>—</v>
      </c>
      <c r="G23" s="40">
        <f t="shared" ca="1" si="3"/>
        <v>7</v>
      </c>
      <c r="H23" s="23" t="str">
        <f t="shared" ca="1" si="4"/>
        <v>—</v>
      </c>
      <c r="I23" s="40">
        <f t="shared" ca="1" si="5"/>
        <v>7</v>
      </c>
    </row>
    <row r="24" spans="1:9" x14ac:dyDescent="0.25">
      <c r="A24" s="17">
        <f t="shared" si="0"/>
        <v>81</v>
      </c>
      <c r="B24" t="str">
        <f ca="1">TEXT(DATE(YEAR(Invoer!$A$5),1,1)+INT((ROWS(B$2:B24)-1)/3),"jjjjmmdd")</f>
        <v>19200108</v>
      </c>
      <c r="C24" s="35" t="str">
        <f>IF(MOD(ROWS(C$2:C24)-1,3)=2,"24.00",INDEX(Data,2,2+MOD(ROWS(C$2:C24)-1,3)))</f>
        <v>14.00</v>
      </c>
      <c r="D24" s="23">
        <f t="shared" ca="1" si="6"/>
        <v>748</v>
      </c>
      <c r="E24" s="40">
        <f t="shared" ca="1" si="1"/>
        <v>0</v>
      </c>
      <c r="F24" s="23" t="str">
        <f t="shared" ca="1" si="2"/>
        <v>—</v>
      </c>
      <c r="G24" s="40">
        <f t="shared" ca="1" si="3"/>
        <v>7</v>
      </c>
      <c r="H24" s="23" t="str">
        <f t="shared" ca="1" si="4"/>
        <v>—</v>
      </c>
      <c r="I24" s="40">
        <f t="shared" ca="1" si="5"/>
        <v>7</v>
      </c>
    </row>
    <row r="25" spans="1:9" x14ac:dyDescent="0.25">
      <c r="A25" s="17">
        <f t="shared" si="0"/>
        <v>81</v>
      </c>
      <c r="B25" t="str">
        <f ca="1">TEXT(DATE(YEAR(Invoer!$A$5),1,1)+INT((ROWS(B$2:B25)-1)/3),"jjjjmmdd")</f>
        <v>19200108</v>
      </c>
      <c r="C25" s="35" t="str">
        <f>IF(MOD(ROWS(C$2:C25)-1,3)=2,"24.00",INDEX(Data,2,2+MOD(ROWS(C$2:C25)-1,3)))</f>
        <v>24.00</v>
      </c>
      <c r="D25" s="23" t="str">
        <f t="shared" ca="1" si="6"/>
        <v>—</v>
      </c>
      <c r="E25" s="40">
        <f t="shared" ca="1" si="1"/>
        <v>7</v>
      </c>
      <c r="F25" s="23">
        <f t="shared" ca="1" si="2"/>
        <v>22.5</v>
      </c>
      <c r="G25" s="40">
        <f t="shared" ca="1" si="3"/>
        <v>0</v>
      </c>
      <c r="H25" s="23">
        <f t="shared" ca="1" si="4"/>
        <v>25</v>
      </c>
      <c r="I25" s="40">
        <f t="shared" ca="1" si="5"/>
        <v>0</v>
      </c>
    </row>
    <row r="26" spans="1:9" x14ac:dyDescent="0.25">
      <c r="A26" s="17">
        <f t="shared" si="0"/>
        <v>81</v>
      </c>
      <c r="B26" t="str">
        <f ca="1">TEXT(DATE(YEAR(Invoer!$A$5),1,1)+INT((ROWS(B$2:B26)-1)/3),"jjjjmmdd")</f>
        <v>19200109</v>
      </c>
      <c r="C26" s="35" t="str">
        <f>IF(MOD(ROWS(C$2:C26)-1,3)=2,"24.00",INDEX(Data,2,2+MOD(ROWS(C$2:C26)-1,3)))</f>
        <v>08.00</v>
      </c>
      <c r="D26" s="23">
        <f t="shared" ca="1" si="6"/>
        <v>748.5</v>
      </c>
      <c r="E26" s="40">
        <f t="shared" ca="1" si="1"/>
        <v>0</v>
      </c>
      <c r="F26" s="23" t="str">
        <f t="shared" ca="1" si="2"/>
        <v>—</v>
      </c>
      <c r="G26" s="40">
        <f t="shared" ca="1" si="3"/>
        <v>7</v>
      </c>
      <c r="H26" s="23" t="str">
        <f t="shared" ca="1" si="4"/>
        <v>—</v>
      </c>
      <c r="I26" s="40">
        <f t="shared" ca="1" si="5"/>
        <v>7</v>
      </c>
    </row>
    <row r="27" spans="1:9" x14ac:dyDescent="0.25">
      <c r="A27" s="17">
        <f t="shared" si="0"/>
        <v>81</v>
      </c>
      <c r="B27" t="str">
        <f ca="1">TEXT(DATE(YEAR(Invoer!$A$5),1,1)+INT((ROWS(B$2:B27)-1)/3),"jjjjmmdd")</f>
        <v>19200109</v>
      </c>
      <c r="C27" s="35" t="str">
        <f>IF(MOD(ROWS(C$2:C27)-1,3)=2,"24.00",INDEX(Data,2,2+MOD(ROWS(C$2:C27)-1,3)))</f>
        <v>14.00</v>
      </c>
      <c r="D27" s="23">
        <f t="shared" ca="1" si="6"/>
        <v>747.5</v>
      </c>
      <c r="E27" s="40">
        <f t="shared" ca="1" si="1"/>
        <v>0</v>
      </c>
      <c r="F27" s="23" t="str">
        <f t="shared" ca="1" si="2"/>
        <v>—</v>
      </c>
      <c r="G27" s="40">
        <f t="shared" ca="1" si="3"/>
        <v>7</v>
      </c>
      <c r="H27" s="23" t="str">
        <f t="shared" ca="1" si="4"/>
        <v>—</v>
      </c>
      <c r="I27" s="40">
        <f t="shared" ca="1" si="5"/>
        <v>7</v>
      </c>
    </row>
    <row r="28" spans="1:9" x14ac:dyDescent="0.25">
      <c r="A28" s="17">
        <f t="shared" si="0"/>
        <v>81</v>
      </c>
      <c r="B28" t="str">
        <f ca="1">TEXT(DATE(YEAR(Invoer!$A$5),1,1)+INT((ROWS(B$2:B28)-1)/3),"jjjjmmdd")</f>
        <v>19200109</v>
      </c>
      <c r="C28" s="35" t="str">
        <f>IF(MOD(ROWS(C$2:C28)-1,3)=2,"24.00",INDEX(Data,2,2+MOD(ROWS(C$2:C28)-1,3)))</f>
        <v>24.00</v>
      </c>
      <c r="D28" s="23" t="str">
        <f t="shared" ca="1" si="6"/>
        <v>—</v>
      </c>
      <c r="E28" s="40">
        <f t="shared" ca="1" si="1"/>
        <v>7</v>
      </c>
      <c r="F28" s="23">
        <f t="shared" ca="1" si="2"/>
        <v>23</v>
      </c>
      <c r="G28" s="40">
        <f t="shared" ca="1" si="3"/>
        <v>0</v>
      </c>
      <c r="H28" s="23">
        <f t="shared" ca="1" si="4"/>
        <v>25</v>
      </c>
      <c r="I28" s="40">
        <f t="shared" ca="1" si="5"/>
        <v>0</v>
      </c>
    </row>
    <row r="29" spans="1:9" x14ac:dyDescent="0.25">
      <c r="A29" s="17">
        <f t="shared" si="0"/>
        <v>81</v>
      </c>
      <c r="B29" t="str">
        <f ca="1">TEXT(DATE(YEAR(Invoer!$A$5),1,1)+INT((ROWS(B$2:B29)-1)/3),"jjjjmmdd")</f>
        <v>19200110</v>
      </c>
      <c r="C29" s="35" t="str">
        <f>IF(MOD(ROWS(C$2:C29)-1,3)=2,"24.00",INDEX(Data,2,2+MOD(ROWS(C$2:C29)-1,3)))</f>
        <v>08.00</v>
      </c>
      <c r="D29" s="23">
        <f t="shared" ca="1" si="6"/>
        <v>748</v>
      </c>
      <c r="E29" s="40">
        <f t="shared" ca="1" si="1"/>
        <v>0</v>
      </c>
      <c r="F29" s="23" t="str">
        <f t="shared" ca="1" si="2"/>
        <v>—</v>
      </c>
      <c r="G29" s="40">
        <f t="shared" ca="1" si="3"/>
        <v>7</v>
      </c>
      <c r="H29" s="23" t="str">
        <f t="shared" ca="1" si="4"/>
        <v>—</v>
      </c>
      <c r="I29" s="40">
        <f t="shared" ca="1" si="5"/>
        <v>7</v>
      </c>
    </row>
    <row r="30" spans="1:9" x14ac:dyDescent="0.25">
      <c r="A30" s="17">
        <f t="shared" si="0"/>
        <v>81</v>
      </c>
      <c r="B30" t="str">
        <f ca="1">TEXT(DATE(YEAR(Invoer!$A$5),1,1)+INT((ROWS(B$2:B30)-1)/3),"jjjjmmdd")</f>
        <v>19200110</v>
      </c>
      <c r="C30" s="35" t="str">
        <f>IF(MOD(ROWS(C$2:C30)-1,3)=2,"24.00",INDEX(Data,2,2+MOD(ROWS(C$2:C30)-1,3)))</f>
        <v>14.00</v>
      </c>
      <c r="D30" s="23">
        <f t="shared" ca="1" si="6"/>
        <v>746.8</v>
      </c>
      <c r="E30" s="40">
        <f t="shared" ca="1" si="1"/>
        <v>0</v>
      </c>
      <c r="F30" s="23" t="str">
        <f t="shared" ca="1" si="2"/>
        <v>—</v>
      </c>
      <c r="G30" s="40">
        <f t="shared" ca="1" si="3"/>
        <v>7</v>
      </c>
      <c r="H30" s="23" t="str">
        <f t="shared" ca="1" si="4"/>
        <v>—</v>
      </c>
      <c r="I30" s="40">
        <f t="shared" ca="1" si="5"/>
        <v>7</v>
      </c>
    </row>
    <row r="31" spans="1:9" x14ac:dyDescent="0.25">
      <c r="A31" s="17">
        <f t="shared" si="0"/>
        <v>81</v>
      </c>
      <c r="B31" t="str">
        <f ca="1">TEXT(DATE(YEAR(Invoer!$A$5),1,1)+INT((ROWS(B$2:B31)-1)/3),"jjjjmmdd")</f>
        <v>19200110</v>
      </c>
      <c r="C31" s="35" t="str">
        <f>IF(MOD(ROWS(C$2:C31)-1,3)=2,"24.00",INDEX(Data,2,2+MOD(ROWS(C$2:C31)-1,3)))</f>
        <v>24.00</v>
      </c>
      <c r="D31" s="23" t="str">
        <f t="shared" ca="1" si="6"/>
        <v>—</v>
      </c>
      <c r="E31" s="40">
        <f t="shared" ca="1" si="1"/>
        <v>7</v>
      </c>
      <c r="F31" s="23">
        <f t="shared" ca="1" si="2"/>
        <v>23</v>
      </c>
      <c r="G31" s="40">
        <f t="shared" ca="1" si="3"/>
        <v>0</v>
      </c>
      <c r="H31" s="23">
        <f t="shared" ca="1" si="4"/>
        <v>25.5</v>
      </c>
      <c r="I31" s="40">
        <f t="shared" ca="1" si="5"/>
        <v>0</v>
      </c>
    </row>
    <row r="32" spans="1:9" x14ac:dyDescent="0.25">
      <c r="A32" s="17">
        <f t="shared" si="0"/>
        <v>81</v>
      </c>
      <c r="B32" t="str">
        <f ca="1">TEXT(DATE(YEAR(Invoer!$A$5),1,1)+INT((ROWS(B$2:B32)-1)/3),"jjjjmmdd")</f>
        <v>19200111</v>
      </c>
      <c r="C32" s="35" t="str">
        <f>IF(MOD(ROWS(C$2:C32)-1,3)=2,"24.00",INDEX(Data,2,2+MOD(ROWS(C$2:C32)-1,3)))</f>
        <v>08.00</v>
      </c>
      <c r="D32" s="23">
        <f t="shared" ca="1" si="6"/>
        <v>748</v>
      </c>
      <c r="E32" s="40">
        <f t="shared" ca="1" si="1"/>
        <v>0</v>
      </c>
      <c r="F32" s="23" t="str">
        <f t="shared" ca="1" si="2"/>
        <v>—</v>
      </c>
      <c r="G32" s="40">
        <f t="shared" ca="1" si="3"/>
        <v>7</v>
      </c>
      <c r="H32" s="23" t="str">
        <f t="shared" ca="1" si="4"/>
        <v>—</v>
      </c>
      <c r="I32" s="40">
        <f t="shared" ca="1" si="5"/>
        <v>7</v>
      </c>
    </row>
    <row r="33" spans="1:9" x14ac:dyDescent="0.25">
      <c r="A33" s="17">
        <f t="shared" si="0"/>
        <v>81</v>
      </c>
      <c r="B33" t="str">
        <f ca="1">TEXT(DATE(YEAR(Invoer!$A$5),1,1)+INT((ROWS(B$2:B33)-1)/3),"jjjjmmdd")</f>
        <v>19200111</v>
      </c>
      <c r="C33" s="35" t="str">
        <f>IF(MOD(ROWS(C$2:C33)-1,3)=2,"24.00",INDEX(Data,2,2+MOD(ROWS(C$2:C33)-1,3)))</f>
        <v>14.00</v>
      </c>
      <c r="D33" s="23">
        <f t="shared" ca="1" si="6"/>
        <v>747</v>
      </c>
      <c r="E33" s="40">
        <f t="shared" ca="1" si="1"/>
        <v>0</v>
      </c>
      <c r="F33" s="23" t="str">
        <f t="shared" ca="1" si="2"/>
        <v>—</v>
      </c>
      <c r="G33" s="40">
        <f t="shared" ca="1" si="3"/>
        <v>7</v>
      </c>
      <c r="H33" s="23" t="str">
        <f t="shared" ca="1" si="4"/>
        <v>—</v>
      </c>
      <c r="I33" s="40">
        <f t="shared" ca="1" si="5"/>
        <v>7</v>
      </c>
    </row>
    <row r="34" spans="1:9" x14ac:dyDescent="0.25">
      <c r="A34" s="17">
        <f t="shared" si="0"/>
        <v>81</v>
      </c>
      <c r="B34" t="str">
        <f ca="1">TEXT(DATE(YEAR(Invoer!$A$5),1,1)+INT((ROWS(B$2:B34)-1)/3),"jjjjmmdd")</f>
        <v>19200111</v>
      </c>
      <c r="C34" s="35" t="str">
        <f>IF(MOD(ROWS(C$2:C34)-1,3)=2,"24.00",INDEX(Data,2,2+MOD(ROWS(C$2:C34)-1,3)))</f>
        <v>24.00</v>
      </c>
      <c r="D34" s="23" t="str">
        <f t="shared" ca="1" si="6"/>
        <v>—</v>
      </c>
      <c r="E34" s="40">
        <f t="shared" ca="1" si="1"/>
        <v>7</v>
      </c>
      <c r="F34" s="23">
        <f t="shared" ca="1" si="2"/>
        <v>24</v>
      </c>
      <c r="G34" s="40">
        <f t="shared" ca="1" si="3"/>
        <v>0</v>
      </c>
      <c r="H34" s="23">
        <f t="shared" ca="1" si="4"/>
        <v>26</v>
      </c>
      <c r="I34" s="40">
        <f t="shared" ca="1" si="5"/>
        <v>0</v>
      </c>
    </row>
    <row r="35" spans="1:9" x14ac:dyDescent="0.25">
      <c r="A35" s="17">
        <f t="shared" si="0"/>
        <v>81</v>
      </c>
      <c r="B35" t="str">
        <f ca="1">TEXT(DATE(YEAR(Invoer!$A$5),1,1)+INT((ROWS(B$2:B35)-1)/3),"jjjjmmdd")</f>
        <v>19200112</v>
      </c>
      <c r="C35" s="35" t="str">
        <f>IF(MOD(ROWS(C$2:C35)-1,3)=2,"24.00",INDEX(Data,2,2+MOD(ROWS(C$2:C35)-1,3)))</f>
        <v>08.00</v>
      </c>
      <c r="D35" s="23">
        <f t="shared" ca="1" si="6"/>
        <v>747.4</v>
      </c>
      <c r="E35" s="40">
        <f t="shared" ca="1" si="1"/>
        <v>0</v>
      </c>
      <c r="F35" s="23" t="str">
        <f t="shared" ca="1" si="2"/>
        <v>—</v>
      </c>
      <c r="G35" s="40">
        <f t="shared" ca="1" si="3"/>
        <v>7</v>
      </c>
      <c r="H35" s="23" t="str">
        <f t="shared" ca="1" si="4"/>
        <v>—</v>
      </c>
      <c r="I35" s="40">
        <f t="shared" ca="1" si="5"/>
        <v>7</v>
      </c>
    </row>
    <row r="36" spans="1:9" x14ac:dyDescent="0.25">
      <c r="A36" s="17">
        <f t="shared" si="0"/>
        <v>81</v>
      </c>
      <c r="B36" t="str">
        <f ca="1">TEXT(DATE(YEAR(Invoer!$A$5),1,1)+INT((ROWS(B$2:B36)-1)/3),"jjjjmmdd")</f>
        <v>19200112</v>
      </c>
      <c r="C36" s="35" t="str">
        <f>IF(MOD(ROWS(C$2:C36)-1,3)=2,"24.00",INDEX(Data,2,2+MOD(ROWS(C$2:C36)-1,3)))</f>
        <v>14.00</v>
      </c>
      <c r="D36" s="23">
        <f t="shared" ca="1" si="6"/>
        <v>747.1</v>
      </c>
      <c r="E36" s="40">
        <f t="shared" ca="1" si="1"/>
        <v>0</v>
      </c>
      <c r="F36" s="23" t="str">
        <f t="shared" ca="1" si="2"/>
        <v>—</v>
      </c>
      <c r="G36" s="40">
        <f t="shared" ca="1" si="3"/>
        <v>7</v>
      </c>
      <c r="H36" s="23" t="str">
        <f t="shared" ca="1" si="4"/>
        <v>—</v>
      </c>
      <c r="I36" s="40">
        <f t="shared" ca="1" si="5"/>
        <v>7</v>
      </c>
    </row>
    <row r="37" spans="1:9" x14ac:dyDescent="0.25">
      <c r="A37" s="17">
        <f t="shared" si="0"/>
        <v>81</v>
      </c>
      <c r="B37" t="str">
        <f ca="1">TEXT(DATE(YEAR(Invoer!$A$5),1,1)+INT((ROWS(B$2:B37)-1)/3),"jjjjmmdd")</f>
        <v>19200112</v>
      </c>
      <c r="C37" s="35" t="str">
        <f>IF(MOD(ROWS(C$2:C37)-1,3)=2,"24.00",INDEX(Data,2,2+MOD(ROWS(C$2:C37)-1,3)))</f>
        <v>24.00</v>
      </c>
      <c r="D37" s="23" t="str">
        <f t="shared" ca="1" si="6"/>
        <v>—</v>
      </c>
      <c r="E37" s="40">
        <f t="shared" ca="1" si="1"/>
        <v>7</v>
      </c>
      <c r="F37" s="23">
        <f t="shared" ca="1" si="2"/>
        <v>24</v>
      </c>
      <c r="G37" s="40">
        <f t="shared" ca="1" si="3"/>
        <v>0</v>
      </c>
      <c r="H37" s="23">
        <f t="shared" ca="1" si="4"/>
        <v>27</v>
      </c>
      <c r="I37" s="40">
        <f t="shared" ca="1" si="5"/>
        <v>0</v>
      </c>
    </row>
    <row r="38" spans="1:9" x14ac:dyDescent="0.25">
      <c r="A38" s="17">
        <f t="shared" si="0"/>
        <v>81</v>
      </c>
      <c r="B38" t="str">
        <f ca="1">TEXT(DATE(YEAR(Invoer!$A$5),1,1)+INT((ROWS(B$2:B38)-1)/3),"jjjjmmdd")</f>
        <v>19200113</v>
      </c>
      <c r="C38" s="35" t="str">
        <f>IF(MOD(ROWS(C$2:C38)-1,3)=2,"24.00",INDEX(Data,2,2+MOD(ROWS(C$2:C38)-1,3)))</f>
        <v>08.00</v>
      </c>
      <c r="D38" s="23">
        <f t="shared" ca="1" si="6"/>
        <v>749</v>
      </c>
      <c r="E38" s="40">
        <f t="shared" ca="1" si="1"/>
        <v>0</v>
      </c>
      <c r="F38" s="23" t="str">
        <f t="shared" ca="1" si="2"/>
        <v>—</v>
      </c>
      <c r="G38" s="40">
        <f t="shared" ca="1" si="3"/>
        <v>7</v>
      </c>
      <c r="H38" s="23" t="str">
        <f t="shared" ca="1" si="4"/>
        <v>—</v>
      </c>
      <c r="I38" s="40">
        <f t="shared" ca="1" si="5"/>
        <v>7</v>
      </c>
    </row>
    <row r="39" spans="1:9" x14ac:dyDescent="0.25">
      <c r="A39" s="17">
        <f t="shared" si="0"/>
        <v>81</v>
      </c>
      <c r="B39" t="str">
        <f ca="1">TEXT(DATE(YEAR(Invoer!$A$5),1,1)+INT((ROWS(B$2:B39)-1)/3),"jjjjmmdd")</f>
        <v>19200113</v>
      </c>
      <c r="C39" s="35" t="str">
        <f>IF(MOD(ROWS(C$2:C39)-1,3)=2,"24.00",INDEX(Data,2,2+MOD(ROWS(C$2:C39)-1,3)))</f>
        <v>14.00</v>
      </c>
      <c r="D39" s="23">
        <f t="shared" ca="1" si="6"/>
        <v>748.6</v>
      </c>
      <c r="E39" s="40">
        <f t="shared" ca="1" si="1"/>
        <v>0</v>
      </c>
      <c r="F39" s="23" t="str">
        <f t="shared" ca="1" si="2"/>
        <v>—</v>
      </c>
      <c r="G39" s="40">
        <f t="shared" ca="1" si="3"/>
        <v>7</v>
      </c>
      <c r="H39" s="23" t="str">
        <f t="shared" ca="1" si="4"/>
        <v>—</v>
      </c>
      <c r="I39" s="40">
        <f t="shared" ca="1" si="5"/>
        <v>7</v>
      </c>
    </row>
    <row r="40" spans="1:9" x14ac:dyDescent="0.25">
      <c r="A40" s="17">
        <f t="shared" si="0"/>
        <v>81</v>
      </c>
      <c r="B40" t="str">
        <f ca="1">TEXT(DATE(YEAR(Invoer!$A$5),1,1)+INT((ROWS(B$2:B40)-1)/3),"jjjjmmdd")</f>
        <v>19200113</v>
      </c>
      <c r="C40" s="35" t="str">
        <f>IF(MOD(ROWS(C$2:C40)-1,3)=2,"24.00",INDEX(Data,2,2+MOD(ROWS(C$2:C40)-1,3)))</f>
        <v>24.00</v>
      </c>
      <c r="D40" s="23" t="str">
        <f t="shared" ca="1" si="6"/>
        <v>—</v>
      </c>
      <c r="E40" s="40">
        <f t="shared" ca="1" si="1"/>
        <v>7</v>
      </c>
      <c r="F40" s="23">
        <f t="shared" ca="1" si="2"/>
        <v>24</v>
      </c>
      <c r="G40" s="40">
        <f t="shared" ca="1" si="3"/>
        <v>0</v>
      </c>
      <c r="H40" s="23">
        <f t="shared" ca="1" si="4"/>
        <v>27</v>
      </c>
      <c r="I40" s="40">
        <f t="shared" ca="1" si="5"/>
        <v>0</v>
      </c>
    </row>
    <row r="41" spans="1:9" x14ac:dyDescent="0.25">
      <c r="A41" s="17">
        <f t="shared" si="0"/>
        <v>81</v>
      </c>
      <c r="B41" t="str">
        <f ca="1">TEXT(DATE(YEAR(Invoer!$A$5),1,1)+INT((ROWS(B$2:B41)-1)/3),"jjjjmmdd")</f>
        <v>19200114</v>
      </c>
      <c r="C41" s="35" t="str">
        <f>IF(MOD(ROWS(C$2:C41)-1,3)=2,"24.00",INDEX(Data,2,2+MOD(ROWS(C$2:C41)-1,3)))</f>
        <v>08.00</v>
      </c>
      <c r="D41" s="23">
        <f t="shared" ca="1" si="6"/>
        <v>749</v>
      </c>
      <c r="E41" s="40">
        <f t="shared" ca="1" si="1"/>
        <v>0</v>
      </c>
      <c r="F41" s="23" t="str">
        <f t="shared" ca="1" si="2"/>
        <v>—</v>
      </c>
      <c r="G41" s="40">
        <f t="shared" ca="1" si="3"/>
        <v>7</v>
      </c>
      <c r="H41" s="23" t="str">
        <f t="shared" ca="1" si="4"/>
        <v>—</v>
      </c>
      <c r="I41" s="40">
        <f t="shared" ca="1" si="5"/>
        <v>7</v>
      </c>
    </row>
    <row r="42" spans="1:9" x14ac:dyDescent="0.25">
      <c r="A42" s="17">
        <f t="shared" si="0"/>
        <v>81</v>
      </c>
      <c r="B42" t="str">
        <f ca="1">TEXT(DATE(YEAR(Invoer!$A$5),1,1)+INT((ROWS(B$2:B42)-1)/3),"jjjjmmdd")</f>
        <v>19200114</v>
      </c>
      <c r="C42" s="35" t="str">
        <f>IF(MOD(ROWS(C$2:C42)-1,3)=2,"24.00",INDEX(Data,2,2+MOD(ROWS(C$2:C42)-1,3)))</f>
        <v>14.00</v>
      </c>
      <c r="D42" s="23">
        <f t="shared" ca="1" si="6"/>
        <v>747.5</v>
      </c>
      <c r="E42" s="40">
        <f t="shared" ca="1" si="1"/>
        <v>0</v>
      </c>
      <c r="F42" s="23" t="str">
        <f t="shared" ca="1" si="2"/>
        <v>—</v>
      </c>
      <c r="G42" s="40">
        <f t="shared" ca="1" si="3"/>
        <v>7</v>
      </c>
      <c r="H42" s="23" t="str">
        <f t="shared" ca="1" si="4"/>
        <v>—</v>
      </c>
      <c r="I42" s="40">
        <f t="shared" ca="1" si="5"/>
        <v>7</v>
      </c>
    </row>
    <row r="43" spans="1:9" x14ac:dyDescent="0.25">
      <c r="A43" s="17">
        <f t="shared" si="0"/>
        <v>81</v>
      </c>
      <c r="B43" t="str">
        <f ca="1">TEXT(DATE(YEAR(Invoer!$A$5),1,1)+INT((ROWS(B$2:B43)-1)/3),"jjjjmmdd")</f>
        <v>19200114</v>
      </c>
      <c r="C43" s="35" t="str">
        <f>IF(MOD(ROWS(C$2:C43)-1,3)=2,"24.00",INDEX(Data,2,2+MOD(ROWS(C$2:C43)-1,3)))</f>
        <v>24.00</v>
      </c>
      <c r="D43" s="23" t="str">
        <f t="shared" ca="1" si="6"/>
        <v>—</v>
      </c>
      <c r="E43" s="40">
        <f t="shared" ca="1" si="1"/>
        <v>7</v>
      </c>
      <c r="F43" s="23">
        <f t="shared" ca="1" si="2"/>
        <v>24</v>
      </c>
      <c r="G43" s="40">
        <f t="shared" ca="1" si="3"/>
        <v>0</v>
      </c>
      <c r="H43" s="23">
        <f t="shared" ca="1" si="4"/>
        <v>27</v>
      </c>
      <c r="I43" s="40">
        <f t="shared" ca="1" si="5"/>
        <v>0</v>
      </c>
    </row>
    <row r="44" spans="1:9" x14ac:dyDescent="0.25">
      <c r="A44" s="17">
        <f t="shared" si="0"/>
        <v>81</v>
      </c>
      <c r="B44" t="str">
        <f ca="1">TEXT(DATE(YEAR(Invoer!$A$5),1,1)+INT((ROWS(B$2:B44)-1)/3),"jjjjmmdd")</f>
        <v>19200115</v>
      </c>
      <c r="C44" s="35" t="str">
        <f>IF(MOD(ROWS(C$2:C44)-1,3)=2,"24.00",INDEX(Data,2,2+MOD(ROWS(C$2:C44)-1,3)))</f>
        <v>08.00</v>
      </c>
      <c r="D44" s="23">
        <f t="shared" ca="1" si="6"/>
        <v>749</v>
      </c>
      <c r="E44" s="40">
        <f t="shared" ca="1" si="1"/>
        <v>0</v>
      </c>
      <c r="F44" s="23" t="str">
        <f t="shared" ca="1" si="2"/>
        <v>—</v>
      </c>
      <c r="G44" s="40">
        <f t="shared" ca="1" si="3"/>
        <v>7</v>
      </c>
      <c r="H44" s="23" t="str">
        <f t="shared" ca="1" si="4"/>
        <v>—</v>
      </c>
      <c r="I44" s="40">
        <f t="shared" ca="1" si="5"/>
        <v>7</v>
      </c>
    </row>
    <row r="45" spans="1:9" x14ac:dyDescent="0.25">
      <c r="A45" s="17">
        <f t="shared" si="0"/>
        <v>81</v>
      </c>
      <c r="B45" t="str">
        <f ca="1">TEXT(DATE(YEAR(Invoer!$A$5),1,1)+INT((ROWS(B$2:B45)-1)/3),"jjjjmmdd")</f>
        <v>19200115</v>
      </c>
      <c r="C45" s="35" t="str">
        <f>IF(MOD(ROWS(C$2:C45)-1,3)=2,"24.00",INDEX(Data,2,2+MOD(ROWS(C$2:C45)-1,3)))</f>
        <v>14.00</v>
      </c>
      <c r="D45" s="23">
        <f t="shared" ca="1" si="6"/>
        <v>747.7</v>
      </c>
      <c r="E45" s="40">
        <f t="shared" ca="1" si="1"/>
        <v>0</v>
      </c>
      <c r="F45" s="23" t="str">
        <f t="shared" ca="1" si="2"/>
        <v>—</v>
      </c>
      <c r="G45" s="40">
        <f t="shared" ca="1" si="3"/>
        <v>7</v>
      </c>
      <c r="H45" s="23" t="str">
        <f t="shared" ca="1" si="4"/>
        <v>—</v>
      </c>
      <c r="I45" s="40">
        <f t="shared" ca="1" si="5"/>
        <v>7</v>
      </c>
    </row>
    <row r="46" spans="1:9" x14ac:dyDescent="0.25">
      <c r="A46" s="17">
        <f t="shared" si="0"/>
        <v>81</v>
      </c>
      <c r="B46" t="str">
        <f ca="1">TEXT(DATE(YEAR(Invoer!$A$5),1,1)+INT((ROWS(B$2:B46)-1)/3),"jjjjmmdd")</f>
        <v>19200115</v>
      </c>
      <c r="C46" s="35" t="str">
        <f>IF(MOD(ROWS(C$2:C46)-1,3)=2,"24.00",INDEX(Data,2,2+MOD(ROWS(C$2:C46)-1,3)))</f>
        <v>24.00</v>
      </c>
      <c r="D46" s="23" t="str">
        <f t="shared" ca="1" si="6"/>
        <v>—</v>
      </c>
      <c r="E46" s="40">
        <f t="shared" ca="1" si="1"/>
        <v>7</v>
      </c>
      <c r="F46" s="23">
        <f t="shared" ca="1" si="2"/>
        <v>24</v>
      </c>
      <c r="G46" s="40">
        <f t="shared" ca="1" si="3"/>
        <v>0</v>
      </c>
      <c r="H46" s="23">
        <f t="shared" ca="1" si="4"/>
        <v>25</v>
      </c>
      <c r="I46" s="40">
        <f t="shared" ca="1" si="5"/>
        <v>0</v>
      </c>
    </row>
    <row r="47" spans="1:9" x14ac:dyDescent="0.25">
      <c r="A47" s="17">
        <f t="shared" si="0"/>
        <v>81</v>
      </c>
      <c r="B47" t="str">
        <f ca="1">TEXT(DATE(YEAR(Invoer!$A$5),1,1)+INT((ROWS(B$2:B47)-1)/3),"jjjjmmdd")</f>
        <v>19200116</v>
      </c>
      <c r="C47" s="35" t="str">
        <f>IF(MOD(ROWS(C$2:C47)-1,3)=2,"24.00",INDEX(Data,2,2+MOD(ROWS(C$2:C47)-1,3)))</f>
        <v>08.00</v>
      </c>
      <c r="D47" s="23">
        <f t="shared" ca="1" si="6"/>
        <v>749</v>
      </c>
      <c r="E47" s="40">
        <f t="shared" ca="1" si="1"/>
        <v>0</v>
      </c>
      <c r="F47" s="23" t="str">
        <f t="shared" ca="1" si="2"/>
        <v>—</v>
      </c>
      <c r="G47" s="40">
        <f t="shared" ca="1" si="3"/>
        <v>7</v>
      </c>
      <c r="H47" s="23" t="str">
        <f t="shared" ca="1" si="4"/>
        <v>—</v>
      </c>
      <c r="I47" s="40">
        <f t="shared" ca="1" si="5"/>
        <v>7</v>
      </c>
    </row>
    <row r="48" spans="1:9" x14ac:dyDescent="0.25">
      <c r="A48" s="17">
        <f t="shared" si="0"/>
        <v>81</v>
      </c>
      <c r="B48" t="str">
        <f ca="1">TEXT(DATE(YEAR(Invoer!$A$5),1,1)+INT((ROWS(B$2:B48)-1)/3),"jjjjmmdd")</f>
        <v>19200116</v>
      </c>
      <c r="C48" s="35" t="str">
        <f>IF(MOD(ROWS(C$2:C48)-1,3)=2,"24.00",INDEX(Data,2,2+MOD(ROWS(C$2:C48)-1,3)))</f>
        <v>14.00</v>
      </c>
      <c r="D48" s="23">
        <f t="shared" ca="1" si="6"/>
        <v>748</v>
      </c>
      <c r="E48" s="40">
        <f t="shared" ca="1" si="1"/>
        <v>0</v>
      </c>
      <c r="F48" s="23" t="str">
        <f t="shared" ca="1" si="2"/>
        <v>—</v>
      </c>
      <c r="G48" s="40">
        <f t="shared" ca="1" si="3"/>
        <v>7</v>
      </c>
      <c r="H48" s="23" t="str">
        <f t="shared" ca="1" si="4"/>
        <v>—</v>
      </c>
      <c r="I48" s="40">
        <f t="shared" ca="1" si="5"/>
        <v>7</v>
      </c>
    </row>
    <row r="49" spans="1:9" x14ac:dyDescent="0.25">
      <c r="A49" s="17">
        <f t="shared" si="0"/>
        <v>81</v>
      </c>
      <c r="B49" t="str">
        <f ca="1">TEXT(DATE(YEAR(Invoer!$A$5),1,1)+INT((ROWS(B$2:B49)-1)/3),"jjjjmmdd")</f>
        <v>19200116</v>
      </c>
      <c r="C49" s="35" t="str">
        <f>IF(MOD(ROWS(C$2:C49)-1,3)=2,"24.00",INDEX(Data,2,2+MOD(ROWS(C$2:C49)-1,3)))</f>
        <v>24.00</v>
      </c>
      <c r="D49" s="23" t="str">
        <f t="shared" ca="1" si="6"/>
        <v>—</v>
      </c>
      <c r="E49" s="40">
        <f t="shared" ca="1" si="1"/>
        <v>7</v>
      </c>
      <c r="F49" s="23">
        <f t="shared" ca="1" si="2"/>
        <v>24</v>
      </c>
      <c r="G49" s="40">
        <f t="shared" ca="1" si="3"/>
        <v>0</v>
      </c>
      <c r="H49" s="23">
        <f t="shared" ca="1" si="4"/>
        <v>27</v>
      </c>
      <c r="I49" s="40">
        <f t="shared" ca="1" si="5"/>
        <v>0</v>
      </c>
    </row>
    <row r="50" spans="1:9" x14ac:dyDescent="0.25">
      <c r="A50" s="17">
        <f t="shared" si="0"/>
        <v>81</v>
      </c>
      <c r="B50" t="str">
        <f ca="1">TEXT(DATE(YEAR(Invoer!$A$5),1,1)+INT((ROWS(B$2:B50)-1)/3),"jjjjmmdd")</f>
        <v>19200117</v>
      </c>
      <c r="C50" s="35" t="str">
        <f>IF(MOD(ROWS(C$2:C50)-1,3)=2,"24.00",INDEX(Data,2,2+MOD(ROWS(C$2:C50)-1,3)))</f>
        <v>08.00</v>
      </c>
      <c r="D50" s="23">
        <f t="shared" ca="1" si="6"/>
        <v>750</v>
      </c>
      <c r="E50" s="40">
        <f t="shared" ca="1" si="1"/>
        <v>0</v>
      </c>
      <c r="F50" s="23" t="str">
        <f t="shared" ca="1" si="2"/>
        <v>—</v>
      </c>
      <c r="G50" s="40">
        <f t="shared" ca="1" si="3"/>
        <v>7</v>
      </c>
      <c r="H50" s="23" t="str">
        <f t="shared" ca="1" si="4"/>
        <v>—</v>
      </c>
      <c r="I50" s="40">
        <f t="shared" ca="1" si="5"/>
        <v>7</v>
      </c>
    </row>
    <row r="51" spans="1:9" x14ac:dyDescent="0.25">
      <c r="A51" s="17">
        <f t="shared" si="0"/>
        <v>81</v>
      </c>
      <c r="B51" t="str">
        <f ca="1">TEXT(DATE(YEAR(Invoer!$A$5),1,1)+INT((ROWS(B$2:B51)-1)/3),"jjjjmmdd")</f>
        <v>19200117</v>
      </c>
      <c r="C51" s="35" t="str">
        <f>IF(MOD(ROWS(C$2:C51)-1,3)=2,"24.00",INDEX(Data,2,2+MOD(ROWS(C$2:C51)-1,3)))</f>
        <v>14.00</v>
      </c>
      <c r="D51" s="23">
        <f t="shared" ca="1" si="6"/>
        <v>749.7</v>
      </c>
      <c r="E51" s="40">
        <f t="shared" ca="1" si="1"/>
        <v>0</v>
      </c>
      <c r="F51" s="23" t="str">
        <f t="shared" ca="1" si="2"/>
        <v>—</v>
      </c>
      <c r="G51" s="40">
        <f t="shared" ca="1" si="3"/>
        <v>7</v>
      </c>
      <c r="H51" s="23" t="str">
        <f t="shared" ca="1" si="4"/>
        <v>—</v>
      </c>
      <c r="I51" s="40">
        <f t="shared" ca="1" si="5"/>
        <v>7</v>
      </c>
    </row>
    <row r="52" spans="1:9" x14ac:dyDescent="0.25">
      <c r="A52" s="17">
        <f t="shared" si="0"/>
        <v>81</v>
      </c>
      <c r="B52" t="str">
        <f ca="1">TEXT(DATE(YEAR(Invoer!$A$5),1,1)+INT((ROWS(B$2:B52)-1)/3),"jjjjmmdd")</f>
        <v>19200117</v>
      </c>
      <c r="C52" s="35" t="str">
        <f>IF(MOD(ROWS(C$2:C52)-1,3)=2,"24.00",INDEX(Data,2,2+MOD(ROWS(C$2:C52)-1,3)))</f>
        <v>24.00</v>
      </c>
      <c r="D52" s="23" t="str">
        <f t="shared" ca="1" si="6"/>
        <v>—</v>
      </c>
      <c r="E52" s="40">
        <f t="shared" ca="1" si="1"/>
        <v>7</v>
      </c>
      <c r="F52" s="23">
        <f t="shared" ca="1" si="2"/>
        <v>24</v>
      </c>
      <c r="G52" s="40">
        <f t="shared" ca="1" si="3"/>
        <v>0</v>
      </c>
      <c r="H52" s="23">
        <f t="shared" ca="1" si="4"/>
        <v>25.5</v>
      </c>
      <c r="I52" s="40">
        <f t="shared" ca="1" si="5"/>
        <v>0</v>
      </c>
    </row>
    <row r="53" spans="1:9" x14ac:dyDescent="0.25">
      <c r="A53" s="17">
        <f t="shared" si="0"/>
        <v>81</v>
      </c>
      <c r="B53" t="str">
        <f ca="1">TEXT(DATE(YEAR(Invoer!$A$5),1,1)+INT((ROWS(B$2:B53)-1)/3),"jjjjmmdd")</f>
        <v>19200118</v>
      </c>
      <c r="C53" s="35" t="str">
        <f>IF(MOD(ROWS(C$2:C53)-1,3)=2,"24.00",INDEX(Data,2,2+MOD(ROWS(C$2:C53)-1,3)))</f>
        <v>08.00</v>
      </c>
      <c r="D53" s="23">
        <f t="shared" ca="1" si="6"/>
        <v>750</v>
      </c>
      <c r="E53" s="40">
        <f t="shared" ca="1" si="1"/>
        <v>0</v>
      </c>
      <c r="F53" s="23" t="str">
        <f t="shared" ca="1" si="2"/>
        <v>—</v>
      </c>
      <c r="G53" s="40">
        <f t="shared" ca="1" si="3"/>
        <v>7</v>
      </c>
      <c r="H53" s="23" t="str">
        <f t="shared" ca="1" si="4"/>
        <v>—</v>
      </c>
      <c r="I53" s="40">
        <f t="shared" ca="1" si="5"/>
        <v>7</v>
      </c>
    </row>
    <row r="54" spans="1:9" x14ac:dyDescent="0.25">
      <c r="A54" s="17">
        <f t="shared" si="0"/>
        <v>81</v>
      </c>
      <c r="B54" t="str">
        <f ca="1">TEXT(DATE(YEAR(Invoer!$A$5),1,1)+INT((ROWS(B$2:B54)-1)/3),"jjjjmmdd")</f>
        <v>19200118</v>
      </c>
      <c r="C54" s="35" t="str">
        <f>IF(MOD(ROWS(C$2:C54)-1,3)=2,"24.00",INDEX(Data,2,2+MOD(ROWS(C$2:C54)-1,3)))</f>
        <v>14.00</v>
      </c>
      <c r="D54" s="23">
        <f t="shared" ca="1" si="6"/>
        <v>749.2</v>
      </c>
      <c r="E54" s="40">
        <f t="shared" ca="1" si="1"/>
        <v>0</v>
      </c>
      <c r="F54" s="23" t="str">
        <f t="shared" ca="1" si="2"/>
        <v>—</v>
      </c>
      <c r="G54" s="40">
        <f t="shared" ca="1" si="3"/>
        <v>7</v>
      </c>
      <c r="H54" s="23" t="str">
        <f t="shared" ca="1" si="4"/>
        <v>—</v>
      </c>
      <c r="I54" s="40">
        <f t="shared" ca="1" si="5"/>
        <v>7</v>
      </c>
    </row>
    <row r="55" spans="1:9" x14ac:dyDescent="0.25">
      <c r="A55" s="17">
        <f t="shared" si="0"/>
        <v>81</v>
      </c>
      <c r="B55" t="str">
        <f ca="1">TEXT(DATE(YEAR(Invoer!$A$5),1,1)+INT((ROWS(B$2:B55)-1)/3),"jjjjmmdd")</f>
        <v>19200118</v>
      </c>
      <c r="C55" s="35" t="str">
        <f>IF(MOD(ROWS(C$2:C55)-1,3)=2,"24.00",INDEX(Data,2,2+MOD(ROWS(C$2:C55)-1,3)))</f>
        <v>24.00</v>
      </c>
      <c r="D55" s="23" t="str">
        <f t="shared" ca="1" si="6"/>
        <v>—</v>
      </c>
      <c r="E55" s="40">
        <f t="shared" ca="1" si="1"/>
        <v>7</v>
      </c>
      <c r="F55" s="23">
        <f t="shared" ca="1" si="2"/>
        <v>24</v>
      </c>
      <c r="G55" s="40">
        <f t="shared" ca="1" si="3"/>
        <v>0</v>
      </c>
      <c r="H55" s="23">
        <f t="shared" ca="1" si="4"/>
        <v>26</v>
      </c>
      <c r="I55" s="40">
        <f t="shared" ca="1" si="5"/>
        <v>0</v>
      </c>
    </row>
    <row r="56" spans="1:9" x14ac:dyDescent="0.25">
      <c r="A56" s="17">
        <f t="shared" si="0"/>
        <v>81</v>
      </c>
      <c r="B56" t="str">
        <f ca="1">TEXT(DATE(YEAR(Invoer!$A$5),1,1)+INT((ROWS(B$2:B56)-1)/3),"jjjjmmdd")</f>
        <v>19200119</v>
      </c>
      <c r="C56" s="35" t="str">
        <f>IF(MOD(ROWS(C$2:C56)-1,3)=2,"24.00",INDEX(Data,2,2+MOD(ROWS(C$2:C56)-1,3)))</f>
        <v>08.00</v>
      </c>
      <c r="D56" s="23">
        <f t="shared" ca="1" si="6"/>
        <v>750</v>
      </c>
      <c r="E56" s="40">
        <f t="shared" ca="1" si="1"/>
        <v>0</v>
      </c>
      <c r="F56" s="23" t="str">
        <f t="shared" ca="1" si="2"/>
        <v>—</v>
      </c>
      <c r="G56" s="40">
        <f t="shared" ca="1" si="3"/>
        <v>7</v>
      </c>
      <c r="H56" s="23" t="str">
        <f t="shared" ca="1" si="4"/>
        <v>—</v>
      </c>
      <c r="I56" s="40">
        <f t="shared" ca="1" si="5"/>
        <v>7</v>
      </c>
    </row>
    <row r="57" spans="1:9" x14ac:dyDescent="0.25">
      <c r="A57" s="17">
        <f t="shared" si="0"/>
        <v>81</v>
      </c>
      <c r="B57" t="str">
        <f ca="1">TEXT(DATE(YEAR(Invoer!$A$5),1,1)+INT((ROWS(B$2:B57)-1)/3),"jjjjmmdd")</f>
        <v>19200119</v>
      </c>
      <c r="C57" s="35" t="str">
        <f>IF(MOD(ROWS(C$2:C57)-1,3)=2,"24.00",INDEX(Data,2,2+MOD(ROWS(C$2:C57)-1,3)))</f>
        <v>14.00</v>
      </c>
      <c r="D57" s="23">
        <f t="shared" ca="1" si="6"/>
        <v>749</v>
      </c>
      <c r="E57" s="40">
        <f t="shared" ca="1" si="1"/>
        <v>0</v>
      </c>
      <c r="F57" s="23" t="str">
        <f t="shared" ca="1" si="2"/>
        <v>—</v>
      </c>
      <c r="G57" s="40">
        <f t="shared" ca="1" si="3"/>
        <v>7</v>
      </c>
      <c r="H57" s="23" t="str">
        <f t="shared" ca="1" si="4"/>
        <v>—</v>
      </c>
      <c r="I57" s="40">
        <f t="shared" ca="1" si="5"/>
        <v>7</v>
      </c>
    </row>
    <row r="58" spans="1:9" x14ac:dyDescent="0.25">
      <c r="A58" s="17">
        <f t="shared" si="0"/>
        <v>81</v>
      </c>
      <c r="B58" t="str">
        <f ca="1">TEXT(DATE(YEAR(Invoer!$A$5),1,1)+INT((ROWS(B$2:B58)-1)/3),"jjjjmmdd")</f>
        <v>19200119</v>
      </c>
      <c r="C58" s="35" t="str">
        <f>IF(MOD(ROWS(C$2:C58)-1,3)=2,"24.00",INDEX(Data,2,2+MOD(ROWS(C$2:C58)-1,3)))</f>
        <v>24.00</v>
      </c>
      <c r="D58" s="23" t="str">
        <f t="shared" ca="1" si="6"/>
        <v>—</v>
      </c>
      <c r="E58" s="40">
        <f t="shared" ca="1" si="1"/>
        <v>7</v>
      </c>
      <c r="F58" s="23">
        <f t="shared" ca="1" si="2"/>
        <v>23.8</v>
      </c>
      <c r="G58" s="40">
        <f t="shared" ca="1" si="3"/>
        <v>0</v>
      </c>
      <c r="H58" s="23">
        <f t="shared" ca="1" si="4"/>
        <v>26.8</v>
      </c>
      <c r="I58" s="40">
        <f t="shared" ca="1" si="5"/>
        <v>0</v>
      </c>
    </row>
    <row r="59" spans="1:9" x14ac:dyDescent="0.25">
      <c r="A59" s="17">
        <f t="shared" si="0"/>
        <v>81</v>
      </c>
      <c r="B59" t="str">
        <f ca="1">TEXT(DATE(YEAR(Invoer!$A$5),1,1)+INT((ROWS(B$2:B59)-1)/3),"jjjjmmdd")</f>
        <v>19200120</v>
      </c>
      <c r="C59" s="35" t="str">
        <f>IF(MOD(ROWS(C$2:C59)-1,3)=2,"24.00",INDEX(Data,2,2+MOD(ROWS(C$2:C59)-1,3)))</f>
        <v>08.00</v>
      </c>
      <c r="D59" s="23">
        <f t="shared" ca="1" si="6"/>
        <v>750</v>
      </c>
      <c r="E59" s="40">
        <f t="shared" ca="1" si="1"/>
        <v>0</v>
      </c>
      <c r="F59" s="23" t="str">
        <f t="shared" ca="1" si="2"/>
        <v>—</v>
      </c>
      <c r="G59" s="40">
        <f t="shared" ca="1" si="3"/>
        <v>7</v>
      </c>
      <c r="H59" s="23" t="str">
        <f t="shared" ca="1" si="4"/>
        <v>—</v>
      </c>
      <c r="I59" s="40">
        <f t="shared" ca="1" si="5"/>
        <v>7</v>
      </c>
    </row>
    <row r="60" spans="1:9" x14ac:dyDescent="0.25">
      <c r="A60" s="17">
        <f t="shared" si="0"/>
        <v>81</v>
      </c>
      <c r="B60" t="str">
        <f ca="1">TEXT(DATE(YEAR(Invoer!$A$5),1,1)+INT((ROWS(B$2:B60)-1)/3),"jjjjmmdd")</f>
        <v>19200120</v>
      </c>
      <c r="C60" s="35" t="str">
        <f>IF(MOD(ROWS(C$2:C60)-1,3)=2,"24.00",INDEX(Data,2,2+MOD(ROWS(C$2:C60)-1,3)))</f>
        <v>14.00</v>
      </c>
      <c r="D60" s="23">
        <f t="shared" ca="1" si="6"/>
        <v>749</v>
      </c>
      <c r="E60" s="40">
        <f t="shared" ca="1" si="1"/>
        <v>0</v>
      </c>
      <c r="F60" s="23" t="str">
        <f t="shared" ca="1" si="2"/>
        <v>—</v>
      </c>
      <c r="G60" s="40">
        <f t="shared" ca="1" si="3"/>
        <v>7</v>
      </c>
      <c r="H60" s="23" t="str">
        <f t="shared" ca="1" si="4"/>
        <v>—</v>
      </c>
      <c r="I60" s="40">
        <f t="shared" ca="1" si="5"/>
        <v>7</v>
      </c>
    </row>
    <row r="61" spans="1:9" x14ac:dyDescent="0.25">
      <c r="A61" s="17">
        <f t="shared" si="0"/>
        <v>81</v>
      </c>
      <c r="B61" t="str">
        <f ca="1">TEXT(DATE(YEAR(Invoer!$A$5),1,1)+INT((ROWS(B$2:B61)-1)/3),"jjjjmmdd")</f>
        <v>19200120</v>
      </c>
      <c r="C61" s="35" t="str">
        <f>IF(MOD(ROWS(C$2:C61)-1,3)=2,"24.00",INDEX(Data,2,2+MOD(ROWS(C$2:C61)-1,3)))</f>
        <v>24.00</v>
      </c>
      <c r="D61" s="23" t="str">
        <f t="shared" ca="1" si="6"/>
        <v>—</v>
      </c>
      <c r="E61" s="40">
        <f t="shared" ca="1" si="1"/>
        <v>7</v>
      </c>
      <c r="F61" s="23">
        <f t="shared" ca="1" si="2"/>
        <v>23.3</v>
      </c>
      <c r="G61" s="40">
        <f t="shared" ca="1" si="3"/>
        <v>0</v>
      </c>
      <c r="H61" s="23">
        <f t="shared" ca="1" si="4"/>
        <v>26</v>
      </c>
      <c r="I61" s="40">
        <f t="shared" ca="1" si="5"/>
        <v>0</v>
      </c>
    </row>
    <row r="62" spans="1:9" x14ac:dyDescent="0.25">
      <c r="A62" s="17">
        <f t="shared" si="0"/>
        <v>81</v>
      </c>
      <c r="B62" t="str">
        <f ca="1">TEXT(DATE(YEAR(Invoer!$A$5),1,1)+INT((ROWS(B$2:B62)-1)/3),"jjjjmmdd")</f>
        <v>19200121</v>
      </c>
      <c r="C62" s="35" t="str">
        <f>IF(MOD(ROWS(C$2:C62)-1,3)=2,"24.00",INDEX(Data,2,2+MOD(ROWS(C$2:C62)-1,3)))</f>
        <v>08.00</v>
      </c>
      <c r="D62" s="23">
        <f t="shared" ca="1" si="6"/>
        <v>751</v>
      </c>
      <c r="E62" s="40">
        <f t="shared" ca="1" si="1"/>
        <v>0</v>
      </c>
      <c r="F62" s="23" t="str">
        <f t="shared" ca="1" si="2"/>
        <v>—</v>
      </c>
      <c r="G62" s="40">
        <f t="shared" ca="1" si="3"/>
        <v>7</v>
      </c>
      <c r="H62" s="23" t="str">
        <f t="shared" ca="1" si="4"/>
        <v>—</v>
      </c>
      <c r="I62" s="40">
        <f t="shared" ca="1" si="5"/>
        <v>7</v>
      </c>
    </row>
    <row r="63" spans="1:9" x14ac:dyDescent="0.25">
      <c r="A63" s="17">
        <f t="shared" si="0"/>
        <v>81</v>
      </c>
      <c r="B63" t="str">
        <f ca="1">TEXT(DATE(YEAR(Invoer!$A$5),1,1)+INT((ROWS(B$2:B63)-1)/3),"jjjjmmdd")</f>
        <v>19200121</v>
      </c>
      <c r="C63" s="35" t="str">
        <f>IF(MOD(ROWS(C$2:C63)-1,3)=2,"24.00",INDEX(Data,2,2+MOD(ROWS(C$2:C63)-1,3)))</f>
        <v>14.00</v>
      </c>
      <c r="D63" s="23">
        <f t="shared" ca="1" si="6"/>
        <v>749</v>
      </c>
      <c r="E63" s="40">
        <f t="shared" ca="1" si="1"/>
        <v>0</v>
      </c>
      <c r="F63" s="23" t="str">
        <f t="shared" ca="1" si="2"/>
        <v>—</v>
      </c>
      <c r="G63" s="40">
        <f t="shared" ca="1" si="3"/>
        <v>7</v>
      </c>
      <c r="H63" s="23" t="str">
        <f t="shared" ca="1" si="4"/>
        <v>—</v>
      </c>
      <c r="I63" s="40">
        <f t="shared" ca="1" si="5"/>
        <v>7</v>
      </c>
    </row>
    <row r="64" spans="1:9" x14ac:dyDescent="0.25">
      <c r="A64" s="17">
        <f t="shared" si="0"/>
        <v>81</v>
      </c>
      <c r="B64" t="str">
        <f ca="1">TEXT(DATE(YEAR(Invoer!$A$5),1,1)+INT((ROWS(B$2:B64)-1)/3),"jjjjmmdd")</f>
        <v>19200121</v>
      </c>
      <c r="C64" s="35" t="str">
        <f>IF(MOD(ROWS(C$2:C64)-1,3)=2,"24.00",INDEX(Data,2,2+MOD(ROWS(C$2:C64)-1,3)))</f>
        <v>24.00</v>
      </c>
      <c r="D64" s="23" t="str">
        <f t="shared" ca="1" si="6"/>
        <v>—</v>
      </c>
      <c r="E64" s="40">
        <f t="shared" ca="1" si="1"/>
        <v>7</v>
      </c>
      <c r="F64" s="23">
        <f t="shared" ca="1" si="2"/>
        <v>23</v>
      </c>
      <c r="G64" s="40">
        <f t="shared" ca="1" si="3"/>
        <v>0</v>
      </c>
      <c r="H64" s="23">
        <f t="shared" ca="1" si="4"/>
        <v>25</v>
      </c>
      <c r="I64" s="40">
        <f t="shared" ca="1" si="5"/>
        <v>0</v>
      </c>
    </row>
    <row r="65" spans="1:9" x14ac:dyDescent="0.25">
      <c r="A65" s="17">
        <f t="shared" si="0"/>
        <v>81</v>
      </c>
      <c r="B65" t="str">
        <f ca="1">TEXT(DATE(YEAR(Invoer!$A$5),1,1)+INT((ROWS(B$2:B65)-1)/3),"jjjjmmdd")</f>
        <v>19200122</v>
      </c>
      <c r="C65" s="35" t="str">
        <f>IF(MOD(ROWS(C$2:C65)-1,3)=2,"24.00",INDEX(Data,2,2+MOD(ROWS(C$2:C65)-1,3)))</f>
        <v>08.00</v>
      </c>
      <c r="D65" s="23">
        <f t="shared" ca="1" si="6"/>
        <v>750.7</v>
      </c>
      <c r="E65" s="40">
        <f t="shared" ca="1" si="1"/>
        <v>0</v>
      </c>
      <c r="F65" s="23" t="str">
        <f t="shared" ca="1" si="2"/>
        <v>—</v>
      </c>
      <c r="G65" s="40">
        <f t="shared" ca="1" si="3"/>
        <v>7</v>
      </c>
      <c r="H65" s="23" t="str">
        <f t="shared" ca="1" si="4"/>
        <v>—</v>
      </c>
      <c r="I65" s="40">
        <f t="shared" ca="1" si="5"/>
        <v>7</v>
      </c>
    </row>
    <row r="66" spans="1:9" x14ac:dyDescent="0.25">
      <c r="A66" s="17">
        <f t="shared" ref="A66:A129" si="7">INDEX(Stations,2,1)</f>
        <v>81</v>
      </c>
      <c r="B66" t="str">
        <f ca="1">TEXT(DATE(YEAR(Invoer!$A$5),1,1)+INT((ROWS(B$2:B66)-1)/3),"jjjjmmdd")</f>
        <v>19200122</v>
      </c>
      <c r="C66" s="35" t="str">
        <f>IF(MOD(ROWS(C$2:C66)-1,3)=2,"24.00",INDEX(Data,2,2+MOD(ROWS(C$2:C66)-1,3)))</f>
        <v>14.00</v>
      </c>
      <c r="D66" s="23">
        <f t="shared" ca="1" si="6"/>
        <v>749</v>
      </c>
      <c r="E66" s="40">
        <f t="shared" ref="E66:E129" ca="1" si="8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 t="str">
        <f t="shared" ref="F66:F129" ca="1" si="9">IF(OR(ISBLANK(VLOOKUP(DATEVALUE(LEFT($B66,4)&amp;"-"&amp;MID($B66,5,2)&amp;"-"&amp;RIGHT($B66,2)),Data,MATCH(LEFT(VLOOKUP(F$1,Parameters,2,FALSE()),4)&amp;"*",OFFSET(Data,1,0,1),0),FALSE())),ISTEXT(VLOOKUP(DATEVALUE(LEFT($B66,4)&amp;"-"&amp;MID($B66,5,2)&amp;"-"&amp;RIGHT($B66,2)),Data,MATCH(LEFT(VLOOKUP(F$1,Parameters,2,FALSE()),4)&amp;"*",OFFSET(Data,1,0,1),0),FALSE())),NOT(EXACT($C66,"24.00"))),"—",VLOOKUP(DATEVALUE(LEFT($B66,4)&amp;"-"&amp;MID($B66,5,2)&amp;"-"&amp;RIGHT($B66,2)),Data,MATCH(LEFT(VLOOKUP(F$1,Parameters,2,FALSE()),4)&amp;"*",OFFSET(Data,1,0,1),0),FALSE()))</f>
        <v>—</v>
      </c>
      <c r="G66" s="40">
        <f t="shared" ref="G66:G129" ca="1" si="10">IF(OR(ISBLANK(VLOOKUP(DATEVALUE(LEFT($B66,4)&amp;"-"&amp;MID($B66,5,2)&amp;"-"&amp;RIGHT($B66,2)),Data,MATCH(LEFT(VLOOKUP(MID(G$1,2,LEN(G$1)-1),Parameters,2,FALSE()),4)&amp;"*",OFFSET(Data,1,0,1),0),FALSE())),ISTEXT(VLOOKUP(DATEVALUE(LEFT($B66,4)&amp;"-"&amp;MID($B66,5,2)&amp;"-"&amp;RIGHT($B66,2)),Data,MATCH(LEFT(VLOOKUP(MID(G$1,2,LEN(G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1,0,1),0),FALSE())))</f>
        <v>7</v>
      </c>
      <c r="H66" s="23" t="str">
        <f t="shared" ref="H66:H129" ca="1" si="11">IF(OR(ISBLANK(VLOOKUP(DATEVALUE(LEFT($B66,4)&amp;"-"&amp;MID($B66,5,2)&amp;"-"&amp;RIGHT($B66,2)),Data,MATCH(LEFT(VLOOKUP(H$1,Parameters,2,FALSE()),4)&amp;"*",OFFSET(Data,1,0,1),0),FALSE())),ISTEXT(VLOOKUP(DATEVALUE(LEFT($B66,4)&amp;"-"&amp;MID($B66,5,2)&amp;"-"&amp;RIGHT($B66,2)),Data,MATCH(LEFT(VLOOKUP(H$1,Parameters,2,FALSE()),4)&amp;"*",OFFSET(Data,1,0,1),0),FALSE())),NOT(EXACT($C66,"24.00"))),"—",VLOOKUP(DATEVALUE(LEFT($B66,4)&amp;"-"&amp;MID($B66,5,2)&amp;"-"&amp;RIGHT($B66,2)),Data,MATCH(LEFT(VLOOKUP(H$1,Parameters,2,FALSE()),4)&amp;"*",OFFSET(Data,1,0,1),0),FALSE()))</f>
        <v>—</v>
      </c>
      <c r="I66" s="40">
        <f t="shared" ref="I66:I129" ca="1" si="12">IF(OR(ISBLANK(VLOOKUP(DATEVALUE(LEFT($B66,4)&amp;"-"&amp;MID($B66,5,2)&amp;"-"&amp;RIGHT($B66,2)),Data,MATCH(LEFT(VLOOKUP(MID(I$1,2,LEN(I$1)-1),Parameters,2,FALSE()),4)&amp;"*",OFFSET(Data,1,0,1),0),FALSE())),ISTEXT(VLOOKUP(DATEVALUE(LEFT($B66,4)&amp;"-"&amp;MID($B66,5,2)&amp;"-"&amp;RIGHT($B66,2)),Data,MATCH(LEFT(VLOOKUP(MID(I$1,2,LEN(I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4)&amp;"*",OFFSET(Catalogus,1,0,1),0),FALSE())))</f>
        <v>7</v>
      </c>
    </row>
    <row r="67" spans="1:9" x14ac:dyDescent="0.25">
      <c r="A67" s="17">
        <f t="shared" si="7"/>
        <v>81</v>
      </c>
      <c r="B67" t="str">
        <f ca="1">TEXT(DATE(YEAR(Invoer!$A$5),1,1)+INT((ROWS(B$2:B67)-1)/3),"jjjjmmdd")</f>
        <v>19200122</v>
      </c>
      <c r="C67" s="35" t="str">
        <f>IF(MOD(ROWS(C$2:C67)-1,3)=2,"24.00",INDEX(Data,2,2+MOD(ROWS(C$2:C67)-1,3)))</f>
        <v>24.00</v>
      </c>
      <c r="D67" s="23" t="str">
        <f t="shared" ref="D67:D130" ca="1" si="13">IF(OR(ISBLANK(VLOOKUP(DATEVALUE(LEFT($B67,4)&amp;"-"&amp;MID($B67,5,2)&amp;"-"&amp;RIGHT($B67,2)),Data,MATCH(LEFT(VLOOKUP(D$1,Parameters,2,FALSE()),4)&amp;"*",OFFSET(Data,0,0,1),0)+MATCH($C67,OFFSET(Data,1,0,1),0)-2,FALSE())),ISTEXT(VLOOKUP(DATEVALUE(LEFT($B67,4)&amp;"-"&amp;MID($B67,5,2)&amp;"-"&amp;RIGHT($B67,2)),Data,MATCH(LEFT(VLOOKUP(D$1,Parameters,2,FALSE()),4)&amp;"*",OFFSET(Data,0,0,1),0)+MATCH($C67,OFFSET(Data,1,0,1),0)-2,FALSE())),EXACT(C67,"24.00")),"—",VLOOKUP(DATEVALUE(LEFT($B67,4)&amp;"-"&amp;MID($B67,5,2)&amp;"-"&amp;RIGHT($B67,2)),Data,MATCH(LEFT(VLOOKUP(D$1,Parameters,2,FALSE()),4)&amp;"*",OFFSET(Data,0,0,1),0)+MATCH($C67,OFFSET(Data,1,0,1),0)-2,FALSE()))</f>
        <v>—</v>
      </c>
      <c r="E67" s="40">
        <f t="shared" ca="1" si="8"/>
        <v>7</v>
      </c>
      <c r="F67" s="23">
        <f t="shared" ca="1" si="9"/>
        <v>23</v>
      </c>
      <c r="G67" s="40">
        <f t="shared" ca="1" si="10"/>
        <v>0</v>
      </c>
      <c r="H67" s="23">
        <f t="shared" ca="1" si="11"/>
        <v>24</v>
      </c>
      <c r="I67" s="40">
        <f t="shared" ca="1" si="12"/>
        <v>0</v>
      </c>
    </row>
    <row r="68" spans="1:9" x14ac:dyDescent="0.25">
      <c r="A68" s="17">
        <f t="shared" si="7"/>
        <v>81</v>
      </c>
      <c r="B68" t="str">
        <f ca="1">TEXT(DATE(YEAR(Invoer!$A$5),1,1)+INT((ROWS(B$2:B68)-1)/3),"jjjjmmdd")</f>
        <v>19200123</v>
      </c>
      <c r="C68" s="35" t="str">
        <f>IF(MOD(ROWS(C$2:C68)-1,3)=2,"24.00",INDEX(Data,2,2+MOD(ROWS(C$2:C68)-1,3)))</f>
        <v>08.00</v>
      </c>
      <c r="D68" s="23">
        <f t="shared" ca="1" si="13"/>
        <v>750.6</v>
      </c>
      <c r="E68" s="40">
        <f t="shared" ca="1" si="8"/>
        <v>0</v>
      </c>
      <c r="F68" s="23" t="str">
        <f t="shared" ca="1" si="9"/>
        <v>—</v>
      </c>
      <c r="G68" s="40">
        <f t="shared" ca="1" si="10"/>
        <v>7</v>
      </c>
      <c r="H68" s="23" t="str">
        <f t="shared" ca="1" si="11"/>
        <v>—</v>
      </c>
      <c r="I68" s="40">
        <f t="shared" ca="1" si="12"/>
        <v>7</v>
      </c>
    </row>
    <row r="69" spans="1:9" x14ac:dyDescent="0.25">
      <c r="A69" s="17">
        <f t="shared" si="7"/>
        <v>81</v>
      </c>
      <c r="B69" t="str">
        <f ca="1">TEXT(DATE(YEAR(Invoer!$A$5),1,1)+INT((ROWS(B$2:B69)-1)/3),"jjjjmmdd")</f>
        <v>19200123</v>
      </c>
      <c r="C69" s="35" t="str">
        <f>IF(MOD(ROWS(C$2:C69)-1,3)=2,"24.00",INDEX(Data,2,2+MOD(ROWS(C$2:C69)-1,3)))</f>
        <v>14.00</v>
      </c>
      <c r="D69" s="23">
        <f t="shared" ca="1" si="13"/>
        <v>749.5</v>
      </c>
      <c r="E69" s="40">
        <f t="shared" ca="1" si="8"/>
        <v>0</v>
      </c>
      <c r="F69" s="23" t="str">
        <f t="shared" ca="1" si="9"/>
        <v>—</v>
      </c>
      <c r="G69" s="40">
        <f t="shared" ca="1" si="10"/>
        <v>7</v>
      </c>
      <c r="H69" s="23" t="str">
        <f t="shared" ca="1" si="11"/>
        <v>—</v>
      </c>
      <c r="I69" s="40">
        <f t="shared" ca="1" si="12"/>
        <v>7</v>
      </c>
    </row>
    <row r="70" spans="1:9" x14ac:dyDescent="0.25">
      <c r="A70" s="17">
        <f t="shared" si="7"/>
        <v>81</v>
      </c>
      <c r="B70" t="str">
        <f ca="1">TEXT(DATE(YEAR(Invoer!$A$5),1,1)+INT((ROWS(B$2:B70)-1)/3),"jjjjmmdd")</f>
        <v>19200123</v>
      </c>
      <c r="C70" s="35" t="str">
        <f>IF(MOD(ROWS(C$2:C70)-1,3)=2,"24.00",INDEX(Data,2,2+MOD(ROWS(C$2:C70)-1,3)))</f>
        <v>24.00</v>
      </c>
      <c r="D70" s="23" t="str">
        <f t="shared" ca="1" si="13"/>
        <v>—</v>
      </c>
      <c r="E70" s="40">
        <f t="shared" ca="1" si="8"/>
        <v>7</v>
      </c>
      <c r="F70" s="23">
        <f t="shared" ca="1" si="9"/>
        <v>23.5</v>
      </c>
      <c r="G70" s="40">
        <f t="shared" ca="1" si="10"/>
        <v>0</v>
      </c>
      <c r="H70" s="23">
        <f t="shared" ca="1" si="11"/>
        <v>25.5</v>
      </c>
      <c r="I70" s="40">
        <f t="shared" ca="1" si="12"/>
        <v>0</v>
      </c>
    </row>
    <row r="71" spans="1:9" x14ac:dyDescent="0.25">
      <c r="A71" s="17">
        <f t="shared" si="7"/>
        <v>81</v>
      </c>
      <c r="B71" t="str">
        <f ca="1">TEXT(DATE(YEAR(Invoer!$A$5),1,1)+INT((ROWS(B$2:B71)-1)/3),"jjjjmmdd")</f>
        <v>19200124</v>
      </c>
      <c r="C71" s="35" t="str">
        <f>IF(MOD(ROWS(C$2:C71)-1,3)=2,"24.00",INDEX(Data,2,2+MOD(ROWS(C$2:C71)-1,3)))</f>
        <v>08.00</v>
      </c>
      <c r="D71" s="23">
        <f t="shared" ca="1" si="13"/>
        <v>750</v>
      </c>
      <c r="E71" s="40">
        <f t="shared" ca="1" si="8"/>
        <v>0</v>
      </c>
      <c r="F71" s="23" t="str">
        <f t="shared" ca="1" si="9"/>
        <v>—</v>
      </c>
      <c r="G71" s="40">
        <f t="shared" ca="1" si="10"/>
        <v>7</v>
      </c>
      <c r="H71" s="23" t="str">
        <f t="shared" ca="1" si="11"/>
        <v>—</v>
      </c>
      <c r="I71" s="40">
        <f t="shared" ca="1" si="12"/>
        <v>7</v>
      </c>
    </row>
    <row r="72" spans="1:9" x14ac:dyDescent="0.25">
      <c r="A72" s="17">
        <f t="shared" si="7"/>
        <v>81</v>
      </c>
      <c r="B72" t="str">
        <f ca="1">TEXT(DATE(YEAR(Invoer!$A$5),1,1)+INT((ROWS(B$2:B72)-1)/3),"jjjjmmdd")</f>
        <v>19200124</v>
      </c>
      <c r="C72" s="35" t="str">
        <f>IF(MOD(ROWS(C$2:C72)-1,3)=2,"24.00",INDEX(Data,2,2+MOD(ROWS(C$2:C72)-1,3)))</f>
        <v>14.00</v>
      </c>
      <c r="D72" s="23">
        <f t="shared" ca="1" si="13"/>
        <v>749</v>
      </c>
      <c r="E72" s="40">
        <f t="shared" ca="1" si="8"/>
        <v>0</v>
      </c>
      <c r="F72" s="23" t="str">
        <f t="shared" ca="1" si="9"/>
        <v>—</v>
      </c>
      <c r="G72" s="40">
        <f t="shared" ca="1" si="10"/>
        <v>7</v>
      </c>
      <c r="H72" s="23" t="str">
        <f t="shared" ca="1" si="11"/>
        <v>—</v>
      </c>
      <c r="I72" s="40">
        <f t="shared" ca="1" si="12"/>
        <v>7</v>
      </c>
    </row>
    <row r="73" spans="1:9" x14ac:dyDescent="0.25">
      <c r="A73" s="17">
        <f t="shared" si="7"/>
        <v>81</v>
      </c>
      <c r="B73" t="str">
        <f ca="1">TEXT(DATE(YEAR(Invoer!$A$5),1,1)+INT((ROWS(B$2:B73)-1)/3),"jjjjmmdd")</f>
        <v>19200124</v>
      </c>
      <c r="C73" s="35" t="str">
        <f>IF(MOD(ROWS(C$2:C73)-1,3)=2,"24.00",INDEX(Data,2,2+MOD(ROWS(C$2:C73)-1,3)))</f>
        <v>24.00</v>
      </c>
      <c r="D73" s="23" t="str">
        <f t="shared" ca="1" si="13"/>
        <v>—</v>
      </c>
      <c r="E73" s="40">
        <f t="shared" ca="1" si="8"/>
        <v>7</v>
      </c>
      <c r="F73" s="23">
        <f t="shared" ca="1" si="9"/>
        <v>24</v>
      </c>
      <c r="G73" s="40">
        <f t="shared" ca="1" si="10"/>
        <v>0</v>
      </c>
      <c r="H73" s="23">
        <f t="shared" ca="1" si="11"/>
        <v>27</v>
      </c>
      <c r="I73" s="40">
        <f t="shared" ca="1" si="12"/>
        <v>0</v>
      </c>
    </row>
    <row r="74" spans="1:9" x14ac:dyDescent="0.25">
      <c r="A74" s="17">
        <f t="shared" si="7"/>
        <v>81</v>
      </c>
      <c r="B74" t="str">
        <f ca="1">TEXT(DATE(YEAR(Invoer!$A$5),1,1)+INT((ROWS(B$2:B74)-1)/3),"jjjjmmdd")</f>
        <v>19200125</v>
      </c>
      <c r="C74" s="35" t="str">
        <f>IF(MOD(ROWS(C$2:C74)-1,3)=2,"24.00",INDEX(Data,2,2+MOD(ROWS(C$2:C74)-1,3)))</f>
        <v>08.00</v>
      </c>
      <c r="D74" s="23">
        <f t="shared" ca="1" si="13"/>
        <v>750</v>
      </c>
      <c r="E74" s="40">
        <f t="shared" ca="1" si="8"/>
        <v>0</v>
      </c>
      <c r="F74" s="23" t="str">
        <f t="shared" ca="1" si="9"/>
        <v>—</v>
      </c>
      <c r="G74" s="40">
        <f t="shared" ca="1" si="10"/>
        <v>7</v>
      </c>
      <c r="H74" s="23" t="str">
        <f t="shared" ca="1" si="11"/>
        <v>—</v>
      </c>
      <c r="I74" s="40">
        <f t="shared" ca="1" si="12"/>
        <v>7</v>
      </c>
    </row>
    <row r="75" spans="1:9" x14ac:dyDescent="0.25">
      <c r="A75" s="17">
        <f t="shared" si="7"/>
        <v>81</v>
      </c>
      <c r="B75" t="str">
        <f ca="1">TEXT(DATE(YEAR(Invoer!$A$5),1,1)+INT((ROWS(B$2:B75)-1)/3),"jjjjmmdd")</f>
        <v>19200125</v>
      </c>
      <c r="C75" s="35" t="str">
        <f>IF(MOD(ROWS(C$2:C75)-1,3)=2,"24.00",INDEX(Data,2,2+MOD(ROWS(C$2:C75)-1,3)))</f>
        <v>14.00</v>
      </c>
      <c r="D75" s="23">
        <f t="shared" ca="1" si="13"/>
        <v>749</v>
      </c>
      <c r="E75" s="40">
        <f t="shared" ca="1" si="8"/>
        <v>0</v>
      </c>
      <c r="F75" s="23" t="str">
        <f t="shared" ca="1" si="9"/>
        <v>—</v>
      </c>
      <c r="G75" s="40">
        <f t="shared" ca="1" si="10"/>
        <v>7</v>
      </c>
      <c r="H75" s="23" t="str">
        <f t="shared" ca="1" si="11"/>
        <v>—</v>
      </c>
      <c r="I75" s="40">
        <f t="shared" ca="1" si="12"/>
        <v>7</v>
      </c>
    </row>
    <row r="76" spans="1:9" x14ac:dyDescent="0.25">
      <c r="A76" s="17">
        <f t="shared" si="7"/>
        <v>81</v>
      </c>
      <c r="B76" t="str">
        <f ca="1">TEXT(DATE(YEAR(Invoer!$A$5),1,1)+INT((ROWS(B$2:B76)-1)/3),"jjjjmmdd")</f>
        <v>19200125</v>
      </c>
      <c r="C76" s="35" t="str">
        <f>IF(MOD(ROWS(C$2:C76)-1,3)=2,"24.00",INDEX(Data,2,2+MOD(ROWS(C$2:C76)-1,3)))</f>
        <v>24.00</v>
      </c>
      <c r="D76" s="23" t="str">
        <f t="shared" ca="1" si="13"/>
        <v>—</v>
      </c>
      <c r="E76" s="40">
        <f t="shared" ca="1" si="8"/>
        <v>7</v>
      </c>
      <c r="F76" s="23">
        <f t="shared" ca="1" si="9"/>
        <v>24</v>
      </c>
      <c r="G76" s="40">
        <f t="shared" ca="1" si="10"/>
        <v>0</v>
      </c>
      <c r="H76" s="23">
        <f t="shared" ca="1" si="11"/>
        <v>27</v>
      </c>
      <c r="I76" s="40">
        <f t="shared" ca="1" si="12"/>
        <v>0</v>
      </c>
    </row>
    <row r="77" spans="1:9" x14ac:dyDescent="0.25">
      <c r="A77" s="17">
        <f t="shared" si="7"/>
        <v>81</v>
      </c>
      <c r="B77" t="str">
        <f ca="1">TEXT(DATE(YEAR(Invoer!$A$5),1,1)+INT((ROWS(B$2:B77)-1)/3),"jjjjmmdd")</f>
        <v>19200126</v>
      </c>
      <c r="C77" s="35" t="str">
        <f>IF(MOD(ROWS(C$2:C77)-1,3)=2,"24.00",INDEX(Data,2,2+MOD(ROWS(C$2:C77)-1,3)))</f>
        <v>08.00</v>
      </c>
      <c r="D77" s="23">
        <f t="shared" ca="1" si="13"/>
        <v>750</v>
      </c>
      <c r="E77" s="40">
        <f t="shared" ca="1" si="8"/>
        <v>0</v>
      </c>
      <c r="F77" s="23" t="str">
        <f t="shared" ca="1" si="9"/>
        <v>—</v>
      </c>
      <c r="G77" s="40">
        <f t="shared" ca="1" si="10"/>
        <v>7</v>
      </c>
      <c r="H77" s="23" t="str">
        <f t="shared" ca="1" si="11"/>
        <v>—</v>
      </c>
      <c r="I77" s="40">
        <f t="shared" ca="1" si="12"/>
        <v>7</v>
      </c>
    </row>
    <row r="78" spans="1:9" x14ac:dyDescent="0.25">
      <c r="A78" s="17">
        <f t="shared" si="7"/>
        <v>81</v>
      </c>
      <c r="B78" t="str">
        <f ca="1">TEXT(DATE(YEAR(Invoer!$A$5),1,1)+INT((ROWS(B$2:B78)-1)/3),"jjjjmmdd")</f>
        <v>19200126</v>
      </c>
      <c r="C78" s="35" t="str">
        <f>IF(MOD(ROWS(C$2:C78)-1,3)=2,"24.00",INDEX(Data,2,2+MOD(ROWS(C$2:C78)-1,3)))</f>
        <v>14.00</v>
      </c>
      <c r="D78" s="23">
        <f t="shared" ca="1" si="13"/>
        <v>749</v>
      </c>
      <c r="E78" s="40">
        <f t="shared" ca="1" si="8"/>
        <v>0</v>
      </c>
      <c r="F78" s="23" t="str">
        <f t="shared" ca="1" si="9"/>
        <v>—</v>
      </c>
      <c r="G78" s="40">
        <f t="shared" ca="1" si="10"/>
        <v>7</v>
      </c>
      <c r="H78" s="23" t="str">
        <f t="shared" ca="1" si="11"/>
        <v>—</v>
      </c>
      <c r="I78" s="40">
        <f t="shared" ca="1" si="12"/>
        <v>7</v>
      </c>
    </row>
    <row r="79" spans="1:9" x14ac:dyDescent="0.25">
      <c r="A79" s="17">
        <f t="shared" si="7"/>
        <v>81</v>
      </c>
      <c r="B79" t="str">
        <f ca="1">TEXT(DATE(YEAR(Invoer!$A$5),1,1)+INT((ROWS(B$2:B79)-1)/3),"jjjjmmdd")</f>
        <v>19200126</v>
      </c>
      <c r="C79" s="35" t="str">
        <f>IF(MOD(ROWS(C$2:C79)-1,3)=2,"24.00",INDEX(Data,2,2+MOD(ROWS(C$2:C79)-1,3)))</f>
        <v>24.00</v>
      </c>
      <c r="D79" s="23" t="str">
        <f t="shared" ca="1" si="13"/>
        <v>—</v>
      </c>
      <c r="E79" s="40">
        <f t="shared" ca="1" si="8"/>
        <v>7</v>
      </c>
      <c r="F79" s="23">
        <f t="shared" ca="1" si="9"/>
        <v>23</v>
      </c>
      <c r="G79" s="40">
        <f t="shared" ca="1" si="10"/>
        <v>0</v>
      </c>
      <c r="H79" s="23">
        <f t="shared" ca="1" si="11"/>
        <v>25</v>
      </c>
      <c r="I79" s="40">
        <f t="shared" ca="1" si="12"/>
        <v>0</v>
      </c>
    </row>
    <row r="80" spans="1:9" x14ac:dyDescent="0.25">
      <c r="A80" s="17">
        <f t="shared" si="7"/>
        <v>81</v>
      </c>
      <c r="B80" t="str">
        <f ca="1">TEXT(DATE(YEAR(Invoer!$A$5),1,1)+INT((ROWS(B$2:B80)-1)/3),"jjjjmmdd")</f>
        <v>19200127</v>
      </c>
      <c r="C80" s="35" t="str">
        <f>IF(MOD(ROWS(C$2:C80)-1,3)=2,"24.00",INDEX(Data,2,2+MOD(ROWS(C$2:C80)-1,3)))</f>
        <v>08.00</v>
      </c>
      <c r="D80" s="23">
        <f t="shared" ca="1" si="13"/>
        <v>750</v>
      </c>
      <c r="E80" s="40">
        <f t="shared" ca="1" si="8"/>
        <v>0</v>
      </c>
      <c r="F80" s="23" t="str">
        <f t="shared" ca="1" si="9"/>
        <v>—</v>
      </c>
      <c r="G80" s="40">
        <f t="shared" ca="1" si="10"/>
        <v>7</v>
      </c>
      <c r="H80" s="23" t="str">
        <f t="shared" ca="1" si="11"/>
        <v>—</v>
      </c>
      <c r="I80" s="40">
        <f t="shared" ca="1" si="12"/>
        <v>7</v>
      </c>
    </row>
    <row r="81" spans="1:9" x14ac:dyDescent="0.25">
      <c r="A81" s="17">
        <f t="shared" si="7"/>
        <v>81</v>
      </c>
      <c r="B81" t="str">
        <f ca="1">TEXT(DATE(YEAR(Invoer!$A$5),1,1)+INT((ROWS(B$2:B81)-1)/3),"jjjjmmdd")</f>
        <v>19200127</v>
      </c>
      <c r="C81" s="35" t="str">
        <f>IF(MOD(ROWS(C$2:C81)-1,3)=2,"24.00",INDEX(Data,2,2+MOD(ROWS(C$2:C81)-1,3)))</f>
        <v>14.00</v>
      </c>
      <c r="D81" s="23">
        <f t="shared" ca="1" si="13"/>
        <v>749.5</v>
      </c>
      <c r="E81" s="40">
        <f t="shared" ca="1" si="8"/>
        <v>0</v>
      </c>
      <c r="F81" s="23" t="str">
        <f t="shared" ca="1" si="9"/>
        <v>—</v>
      </c>
      <c r="G81" s="40">
        <f t="shared" ca="1" si="10"/>
        <v>7</v>
      </c>
      <c r="H81" s="23" t="str">
        <f t="shared" ca="1" si="11"/>
        <v>—</v>
      </c>
      <c r="I81" s="40">
        <f t="shared" ca="1" si="12"/>
        <v>7</v>
      </c>
    </row>
    <row r="82" spans="1:9" x14ac:dyDescent="0.25">
      <c r="A82" s="17">
        <f t="shared" si="7"/>
        <v>81</v>
      </c>
      <c r="B82" t="str">
        <f ca="1">TEXT(DATE(YEAR(Invoer!$A$5),1,1)+INT((ROWS(B$2:B82)-1)/3),"jjjjmmdd")</f>
        <v>19200127</v>
      </c>
      <c r="C82" s="35" t="str">
        <f>IF(MOD(ROWS(C$2:C82)-1,3)=2,"24.00",INDEX(Data,2,2+MOD(ROWS(C$2:C82)-1,3)))</f>
        <v>24.00</v>
      </c>
      <c r="D82" s="23" t="str">
        <f t="shared" ca="1" si="13"/>
        <v>—</v>
      </c>
      <c r="E82" s="40">
        <f t="shared" ca="1" si="8"/>
        <v>7</v>
      </c>
      <c r="F82" s="23">
        <f t="shared" ca="1" si="9"/>
        <v>24</v>
      </c>
      <c r="G82" s="40">
        <f t="shared" ca="1" si="10"/>
        <v>0</v>
      </c>
      <c r="H82" s="23">
        <f t="shared" ca="1" si="11"/>
        <v>25.8</v>
      </c>
      <c r="I82" s="40">
        <f t="shared" ca="1" si="12"/>
        <v>0</v>
      </c>
    </row>
    <row r="83" spans="1:9" x14ac:dyDescent="0.25">
      <c r="A83" s="17">
        <f t="shared" si="7"/>
        <v>81</v>
      </c>
      <c r="B83" t="str">
        <f ca="1">TEXT(DATE(YEAR(Invoer!$A$5),1,1)+INT((ROWS(B$2:B83)-1)/3),"jjjjmmdd")</f>
        <v>19200128</v>
      </c>
      <c r="C83" s="35" t="str">
        <f>IF(MOD(ROWS(C$2:C83)-1,3)=2,"24.00",INDEX(Data,2,2+MOD(ROWS(C$2:C83)-1,3)))</f>
        <v>08.00</v>
      </c>
      <c r="D83" s="23">
        <f t="shared" ca="1" si="13"/>
        <v>750</v>
      </c>
      <c r="E83" s="40">
        <f t="shared" ca="1" si="8"/>
        <v>0</v>
      </c>
      <c r="F83" s="23" t="str">
        <f t="shared" ca="1" si="9"/>
        <v>—</v>
      </c>
      <c r="G83" s="40">
        <f t="shared" ca="1" si="10"/>
        <v>7</v>
      </c>
      <c r="H83" s="23" t="str">
        <f t="shared" ca="1" si="11"/>
        <v>—</v>
      </c>
      <c r="I83" s="40">
        <f t="shared" ca="1" si="12"/>
        <v>7</v>
      </c>
    </row>
    <row r="84" spans="1:9" x14ac:dyDescent="0.25">
      <c r="A84" s="17">
        <f t="shared" si="7"/>
        <v>81</v>
      </c>
      <c r="B84" t="str">
        <f ca="1">TEXT(DATE(YEAR(Invoer!$A$5),1,1)+INT((ROWS(B$2:B84)-1)/3),"jjjjmmdd")</f>
        <v>19200128</v>
      </c>
      <c r="C84" s="35" t="str">
        <f>IF(MOD(ROWS(C$2:C84)-1,3)=2,"24.00",INDEX(Data,2,2+MOD(ROWS(C$2:C84)-1,3)))</f>
        <v>14.00</v>
      </c>
      <c r="D84" s="23">
        <f t="shared" ca="1" si="13"/>
        <v>748.7</v>
      </c>
      <c r="E84" s="40">
        <f t="shared" ca="1" si="8"/>
        <v>0</v>
      </c>
      <c r="F84" s="23" t="str">
        <f t="shared" ca="1" si="9"/>
        <v>—</v>
      </c>
      <c r="G84" s="40">
        <f t="shared" ca="1" si="10"/>
        <v>7</v>
      </c>
      <c r="H84" s="23" t="str">
        <f t="shared" ca="1" si="11"/>
        <v>—</v>
      </c>
      <c r="I84" s="40">
        <f t="shared" ca="1" si="12"/>
        <v>7</v>
      </c>
    </row>
    <row r="85" spans="1:9" x14ac:dyDescent="0.25">
      <c r="A85" s="17">
        <f t="shared" si="7"/>
        <v>81</v>
      </c>
      <c r="B85" t="str">
        <f ca="1">TEXT(DATE(YEAR(Invoer!$A$5),1,1)+INT((ROWS(B$2:B85)-1)/3),"jjjjmmdd")</f>
        <v>19200128</v>
      </c>
      <c r="C85" s="35" t="str">
        <f>IF(MOD(ROWS(C$2:C85)-1,3)=2,"24.00",INDEX(Data,2,2+MOD(ROWS(C$2:C85)-1,3)))</f>
        <v>24.00</v>
      </c>
      <c r="D85" s="23" t="str">
        <f t="shared" ca="1" si="13"/>
        <v>—</v>
      </c>
      <c r="E85" s="40">
        <f t="shared" ca="1" si="8"/>
        <v>7</v>
      </c>
      <c r="F85" s="23">
        <f t="shared" ca="1" si="9"/>
        <v>23.5</v>
      </c>
      <c r="G85" s="40">
        <f t="shared" ca="1" si="10"/>
        <v>0</v>
      </c>
      <c r="H85" s="23">
        <f t="shared" ca="1" si="11"/>
        <v>26</v>
      </c>
      <c r="I85" s="40">
        <f t="shared" ca="1" si="12"/>
        <v>0</v>
      </c>
    </row>
    <row r="86" spans="1:9" x14ac:dyDescent="0.25">
      <c r="A86" s="17">
        <f t="shared" si="7"/>
        <v>81</v>
      </c>
      <c r="B86" t="str">
        <f ca="1">TEXT(DATE(YEAR(Invoer!$A$5),1,1)+INT((ROWS(B$2:B86)-1)/3),"jjjjmmdd")</f>
        <v>19200129</v>
      </c>
      <c r="C86" s="35" t="str">
        <f>IF(MOD(ROWS(C$2:C86)-1,3)=2,"24.00",INDEX(Data,2,2+MOD(ROWS(C$2:C86)-1,3)))</f>
        <v>08.00</v>
      </c>
      <c r="D86" s="23">
        <f t="shared" ca="1" si="13"/>
        <v>749</v>
      </c>
      <c r="E86" s="40">
        <f t="shared" ca="1" si="8"/>
        <v>0</v>
      </c>
      <c r="F86" s="23" t="str">
        <f t="shared" ca="1" si="9"/>
        <v>—</v>
      </c>
      <c r="G86" s="40">
        <f t="shared" ca="1" si="10"/>
        <v>7</v>
      </c>
      <c r="H86" s="23" t="str">
        <f t="shared" ca="1" si="11"/>
        <v>—</v>
      </c>
      <c r="I86" s="40">
        <f t="shared" ca="1" si="12"/>
        <v>7</v>
      </c>
    </row>
    <row r="87" spans="1:9" x14ac:dyDescent="0.25">
      <c r="A87" s="17">
        <f t="shared" si="7"/>
        <v>81</v>
      </c>
      <c r="B87" t="str">
        <f ca="1">TEXT(DATE(YEAR(Invoer!$A$5),1,1)+INT((ROWS(B$2:B87)-1)/3),"jjjjmmdd")</f>
        <v>19200129</v>
      </c>
      <c r="C87" s="35" t="str">
        <f>IF(MOD(ROWS(C$2:C87)-1,3)=2,"24.00",INDEX(Data,2,2+MOD(ROWS(C$2:C87)-1,3)))</f>
        <v>14.00</v>
      </c>
      <c r="D87" s="23">
        <f t="shared" ca="1" si="13"/>
        <v>748.5</v>
      </c>
      <c r="E87" s="40">
        <f t="shared" ca="1" si="8"/>
        <v>0</v>
      </c>
      <c r="F87" s="23" t="str">
        <f t="shared" ca="1" si="9"/>
        <v>—</v>
      </c>
      <c r="G87" s="40">
        <f t="shared" ca="1" si="10"/>
        <v>7</v>
      </c>
      <c r="H87" s="23" t="str">
        <f t="shared" ca="1" si="11"/>
        <v>—</v>
      </c>
      <c r="I87" s="40">
        <f t="shared" ca="1" si="12"/>
        <v>7</v>
      </c>
    </row>
    <row r="88" spans="1:9" x14ac:dyDescent="0.25">
      <c r="A88" s="17">
        <f t="shared" si="7"/>
        <v>81</v>
      </c>
      <c r="B88" t="str">
        <f ca="1">TEXT(DATE(YEAR(Invoer!$A$5),1,1)+INT((ROWS(B$2:B88)-1)/3),"jjjjmmdd")</f>
        <v>19200129</v>
      </c>
      <c r="C88" s="35" t="str">
        <f>IF(MOD(ROWS(C$2:C88)-1,3)=2,"24.00",INDEX(Data,2,2+MOD(ROWS(C$2:C88)-1,3)))</f>
        <v>24.00</v>
      </c>
      <c r="D88" s="23" t="str">
        <f t="shared" ca="1" si="13"/>
        <v>—</v>
      </c>
      <c r="E88" s="40">
        <f t="shared" ca="1" si="8"/>
        <v>7</v>
      </c>
      <c r="F88" s="23">
        <f t="shared" ca="1" si="9"/>
        <v>23.8</v>
      </c>
      <c r="G88" s="40">
        <f t="shared" ca="1" si="10"/>
        <v>0</v>
      </c>
      <c r="H88" s="23">
        <f t="shared" ca="1" si="11"/>
        <v>27.5</v>
      </c>
      <c r="I88" s="40">
        <f t="shared" ca="1" si="12"/>
        <v>0</v>
      </c>
    </row>
    <row r="89" spans="1:9" x14ac:dyDescent="0.25">
      <c r="A89" s="17">
        <f t="shared" si="7"/>
        <v>81</v>
      </c>
      <c r="B89" t="str">
        <f ca="1">TEXT(DATE(YEAR(Invoer!$A$5),1,1)+INT((ROWS(B$2:B89)-1)/3),"jjjjmmdd")</f>
        <v>19200130</v>
      </c>
      <c r="C89" s="35" t="str">
        <f>IF(MOD(ROWS(C$2:C89)-1,3)=2,"24.00",INDEX(Data,2,2+MOD(ROWS(C$2:C89)-1,3)))</f>
        <v>08.00</v>
      </c>
      <c r="D89" s="23">
        <f t="shared" ca="1" si="13"/>
        <v>748.6</v>
      </c>
      <c r="E89" s="40">
        <f t="shared" ca="1" si="8"/>
        <v>0</v>
      </c>
      <c r="F89" s="23" t="str">
        <f t="shared" ca="1" si="9"/>
        <v>—</v>
      </c>
      <c r="G89" s="40">
        <f t="shared" ca="1" si="10"/>
        <v>7</v>
      </c>
      <c r="H89" s="23" t="str">
        <f t="shared" ca="1" si="11"/>
        <v>—</v>
      </c>
      <c r="I89" s="40">
        <f t="shared" ca="1" si="12"/>
        <v>7</v>
      </c>
    </row>
    <row r="90" spans="1:9" x14ac:dyDescent="0.25">
      <c r="A90" s="17">
        <f t="shared" si="7"/>
        <v>81</v>
      </c>
      <c r="B90" t="str">
        <f ca="1">TEXT(DATE(YEAR(Invoer!$A$5),1,1)+INT((ROWS(B$2:B90)-1)/3),"jjjjmmdd")</f>
        <v>19200130</v>
      </c>
      <c r="C90" s="35" t="str">
        <f>IF(MOD(ROWS(C$2:C90)-1,3)=2,"24.00",INDEX(Data,2,2+MOD(ROWS(C$2:C90)-1,3)))</f>
        <v>14.00</v>
      </c>
      <c r="D90" s="23">
        <f t="shared" ca="1" si="13"/>
        <v>747.5</v>
      </c>
      <c r="E90" s="40">
        <f t="shared" ca="1" si="8"/>
        <v>0</v>
      </c>
      <c r="F90" s="23" t="str">
        <f t="shared" ca="1" si="9"/>
        <v>—</v>
      </c>
      <c r="G90" s="40">
        <f t="shared" ca="1" si="10"/>
        <v>7</v>
      </c>
      <c r="H90" s="23" t="str">
        <f t="shared" ca="1" si="11"/>
        <v>—</v>
      </c>
      <c r="I90" s="40">
        <f t="shared" ca="1" si="12"/>
        <v>7</v>
      </c>
    </row>
    <row r="91" spans="1:9" x14ac:dyDescent="0.25">
      <c r="A91" s="17">
        <f t="shared" si="7"/>
        <v>81</v>
      </c>
      <c r="B91" t="str">
        <f ca="1">TEXT(DATE(YEAR(Invoer!$A$5),1,1)+INT((ROWS(B$2:B91)-1)/3),"jjjjmmdd")</f>
        <v>19200130</v>
      </c>
      <c r="C91" s="35" t="str">
        <f>IF(MOD(ROWS(C$2:C91)-1,3)=2,"24.00",INDEX(Data,2,2+MOD(ROWS(C$2:C91)-1,3)))</f>
        <v>24.00</v>
      </c>
      <c r="D91" s="23" t="str">
        <f t="shared" ca="1" si="13"/>
        <v>—</v>
      </c>
      <c r="E91" s="40">
        <f t="shared" ca="1" si="8"/>
        <v>7</v>
      </c>
      <c r="F91" s="23">
        <f t="shared" ca="1" si="9"/>
        <v>23</v>
      </c>
      <c r="G91" s="40">
        <f t="shared" ca="1" si="10"/>
        <v>0</v>
      </c>
      <c r="H91" s="23">
        <f t="shared" ca="1" si="11"/>
        <v>23.8</v>
      </c>
      <c r="I91" s="40">
        <f t="shared" ca="1" si="12"/>
        <v>0</v>
      </c>
    </row>
    <row r="92" spans="1:9" x14ac:dyDescent="0.25">
      <c r="A92" s="17">
        <f t="shared" si="7"/>
        <v>81</v>
      </c>
      <c r="B92" t="str">
        <f ca="1">TEXT(DATE(YEAR(Invoer!$A$5),1,1)+INT((ROWS(B$2:B92)-1)/3),"jjjjmmdd")</f>
        <v>19200131</v>
      </c>
      <c r="C92" s="35" t="str">
        <f>IF(MOD(ROWS(C$2:C92)-1,3)=2,"24.00",INDEX(Data,2,2+MOD(ROWS(C$2:C92)-1,3)))</f>
        <v>08.00</v>
      </c>
      <c r="D92" s="23">
        <f t="shared" ca="1" si="13"/>
        <v>748</v>
      </c>
      <c r="E92" s="40">
        <f t="shared" ca="1" si="8"/>
        <v>0</v>
      </c>
      <c r="F92" s="23" t="str">
        <f t="shared" ca="1" si="9"/>
        <v>—</v>
      </c>
      <c r="G92" s="40">
        <f t="shared" ca="1" si="10"/>
        <v>7</v>
      </c>
      <c r="H92" s="23" t="str">
        <f t="shared" ca="1" si="11"/>
        <v>—</v>
      </c>
      <c r="I92" s="40">
        <f t="shared" ca="1" si="12"/>
        <v>7</v>
      </c>
    </row>
    <row r="93" spans="1:9" x14ac:dyDescent="0.25">
      <c r="A93" s="17">
        <f t="shared" si="7"/>
        <v>81</v>
      </c>
      <c r="B93" t="str">
        <f ca="1">TEXT(DATE(YEAR(Invoer!$A$5),1,1)+INT((ROWS(B$2:B93)-1)/3),"jjjjmmdd")</f>
        <v>19200131</v>
      </c>
      <c r="C93" s="35" t="str">
        <f>IF(MOD(ROWS(C$2:C93)-1,3)=2,"24.00",INDEX(Data,2,2+MOD(ROWS(C$2:C93)-1,3)))</f>
        <v>14.00</v>
      </c>
      <c r="D93" s="23">
        <f t="shared" ca="1" si="13"/>
        <v>747.2</v>
      </c>
      <c r="E93" s="40">
        <f t="shared" ca="1" si="8"/>
        <v>0</v>
      </c>
      <c r="F93" s="23" t="str">
        <f t="shared" ca="1" si="9"/>
        <v>—</v>
      </c>
      <c r="G93" s="40">
        <f t="shared" ca="1" si="10"/>
        <v>7</v>
      </c>
      <c r="H93" s="23" t="str">
        <f t="shared" ca="1" si="11"/>
        <v>—</v>
      </c>
      <c r="I93" s="40">
        <f t="shared" ca="1" si="12"/>
        <v>7</v>
      </c>
    </row>
    <row r="94" spans="1:9" x14ac:dyDescent="0.25">
      <c r="A94" s="17">
        <f t="shared" si="7"/>
        <v>81</v>
      </c>
      <c r="B94" t="str">
        <f ca="1">TEXT(DATE(YEAR(Invoer!$A$5),1,1)+INT((ROWS(B$2:B94)-1)/3),"jjjjmmdd")</f>
        <v>19200131</v>
      </c>
      <c r="C94" s="35" t="str">
        <f>IF(MOD(ROWS(C$2:C94)-1,3)=2,"24.00",INDEX(Data,2,2+MOD(ROWS(C$2:C94)-1,3)))</f>
        <v>24.00</v>
      </c>
      <c r="D94" s="23" t="str">
        <f t="shared" ca="1" si="13"/>
        <v>—</v>
      </c>
      <c r="E94" s="40">
        <f t="shared" ca="1" si="8"/>
        <v>7</v>
      </c>
      <c r="F94" s="23">
        <f t="shared" ca="1" si="9"/>
        <v>24</v>
      </c>
      <c r="G94" s="40">
        <f t="shared" ca="1" si="10"/>
        <v>0</v>
      </c>
      <c r="H94" s="23">
        <f t="shared" ca="1" si="11"/>
        <v>27.5</v>
      </c>
      <c r="I94" s="40">
        <f t="shared" ca="1" si="12"/>
        <v>0</v>
      </c>
    </row>
    <row r="95" spans="1:9" x14ac:dyDescent="0.25">
      <c r="A95" s="17">
        <f t="shared" si="7"/>
        <v>81</v>
      </c>
      <c r="B95" t="str">
        <f ca="1">TEXT(DATE(YEAR(Invoer!$A$5),1,1)+INT((ROWS(B$2:B95)-1)/3),"jjjjmmdd")</f>
        <v>19200201</v>
      </c>
      <c r="C95" s="35" t="str">
        <f>IF(MOD(ROWS(C$2:C95)-1,3)=2,"24.00",INDEX(Data,2,2+MOD(ROWS(C$2:C95)-1,3)))</f>
        <v>08.00</v>
      </c>
      <c r="D95" s="23">
        <f t="shared" ca="1" si="13"/>
        <v>747</v>
      </c>
      <c r="E95" s="40">
        <f t="shared" ca="1" si="8"/>
        <v>0</v>
      </c>
      <c r="F95" s="23" t="str">
        <f t="shared" ca="1" si="9"/>
        <v>—</v>
      </c>
      <c r="G95" s="40">
        <f t="shared" ca="1" si="10"/>
        <v>7</v>
      </c>
      <c r="H95" s="23" t="str">
        <f t="shared" ca="1" si="11"/>
        <v>—</v>
      </c>
      <c r="I95" s="40">
        <f t="shared" ca="1" si="12"/>
        <v>7</v>
      </c>
    </row>
    <row r="96" spans="1:9" x14ac:dyDescent="0.25">
      <c r="A96" s="17">
        <f t="shared" si="7"/>
        <v>81</v>
      </c>
      <c r="B96" t="str">
        <f ca="1">TEXT(DATE(YEAR(Invoer!$A$5),1,1)+INT((ROWS(B$2:B96)-1)/3),"jjjjmmdd")</f>
        <v>19200201</v>
      </c>
      <c r="C96" s="35" t="str">
        <f>IF(MOD(ROWS(C$2:C96)-1,3)=2,"24.00",INDEX(Data,2,2+MOD(ROWS(C$2:C96)-1,3)))</f>
        <v>14.00</v>
      </c>
      <c r="D96" s="23">
        <f t="shared" ca="1" si="13"/>
        <v>746.5</v>
      </c>
      <c r="E96" s="40">
        <f t="shared" ca="1" si="8"/>
        <v>0</v>
      </c>
      <c r="F96" s="23" t="str">
        <f t="shared" ca="1" si="9"/>
        <v>—</v>
      </c>
      <c r="G96" s="40">
        <f t="shared" ca="1" si="10"/>
        <v>7</v>
      </c>
      <c r="H96" s="23" t="str">
        <f t="shared" ca="1" si="11"/>
        <v>—</v>
      </c>
      <c r="I96" s="40">
        <f t="shared" ca="1" si="12"/>
        <v>7</v>
      </c>
    </row>
    <row r="97" spans="1:9" x14ac:dyDescent="0.25">
      <c r="A97" s="17">
        <f t="shared" si="7"/>
        <v>81</v>
      </c>
      <c r="B97" t="str">
        <f ca="1">TEXT(DATE(YEAR(Invoer!$A$5),1,1)+INT((ROWS(B$2:B97)-1)/3),"jjjjmmdd")</f>
        <v>19200201</v>
      </c>
      <c r="C97" s="35" t="str">
        <f>IF(MOD(ROWS(C$2:C97)-1,3)=2,"24.00",INDEX(Data,2,2+MOD(ROWS(C$2:C97)-1,3)))</f>
        <v>24.00</v>
      </c>
      <c r="D97" s="23" t="str">
        <f t="shared" ca="1" si="13"/>
        <v>—</v>
      </c>
      <c r="E97" s="40">
        <f t="shared" ca="1" si="8"/>
        <v>7</v>
      </c>
      <c r="F97" s="23">
        <f t="shared" ca="1" si="9"/>
        <v>24</v>
      </c>
      <c r="G97" s="40">
        <f t="shared" ca="1" si="10"/>
        <v>0</v>
      </c>
      <c r="H97" s="23">
        <f t="shared" ca="1" si="11"/>
        <v>26</v>
      </c>
      <c r="I97" s="40">
        <f t="shared" ca="1" si="12"/>
        <v>0</v>
      </c>
    </row>
    <row r="98" spans="1:9" x14ac:dyDescent="0.25">
      <c r="A98" s="17">
        <f t="shared" si="7"/>
        <v>81</v>
      </c>
      <c r="B98" t="str">
        <f ca="1">TEXT(DATE(YEAR(Invoer!$A$5),1,1)+INT((ROWS(B$2:B98)-1)/3),"jjjjmmdd")</f>
        <v>19200202</v>
      </c>
      <c r="C98" s="35" t="str">
        <f>IF(MOD(ROWS(C$2:C98)-1,3)=2,"24.00",INDEX(Data,2,2+MOD(ROWS(C$2:C98)-1,3)))</f>
        <v>08.00</v>
      </c>
      <c r="D98" s="23">
        <f t="shared" ca="1" si="13"/>
        <v>747.7</v>
      </c>
      <c r="E98" s="40">
        <f t="shared" ca="1" si="8"/>
        <v>0</v>
      </c>
      <c r="F98" s="23" t="str">
        <f t="shared" ca="1" si="9"/>
        <v>—</v>
      </c>
      <c r="G98" s="40">
        <f t="shared" ca="1" si="10"/>
        <v>7</v>
      </c>
      <c r="H98" s="23" t="str">
        <f t="shared" ca="1" si="11"/>
        <v>—</v>
      </c>
      <c r="I98" s="40">
        <f t="shared" ca="1" si="12"/>
        <v>7</v>
      </c>
    </row>
    <row r="99" spans="1:9" x14ac:dyDescent="0.25">
      <c r="A99" s="17">
        <f t="shared" si="7"/>
        <v>81</v>
      </c>
      <c r="B99" t="str">
        <f ca="1">TEXT(DATE(YEAR(Invoer!$A$5),1,1)+INT((ROWS(B$2:B99)-1)/3),"jjjjmmdd")</f>
        <v>19200202</v>
      </c>
      <c r="C99" s="35" t="str">
        <f>IF(MOD(ROWS(C$2:C99)-1,3)=2,"24.00",INDEX(Data,2,2+MOD(ROWS(C$2:C99)-1,3)))</f>
        <v>14.00</v>
      </c>
      <c r="D99" s="23">
        <f t="shared" ca="1" si="13"/>
        <v>747.2</v>
      </c>
      <c r="E99" s="40">
        <f t="shared" ca="1" si="8"/>
        <v>0</v>
      </c>
      <c r="F99" s="23" t="str">
        <f t="shared" ca="1" si="9"/>
        <v>—</v>
      </c>
      <c r="G99" s="40">
        <f t="shared" ca="1" si="10"/>
        <v>7</v>
      </c>
      <c r="H99" s="23" t="str">
        <f t="shared" ca="1" si="11"/>
        <v>—</v>
      </c>
      <c r="I99" s="40">
        <f t="shared" ca="1" si="12"/>
        <v>7</v>
      </c>
    </row>
    <row r="100" spans="1:9" x14ac:dyDescent="0.25">
      <c r="A100" s="17">
        <f t="shared" si="7"/>
        <v>81</v>
      </c>
      <c r="B100" t="str">
        <f ca="1">TEXT(DATE(YEAR(Invoer!$A$5),1,1)+INT((ROWS(B$2:B100)-1)/3),"jjjjmmdd")</f>
        <v>19200202</v>
      </c>
      <c r="C100" s="35" t="str">
        <f>IF(MOD(ROWS(C$2:C100)-1,3)=2,"24.00",INDEX(Data,2,2+MOD(ROWS(C$2:C100)-1,3)))</f>
        <v>24.00</v>
      </c>
      <c r="D100" s="23" t="str">
        <f t="shared" ca="1" si="13"/>
        <v>—</v>
      </c>
      <c r="E100" s="40">
        <f t="shared" ca="1" si="8"/>
        <v>7</v>
      </c>
      <c r="F100" s="23">
        <f t="shared" ca="1" si="9"/>
        <v>24</v>
      </c>
      <c r="G100" s="40">
        <f t="shared" ca="1" si="10"/>
        <v>0</v>
      </c>
      <c r="H100" s="23">
        <f t="shared" ca="1" si="11"/>
        <v>26.5</v>
      </c>
      <c r="I100" s="40">
        <f t="shared" ca="1" si="12"/>
        <v>0</v>
      </c>
    </row>
    <row r="101" spans="1:9" x14ac:dyDescent="0.25">
      <c r="A101" s="17">
        <f t="shared" si="7"/>
        <v>81</v>
      </c>
      <c r="B101" t="str">
        <f ca="1">TEXT(DATE(YEAR(Invoer!$A$5),1,1)+INT((ROWS(B$2:B101)-1)/3),"jjjjmmdd")</f>
        <v>19200203</v>
      </c>
      <c r="C101" s="35" t="str">
        <f>IF(MOD(ROWS(C$2:C101)-1,3)=2,"24.00",INDEX(Data,2,2+MOD(ROWS(C$2:C101)-1,3)))</f>
        <v>08.00</v>
      </c>
      <c r="D101" s="23">
        <f t="shared" ca="1" si="13"/>
        <v>748</v>
      </c>
      <c r="E101" s="40">
        <f t="shared" ca="1" si="8"/>
        <v>0</v>
      </c>
      <c r="F101" s="23" t="str">
        <f t="shared" ca="1" si="9"/>
        <v>—</v>
      </c>
      <c r="G101" s="40">
        <f t="shared" ca="1" si="10"/>
        <v>7</v>
      </c>
      <c r="H101" s="23" t="str">
        <f t="shared" ca="1" si="11"/>
        <v>—</v>
      </c>
      <c r="I101" s="40">
        <f t="shared" ca="1" si="12"/>
        <v>7</v>
      </c>
    </row>
    <row r="102" spans="1:9" x14ac:dyDescent="0.25">
      <c r="A102" s="17">
        <f t="shared" si="7"/>
        <v>81</v>
      </c>
      <c r="B102" t="str">
        <f ca="1">TEXT(DATE(YEAR(Invoer!$A$5),1,1)+INT((ROWS(B$2:B102)-1)/3),"jjjjmmdd")</f>
        <v>19200203</v>
      </c>
      <c r="C102" s="35" t="str">
        <f>IF(MOD(ROWS(C$2:C102)-1,3)=2,"24.00",INDEX(Data,2,2+MOD(ROWS(C$2:C102)-1,3)))</f>
        <v>14.00</v>
      </c>
      <c r="D102" s="23">
        <f t="shared" ca="1" si="13"/>
        <v>747</v>
      </c>
      <c r="E102" s="40">
        <f t="shared" ca="1" si="8"/>
        <v>0</v>
      </c>
      <c r="F102" s="23" t="str">
        <f t="shared" ca="1" si="9"/>
        <v>—</v>
      </c>
      <c r="G102" s="40">
        <f t="shared" ca="1" si="10"/>
        <v>7</v>
      </c>
      <c r="H102" s="23" t="str">
        <f t="shared" ca="1" si="11"/>
        <v>—</v>
      </c>
      <c r="I102" s="40">
        <f t="shared" ca="1" si="12"/>
        <v>7</v>
      </c>
    </row>
    <row r="103" spans="1:9" x14ac:dyDescent="0.25">
      <c r="A103" s="17">
        <f t="shared" si="7"/>
        <v>81</v>
      </c>
      <c r="B103" t="str">
        <f ca="1">TEXT(DATE(YEAR(Invoer!$A$5),1,1)+INT((ROWS(B$2:B103)-1)/3),"jjjjmmdd")</f>
        <v>19200203</v>
      </c>
      <c r="C103" s="35" t="str">
        <f>IF(MOD(ROWS(C$2:C103)-1,3)=2,"24.00",INDEX(Data,2,2+MOD(ROWS(C$2:C103)-1,3)))</f>
        <v>24.00</v>
      </c>
      <c r="D103" s="23" t="str">
        <f t="shared" ca="1" si="13"/>
        <v>—</v>
      </c>
      <c r="E103" s="40">
        <f t="shared" ca="1" si="8"/>
        <v>7</v>
      </c>
      <c r="F103" s="23">
        <f t="shared" ca="1" si="9"/>
        <v>24</v>
      </c>
      <c r="G103" s="40">
        <f t="shared" ca="1" si="10"/>
        <v>0</v>
      </c>
      <c r="H103" s="23">
        <f t="shared" ca="1" si="11"/>
        <v>26.8</v>
      </c>
      <c r="I103" s="40">
        <f t="shared" ca="1" si="12"/>
        <v>0</v>
      </c>
    </row>
    <row r="104" spans="1:9" x14ac:dyDescent="0.25">
      <c r="A104" s="17">
        <f t="shared" si="7"/>
        <v>81</v>
      </c>
      <c r="B104" t="str">
        <f ca="1">TEXT(DATE(YEAR(Invoer!$A$5),1,1)+INT((ROWS(B$2:B104)-1)/3),"jjjjmmdd")</f>
        <v>19200204</v>
      </c>
      <c r="C104" s="35" t="str">
        <f>IF(MOD(ROWS(C$2:C104)-1,3)=2,"24.00",INDEX(Data,2,2+MOD(ROWS(C$2:C104)-1,3)))</f>
        <v>08.00</v>
      </c>
      <c r="D104" s="23">
        <f t="shared" ca="1" si="13"/>
        <v>747</v>
      </c>
      <c r="E104" s="40">
        <f t="shared" ca="1" si="8"/>
        <v>0</v>
      </c>
      <c r="F104" s="23" t="str">
        <f t="shared" ca="1" si="9"/>
        <v>—</v>
      </c>
      <c r="G104" s="40">
        <f t="shared" ca="1" si="10"/>
        <v>7</v>
      </c>
      <c r="H104" s="23" t="str">
        <f t="shared" ca="1" si="11"/>
        <v>—</v>
      </c>
      <c r="I104" s="40">
        <f t="shared" ca="1" si="12"/>
        <v>7</v>
      </c>
    </row>
    <row r="105" spans="1:9" x14ac:dyDescent="0.25">
      <c r="A105" s="17">
        <f t="shared" si="7"/>
        <v>81</v>
      </c>
      <c r="B105" t="str">
        <f ca="1">TEXT(DATE(YEAR(Invoer!$A$5),1,1)+INT((ROWS(B$2:B105)-1)/3),"jjjjmmdd")</f>
        <v>19200204</v>
      </c>
      <c r="C105" s="35" t="str">
        <f>IF(MOD(ROWS(C$2:C105)-1,3)=2,"24.00",INDEX(Data,2,2+MOD(ROWS(C$2:C105)-1,3)))</f>
        <v>14.00</v>
      </c>
      <c r="D105" s="23">
        <f t="shared" ca="1" si="13"/>
        <v>746.5</v>
      </c>
      <c r="E105" s="40">
        <f t="shared" ca="1" si="8"/>
        <v>0</v>
      </c>
      <c r="F105" s="23" t="str">
        <f t="shared" ca="1" si="9"/>
        <v>—</v>
      </c>
      <c r="G105" s="40">
        <f t="shared" ca="1" si="10"/>
        <v>7</v>
      </c>
      <c r="H105" s="23" t="str">
        <f t="shared" ca="1" si="11"/>
        <v>—</v>
      </c>
      <c r="I105" s="40">
        <f t="shared" ca="1" si="12"/>
        <v>7</v>
      </c>
    </row>
    <row r="106" spans="1:9" x14ac:dyDescent="0.25">
      <c r="A106" s="17">
        <f t="shared" si="7"/>
        <v>81</v>
      </c>
      <c r="B106" t="str">
        <f ca="1">TEXT(DATE(YEAR(Invoer!$A$5),1,1)+INT((ROWS(B$2:B106)-1)/3),"jjjjmmdd")</f>
        <v>19200204</v>
      </c>
      <c r="C106" s="35" t="str">
        <f>IF(MOD(ROWS(C$2:C106)-1,3)=2,"24.00",INDEX(Data,2,2+MOD(ROWS(C$2:C106)-1,3)))</f>
        <v>24.00</v>
      </c>
      <c r="D106" s="23" t="str">
        <f t="shared" ca="1" si="13"/>
        <v>—</v>
      </c>
      <c r="E106" s="40">
        <f t="shared" ca="1" si="8"/>
        <v>7</v>
      </c>
      <c r="F106" s="23">
        <f t="shared" ca="1" si="9"/>
        <v>23.3</v>
      </c>
      <c r="G106" s="40">
        <f t="shared" ca="1" si="10"/>
        <v>0</v>
      </c>
      <c r="H106" s="23">
        <f t="shared" ca="1" si="11"/>
        <v>27</v>
      </c>
      <c r="I106" s="40">
        <f t="shared" ca="1" si="12"/>
        <v>0</v>
      </c>
    </row>
    <row r="107" spans="1:9" x14ac:dyDescent="0.25">
      <c r="A107" s="17">
        <f t="shared" si="7"/>
        <v>81</v>
      </c>
      <c r="B107" t="str">
        <f ca="1">TEXT(DATE(YEAR(Invoer!$A$5),1,1)+INT((ROWS(B$2:B107)-1)/3),"jjjjmmdd")</f>
        <v>19200205</v>
      </c>
      <c r="C107" s="35" t="str">
        <f>IF(MOD(ROWS(C$2:C107)-1,3)=2,"24.00",INDEX(Data,2,2+MOD(ROWS(C$2:C107)-1,3)))</f>
        <v>08.00</v>
      </c>
      <c r="D107" s="23">
        <f t="shared" ca="1" si="13"/>
        <v>746</v>
      </c>
      <c r="E107" s="40">
        <f t="shared" ca="1" si="8"/>
        <v>0</v>
      </c>
      <c r="F107" s="23" t="str">
        <f t="shared" ca="1" si="9"/>
        <v>—</v>
      </c>
      <c r="G107" s="40">
        <f t="shared" ca="1" si="10"/>
        <v>7</v>
      </c>
      <c r="H107" s="23" t="str">
        <f t="shared" ca="1" si="11"/>
        <v>—</v>
      </c>
      <c r="I107" s="40">
        <f t="shared" ca="1" si="12"/>
        <v>7</v>
      </c>
    </row>
    <row r="108" spans="1:9" x14ac:dyDescent="0.25">
      <c r="A108" s="17">
        <f t="shared" si="7"/>
        <v>81</v>
      </c>
      <c r="B108" t="str">
        <f ca="1">TEXT(DATE(YEAR(Invoer!$A$5),1,1)+INT((ROWS(B$2:B108)-1)/3),"jjjjmmdd")</f>
        <v>19200205</v>
      </c>
      <c r="C108" s="35" t="str">
        <f>IF(MOD(ROWS(C$2:C108)-1,3)=2,"24.00",INDEX(Data,2,2+MOD(ROWS(C$2:C108)-1,3)))</f>
        <v>14.00</v>
      </c>
      <c r="D108" s="23">
        <f t="shared" ca="1" si="13"/>
        <v>745.5</v>
      </c>
      <c r="E108" s="40">
        <f t="shared" ca="1" si="8"/>
        <v>0</v>
      </c>
      <c r="F108" s="23" t="str">
        <f t="shared" ca="1" si="9"/>
        <v>—</v>
      </c>
      <c r="G108" s="40">
        <f t="shared" ca="1" si="10"/>
        <v>7</v>
      </c>
      <c r="H108" s="23" t="str">
        <f t="shared" ca="1" si="11"/>
        <v>—</v>
      </c>
      <c r="I108" s="40">
        <f t="shared" ca="1" si="12"/>
        <v>7</v>
      </c>
    </row>
    <row r="109" spans="1:9" x14ac:dyDescent="0.25">
      <c r="A109" s="17">
        <f t="shared" si="7"/>
        <v>81</v>
      </c>
      <c r="B109" t="str">
        <f ca="1">TEXT(DATE(YEAR(Invoer!$A$5),1,1)+INT((ROWS(B$2:B109)-1)/3),"jjjjmmdd")</f>
        <v>19200205</v>
      </c>
      <c r="C109" s="35" t="str">
        <f>IF(MOD(ROWS(C$2:C109)-1,3)=2,"24.00",INDEX(Data,2,2+MOD(ROWS(C$2:C109)-1,3)))</f>
        <v>24.00</v>
      </c>
      <c r="D109" s="23" t="str">
        <f t="shared" ca="1" si="13"/>
        <v>—</v>
      </c>
      <c r="E109" s="40">
        <f t="shared" ca="1" si="8"/>
        <v>7</v>
      </c>
      <c r="F109" s="23">
        <f t="shared" ca="1" si="9"/>
        <v>23.8</v>
      </c>
      <c r="G109" s="40">
        <f t="shared" ca="1" si="10"/>
        <v>0</v>
      </c>
      <c r="H109" s="23">
        <f t="shared" ca="1" si="11"/>
        <v>24</v>
      </c>
      <c r="I109" s="40">
        <f t="shared" ca="1" si="12"/>
        <v>0</v>
      </c>
    </row>
    <row r="110" spans="1:9" x14ac:dyDescent="0.25">
      <c r="A110" s="17">
        <f t="shared" si="7"/>
        <v>81</v>
      </c>
      <c r="B110" t="str">
        <f ca="1">TEXT(DATE(YEAR(Invoer!$A$5),1,1)+INT((ROWS(B$2:B110)-1)/3),"jjjjmmdd")</f>
        <v>19200206</v>
      </c>
      <c r="C110" s="35" t="str">
        <f>IF(MOD(ROWS(C$2:C110)-1,3)=2,"24.00",INDEX(Data,2,2+MOD(ROWS(C$2:C110)-1,3)))</f>
        <v>08.00</v>
      </c>
      <c r="D110" s="23">
        <f t="shared" ca="1" si="13"/>
        <v>746</v>
      </c>
      <c r="E110" s="40">
        <f t="shared" ca="1" si="8"/>
        <v>0</v>
      </c>
      <c r="F110" s="23" t="str">
        <f t="shared" ca="1" si="9"/>
        <v>—</v>
      </c>
      <c r="G110" s="40">
        <f t="shared" ca="1" si="10"/>
        <v>7</v>
      </c>
      <c r="H110" s="23" t="str">
        <f t="shared" ca="1" si="11"/>
        <v>—</v>
      </c>
      <c r="I110" s="40">
        <f t="shared" ca="1" si="12"/>
        <v>7</v>
      </c>
    </row>
    <row r="111" spans="1:9" x14ac:dyDescent="0.25">
      <c r="A111" s="17">
        <f t="shared" si="7"/>
        <v>81</v>
      </c>
      <c r="B111" t="str">
        <f ca="1">TEXT(DATE(YEAR(Invoer!$A$5),1,1)+INT((ROWS(B$2:B111)-1)/3),"jjjjmmdd")</f>
        <v>19200206</v>
      </c>
      <c r="C111" s="35" t="str">
        <f>IF(MOD(ROWS(C$2:C111)-1,3)=2,"24.00",INDEX(Data,2,2+MOD(ROWS(C$2:C111)-1,3)))</f>
        <v>14.00</v>
      </c>
      <c r="D111" s="23">
        <f t="shared" ca="1" si="13"/>
        <v>745</v>
      </c>
      <c r="E111" s="40">
        <f t="shared" ca="1" si="8"/>
        <v>0</v>
      </c>
      <c r="F111" s="23" t="str">
        <f t="shared" ca="1" si="9"/>
        <v>—</v>
      </c>
      <c r="G111" s="40">
        <f t="shared" ca="1" si="10"/>
        <v>7</v>
      </c>
      <c r="H111" s="23" t="str">
        <f t="shared" ca="1" si="11"/>
        <v>—</v>
      </c>
      <c r="I111" s="40">
        <f t="shared" ca="1" si="12"/>
        <v>7</v>
      </c>
    </row>
    <row r="112" spans="1:9" x14ac:dyDescent="0.25">
      <c r="A112" s="17">
        <f t="shared" si="7"/>
        <v>81</v>
      </c>
      <c r="B112" t="str">
        <f ca="1">TEXT(DATE(YEAR(Invoer!$A$5),1,1)+INT((ROWS(B$2:B112)-1)/3),"jjjjmmdd")</f>
        <v>19200206</v>
      </c>
      <c r="C112" s="35" t="str">
        <f>IF(MOD(ROWS(C$2:C112)-1,3)=2,"24.00",INDEX(Data,2,2+MOD(ROWS(C$2:C112)-1,3)))</f>
        <v>24.00</v>
      </c>
      <c r="D112" s="23" t="str">
        <f t="shared" ca="1" si="13"/>
        <v>—</v>
      </c>
      <c r="E112" s="40">
        <f t="shared" ca="1" si="8"/>
        <v>7</v>
      </c>
      <c r="F112" s="23">
        <f t="shared" ca="1" si="9"/>
        <v>23.8</v>
      </c>
      <c r="G112" s="40">
        <f t="shared" ca="1" si="10"/>
        <v>0</v>
      </c>
      <c r="H112" s="23">
        <f t="shared" ca="1" si="11"/>
        <v>25.8</v>
      </c>
      <c r="I112" s="40">
        <f t="shared" ca="1" si="12"/>
        <v>0</v>
      </c>
    </row>
    <row r="113" spans="1:9" x14ac:dyDescent="0.25">
      <c r="A113" s="17">
        <f t="shared" si="7"/>
        <v>81</v>
      </c>
      <c r="B113" t="str">
        <f ca="1">TEXT(DATE(YEAR(Invoer!$A$5),1,1)+INT((ROWS(B$2:B113)-1)/3),"jjjjmmdd")</f>
        <v>19200207</v>
      </c>
      <c r="C113" s="35" t="str">
        <f>IF(MOD(ROWS(C$2:C113)-1,3)=2,"24.00",INDEX(Data,2,2+MOD(ROWS(C$2:C113)-1,3)))</f>
        <v>08.00</v>
      </c>
      <c r="D113" s="23">
        <f t="shared" ca="1" si="13"/>
        <v>746.7</v>
      </c>
      <c r="E113" s="40">
        <f t="shared" ca="1" si="8"/>
        <v>0</v>
      </c>
      <c r="F113" s="23" t="str">
        <f t="shared" ca="1" si="9"/>
        <v>—</v>
      </c>
      <c r="G113" s="40">
        <f t="shared" ca="1" si="10"/>
        <v>7</v>
      </c>
      <c r="H113" s="23" t="str">
        <f t="shared" ca="1" si="11"/>
        <v>—</v>
      </c>
      <c r="I113" s="40">
        <f t="shared" ca="1" si="12"/>
        <v>7</v>
      </c>
    </row>
    <row r="114" spans="1:9" x14ac:dyDescent="0.25">
      <c r="A114" s="17">
        <f t="shared" si="7"/>
        <v>81</v>
      </c>
      <c r="B114" t="str">
        <f ca="1">TEXT(DATE(YEAR(Invoer!$A$5),1,1)+INT((ROWS(B$2:B114)-1)/3),"jjjjmmdd")</f>
        <v>19200207</v>
      </c>
      <c r="C114" s="35" t="str">
        <f>IF(MOD(ROWS(C$2:C114)-1,3)=2,"24.00",INDEX(Data,2,2+MOD(ROWS(C$2:C114)-1,3)))</f>
        <v>14.00</v>
      </c>
      <c r="D114" s="23">
        <f t="shared" ca="1" si="13"/>
        <v>746.5</v>
      </c>
      <c r="E114" s="40">
        <f t="shared" ca="1" si="8"/>
        <v>0</v>
      </c>
      <c r="F114" s="23" t="str">
        <f t="shared" ca="1" si="9"/>
        <v>—</v>
      </c>
      <c r="G114" s="40">
        <f t="shared" ca="1" si="10"/>
        <v>7</v>
      </c>
      <c r="H114" s="23" t="str">
        <f t="shared" ca="1" si="11"/>
        <v>—</v>
      </c>
      <c r="I114" s="40">
        <f t="shared" ca="1" si="12"/>
        <v>7</v>
      </c>
    </row>
    <row r="115" spans="1:9" x14ac:dyDescent="0.25">
      <c r="A115" s="17">
        <f t="shared" si="7"/>
        <v>81</v>
      </c>
      <c r="B115" t="str">
        <f ca="1">TEXT(DATE(YEAR(Invoer!$A$5),1,1)+INT((ROWS(B$2:B115)-1)/3),"jjjjmmdd")</f>
        <v>19200207</v>
      </c>
      <c r="C115" s="35" t="str">
        <f>IF(MOD(ROWS(C$2:C115)-1,3)=2,"24.00",INDEX(Data,2,2+MOD(ROWS(C$2:C115)-1,3)))</f>
        <v>24.00</v>
      </c>
      <c r="D115" s="23" t="str">
        <f t="shared" ca="1" si="13"/>
        <v>—</v>
      </c>
      <c r="E115" s="40">
        <f t="shared" ca="1" si="8"/>
        <v>7</v>
      </c>
      <c r="F115" s="23">
        <f t="shared" ca="1" si="9"/>
        <v>24</v>
      </c>
      <c r="G115" s="40">
        <f t="shared" ca="1" si="10"/>
        <v>0</v>
      </c>
      <c r="H115" s="23">
        <f t="shared" ca="1" si="11"/>
        <v>27</v>
      </c>
      <c r="I115" s="40">
        <f t="shared" ca="1" si="12"/>
        <v>0</v>
      </c>
    </row>
    <row r="116" spans="1:9" x14ac:dyDescent="0.25">
      <c r="A116" s="17">
        <f t="shared" si="7"/>
        <v>81</v>
      </c>
      <c r="B116" t="str">
        <f ca="1">TEXT(DATE(YEAR(Invoer!$A$5),1,1)+INT((ROWS(B$2:B116)-1)/3),"jjjjmmdd")</f>
        <v>19200208</v>
      </c>
      <c r="C116" s="35" t="str">
        <f>IF(MOD(ROWS(C$2:C116)-1,3)=2,"24.00",INDEX(Data,2,2+MOD(ROWS(C$2:C116)-1,3)))</f>
        <v>08.00</v>
      </c>
      <c r="D116" s="23">
        <f t="shared" ca="1" si="13"/>
        <v>747.3</v>
      </c>
      <c r="E116" s="40">
        <f t="shared" ca="1" si="8"/>
        <v>0</v>
      </c>
      <c r="F116" s="23" t="str">
        <f t="shared" ca="1" si="9"/>
        <v>—</v>
      </c>
      <c r="G116" s="40">
        <f t="shared" ca="1" si="10"/>
        <v>7</v>
      </c>
      <c r="H116" s="23" t="str">
        <f t="shared" ca="1" si="11"/>
        <v>—</v>
      </c>
      <c r="I116" s="40">
        <f t="shared" ca="1" si="12"/>
        <v>7</v>
      </c>
    </row>
    <row r="117" spans="1:9" x14ac:dyDescent="0.25">
      <c r="A117" s="17">
        <f t="shared" si="7"/>
        <v>81</v>
      </c>
      <c r="B117" t="str">
        <f ca="1">TEXT(DATE(YEAR(Invoer!$A$5),1,1)+INT((ROWS(B$2:B117)-1)/3),"jjjjmmdd")</f>
        <v>19200208</v>
      </c>
      <c r="C117" s="35" t="str">
        <f>IF(MOD(ROWS(C$2:C117)-1,3)=2,"24.00",INDEX(Data,2,2+MOD(ROWS(C$2:C117)-1,3)))</f>
        <v>14.00</v>
      </c>
      <c r="D117" s="23">
        <f t="shared" ca="1" si="13"/>
        <v>746.5</v>
      </c>
      <c r="E117" s="40">
        <f t="shared" ca="1" si="8"/>
        <v>0</v>
      </c>
      <c r="F117" s="23" t="str">
        <f t="shared" ca="1" si="9"/>
        <v>—</v>
      </c>
      <c r="G117" s="40">
        <f t="shared" ca="1" si="10"/>
        <v>7</v>
      </c>
      <c r="H117" s="23" t="str">
        <f t="shared" ca="1" si="11"/>
        <v>—</v>
      </c>
      <c r="I117" s="40">
        <f t="shared" ca="1" si="12"/>
        <v>7</v>
      </c>
    </row>
    <row r="118" spans="1:9" x14ac:dyDescent="0.25">
      <c r="A118" s="17">
        <f t="shared" si="7"/>
        <v>81</v>
      </c>
      <c r="B118" t="str">
        <f ca="1">TEXT(DATE(YEAR(Invoer!$A$5),1,1)+INT((ROWS(B$2:B118)-1)/3),"jjjjmmdd")</f>
        <v>19200208</v>
      </c>
      <c r="C118" s="35" t="str">
        <f>IF(MOD(ROWS(C$2:C118)-1,3)=2,"24.00",INDEX(Data,2,2+MOD(ROWS(C$2:C118)-1,3)))</f>
        <v>24.00</v>
      </c>
      <c r="D118" s="23" t="str">
        <f t="shared" ca="1" si="13"/>
        <v>—</v>
      </c>
      <c r="E118" s="40">
        <f t="shared" ca="1" si="8"/>
        <v>7</v>
      </c>
      <c r="F118" s="23">
        <f t="shared" ca="1" si="9"/>
        <v>24</v>
      </c>
      <c r="G118" s="40">
        <f t="shared" ca="1" si="10"/>
        <v>0</v>
      </c>
      <c r="H118" s="23">
        <f t="shared" ca="1" si="11"/>
        <v>27</v>
      </c>
      <c r="I118" s="40">
        <f t="shared" ca="1" si="12"/>
        <v>0</v>
      </c>
    </row>
    <row r="119" spans="1:9" x14ac:dyDescent="0.25">
      <c r="A119" s="17">
        <f t="shared" si="7"/>
        <v>81</v>
      </c>
      <c r="B119" t="str">
        <f ca="1">TEXT(DATE(YEAR(Invoer!$A$5),1,1)+INT((ROWS(B$2:B119)-1)/3),"jjjjmmdd")</f>
        <v>19200209</v>
      </c>
      <c r="C119" s="35" t="str">
        <f>IF(MOD(ROWS(C$2:C119)-1,3)=2,"24.00",INDEX(Data,2,2+MOD(ROWS(C$2:C119)-1,3)))</f>
        <v>08.00</v>
      </c>
      <c r="D119" s="23">
        <f t="shared" ca="1" si="13"/>
        <v>747.4</v>
      </c>
      <c r="E119" s="40">
        <f t="shared" ca="1" si="8"/>
        <v>0</v>
      </c>
      <c r="F119" s="23" t="str">
        <f t="shared" ca="1" si="9"/>
        <v>—</v>
      </c>
      <c r="G119" s="40">
        <f t="shared" ca="1" si="10"/>
        <v>7</v>
      </c>
      <c r="H119" s="23" t="str">
        <f t="shared" ca="1" si="11"/>
        <v>—</v>
      </c>
      <c r="I119" s="40">
        <f t="shared" ca="1" si="12"/>
        <v>7</v>
      </c>
    </row>
    <row r="120" spans="1:9" x14ac:dyDescent="0.25">
      <c r="A120" s="17">
        <f t="shared" si="7"/>
        <v>81</v>
      </c>
      <c r="B120" t="str">
        <f ca="1">TEXT(DATE(YEAR(Invoer!$A$5),1,1)+INT((ROWS(B$2:B120)-1)/3),"jjjjmmdd")</f>
        <v>19200209</v>
      </c>
      <c r="C120" s="35" t="str">
        <f>IF(MOD(ROWS(C$2:C120)-1,3)=2,"24.00",INDEX(Data,2,2+MOD(ROWS(C$2:C120)-1,3)))</f>
        <v>14.00</v>
      </c>
      <c r="D120" s="23">
        <f t="shared" ca="1" si="13"/>
        <v>746.8</v>
      </c>
      <c r="E120" s="40">
        <f t="shared" ca="1" si="8"/>
        <v>0</v>
      </c>
      <c r="F120" s="23" t="str">
        <f t="shared" ca="1" si="9"/>
        <v>—</v>
      </c>
      <c r="G120" s="40">
        <f t="shared" ca="1" si="10"/>
        <v>7</v>
      </c>
      <c r="H120" s="23" t="str">
        <f t="shared" ca="1" si="11"/>
        <v>—</v>
      </c>
      <c r="I120" s="40">
        <f t="shared" ca="1" si="12"/>
        <v>7</v>
      </c>
    </row>
    <row r="121" spans="1:9" x14ac:dyDescent="0.25">
      <c r="A121" s="17">
        <f t="shared" si="7"/>
        <v>81</v>
      </c>
      <c r="B121" t="str">
        <f ca="1">TEXT(DATE(YEAR(Invoer!$A$5),1,1)+INT((ROWS(B$2:B121)-1)/3),"jjjjmmdd")</f>
        <v>19200209</v>
      </c>
      <c r="C121" s="35" t="str">
        <f>IF(MOD(ROWS(C$2:C121)-1,3)=2,"24.00",INDEX(Data,2,2+MOD(ROWS(C$2:C121)-1,3)))</f>
        <v>24.00</v>
      </c>
      <c r="D121" s="23" t="str">
        <f t="shared" ca="1" si="13"/>
        <v>—</v>
      </c>
      <c r="E121" s="40">
        <f t="shared" ca="1" si="8"/>
        <v>7</v>
      </c>
      <c r="F121" s="23">
        <f t="shared" ca="1" si="9"/>
        <v>24</v>
      </c>
      <c r="G121" s="40">
        <f t="shared" ca="1" si="10"/>
        <v>0</v>
      </c>
      <c r="H121" s="23">
        <f t="shared" ca="1" si="11"/>
        <v>27</v>
      </c>
      <c r="I121" s="40">
        <f t="shared" ca="1" si="12"/>
        <v>0</v>
      </c>
    </row>
    <row r="122" spans="1:9" x14ac:dyDescent="0.25">
      <c r="A122" s="17">
        <f t="shared" si="7"/>
        <v>81</v>
      </c>
      <c r="B122" t="str">
        <f ca="1">TEXT(DATE(YEAR(Invoer!$A$5),1,1)+INT((ROWS(B$2:B122)-1)/3),"jjjjmmdd")</f>
        <v>19200210</v>
      </c>
      <c r="C122" s="35" t="str">
        <f>IF(MOD(ROWS(C$2:C122)-1,3)=2,"24.00",INDEX(Data,2,2+MOD(ROWS(C$2:C122)-1,3)))</f>
        <v>08.00</v>
      </c>
      <c r="D122" s="23">
        <f t="shared" ca="1" si="13"/>
        <v>748</v>
      </c>
      <c r="E122" s="40">
        <f t="shared" ca="1" si="8"/>
        <v>0</v>
      </c>
      <c r="F122" s="23" t="str">
        <f t="shared" ca="1" si="9"/>
        <v>—</v>
      </c>
      <c r="G122" s="40">
        <f t="shared" ca="1" si="10"/>
        <v>7</v>
      </c>
      <c r="H122" s="23" t="str">
        <f t="shared" ca="1" si="11"/>
        <v>—</v>
      </c>
      <c r="I122" s="40">
        <f t="shared" ca="1" si="12"/>
        <v>7</v>
      </c>
    </row>
    <row r="123" spans="1:9" x14ac:dyDescent="0.25">
      <c r="A123" s="17">
        <f t="shared" si="7"/>
        <v>81</v>
      </c>
      <c r="B123" t="str">
        <f ca="1">TEXT(DATE(YEAR(Invoer!$A$5),1,1)+INT((ROWS(B$2:B123)-1)/3),"jjjjmmdd")</f>
        <v>19200210</v>
      </c>
      <c r="C123" s="35" t="str">
        <f>IF(MOD(ROWS(C$2:C123)-1,3)=2,"24.00",INDEX(Data,2,2+MOD(ROWS(C$2:C123)-1,3)))</f>
        <v>14.00</v>
      </c>
      <c r="D123" s="23">
        <f t="shared" ca="1" si="13"/>
        <v>747</v>
      </c>
      <c r="E123" s="40">
        <f t="shared" ca="1" si="8"/>
        <v>0</v>
      </c>
      <c r="F123" s="23" t="str">
        <f t="shared" ca="1" si="9"/>
        <v>—</v>
      </c>
      <c r="G123" s="40">
        <f t="shared" ca="1" si="10"/>
        <v>7</v>
      </c>
      <c r="H123" s="23" t="str">
        <f t="shared" ca="1" si="11"/>
        <v>—</v>
      </c>
      <c r="I123" s="40">
        <f t="shared" ca="1" si="12"/>
        <v>7</v>
      </c>
    </row>
    <row r="124" spans="1:9" x14ac:dyDescent="0.25">
      <c r="A124" s="17">
        <f t="shared" si="7"/>
        <v>81</v>
      </c>
      <c r="B124" t="str">
        <f ca="1">TEXT(DATE(YEAR(Invoer!$A$5),1,1)+INT((ROWS(B$2:B124)-1)/3),"jjjjmmdd")</f>
        <v>19200210</v>
      </c>
      <c r="C124" s="35" t="str">
        <f>IF(MOD(ROWS(C$2:C124)-1,3)=2,"24.00",INDEX(Data,2,2+MOD(ROWS(C$2:C124)-1,3)))</f>
        <v>24.00</v>
      </c>
      <c r="D124" s="23" t="str">
        <f t="shared" ca="1" si="13"/>
        <v>—</v>
      </c>
      <c r="E124" s="40">
        <f t="shared" ca="1" si="8"/>
        <v>7</v>
      </c>
      <c r="F124" s="23">
        <f t="shared" ca="1" si="9"/>
        <v>24</v>
      </c>
      <c r="G124" s="40">
        <f t="shared" ca="1" si="10"/>
        <v>0</v>
      </c>
      <c r="H124" s="23">
        <f t="shared" ca="1" si="11"/>
        <v>26</v>
      </c>
      <c r="I124" s="40">
        <f t="shared" ca="1" si="12"/>
        <v>0</v>
      </c>
    </row>
    <row r="125" spans="1:9" x14ac:dyDescent="0.25">
      <c r="A125" s="17">
        <f t="shared" si="7"/>
        <v>81</v>
      </c>
      <c r="B125" t="str">
        <f ca="1">TEXT(DATE(YEAR(Invoer!$A$5),1,1)+INT((ROWS(B$2:B125)-1)/3),"jjjjmmdd")</f>
        <v>19200211</v>
      </c>
      <c r="C125" s="35" t="str">
        <f>IF(MOD(ROWS(C$2:C125)-1,3)=2,"24.00",INDEX(Data,2,2+MOD(ROWS(C$2:C125)-1,3)))</f>
        <v>08.00</v>
      </c>
      <c r="D125" s="23">
        <f t="shared" ca="1" si="13"/>
        <v>747.5</v>
      </c>
      <c r="E125" s="40">
        <f t="shared" ca="1" si="8"/>
        <v>0</v>
      </c>
      <c r="F125" s="23" t="str">
        <f t="shared" ca="1" si="9"/>
        <v>—</v>
      </c>
      <c r="G125" s="40">
        <f t="shared" ca="1" si="10"/>
        <v>7</v>
      </c>
      <c r="H125" s="23" t="str">
        <f t="shared" ca="1" si="11"/>
        <v>—</v>
      </c>
      <c r="I125" s="40">
        <f t="shared" ca="1" si="12"/>
        <v>7</v>
      </c>
    </row>
    <row r="126" spans="1:9" x14ac:dyDescent="0.25">
      <c r="A126" s="17">
        <f t="shared" si="7"/>
        <v>81</v>
      </c>
      <c r="B126" t="str">
        <f ca="1">TEXT(DATE(YEAR(Invoer!$A$5),1,1)+INT((ROWS(B$2:B126)-1)/3),"jjjjmmdd")</f>
        <v>19200211</v>
      </c>
      <c r="C126" s="35" t="str">
        <f>IF(MOD(ROWS(C$2:C126)-1,3)=2,"24.00",INDEX(Data,2,2+MOD(ROWS(C$2:C126)-1,3)))</f>
        <v>14.00</v>
      </c>
      <c r="D126" s="23">
        <f t="shared" ca="1" si="13"/>
        <v>746.7</v>
      </c>
      <c r="E126" s="40">
        <f t="shared" ca="1" si="8"/>
        <v>0</v>
      </c>
      <c r="F126" s="23" t="str">
        <f t="shared" ca="1" si="9"/>
        <v>—</v>
      </c>
      <c r="G126" s="40">
        <f t="shared" ca="1" si="10"/>
        <v>7</v>
      </c>
      <c r="H126" s="23" t="str">
        <f t="shared" ca="1" si="11"/>
        <v>—</v>
      </c>
      <c r="I126" s="40">
        <f t="shared" ca="1" si="12"/>
        <v>7</v>
      </c>
    </row>
    <row r="127" spans="1:9" x14ac:dyDescent="0.25">
      <c r="A127" s="17">
        <f t="shared" si="7"/>
        <v>81</v>
      </c>
      <c r="B127" t="str">
        <f ca="1">TEXT(DATE(YEAR(Invoer!$A$5),1,1)+INT((ROWS(B$2:B127)-1)/3),"jjjjmmdd")</f>
        <v>19200211</v>
      </c>
      <c r="C127" s="35" t="str">
        <f>IF(MOD(ROWS(C$2:C127)-1,3)=2,"24.00",INDEX(Data,2,2+MOD(ROWS(C$2:C127)-1,3)))</f>
        <v>24.00</v>
      </c>
      <c r="D127" s="23" t="str">
        <f t="shared" ca="1" si="13"/>
        <v>—</v>
      </c>
      <c r="E127" s="40">
        <f t="shared" ca="1" si="8"/>
        <v>7</v>
      </c>
      <c r="F127" s="23">
        <f t="shared" ca="1" si="9"/>
        <v>23</v>
      </c>
      <c r="G127" s="40">
        <f t="shared" ca="1" si="10"/>
        <v>0</v>
      </c>
      <c r="H127" s="23">
        <f t="shared" ca="1" si="11"/>
        <v>25</v>
      </c>
      <c r="I127" s="40">
        <f t="shared" ca="1" si="12"/>
        <v>0</v>
      </c>
    </row>
    <row r="128" spans="1:9" x14ac:dyDescent="0.25">
      <c r="A128" s="17">
        <f t="shared" si="7"/>
        <v>81</v>
      </c>
      <c r="B128" t="str">
        <f ca="1">TEXT(DATE(YEAR(Invoer!$A$5),1,1)+INT((ROWS(B$2:B128)-1)/3),"jjjjmmdd")</f>
        <v>19200212</v>
      </c>
      <c r="C128" s="35" t="str">
        <f>IF(MOD(ROWS(C$2:C128)-1,3)=2,"24.00",INDEX(Data,2,2+MOD(ROWS(C$2:C128)-1,3)))</f>
        <v>08.00</v>
      </c>
      <c r="D128" s="23">
        <f t="shared" ca="1" si="13"/>
        <v>748.5</v>
      </c>
      <c r="E128" s="40">
        <f t="shared" ca="1" si="8"/>
        <v>0</v>
      </c>
      <c r="F128" s="23" t="str">
        <f t="shared" ca="1" si="9"/>
        <v>—</v>
      </c>
      <c r="G128" s="40">
        <f t="shared" ca="1" si="10"/>
        <v>7</v>
      </c>
      <c r="H128" s="23" t="str">
        <f t="shared" ca="1" si="11"/>
        <v>—</v>
      </c>
      <c r="I128" s="40">
        <f t="shared" ca="1" si="12"/>
        <v>7</v>
      </c>
    </row>
    <row r="129" spans="1:9" x14ac:dyDescent="0.25">
      <c r="A129" s="17">
        <f t="shared" si="7"/>
        <v>81</v>
      </c>
      <c r="B129" t="str">
        <f ca="1">TEXT(DATE(YEAR(Invoer!$A$5),1,1)+INT((ROWS(B$2:B129)-1)/3),"jjjjmmdd")</f>
        <v>19200212</v>
      </c>
      <c r="C129" s="35" t="str">
        <f>IF(MOD(ROWS(C$2:C129)-1,3)=2,"24.00",INDEX(Data,2,2+MOD(ROWS(C$2:C129)-1,3)))</f>
        <v>14.00</v>
      </c>
      <c r="D129" s="23">
        <f t="shared" ca="1" si="13"/>
        <v>747.7</v>
      </c>
      <c r="E129" s="40">
        <f t="shared" ca="1" si="8"/>
        <v>0</v>
      </c>
      <c r="F129" s="23" t="str">
        <f t="shared" ca="1" si="9"/>
        <v>—</v>
      </c>
      <c r="G129" s="40">
        <f t="shared" ca="1" si="10"/>
        <v>7</v>
      </c>
      <c r="H129" s="23" t="str">
        <f t="shared" ca="1" si="11"/>
        <v>—</v>
      </c>
      <c r="I129" s="40">
        <f t="shared" ca="1" si="12"/>
        <v>7</v>
      </c>
    </row>
    <row r="130" spans="1:9" x14ac:dyDescent="0.25">
      <c r="A130" s="17">
        <f t="shared" ref="A130:A193" si="14">INDEX(Stations,2,1)</f>
        <v>81</v>
      </c>
      <c r="B130" t="str">
        <f ca="1">TEXT(DATE(YEAR(Invoer!$A$5),1,1)+INT((ROWS(B$2:B130)-1)/3),"jjjjmmdd")</f>
        <v>19200212</v>
      </c>
      <c r="C130" s="35" t="str">
        <f>IF(MOD(ROWS(C$2:C130)-1,3)=2,"24.00",INDEX(Data,2,2+MOD(ROWS(C$2:C130)-1,3)))</f>
        <v>24.00</v>
      </c>
      <c r="D130" s="23" t="str">
        <f t="shared" ca="1" si="13"/>
        <v>—</v>
      </c>
      <c r="E130" s="40">
        <f t="shared" ref="E130:E193" ca="1" si="15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7</v>
      </c>
      <c r="F130" s="23">
        <f t="shared" ref="F130:F193" ca="1" si="16">IF(OR(ISBLANK(VLOOKUP(DATEVALUE(LEFT($B130,4)&amp;"-"&amp;MID($B130,5,2)&amp;"-"&amp;RIGHT($B130,2)),Data,MATCH(LEFT(VLOOKUP(F$1,Parameters,2,FALSE()),4)&amp;"*",OFFSET(Data,1,0,1),0),FALSE())),ISTEXT(VLOOKUP(DATEVALUE(LEFT($B130,4)&amp;"-"&amp;MID($B130,5,2)&amp;"-"&amp;RIGHT($B130,2)),Data,MATCH(LEFT(VLOOKUP(F$1,Parameters,2,FALSE()),4)&amp;"*",OFFSET(Data,1,0,1),0),FALSE())),NOT(EXACT($C130,"24.00"))),"—",VLOOKUP(DATEVALUE(LEFT($B130,4)&amp;"-"&amp;MID($B130,5,2)&amp;"-"&amp;RIGHT($B130,2)),Data,MATCH(LEFT(VLOOKUP(F$1,Parameters,2,FALSE()),4)&amp;"*",OFFSET(Data,1,0,1),0),FALSE()))</f>
        <v>24</v>
      </c>
      <c r="G130" s="40">
        <f t="shared" ref="G130:G193" ca="1" si="17">IF(OR(ISBLANK(VLOOKUP(DATEVALUE(LEFT($B130,4)&amp;"-"&amp;MID($B130,5,2)&amp;"-"&amp;RIGHT($B130,2)),Data,MATCH(LEFT(VLOOKUP(MID(G$1,2,LEN(G$1)-1),Parameters,2,FALSE()),4)&amp;"*",OFFSET(Data,1,0,1),0),FALSE())),ISTEXT(VLOOKUP(DATEVALUE(LEFT($B130,4)&amp;"-"&amp;MID($B130,5,2)&amp;"-"&amp;RIGHT($B130,2)),Data,MATCH(LEFT(VLOOKUP(MID(G$1,2,LEN(G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1,0,1),0),FALSE())))</f>
        <v>0</v>
      </c>
      <c r="H130" s="23">
        <f t="shared" ref="H130:H193" ca="1" si="18">IF(OR(ISBLANK(VLOOKUP(DATEVALUE(LEFT($B130,4)&amp;"-"&amp;MID($B130,5,2)&amp;"-"&amp;RIGHT($B130,2)),Data,MATCH(LEFT(VLOOKUP(H$1,Parameters,2,FALSE()),4)&amp;"*",OFFSET(Data,1,0,1),0),FALSE())),ISTEXT(VLOOKUP(DATEVALUE(LEFT($B130,4)&amp;"-"&amp;MID($B130,5,2)&amp;"-"&amp;RIGHT($B130,2)),Data,MATCH(LEFT(VLOOKUP(H$1,Parameters,2,FALSE()),4)&amp;"*",OFFSET(Data,1,0,1),0),FALSE())),NOT(EXACT($C130,"24.00"))),"—",VLOOKUP(DATEVALUE(LEFT($B130,4)&amp;"-"&amp;MID($B130,5,2)&amp;"-"&amp;RIGHT($B130,2)),Data,MATCH(LEFT(VLOOKUP(H$1,Parameters,2,FALSE()),4)&amp;"*",OFFSET(Data,1,0,1),0),FALSE()))</f>
        <v>28</v>
      </c>
      <c r="I130" s="40">
        <f t="shared" ref="I130:I193" ca="1" si="19">IF(OR(ISBLANK(VLOOKUP(DATEVALUE(LEFT($B130,4)&amp;"-"&amp;MID($B130,5,2)&amp;"-"&amp;RIGHT($B130,2)),Data,MATCH(LEFT(VLOOKUP(MID(I$1,2,LEN(I$1)-1),Parameters,2,FALSE()),4)&amp;"*",OFFSET(Data,1,0,1),0),FALSE())),ISTEXT(VLOOKUP(DATEVALUE(LEFT($B130,4)&amp;"-"&amp;MID($B130,5,2)&amp;"-"&amp;RIGHT($B130,2)),Data,MATCH(LEFT(VLOOKUP(MID(I$1,2,LEN(I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4)&amp;"*",OFFSET(Catalogus,1,0,1),0),FALSE())))</f>
        <v>0</v>
      </c>
    </row>
    <row r="131" spans="1:9" x14ac:dyDescent="0.25">
      <c r="A131" s="17">
        <f t="shared" si="14"/>
        <v>81</v>
      </c>
      <c r="B131" t="str">
        <f ca="1">TEXT(DATE(YEAR(Invoer!$A$5),1,1)+INT((ROWS(B$2:B131)-1)/3),"jjjjmmdd")</f>
        <v>19200213</v>
      </c>
      <c r="C131" s="35" t="str">
        <f>IF(MOD(ROWS(C$2:C131)-1,3)=2,"24.00",INDEX(Data,2,2+MOD(ROWS(C$2:C131)-1,3)))</f>
        <v>08.00</v>
      </c>
      <c r="D131" s="23">
        <f t="shared" ref="D131:D194" ca="1" si="20">IF(OR(ISBLANK(VLOOKUP(DATEVALUE(LEFT($B131,4)&amp;"-"&amp;MID($B131,5,2)&amp;"-"&amp;RIGHT($B131,2)),Data,MATCH(LEFT(VLOOKUP(D$1,Parameters,2,FALSE()),4)&amp;"*",OFFSET(Data,0,0,1),0)+MATCH($C131,OFFSET(Data,1,0,1),0)-2,FALSE())),ISTEXT(VLOOKUP(DATEVALUE(LEFT($B131,4)&amp;"-"&amp;MID($B131,5,2)&amp;"-"&amp;RIGHT($B131,2)),Data,MATCH(LEFT(VLOOKUP(D$1,Parameters,2,FALSE()),4)&amp;"*",OFFSET(Data,0,0,1),0)+MATCH($C131,OFFSET(Data,1,0,1),0)-2,FALSE())),EXACT(C131,"24.00")),"—",VLOOKUP(DATEVALUE(LEFT($B131,4)&amp;"-"&amp;MID($B131,5,2)&amp;"-"&amp;RIGHT($B131,2)),Data,MATCH(LEFT(VLOOKUP(D$1,Parameters,2,FALSE()),4)&amp;"*",OFFSET(Data,0,0,1),0)+MATCH($C131,OFFSET(Data,1,0,1),0)-2,FALSE()))</f>
        <v>750</v>
      </c>
      <c r="E131" s="40">
        <f t="shared" ca="1" si="15"/>
        <v>0</v>
      </c>
      <c r="F131" s="23" t="str">
        <f t="shared" ca="1" si="16"/>
        <v>—</v>
      </c>
      <c r="G131" s="40">
        <f t="shared" ca="1" si="17"/>
        <v>7</v>
      </c>
      <c r="H131" s="23" t="str">
        <f t="shared" ca="1" si="18"/>
        <v>—</v>
      </c>
      <c r="I131" s="40">
        <f t="shared" ca="1" si="19"/>
        <v>7</v>
      </c>
    </row>
    <row r="132" spans="1:9" x14ac:dyDescent="0.25">
      <c r="A132" s="17">
        <f t="shared" si="14"/>
        <v>81</v>
      </c>
      <c r="B132" t="str">
        <f ca="1">TEXT(DATE(YEAR(Invoer!$A$5),1,1)+INT((ROWS(B$2:B132)-1)/3),"jjjjmmdd")</f>
        <v>19200213</v>
      </c>
      <c r="C132" s="35" t="str">
        <f>IF(MOD(ROWS(C$2:C132)-1,3)=2,"24.00",INDEX(Data,2,2+MOD(ROWS(C$2:C132)-1,3)))</f>
        <v>14.00</v>
      </c>
      <c r="D132" s="23">
        <f t="shared" ca="1" si="20"/>
        <v>749.5</v>
      </c>
      <c r="E132" s="40">
        <f t="shared" ca="1" si="15"/>
        <v>0</v>
      </c>
      <c r="F132" s="23" t="str">
        <f t="shared" ca="1" si="16"/>
        <v>—</v>
      </c>
      <c r="G132" s="40">
        <f t="shared" ca="1" si="17"/>
        <v>7</v>
      </c>
      <c r="H132" s="23" t="str">
        <f t="shared" ca="1" si="18"/>
        <v>—</v>
      </c>
      <c r="I132" s="40">
        <f t="shared" ca="1" si="19"/>
        <v>7</v>
      </c>
    </row>
    <row r="133" spans="1:9" x14ac:dyDescent="0.25">
      <c r="A133" s="17">
        <f t="shared" si="14"/>
        <v>81</v>
      </c>
      <c r="B133" t="str">
        <f ca="1">TEXT(DATE(YEAR(Invoer!$A$5),1,1)+INT((ROWS(B$2:B133)-1)/3),"jjjjmmdd")</f>
        <v>19200213</v>
      </c>
      <c r="C133" s="35" t="str">
        <f>IF(MOD(ROWS(C$2:C133)-1,3)=2,"24.00",INDEX(Data,2,2+MOD(ROWS(C$2:C133)-1,3)))</f>
        <v>24.00</v>
      </c>
      <c r="D133" s="23" t="str">
        <f t="shared" ca="1" si="20"/>
        <v>—</v>
      </c>
      <c r="E133" s="40">
        <f t="shared" ca="1" si="15"/>
        <v>7</v>
      </c>
      <c r="F133" s="23">
        <f t="shared" ca="1" si="16"/>
        <v>24.5</v>
      </c>
      <c r="G133" s="40">
        <f t="shared" ca="1" si="17"/>
        <v>0</v>
      </c>
      <c r="H133" s="23">
        <f t="shared" ca="1" si="18"/>
        <v>27</v>
      </c>
      <c r="I133" s="40">
        <f t="shared" ca="1" si="19"/>
        <v>0</v>
      </c>
    </row>
    <row r="134" spans="1:9" x14ac:dyDescent="0.25">
      <c r="A134" s="17">
        <f t="shared" si="14"/>
        <v>81</v>
      </c>
      <c r="B134" t="str">
        <f ca="1">TEXT(DATE(YEAR(Invoer!$A$5),1,1)+INT((ROWS(B$2:B134)-1)/3),"jjjjmmdd")</f>
        <v>19200214</v>
      </c>
      <c r="C134" s="35" t="str">
        <f>IF(MOD(ROWS(C$2:C134)-1,3)=2,"24.00",INDEX(Data,2,2+MOD(ROWS(C$2:C134)-1,3)))</f>
        <v>08.00</v>
      </c>
      <c r="D134" s="23">
        <f t="shared" ca="1" si="20"/>
        <v>750</v>
      </c>
      <c r="E134" s="40">
        <f t="shared" ca="1" si="15"/>
        <v>0</v>
      </c>
      <c r="F134" s="23" t="str">
        <f t="shared" ca="1" si="16"/>
        <v>—</v>
      </c>
      <c r="G134" s="40">
        <f t="shared" ca="1" si="17"/>
        <v>7</v>
      </c>
      <c r="H134" s="23" t="str">
        <f t="shared" ca="1" si="18"/>
        <v>—</v>
      </c>
      <c r="I134" s="40">
        <f t="shared" ca="1" si="19"/>
        <v>7</v>
      </c>
    </row>
    <row r="135" spans="1:9" x14ac:dyDescent="0.25">
      <c r="A135" s="17">
        <f t="shared" si="14"/>
        <v>81</v>
      </c>
      <c r="B135" t="str">
        <f ca="1">TEXT(DATE(YEAR(Invoer!$A$5),1,1)+INT((ROWS(B$2:B135)-1)/3),"jjjjmmdd")</f>
        <v>19200214</v>
      </c>
      <c r="C135" s="35" t="str">
        <f>IF(MOD(ROWS(C$2:C135)-1,3)=2,"24.00",INDEX(Data,2,2+MOD(ROWS(C$2:C135)-1,3)))</f>
        <v>14.00</v>
      </c>
      <c r="D135" s="23">
        <f t="shared" ca="1" si="20"/>
        <v>748.2</v>
      </c>
      <c r="E135" s="40">
        <f t="shared" ca="1" si="15"/>
        <v>0</v>
      </c>
      <c r="F135" s="23" t="str">
        <f t="shared" ca="1" si="16"/>
        <v>—</v>
      </c>
      <c r="G135" s="40">
        <f t="shared" ca="1" si="17"/>
        <v>7</v>
      </c>
      <c r="H135" s="23" t="str">
        <f t="shared" ca="1" si="18"/>
        <v>—</v>
      </c>
      <c r="I135" s="40">
        <f t="shared" ca="1" si="19"/>
        <v>7</v>
      </c>
    </row>
    <row r="136" spans="1:9" x14ac:dyDescent="0.25">
      <c r="A136" s="17">
        <f t="shared" si="14"/>
        <v>81</v>
      </c>
      <c r="B136" t="str">
        <f ca="1">TEXT(DATE(YEAR(Invoer!$A$5),1,1)+INT((ROWS(B$2:B136)-1)/3),"jjjjmmdd")</f>
        <v>19200214</v>
      </c>
      <c r="C136" s="35" t="str">
        <f>IF(MOD(ROWS(C$2:C136)-1,3)=2,"24.00",INDEX(Data,2,2+MOD(ROWS(C$2:C136)-1,3)))</f>
        <v>24.00</v>
      </c>
      <c r="D136" s="23" t="str">
        <f t="shared" ca="1" si="20"/>
        <v>—</v>
      </c>
      <c r="E136" s="40">
        <f t="shared" ca="1" si="15"/>
        <v>7</v>
      </c>
      <c r="F136" s="23">
        <f t="shared" ca="1" si="16"/>
        <v>23</v>
      </c>
      <c r="G136" s="40">
        <f t="shared" ca="1" si="17"/>
        <v>0</v>
      </c>
      <c r="H136" s="23">
        <f t="shared" ca="1" si="18"/>
        <v>26</v>
      </c>
      <c r="I136" s="40">
        <f t="shared" ca="1" si="19"/>
        <v>0</v>
      </c>
    </row>
    <row r="137" spans="1:9" x14ac:dyDescent="0.25">
      <c r="A137" s="17">
        <f t="shared" si="14"/>
        <v>81</v>
      </c>
      <c r="B137" t="str">
        <f ca="1">TEXT(DATE(YEAR(Invoer!$A$5),1,1)+INT((ROWS(B$2:B137)-1)/3),"jjjjmmdd")</f>
        <v>19200215</v>
      </c>
      <c r="C137" s="35" t="str">
        <f>IF(MOD(ROWS(C$2:C137)-1,3)=2,"24.00",INDEX(Data,2,2+MOD(ROWS(C$2:C137)-1,3)))</f>
        <v>08.00</v>
      </c>
      <c r="D137" s="23">
        <f t="shared" ca="1" si="20"/>
        <v>749</v>
      </c>
      <c r="E137" s="40">
        <f t="shared" ca="1" si="15"/>
        <v>0</v>
      </c>
      <c r="F137" s="23" t="str">
        <f t="shared" ca="1" si="16"/>
        <v>—</v>
      </c>
      <c r="G137" s="40">
        <f t="shared" ca="1" si="17"/>
        <v>7</v>
      </c>
      <c r="H137" s="23" t="str">
        <f t="shared" ca="1" si="18"/>
        <v>—</v>
      </c>
      <c r="I137" s="40">
        <f t="shared" ca="1" si="19"/>
        <v>7</v>
      </c>
    </row>
    <row r="138" spans="1:9" x14ac:dyDescent="0.25">
      <c r="A138" s="17">
        <f t="shared" si="14"/>
        <v>81</v>
      </c>
      <c r="B138" t="str">
        <f ca="1">TEXT(DATE(YEAR(Invoer!$A$5),1,1)+INT((ROWS(B$2:B138)-1)/3),"jjjjmmdd")</f>
        <v>19200215</v>
      </c>
      <c r="C138" s="35" t="str">
        <f>IF(MOD(ROWS(C$2:C138)-1,3)=2,"24.00",INDEX(Data,2,2+MOD(ROWS(C$2:C138)-1,3)))</f>
        <v>14.00</v>
      </c>
      <c r="D138" s="23">
        <f t="shared" ca="1" si="20"/>
        <v>748</v>
      </c>
      <c r="E138" s="40">
        <f t="shared" ca="1" si="15"/>
        <v>0</v>
      </c>
      <c r="F138" s="23" t="str">
        <f t="shared" ca="1" si="16"/>
        <v>—</v>
      </c>
      <c r="G138" s="40">
        <f t="shared" ca="1" si="17"/>
        <v>7</v>
      </c>
      <c r="H138" s="23" t="str">
        <f t="shared" ca="1" si="18"/>
        <v>—</v>
      </c>
      <c r="I138" s="40">
        <f t="shared" ca="1" si="19"/>
        <v>7</v>
      </c>
    </row>
    <row r="139" spans="1:9" x14ac:dyDescent="0.25">
      <c r="A139" s="17">
        <f t="shared" si="14"/>
        <v>81</v>
      </c>
      <c r="B139" t="str">
        <f ca="1">TEXT(DATE(YEAR(Invoer!$A$5),1,1)+INT((ROWS(B$2:B139)-1)/3),"jjjjmmdd")</f>
        <v>19200215</v>
      </c>
      <c r="C139" s="35" t="str">
        <f>IF(MOD(ROWS(C$2:C139)-1,3)=2,"24.00",INDEX(Data,2,2+MOD(ROWS(C$2:C139)-1,3)))</f>
        <v>24.00</v>
      </c>
      <c r="D139" s="23" t="str">
        <f t="shared" ca="1" si="20"/>
        <v>—</v>
      </c>
      <c r="E139" s="40">
        <f t="shared" ca="1" si="15"/>
        <v>7</v>
      </c>
      <c r="F139" s="23">
        <f t="shared" ca="1" si="16"/>
        <v>24</v>
      </c>
      <c r="G139" s="40">
        <f t="shared" ca="1" si="17"/>
        <v>0</v>
      </c>
      <c r="H139" s="23">
        <f t="shared" ca="1" si="18"/>
        <v>26</v>
      </c>
      <c r="I139" s="40">
        <f t="shared" ca="1" si="19"/>
        <v>0</v>
      </c>
    </row>
    <row r="140" spans="1:9" x14ac:dyDescent="0.25">
      <c r="A140" s="17">
        <f t="shared" si="14"/>
        <v>81</v>
      </c>
      <c r="B140" t="str">
        <f ca="1">TEXT(DATE(YEAR(Invoer!$A$5),1,1)+INT((ROWS(B$2:B140)-1)/3),"jjjjmmdd")</f>
        <v>19200216</v>
      </c>
      <c r="C140" s="35" t="str">
        <f>IF(MOD(ROWS(C$2:C140)-1,3)=2,"24.00",INDEX(Data,2,2+MOD(ROWS(C$2:C140)-1,3)))</f>
        <v>08.00</v>
      </c>
      <c r="D140" s="23">
        <f t="shared" ca="1" si="20"/>
        <v>748</v>
      </c>
      <c r="E140" s="40">
        <f t="shared" ca="1" si="15"/>
        <v>0</v>
      </c>
      <c r="F140" s="23" t="str">
        <f t="shared" ca="1" si="16"/>
        <v>—</v>
      </c>
      <c r="G140" s="40">
        <f t="shared" ca="1" si="17"/>
        <v>7</v>
      </c>
      <c r="H140" s="23" t="str">
        <f t="shared" ca="1" si="18"/>
        <v>—</v>
      </c>
      <c r="I140" s="40">
        <f t="shared" ca="1" si="19"/>
        <v>7</v>
      </c>
    </row>
    <row r="141" spans="1:9" x14ac:dyDescent="0.25">
      <c r="A141" s="17">
        <f t="shared" si="14"/>
        <v>81</v>
      </c>
      <c r="B141" t="str">
        <f ca="1">TEXT(DATE(YEAR(Invoer!$A$5),1,1)+INT((ROWS(B$2:B141)-1)/3),"jjjjmmdd")</f>
        <v>19200216</v>
      </c>
      <c r="C141" s="35" t="str">
        <f>IF(MOD(ROWS(C$2:C141)-1,3)=2,"24.00",INDEX(Data,2,2+MOD(ROWS(C$2:C141)-1,3)))</f>
        <v>14.00</v>
      </c>
      <c r="D141" s="23">
        <f t="shared" ca="1" si="20"/>
        <v>747.2</v>
      </c>
      <c r="E141" s="40">
        <f t="shared" ca="1" si="15"/>
        <v>0</v>
      </c>
      <c r="F141" s="23" t="str">
        <f t="shared" ca="1" si="16"/>
        <v>—</v>
      </c>
      <c r="G141" s="40">
        <f t="shared" ca="1" si="17"/>
        <v>7</v>
      </c>
      <c r="H141" s="23" t="str">
        <f t="shared" ca="1" si="18"/>
        <v>—</v>
      </c>
      <c r="I141" s="40">
        <f t="shared" ca="1" si="19"/>
        <v>7</v>
      </c>
    </row>
    <row r="142" spans="1:9" x14ac:dyDescent="0.25">
      <c r="A142" s="17">
        <f t="shared" si="14"/>
        <v>81</v>
      </c>
      <c r="B142" t="str">
        <f ca="1">TEXT(DATE(YEAR(Invoer!$A$5),1,1)+INT((ROWS(B$2:B142)-1)/3),"jjjjmmdd")</f>
        <v>19200216</v>
      </c>
      <c r="C142" s="35" t="str">
        <f>IF(MOD(ROWS(C$2:C142)-1,3)=2,"24.00",INDEX(Data,2,2+MOD(ROWS(C$2:C142)-1,3)))</f>
        <v>24.00</v>
      </c>
      <c r="D142" s="23" t="str">
        <f t="shared" ca="1" si="20"/>
        <v>—</v>
      </c>
      <c r="E142" s="40">
        <f t="shared" ca="1" si="15"/>
        <v>7</v>
      </c>
      <c r="F142" s="23">
        <f t="shared" ca="1" si="16"/>
        <v>24.5</v>
      </c>
      <c r="G142" s="40">
        <f t="shared" ca="1" si="17"/>
        <v>0</v>
      </c>
      <c r="H142" s="23">
        <f t="shared" ca="1" si="18"/>
        <v>28</v>
      </c>
      <c r="I142" s="40">
        <f t="shared" ca="1" si="19"/>
        <v>0</v>
      </c>
    </row>
    <row r="143" spans="1:9" x14ac:dyDescent="0.25">
      <c r="A143" s="17">
        <f t="shared" si="14"/>
        <v>81</v>
      </c>
      <c r="B143" t="str">
        <f ca="1">TEXT(DATE(YEAR(Invoer!$A$5),1,1)+INT((ROWS(B$2:B143)-1)/3),"jjjjmmdd")</f>
        <v>19200217</v>
      </c>
      <c r="C143" s="35" t="str">
        <f>IF(MOD(ROWS(C$2:C143)-1,3)=2,"24.00",INDEX(Data,2,2+MOD(ROWS(C$2:C143)-1,3)))</f>
        <v>08.00</v>
      </c>
      <c r="D143" s="23">
        <f t="shared" ca="1" si="20"/>
        <v>747</v>
      </c>
      <c r="E143" s="40">
        <f t="shared" ca="1" si="15"/>
        <v>0</v>
      </c>
      <c r="F143" s="23" t="str">
        <f t="shared" ca="1" si="16"/>
        <v>—</v>
      </c>
      <c r="G143" s="40">
        <f t="shared" ca="1" si="17"/>
        <v>7</v>
      </c>
      <c r="H143" s="23" t="str">
        <f t="shared" ca="1" si="18"/>
        <v>—</v>
      </c>
      <c r="I143" s="40">
        <f t="shared" ca="1" si="19"/>
        <v>7</v>
      </c>
    </row>
    <row r="144" spans="1:9" x14ac:dyDescent="0.25">
      <c r="A144" s="17">
        <f t="shared" si="14"/>
        <v>81</v>
      </c>
      <c r="B144" t="str">
        <f ca="1">TEXT(DATE(YEAR(Invoer!$A$5),1,1)+INT((ROWS(B$2:B144)-1)/3),"jjjjmmdd")</f>
        <v>19200217</v>
      </c>
      <c r="C144" s="35" t="str">
        <f>IF(MOD(ROWS(C$2:C144)-1,3)=2,"24.00",INDEX(Data,2,2+MOD(ROWS(C$2:C144)-1,3)))</f>
        <v>14.00</v>
      </c>
      <c r="D144" s="23">
        <f t="shared" ca="1" si="20"/>
        <v>746.9</v>
      </c>
      <c r="E144" s="40">
        <f t="shared" ca="1" si="15"/>
        <v>0</v>
      </c>
      <c r="F144" s="23" t="str">
        <f t="shared" ca="1" si="16"/>
        <v>—</v>
      </c>
      <c r="G144" s="40">
        <f t="shared" ca="1" si="17"/>
        <v>7</v>
      </c>
      <c r="H144" s="23" t="str">
        <f t="shared" ca="1" si="18"/>
        <v>—</v>
      </c>
      <c r="I144" s="40">
        <f t="shared" ca="1" si="19"/>
        <v>7</v>
      </c>
    </row>
    <row r="145" spans="1:9" x14ac:dyDescent="0.25">
      <c r="A145" s="17">
        <f t="shared" si="14"/>
        <v>81</v>
      </c>
      <c r="B145" t="str">
        <f ca="1">TEXT(DATE(YEAR(Invoer!$A$5),1,1)+INT((ROWS(B$2:B145)-1)/3),"jjjjmmdd")</f>
        <v>19200217</v>
      </c>
      <c r="C145" s="35" t="str">
        <f>IF(MOD(ROWS(C$2:C145)-1,3)=2,"24.00",INDEX(Data,2,2+MOD(ROWS(C$2:C145)-1,3)))</f>
        <v>24.00</v>
      </c>
      <c r="D145" s="23" t="str">
        <f t="shared" ca="1" si="20"/>
        <v>—</v>
      </c>
      <c r="E145" s="40">
        <f t="shared" ca="1" si="15"/>
        <v>7</v>
      </c>
      <c r="F145" s="23">
        <f t="shared" ca="1" si="16"/>
        <v>24</v>
      </c>
      <c r="G145" s="40">
        <f t="shared" ca="1" si="17"/>
        <v>0</v>
      </c>
      <c r="H145" s="23">
        <f t="shared" ca="1" si="18"/>
        <v>27</v>
      </c>
      <c r="I145" s="40">
        <f t="shared" ca="1" si="19"/>
        <v>0</v>
      </c>
    </row>
    <row r="146" spans="1:9" x14ac:dyDescent="0.25">
      <c r="A146" s="17">
        <f t="shared" si="14"/>
        <v>81</v>
      </c>
      <c r="B146" t="str">
        <f ca="1">TEXT(DATE(YEAR(Invoer!$A$5),1,1)+INT((ROWS(B$2:B146)-1)/3),"jjjjmmdd")</f>
        <v>19200218</v>
      </c>
      <c r="C146" s="35" t="str">
        <f>IF(MOD(ROWS(C$2:C146)-1,3)=2,"24.00",INDEX(Data,2,2+MOD(ROWS(C$2:C146)-1,3)))</f>
        <v>08.00</v>
      </c>
      <c r="D146" s="23">
        <f t="shared" ca="1" si="20"/>
        <v>748</v>
      </c>
      <c r="E146" s="40">
        <f t="shared" ca="1" si="15"/>
        <v>0</v>
      </c>
      <c r="F146" s="23" t="str">
        <f t="shared" ca="1" si="16"/>
        <v>—</v>
      </c>
      <c r="G146" s="40">
        <f t="shared" ca="1" si="17"/>
        <v>7</v>
      </c>
      <c r="H146" s="23" t="str">
        <f t="shared" ca="1" si="18"/>
        <v>—</v>
      </c>
      <c r="I146" s="40">
        <f t="shared" ca="1" si="19"/>
        <v>7</v>
      </c>
    </row>
    <row r="147" spans="1:9" x14ac:dyDescent="0.25">
      <c r="A147" s="17">
        <f t="shared" si="14"/>
        <v>81</v>
      </c>
      <c r="B147" t="str">
        <f ca="1">TEXT(DATE(YEAR(Invoer!$A$5),1,1)+INT((ROWS(B$2:B147)-1)/3),"jjjjmmdd")</f>
        <v>19200218</v>
      </c>
      <c r="C147" s="35" t="str">
        <f>IF(MOD(ROWS(C$2:C147)-1,3)=2,"24.00",INDEX(Data,2,2+MOD(ROWS(C$2:C147)-1,3)))</f>
        <v>14.00</v>
      </c>
      <c r="D147" s="23">
        <f t="shared" ca="1" si="20"/>
        <v>747.3</v>
      </c>
      <c r="E147" s="40">
        <f t="shared" ca="1" si="15"/>
        <v>0</v>
      </c>
      <c r="F147" s="23" t="str">
        <f t="shared" ca="1" si="16"/>
        <v>—</v>
      </c>
      <c r="G147" s="40">
        <f t="shared" ca="1" si="17"/>
        <v>7</v>
      </c>
      <c r="H147" s="23" t="str">
        <f t="shared" ca="1" si="18"/>
        <v>—</v>
      </c>
      <c r="I147" s="40">
        <f t="shared" ca="1" si="19"/>
        <v>7</v>
      </c>
    </row>
    <row r="148" spans="1:9" x14ac:dyDescent="0.25">
      <c r="A148" s="17">
        <f t="shared" si="14"/>
        <v>81</v>
      </c>
      <c r="B148" t="str">
        <f ca="1">TEXT(DATE(YEAR(Invoer!$A$5),1,1)+INT((ROWS(B$2:B148)-1)/3),"jjjjmmdd")</f>
        <v>19200218</v>
      </c>
      <c r="C148" s="35" t="str">
        <f>IF(MOD(ROWS(C$2:C148)-1,3)=2,"24.00",INDEX(Data,2,2+MOD(ROWS(C$2:C148)-1,3)))</f>
        <v>24.00</v>
      </c>
      <c r="D148" s="23" t="str">
        <f t="shared" ca="1" si="20"/>
        <v>—</v>
      </c>
      <c r="E148" s="40">
        <f t="shared" ca="1" si="15"/>
        <v>7</v>
      </c>
      <c r="F148" s="23">
        <f t="shared" ca="1" si="16"/>
        <v>24.5</v>
      </c>
      <c r="G148" s="40">
        <f t="shared" ca="1" si="17"/>
        <v>0</v>
      </c>
      <c r="H148" s="23">
        <f t="shared" ca="1" si="18"/>
        <v>27</v>
      </c>
      <c r="I148" s="40">
        <f t="shared" ca="1" si="19"/>
        <v>0</v>
      </c>
    </row>
    <row r="149" spans="1:9" x14ac:dyDescent="0.25">
      <c r="A149" s="17">
        <f t="shared" si="14"/>
        <v>81</v>
      </c>
      <c r="B149" t="str">
        <f ca="1">TEXT(DATE(YEAR(Invoer!$A$5),1,1)+INT((ROWS(B$2:B149)-1)/3),"jjjjmmdd")</f>
        <v>19200219</v>
      </c>
      <c r="C149" s="35" t="str">
        <f>IF(MOD(ROWS(C$2:C149)-1,3)=2,"24.00",INDEX(Data,2,2+MOD(ROWS(C$2:C149)-1,3)))</f>
        <v>08.00</v>
      </c>
      <c r="D149" s="23">
        <f t="shared" ca="1" si="20"/>
        <v>747.2</v>
      </c>
      <c r="E149" s="40">
        <f t="shared" ca="1" si="15"/>
        <v>0</v>
      </c>
      <c r="F149" s="23" t="str">
        <f t="shared" ca="1" si="16"/>
        <v>—</v>
      </c>
      <c r="G149" s="40">
        <f t="shared" ca="1" si="17"/>
        <v>7</v>
      </c>
      <c r="H149" s="23" t="str">
        <f t="shared" ca="1" si="18"/>
        <v>—</v>
      </c>
      <c r="I149" s="40">
        <f t="shared" ca="1" si="19"/>
        <v>7</v>
      </c>
    </row>
    <row r="150" spans="1:9" x14ac:dyDescent="0.25">
      <c r="A150" s="17">
        <f t="shared" si="14"/>
        <v>81</v>
      </c>
      <c r="B150" t="str">
        <f ca="1">TEXT(DATE(YEAR(Invoer!$A$5),1,1)+INT((ROWS(B$2:B150)-1)/3),"jjjjmmdd")</f>
        <v>19200219</v>
      </c>
      <c r="C150" s="35" t="str">
        <f>IF(MOD(ROWS(C$2:C150)-1,3)=2,"24.00",INDEX(Data,2,2+MOD(ROWS(C$2:C150)-1,3)))</f>
        <v>14.00</v>
      </c>
      <c r="D150" s="23">
        <f t="shared" ca="1" si="20"/>
        <v>746.9</v>
      </c>
      <c r="E150" s="40">
        <f t="shared" ca="1" si="15"/>
        <v>0</v>
      </c>
      <c r="F150" s="23" t="str">
        <f t="shared" ca="1" si="16"/>
        <v>—</v>
      </c>
      <c r="G150" s="40">
        <f t="shared" ca="1" si="17"/>
        <v>7</v>
      </c>
      <c r="H150" s="23" t="str">
        <f t="shared" ca="1" si="18"/>
        <v>—</v>
      </c>
      <c r="I150" s="40">
        <f t="shared" ca="1" si="19"/>
        <v>7</v>
      </c>
    </row>
    <row r="151" spans="1:9" x14ac:dyDescent="0.25">
      <c r="A151" s="17">
        <f t="shared" si="14"/>
        <v>81</v>
      </c>
      <c r="B151" t="str">
        <f ca="1">TEXT(DATE(YEAR(Invoer!$A$5),1,1)+INT((ROWS(B$2:B151)-1)/3),"jjjjmmdd")</f>
        <v>19200219</v>
      </c>
      <c r="C151" s="35" t="str">
        <f>IF(MOD(ROWS(C$2:C151)-1,3)=2,"24.00",INDEX(Data,2,2+MOD(ROWS(C$2:C151)-1,3)))</f>
        <v>24.00</v>
      </c>
      <c r="D151" s="23" t="str">
        <f t="shared" ca="1" si="20"/>
        <v>—</v>
      </c>
      <c r="E151" s="40">
        <f t="shared" ca="1" si="15"/>
        <v>7</v>
      </c>
      <c r="F151" s="23">
        <f t="shared" ca="1" si="16"/>
        <v>24</v>
      </c>
      <c r="G151" s="40">
        <f t="shared" ca="1" si="17"/>
        <v>0</v>
      </c>
      <c r="H151" s="23">
        <f t="shared" ca="1" si="18"/>
        <v>27</v>
      </c>
      <c r="I151" s="40">
        <f t="shared" ca="1" si="19"/>
        <v>0</v>
      </c>
    </row>
    <row r="152" spans="1:9" x14ac:dyDescent="0.25">
      <c r="A152" s="17">
        <f t="shared" si="14"/>
        <v>81</v>
      </c>
      <c r="B152" t="str">
        <f ca="1">TEXT(DATE(YEAR(Invoer!$A$5),1,1)+INT((ROWS(B$2:B152)-1)/3),"jjjjmmdd")</f>
        <v>19200220</v>
      </c>
      <c r="C152" s="35" t="str">
        <f>IF(MOD(ROWS(C$2:C152)-1,3)=2,"24.00",INDEX(Data,2,2+MOD(ROWS(C$2:C152)-1,3)))</f>
        <v>08.00</v>
      </c>
      <c r="D152" s="23">
        <f t="shared" ca="1" si="20"/>
        <v>749</v>
      </c>
      <c r="E152" s="40">
        <f t="shared" ca="1" si="15"/>
        <v>0</v>
      </c>
      <c r="F152" s="23" t="str">
        <f t="shared" ca="1" si="16"/>
        <v>—</v>
      </c>
      <c r="G152" s="40">
        <f t="shared" ca="1" si="17"/>
        <v>7</v>
      </c>
      <c r="H152" s="23" t="str">
        <f t="shared" ca="1" si="18"/>
        <v>—</v>
      </c>
      <c r="I152" s="40">
        <f t="shared" ca="1" si="19"/>
        <v>7</v>
      </c>
    </row>
    <row r="153" spans="1:9" x14ac:dyDescent="0.25">
      <c r="A153" s="17">
        <f t="shared" si="14"/>
        <v>81</v>
      </c>
      <c r="B153" t="str">
        <f ca="1">TEXT(DATE(YEAR(Invoer!$A$5),1,1)+INT((ROWS(B$2:B153)-1)/3),"jjjjmmdd")</f>
        <v>19200220</v>
      </c>
      <c r="C153" s="35" t="str">
        <f>IF(MOD(ROWS(C$2:C153)-1,3)=2,"24.00",INDEX(Data,2,2+MOD(ROWS(C$2:C153)-1,3)))</f>
        <v>14.00</v>
      </c>
      <c r="D153" s="23">
        <f t="shared" ca="1" si="20"/>
        <v>748</v>
      </c>
      <c r="E153" s="40">
        <f t="shared" ca="1" si="15"/>
        <v>0</v>
      </c>
      <c r="F153" s="23" t="str">
        <f t="shared" ca="1" si="16"/>
        <v>—</v>
      </c>
      <c r="G153" s="40">
        <f t="shared" ca="1" si="17"/>
        <v>7</v>
      </c>
      <c r="H153" s="23" t="str">
        <f t="shared" ca="1" si="18"/>
        <v>—</v>
      </c>
      <c r="I153" s="40">
        <f t="shared" ca="1" si="19"/>
        <v>7</v>
      </c>
    </row>
    <row r="154" spans="1:9" x14ac:dyDescent="0.25">
      <c r="A154" s="17">
        <f t="shared" si="14"/>
        <v>81</v>
      </c>
      <c r="B154" t="str">
        <f ca="1">TEXT(DATE(YEAR(Invoer!$A$5),1,1)+INT((ROWS(B$2:B154)-1)/3),"jjjjmmdd")</f>
        <v>19200220</v>
      </c>
      <c r="C154" s="35" t="str">
        <f>IF(MOD(ROWS(C$2:C154)-1,3)=2,"24.00",INDEX(Data,2,2+MOD(ROWS(C$2:C154)-1,3)))</f>
        <v>24.00</v>
      </c>
      <c r="D154" s="23" t="str">
        <f t="shared" ca="1" si="20"/>
        <v>—</v>
      </c>
      <c r="E154" s="40">
        <f t="shared" ca="1" si="15"/>
        <v>7</v>
      </c>
      <c r="F154" s="23">
        <f t="shared" ca="1" si="16"/>
        <v>24</v>
      </c>
      <c r="G154" s="40">
        <f t="shared" ca="1" si="17"/>
        <v>0</v>
      </c>
      <c r="H154" s="23">
        <f t="shared" ca="1" si="18"/>
        <v>27</v>
      </c>
      <c r="I154" s="40">
        <f t="shared" ca="1" si="19"/>
        <v>0</v>
      </c>
    </row>
    <row r="155" spans="1:9" x14ac:dyDescent="0.25">
      <c r="A155" s="17">
        <f t="shared" si="14"/>
        <v>81</v>
      </c>
      <c r="B155" t="str">
        <f ca="1">TEXT(DATE(YEAR(Invoer!$A$5),1,1)+INT((ROWS(B$2:B155)-1)/3),"jjjjmmdd")</f>
        <v>19200221</v>
      </c>
      <c r="C155" s="35" t="str">
        <f>IF(MOD(ROWS(C$2:C155)-1,3)=2,"24.00",INDEX(Data,2,2+MOD(ROWS(C$2:C155)-1,3)))</f>
        <v>08.00</v>
      </c>
      <c r="D155" s="23">
        <f t="shared" ca="1" si="20"/>
        <v>748</v>
      </c>
      <c r="E155" s="40">
        <f t="shared" ca="1" si="15"/>
        <v>0</v>
      </c>
      <c r="F155" s="23" t="str">
        <f t="shared" ca="1" si="16"/>
        <v>—</v>
      </c>
      <c r="G155" s="40">
        <f t="shared" ca="1" si="17"/>
        <v>7</v>
      </c>
      <c r="H155" s="23" t="str">
        <f t="shared" ca="1" si="18"/>
        <v>—</v>
      </c>
      <c r="I155" s="40">
        <f t="shared" ca="1" si="19"/>
        <v>7</v>
      </c>
    </row>
    <row r="156" spans="1:9" x14ac:dyDescent="0.25">
      <c r="A156" s="17">
        <f t="shared" si="14"/>
        <v>81</v>
      </c>
      <c r="B156" t="str">
        <f ca="1">TEXT(DATE(YEAR(Invoer!$A$5),1,1)+INT((ROWS(B$2:B156)-1)/3),"jjjjmmdd")</f>
        <v>19200221</v>
      </c>
      <c r="C156" s="35" t="str">
        <f>IF(MOD(ROWS(C$2:C156)-1,3)=2,"24.00",INDEX(Data,2,2+MOD(ROWS(C$2:C156)-1,3)))</f>
        <v>14.00</v>
      </c>
      <c r="D156" s="23">
        <f t="shared" ca="1" si="20"/>
        <v>747.6</v>
      </c>
      <c r="E156" s="40">
        <f t="shared" ca="1" si="15"/>
        <v>0</v>
      </c>
      <c r="F156" s="23" t="str">
        <f t="shared" ca="1" si="16"/>
        <v>—</v>
      </c>
      <c r="G156" s="40">
        <f t="shared" ca="1" si="17"/>
        <v>7</v>
      </c>
      <c r="H156" s="23" t="str">
        <f t="shared" ca="1" si="18"/>
        <v>—</v>
      </c>
      <c r="I156" s="40">
        <f t="shared" ca="1" si="19"/>
        <v>7</v>
      </c>
    </row>
    <row r="157" spans="1:9" x14ac:dyDescent="0.25">
      <c r="A157" s="17">
        <f t="shared" si="14"/>
        <v>81</v>
      </c>
      <c r="B157" t="str">
        <f ca="1">TEXT(DATE(YEAR(Invoer!$A$5),1,1)+INT((ROWS(B$2:B157)-1)/3),"jjjjmmdd")</f>
        <v>19200221</v>
      </c>
      <c r="C157" s="35" t="str">
        <f>IF(MOD(ROWS(C$2:C157)-1,3)=2,"24.00",INDEX(Data,2,2+MOD(ROWS(C$2:C157)-1,3)))</f>
        <v>24.00</v>
      </c>
      <c r="D157" s="23" t="str">
        <f t="shared" ca="1" si="20"/>
        <v>—</v>
      </c>
      <c r="E157" s="40">
        <f t="shared" ca="1" si="15"/>
        <v>7</v>
      </c>
      <c r="F157" s="23">
        <f t="shared" ca="1" si="16"/>
        <v>24.5</v>
      </c>
      <c r="G157" s="40">
        <f t="shared" ca="1" si="17"/>
        <v>0</v>
      </c>
      <c r="H157" s="23">
        <f t="shared" ca="1" si="18"/>
        <v>27.3</v>
      </c>
      <c r="I157" s="40">
        <f t="shared" ca="1" si="19"/>
        <v>0</v>
      </c>
    </row>
    <row r="158" spans="1:9" x14ac:dyDescent="0.25">
      <c r="A158" s="17">
        <f t="shared" si="14"/>
        <v>81</v>
      </c>
      <c r="B158" t="str">
        <f ca="1">TEXT(DATE(YEAR(Invoer!$A$5),1,1)+INT((ROWS(B$2:B158)-1)/3),"jjjjmmdd")</f>
        <v>19200222</v>
      </c>
      <c r="C158" s="35" t="str">
        <f>IF(MOD(ROWS(C$2:C158)-1,3)=2,"24.00",INDEX(Data,2,2+MOD(ROWS(C$2:C158)-1,3)))</f>
        <v>08.00</v>
      </c>
      <c r="D158" s="23">
        <f t="shared" ca="1" si="20"/>
        <v>745</v>
      </c>
      <c r="E158" s="40">
        <f t="shared" ca="1" si="15"/>
        <v>0</v>
      </c>
      <c r="F158" s="23" t="str">
        <f t="shared" ca="1" si="16"/>
        <v>—</v>
      </c>
      <c r="G158" s="40">
        <f t="shared" ca="1" si="17"/>
        <v>7</v>
      </c>
      <c r="H158" s="23" t="str">
        <f t="shared" ca="1" si="18"/>
        <v>—</v>
      </c>
      <c r="I158" s="40">
        <f t="shared" ca="1" si="19"/>
        <v>7</v>
      </c>
    </row>
    <row r="159" spans="1:9" x14ac:dyDescent="0.25">
      <c r="A159" s="17">
        <f t="shared" si="14"/>
        <v>81</v>
      </c>
      <c r="B159" t="str">
        <f ca="1">TEXT(DATE(YEAR(Invoer!$A$5),1,1)+INT((ROWS(B$2:B159)-1)/3),"jjjjmmdd")</f>
        <v>19200222</v>
      </c>
      <c r="C159" s="35" t="str">
        <f>IF(MOD(ROWS(C$2:C159)-1,3)=2,"24.00",INDEX(Data,2,2+MOD(ROWS(C$2:C159)-1,3)))</f>
        <v>14.00</v>
      </c>
      <c r="D159" s="23">
        <f t="shared" ca="1" si="20"/>
        <v>744</v>
      </c>
      <c r="E159" s="40">
        <f t="shared" ca="1" si="15"/>
        <v>0</v>
      </c>
      <c r="F159" s="23" t="str">
        <f t="shared" ca="1" si="16"/>
        <v>—</v>
      </c>
      <c r="G159" s="40">
        <f t="shared" ca="1" si="17"/>
        <v>7</v>
      </c>
      <c r="H159" s="23" t="str">
        <f t="shared" ca="1" si="18"/>
        <v>—</v>
      </c>
      <c r="I159" s="40">
        <f t="shared" ca="1" si="19"/>
        <v>7</v>
      </c>
    </row>
    <row r="160" spans="1:9" x14ac:dyDescent="0.25">
      <c r="A160" s="17">
        <f t="shared" si="14"/>
        <v>81</v>
      </c>
      <c r="B160" t="str">
        <f ca="1">TEXT(DATE(YEAR(Invoer!$A$5),1,1)+INT((ROWS(B$2:B160)-1)/3),"jjjjmmdd")</f>
        <v>19200222</v>
      </c>
      <c r="C160" s="35" t="str">
        <f>IF(MOD(ROWS(C$2:C160)-1,3)=2,"24.00",INDEX(Data,2,2+MOD(ROWS(C$2:C160)-1,3)))</f>
        <v>24.00</v>
      </c>
      <c r="D160" s="23" t="str">
        <f t="shared" ca="1" si="20"/>
        <v>—</v>
      </c>
      <c r="E160" s="40">
        <f t="shared" ca="1" si="15"/>
        <v>7</v>
      </c>
      <c r="F160" s="23">
        <f t="shared" ca="1" si="16"/>
        <v>23</v>
      </c>
      <c r="G160" s="40">
        <f t="shared" ca="1" si="17"/>
        <v>0</v>
      </c>
      <c r="H160" s="23">
        <f t="shared" ca="1" si="18"/>
        <v>24</v>
      </c>
      <c r="I160" s="40">
        <f t="shared" ca="1" si="19"/>
        <v>0</v>
      </c>
    </row>
    <row r="161" spans="1:9" x14ac:dyDescent="0.25">
      <c r="A161" s="17">
        <f t="shared" si="14"/>
        <v>81</v>
      </c>
      <c r="B161" t="str">
        <f ca="1">TEXT(DATE(YEAR(Invoer!$A$5),1,1)+INT((ROWS(B$2:B161)-1)/3),"jjjjmmdd")</f>
        <v>19200223</v>
      </c>
      <c r="C161" s="35" t="str">
        <f>IF(MOD(ROWS(C$2:C161)-1,3)=2,"24.00",INDEX(Data,2,2+MOD(ROWS(C$2:C161)-1,3)))</f>
        <v>08.00</v>
      </c>
      <c r="D161" s="23">
        <f t="shared" ca="1" si="20"/>
        <v>744</v>
      </c>
      <c r="E161" s="40">
        <f t="shared" ca="1" si="15"/>
        <v>0</v>
      </c>
      <c r="F161" s="23" t="str">
        <f t="shared" ca="1" si="16"/>
        <v>—</v>
      </c>
      <c r="G161" s="40">
        <f t="shared" ca="1" si="17"/>
        <v>7</v>
      </c>
      <c r="H161" s="23" t="str">
        <f t="shared" ca="1" si="18"/>
        <v>—</v>
      </c>
      <c r="I161" s="40">
        <f t="shared" ca="1" si="19"/>
        <v>7</v>
      </c>
    </row>
    <row r="162" spans="1:9" x14ac:dyDescent="0.25">
      <c r="A162" s="17">
        <f t="shared" si="14"/>
        <v>81</v>
      </c>
      <c r="B162" t="str">
        <f ca="1">TEXT(DATE(YEAR(Invoer!$A$5),1,1)+INT((ROWS(B$2:B162)-1)/3),"jjjjmmdd")</f>
        <v>19200223</v>
      </c>
      <c r="C162" s="35" t="str">
        <f>IF(MOD(ROWS(C$2:C162)-1,3)=2,"24.00",INDEX(Data,2,2+MOD(ROWS(C$2:C162)-1,3)))</f>
        <v>14.00</v>
      </c>
      <c r="D162" s="23">
        <f t="shared" ca="1" si="20"/>
        <v>743.6</v>
      </c>
      <c r="E162" s="40">
        <f t="shared" ca="1" si="15"/>
        <v>0</v>
      </c>
      <c r="F162" s="23" t="str">
        <f t="shared" ca="1" si="16"/>
        <v>—</v>
      </c>
      <c r="G162" s="40">
        <f t="shared" ca="1" si="17"/>
        <v>7</v>
      </c>
      <c r="H162" s="23" t="str">
        <f t="shared" ca="1" si="18"/>
        <v>—</v>
      </c>
      <c r="I162" s="40">
        <f t="shared" ca="1" si="19"/>
        <v>7</v>
      </c>
    </row>
    <row r="163" spans="1:9" x14ac:dyDescent="0.25">
      <c r="A163" s="17">
        <f t="shared" si="14"/>
        <v>81</v>
      </c>
      <c r="B163" t="str">
        <f ca="1">TEXT(DATE(YEAR(Invoer!$A$5),1,1)+INT((ROWS(B$2:B163)-1)/3),"jjjjmmdd")</f>
        <v>19200223</v>
      </c>
      <c r="C163" s="35" t="str">
        <f>IF(MOD(ROWS(C$2:C163)-1,3)=2,"24.00",INDEX(Data,2,2+MOD(ROWS(C$2:C163)-1,3)))</f>
        <v>24.00</v>
      </c>
      <c r="D163" s="23" t="str">
        <f t="shared" ca="1" si="20"/>
        <v>—</v>
      </c>
      <c r="E163" s="40">
        <f t="shared" ca="1" si="15"/>
        <v>7</v>
      </c>
      <c r="F163" s="23">
        <f t="shared" ca="1" si="16"/>
        <v>23</v>
      </c>
      <c r="G163" s="40">
        <f t="shared" ca="1" si="17"/>
        <v>0</v>
      </c>
      <c r="H163" s="23">
        <f t="shared" ca="1" si="18"/>
        <v>26</v>
      </c>
      <c r="I163" s="40">
        <f t="shared" ca="1" si="19"/>
        <v>0</v>
      </c>
    </row>
    <row r="164" spans="1:9" x14ac:dyDescent="0.25">
      <c r="A164" s="17">
        <f t="shared" si="14"/>
        <v>81</v>
      </c>
      <c r="B164" t="str">
        <f ca="1">TEXT(DATE(YEAR(Invoer!$A$5),1,1)+INT((ROWS(B$2:B164)-1)/3),"jjjjmmdd")</f>
        <v>19200224</v>
      </c>
      <c r="C164" s="35" t="str">
        <f>IF(MOD(ROWS(C$2:C164)-1,3)=2,"24.00",INDEX(Data,2,2+MOD(ROWS(C$2:C164)-1,3)))</f>
        <v>08.00</v>
      </c>
      <c r="D164" s="23">
        <f t="shared" ca="1" si="20"/>
        <v>746</v>
      </c>
      <c r="E164" s="40">
        <f t="shared" ca="1" si="15"/>
        <v>0</v>
      </c>
      <c r="F164" s="23" t="str">
        <f t="shared" ca="1" si="16"/>
        <v>—</v>
      </c>
      <c r="G164" s="40">
        <f t="shared" ca="1" si="17"/>
        <v>7</v>
      </c>
      <c r="H164" s="23" t="str">
        <f t="shared" ca="1" si="18"/>
        <v>—</v>
      </c>
      <c r="I164" s="40">
        <f t="shared" ca="1" si="19"/>
        <v>7</v>
      </c>
    </row>
    <row r="165" spans="1:9" x14ac:dyDescent="0.25">
      <c r="A165" s="17">
        <f t="shared" si="14"/>
        <v>81</v>
      </c>
      <c r="B165" t="str">
        <f ca="1">TEXT(DATE(YEAR(Invoer!$A$5),1,1)+INT((ROWS(B$2:B165)-1)/3),"jjjjmmdd")</f>
        <v>19200224</v>
      </c>
      <c r="C165" s="35" t="str">
        <f>IF(MOD(ROWS(C$2:C165)-1,3)=2,"24.00",INDEX(Data,2,2+MOD(ROWS(C$2:C165)-1,3)))</f>
        <v>14.00</v>
      </c>
      <c r="D165" s="23">
        <f t="shared" ca="1" si="20"/>
        <v>745.7</v>
      </c>
      <c r="E165" s="40">
        <f t="shared" ca="1" si="15"/>
        <v>0</v>
      </c>
      <c r="F165" s="23" t="str">
        <f t="shared" ca="1" si="16"/>
        <v>—</v>
      </c>
      <c r="G165" s="40">
        <f t="shared" ca="1" si="17"/>
        <v>7</v>
      </c>
      <c r="H165" s="23" t="str">
        <f t="shared" ca="1" si="18"/>
        <v>—</v>
      </c>
      <c r="I165" s="40">
        <f t="shared" ca="1" si="19"/>
        <v>7</v>
      </c>
    </row>
    <row r="166" spans="1:9" x14ac:dyDescent="0.25">
      <c r="A166" s="17">
        <f t="shared" si="14"/>
        <v>81</v>
      </c>
      <c r="B166" t="str">
        <f ca="1">TEXT(DATE(YEAR(Invoer!$A$5),1,1)+INT((ROWS(B$2:B166)-1)/3),"jjjjmmdd")</f>
        <v>19200224</v>
      </c>
      <c r="C166" s="35" t="str">
        <f>IF(MOD(ROWS(C$2:C166)-1,3)=2,"24.00",INDEX(Data,2,2+MOD(ROWS(C$2:C166)-1,3)))</f>
        <v>24.00</v>
      </c>
      <c r="D166" s="23" t="str">
        <f t="shared" ca="1" si="20"/>
        <v>—</v>
      </c>
      <c r="E166" s="40">
        <f t="shared" ca="1" si="15"/>
        <v>7</v>
      </c>
      <c r="F166" s="23">
        <f t="shared" ca="1" si="16"/>
        <v>24</v>
      </c>
      <c r="G166" s="40">
        <f t="shared" ca="1" si="17"/>
        <v>0</v>
      </c>
      <c r="H166" s="23">
        <f t="shared" ca="1" si="18"/>
        <v>27.5</v>
      </c>
      <c r="I166" s="40">
        <f t="shared" ca="1" si="19"/>
        <v>0</v>
      </c>
    </row>
    <row r="167" spans="1:9" x14ac:dyDescent="0.25">
      <c r="A167" s="17">
        <f t="shared" si="14"/>
        <v>81</v>
      </c>
      <c r="B167" t="str">
        <f ca="1">TEXT(DATE(YEAR(Invoer!$A$5),1,1)+INT((ROWS(B$2:B167)-1)/3),"jjjjmmdd")</f>
        <v>19200225</v>
      </c>
      <c r="C167" s="35" t="str">
        <f>IF(MOD(ROWS(C$2:C167)-1,3)=2,"24.00",INDEX(Data,2,2+MOD(ROWS(C$2:C167)-1,3)))</f>
        <v>08.00</v>
      </c>
      <c r="D167" s="23">
        <f t="shared" ca="1" si="20"/>
        <v>747.2</v>
      </c>
      <c r="E167" s="40">
        <f t="shared" ca="1" si="15"/>
        <v>0</v>
      </c>
      <c r="F167" s="23" t="str">
        <f t="shared" ca="1" si="16"/>
        <v>—</v>
      </c>
      <c r="G167" s="40">
        <f t="shared" ca="1" si="17"/>
        <v>7</v>
      </c>
      <c r="H167" s="23" t="str">
        <f t="shared" ca="1" si="18"/>
        <v>—</v>
      </c>
      <c r="I167" s="40">
        <f t="shared" ca="1" si="19"/>
        <v>7</v>
      </c>
    </row>
    <row r="168" spans="1:9" x14ac:dyDescent="0.25">
      <c r="A168" s="17">
        <f t="shared" si="14"/>
        <v>81</v>
      </c>
      <c r="B168" t="str">
        <f ca="1">TEXT(DATE(YEAR(Invoer!$A$5),1,1)+INT((ROWS(B$2:B168)-1)/3),"jjjjmmdd")</f>
        <v>19200225</v>
      </c>
      <c r="C168" s="35" t="str">
        <f>IF(MOD(ROWS(C$2:C168)-1,3)=2,"24.00",INDEX(Data,2,2+MOD(ROWS(C$2:C168)-1,3)))</f>
        <v>14.00</v>
      </c>
      <c r="D168" s="23">
        <f t="shared" ca="1" si="20"/>
        <v>747</v>
      </c>
      <c r="E168" s="40">
        <f t="shared" ca="1" si="15"/>
        <v>0</v>
      </c>
      <c r="F168" s="23" t="str">
        <f t="shared" ca="1" si="16"/>
        <v>—</v>
      </c>
      <c r="G168" s="40">
        <f t="shared" ca="1" si="17"/>
        <v>7</v>
      </c>
      <c r="H168" s="23" t="str">
        <f t="shared" ca="1" si="18"/>
        <v>—</v>
      </c>
      <c r="I168" s="40">
        <f t="shared" ca="1" si="19"/>
        <v>7</v>
      </c>
    </row>
    <row r="169" spans="1:9" x14ac:dyDescent="0.25">
      <c r="A169" s="17">
        <f t="shared" si="14"/>
        <v>81</v>
      </c>
      <c r="B169" t="str">
        <f ca="1">TEXT(DATE(YEAR(Invoer!$A$5),1,1)+INT((ROWS(B$2:B169)-1)/3),"jjjjmmdd")</f>
        <v>19200225</v>
      </c>
      <c r="C169" s="35" t="str">
        <f>IF(MOD(ROWS(C$2:C169)-1,3)=2,"24.00",INDEX(Data,2,2+MOD(ROWS(C$2:C169)-1,3)))</f>
        <v>24.00</v>
      </c>
      <c r="D169" s="23" t="str">
        <f t="shared" ca="1" si="20"/>
        <v>—</v>
      </c>
      <c r="E169" s="40">
        <f t="shared" ca="1" si="15"/>
        <v>7</v>
      </c>
      <c r="F169" s="23">
        <f t="shared" ca="1" si="16"/>
        <v>25.5</v>
      </c>
      <c r="G169" s="40">
        <f t="shared" ca="1" si="17"/>
        <v>0</v>
      </c>
      <c r="H169" s="23">
        <f t="shared" ca="1" si="18"/>
        <v>29</v>
      </c>
      <c r="I169" s="40">
        <f t="shared" ca="1" si="19"/>
        <v>0</v>
      </c>
    </row>
    <row r="170" spans="1:9" x14ac:dyDescent="0.25">
      <c r="A170" s="17">
        <f t="shared" si="14"/>
        <v>81</v>
      </c>
      <c r="B170" t="str">
        <f ca="1">TEXT(DATE(YEAR(Invoer!$A$5),1,1)+INT((ROWS(B$2:B170)-1)/3),"jjjjmmdd")</f>
        <v>19200226</v>
      </c>
      <c r="C170" s="35" t="str">
        <f>IF(MOD(ROWS(C$2:C170)-1,3)=2,"24.00",INDEX(Data,2,2+MOD(ROWS(C$2:C170)-1,3)))</f>
        <v>08.00</v>
      </c>
      <c r="D170" s="23">
        <f t="shared" ca="1" si="20"/>
        <v>749</v>
      </c>
      <c r="E170" s="40">
        <f t="shared" ca="1" si="15"/>
        <v>0</v>
      </c>
      <c r="F170" s="23" t="str">
        <f t="shared" ca="1" si="16"/>
        <v>—</v>
      </c>
      <c r="G170" s="40">
        <f t="shared" ca="1" si="17"/>
        <v>7</v>
      </c>
      <c r="H170" s="23" t="str">
        <f t="shared" ca="1" si="18"/>
        <v>—</v>
      </c>
      <c r="I170" s="40">
        <f t="shared" ca="1" si="19"/>
        <v>7</v>
      </c>
    </row>
    <row r="171" spans="1:9" x14ac:dyDescent="0.25">
      <c r="A171" s="17">
        <f t="shared" si="14"/>
        <v>81</v>
      </c>
      <c r="B171" t="str">
        <f ca="1">TEXT(DATE(YEAR(Invoer!$A$5),1,1)+INT((ROWS(B$2:B171)-1)/3),"jjjjmmdd")</f>
        <v>19200226</v>
      </c>
      <c r="C171" s="35" t="str">
        <f>IF(MOD(ROWS(C$2:C171)-1,3)=2,"24.00",INDEX(Data,2,2+MOD(ROWS(C$2:C171)-1,3)))</f>
        <v>14.00</v>
      </c>
      <c r="D171" s="23">
        <f t="shared" ca="1" si="20"/>
        <v>748.7</v>
      </c>
      <c r="E171" s="40">
        <f t="shared" ca="1" si="15"/>
        <v>0</v>
      </c>
      <c r="F171" s="23" t="str">
        <f t="shared" ca="1" si="16"/>
        <v>—</v>
      </c>
      <c r="G171" s="40">
        <f t="shared" ca="1" si="17"/>
        <v>7</v>
      </c>
      <c r="H171" s="23" t="str">
        <f t="shared" ca="1" si="18"/>
        <v>—</v>
      </c>
      <c r="I171" s="40">
        <f t="shared" ca="1" si="19"/>
        <v>7</v>
      </c>
    </row>
    <row r="172" spans="1:9" x14ac:dyDescent="0.25">
      <c r="A172" s="17">
        <f t="shared" si="14"/>
        <v>81</v>
      </c>
      <c r="B172" t="str">
        <f ca="1">TEXT(DATE(YEAR(Invoer!$A$5),1,1)+INT((ROWS(B$2:B172)-1)/3),"jjjjmmdd")</f>
        <v>19200226</v>
      </c>
      <c r="C172" s="35" t="str">
        <f>IF(MOD(ROWS(C$2:C172)-1,3)=2,"24.00",INDEX(Data,2,2+MOD(ROWS(C$2:C172)-1,3)))</f>
        <v>24.00</v>
      </c>
      <c r="D172" s="23" t="str">
        <f t="shared" ca="1" si="20"/>
        <v>—</v>
      </c>
      <c r="E172" s="40">
        <f t="shared" ca="1" si="15"/>
        <v>7</v>
      </c>
      <c r="F172" s="23">
        <f t="shared" ca="1" si="16"/>
        <v>26</v>
      </c>
      <c r="G172" s="40">
        <f t="shared" ca="1" si="17"/>
        <v>0</v>
      </c>
      <c r="H172" s="23">
        <f t="shared" ca="1" si="18"/>
        <v>29</v>
      </c>
      <c r="I172" s="40">
        <f t="shared" ca="1" si="19"/>
        <v>0</v>
      </c>
    </row>
    <row r="173" spans="1:9" x14ac:dyDescent="0.25">
      <c r="A173" s="17">
        <f t="shared" si="14"/>
        <v>81</v>
      </c>
      <c r="B173" t="str">
        <f ca="1">TEXT(DATE(YEAR(Invoer!$A$5),1,1)+INT((ROWS(B$2:B173)-1)/3),"jjjjmmdd")</f>
        <v>19200227</v>
      </c>
      <c r="C173" s="35" t="str">
        <f>IF(MOD(ROWS(C$2:C173)-1,3)=2,"24.00",INDEX(Data,2,2+MOD(ROWS(C$2:C173)-1,3)))</f>
        <v>08.00</v>
      </c>
      <c r="D173" s="23">
        <f t="shared" ca="1" si="20"/>
        <v>751</v>
      </c>
      <c r="E173" s="40">
        <f t="shared" ca="1" si="15"/>
        <v>0</v>
      </c>
      <c r="F173" s="23" t="str">
        <f t="shared" ca="1" si="16"/>
        <v>—</v>
      </c>
      <c r="G173" s="40">
        <f t="shared" ca="1" si="17"/>
        <v>7</v>
      </c>
      <c r="H173" s="23" t="str">
        <f t="shared" ca="1" si="18"/>
        <v>—</v>
      </c>
      <c r="I173" s="40">
        <f t="shared" ca="1" si="19"/>
        <v>7</v>
      </c>
    </row>
    <row r="174" spans="1:9" x14ac:dyDescent="0.25">
      <c r="A174" s="17">
        <f t="shared" si="14"/>
        <v>81</v>
      </c>
      <c r="B174" t="str">
        <f ca="1">TEXT(DATE(YEAR(Invoer!$A$5),1,1)+INT((ROWS(B$2:B174)-1)/3),"jjjjmmdd")</f>
        <v>19200227</v>
      </c>
      <c r="C174" s="35" t="str">
        <f>IF(MOD(ROWS(C$2:C174)-1,3)=2,"24.00",INDEX(Data,2,2+MOD(ROWS(C$2:C174)-1,3)))</f>
        <v>14.00</v>
      </c>
      <c r="D174" s="23">
        <f t="shared" ca="1" si="20"/>
        <v>750</v>
      </c>
      <c r="E174" s="40">
        <f t="shared" ca="1" si="15"/>
        <v>0</v>
      </c>
      <c r="F174" s="23" t="str">
        <f t="shared" ca="1" si="16"/>
        <v>—</v>
      </c>
      <c r="G174" s="40">
        <f t="shared" ca="1" si="17"/>
        <v>7</v>
      </c>
      <c r="H174" s="23" t="str">
        <f t="shared" ca="1" si="18"/>
        <v>—</v>
      </c>
      <c r="I174" s="40">
        <f t="shared" ca="1" si="19"/>
        <v>7</v>
      </c>
    </row>
    <row r="175" spans="1:9" x14ac:dyDescent="0.25">
      <c r="A175" s="17">
        <f t="shared" si="14"/>
        <v>81</v>
      </c>
      <c r="B175" t="str">
        <f ca="1">TEXT(DATE(YEAR(Invoer!$A$5),1,1)+INT((ROWS(B$2:B175)-1)/3),"jjjjmmdd")</f>
        <v>19200227</v>
      </c>
      <c r="C175" s="35" t="str">
        <f>IF(MOD(ROWS(C$2:C175)-1,3)=2,"24.00",INDEX(Data,2,2+MOD(ROWS(C$2:C175)-1,3)))</f>
        <v>24.00</v>
      </c>
      <c r="D175" s="23" t="str">
        <f t="shared" ca="1" si="20"/>
        <v>—</v>
      </c>
      <c r="E175" s="40">
        <f t="shared" ca="1" si="15"/>
        <v>7</v>
      </c>
      <c r="F175" s="23">
        <f t="shared" ca="1" si="16"/>
        <v>25</v>
      </c>
      <c r="G175" s="40">
        <f t="shared" ca="1" si="17"/>
        <v>0</v>
      </c>
      <c r="H175" s="23">
        <f t="shared" ca="1" si="18"/>
        <v>27</v>
      </c>
      <c r="I175" s="40">
        <f t="shared" ca="1" si="19"/>
        <v>0</v>
      </c>
    </row>
    <row r="176" spans="1:9" x14ac:dyDescent="0.25">
      <c r="A176" s="17">
        <f t="shared" si="14"/>
        <v>81</v>
      </c>
      <c r="B176" t="str">
        <f ca="1">TEXT(DATE(YEAR(Invoer!$A$5),1,1)+INT((ROWS(B$2:B176)-1)/3),"jjjjmmdd")</f>
        <v>19200228</v>
      </c>
      <c r="C176" s="35" t="str">
        <f>IF(MOD(ROWS(C$2:C176)-1,3)=2,"24.00",INDEX(Data,2,2+MOD(ROWS(C$2:C176)-1,3)))</f>
        <v>08.00</v>
      </c>
      <c r="D176" s="23">
        <f t="shared" ca="1" si="20"/>
        <v>750</v>
      </c>
      <c r="E176" s="40">
        <f t="shared" ca="1" si="15"/>
        <v>0</v>
      </c>
      <c r="F176" s="23" t="str">
        <f t="shared" ca="1" si="16"/>
        <v>—</v>
      </c>
      <c r="G176" s="40">
        <f t="shared" ca="1" si="17"/>
        <v>7</v>
      </c>
      <c r="H176" s="23" t="str">
        <f t="shared" ca="1" si="18"/>
        <v>—</v>
      </c>
      <c r="I176" s="40">
        <f t="shared" ca="1" si="19"/>
        <v>7</v>
      </c>
    </row>
    <row r="177" spans="1:9" x14ac:dyDescent="0.25">
      <c r="A177" s="17">
        <f t="shared" si="14"/>
        <v>81</v>
      </c>
      <c r="B177" t="str">
        <f ca="1">TEXT(DATE(YEAR(Invoer!$A$5),1,1)+INT((ROWS(B$2:B177)-1)/3),"jjjjmmdd")</f>
        <v>19200228</v>
      </c>
      <c r="C177" s="35" t="str">
        <f>IF(MOD(ROWS(C$2:C177)-1,3)=2,"24.00",INDEX(Data,2,2+MOD(ROWS(C$2:C177)-1,3)))</f>
        <v>14.00</v>
      </c>
      <c r="D177" s="23">
        <f t="shared" ca="1" si="20"/>
        <v>749.7</v>
      </c>
      <c r="E177" s="40">
        <f t="shared" ca="1" si="15"/>
        <v>0</v>
      </c>
      <c r="F177" s="23" t="str">
        <f t="shared" ca="1" si="16"/>
        <v>—</v>
      </c>
      <c r="G177" s="40">
        <f t="shared" ca="1" si="17"/>
        <v>7</v>
      </c>
      <c r="H177" s="23" t="str">
        <f t="shared" ca="1" si="18"/>
        <v>—</v>
      </c>
      <c r="I177" s="40">
        <f t="shared" ca="1" si="19"/>
        <v>7</v>
      </c>
    </row>
    <row r="178" spans="1:9" x14ac:dyDescent="0.25">
      <c r="A178" s="17">
        <f t="shared" si="14"/>
        <v>81</v>
      </c>
      <c r="B178" t="str">
        <f ca="1">TEXT(DATE(YEAR(Invoer!$A$5),1,1)+INT((ROWS(B$2:B178)-1)/3),"jjjjmmdd")</f>
        <v>19200228</v>
      </c>
      <c r="C178" s="35" t="str">
        <f>IF(MOD(ROWS(C$2:C178)-1,3)=2,"24.00",INDEX(Data,2,2+MOD(ROWS(C$2:C178)-1,3)))</f>
        <v>24.00</v>
      </c>
      <c r="D178" s="23" t="str">
        <f t="shared" ca="1" si="20"/>
        <v>—</v>
      </c>
      <c r="E178" s="40">
        <f t="shared" ca="1" si="15"/>
        <v>7</v>
      </c>
      <c r="F178" s="23">
        <f t="shared" ca="1" si="16"/>
        <v>24</v>
      </c>
      <c r="G178" s="40">
        <f t="shared" ca="1" si="17"/>
        <v>0</v>
      </c>
      <c r="H178" s="23">
        <f t="shared" ca="1" si="18"/>
        <v>28</v>
      </c>
      <c r="I178" s="40">
        <f t="shared" ca="1" si="19"/>
        <v>0</v>
      </c>
    </row>
    <row r="179" spans="1:9" x14ac:dyDescent="0.25">
      <c r="A179" s="17">
        <f t="shared" si="14"/>
        <v>81</v>
      </c>
      <c r="B179" t="str">
        <f ca="1">TEXT(DATE(YEAR(Invoer!$A$5),1,1)+INT((ROWS(B$2:B179)-1)/3),"jjjjmmdd")</f>
        <v>19200229</v>
      </c>
      <c r="C179" s="35" t="str">
        <f>IF(MOD(ROWS(C$2:C179)-1,3)=2,"24.00",INDEX(Data,2,2+MOD(ROWS(C$2:C179)-1,3)))</f>
        <v>08.00</v>
      </c>
      <c r="D179" s="23">
        <f t="shared" ca="1" si="20"/>
        <v>748</v>
      </c>
      <c r="E179" s="40">
        <f t="shared" ca="1" si="15"/>
        <v>0</v>
      </c>
      <c r="F179" s="23" t="str">
        <f t="shared" ca="1" si="16"/>
        <v>—</v>
      </c>
      <c r="G179" s="40">
        <f t="shared" ca="1" si="17"/>
        <v>7</v>
      </c>
      <c r="H179" s="23" t="str">
        <f t="shared" ca="1" si="18"/>
        <v>—</v>
      </c>
      <c r="I179" s="40">
        <f t="shared" ca="1" si="19"/>
        <v>7</v>
      </c>
    </row>
    <row r="180" spans="1:9" x14ac:dyDescent="0.25">
      <c r="A180" s="17">
        <f t="shared" si="14"/>
        <v>81</v>
      </c>
      <c r="B180" t="str">
        <f ca="1">TEXT(DATE(YEAR(Invoer!$A$5),1,1)+INT((ROWS(B$2:B180)-1)/3),"jjjjmmdd")</f>
        <v>19200229</v>
      </c>
      <c r="C180" s="35" t="str">
        <f>IF(MOD(ROWS(C$2:C180)-1,3)=2,"24.00",INDEX(Data,2,2+MOD(ROWS(C$2:C180)-1,3)))</f>
        <v>14.00</v>
      </c>
      <c r="D180" s="23">
        <f t="shared" ca="1" si="20"/>
        <v>747</v>
      </c>
      <c r="E180" s="40">
        <f t="shared" ca="1" si="15"/>
        <v>0</v>
      </c>
      <c r="F180" s="23" t="str">
        <f t="shared" ca="1" si="16"/>
        <v>—</v>
      </c>
      <c r="G180" s="40">
        <f t="shared" ca="1" si="17"/>
        <v>7</v>
      </c>
      <c r="H180" s="23" t="str">
        <f t="shared" ca="1" si="18"/>
        <v>—</v>
      </c>
      <c r="I180" s="40">
        <f t="shared" ca="1" si="19"/>
        <v>7</v>
      </c>
    </row>
    <row r="181" spans="1:9" x14ac:dyDescent="0.25">
      <c r="A181" s="17">
        <f t="shared" si="14"/>
        <v>81</v>
      </c>
      <c r="B181" t="str">
        <f ca="1">TEXT(DATE(YEAR(Invoer!$A$5),1,1)+INT((ROWS(B$2:B181)-1)/3),"jjjjmmdd")</f>
        <v>19200229</v>
      </c>
      <c r="C181" s="35" t="str">
        <f>IF(MOD(ROWS(C$2:C181)-1,3)=2,"24.00",INDEX(Data,2,2+MOD(ROWS(C$2:C181)-1,3)))</f>
        <v>24.00</v>
      </c>
      <c r="D181" s="23" t="str">
        <f t="shared" ca="1" si="20"/>
        <v>—</v>
      </c>
      <c r="E181" s="40">
        <f t="shared" ca="1" si="15"/>
        <v>7</v>
      </c>
      <c r="F181" s="23">
        <f t="shared" ca="1" si="16"/>
        <v>25</v>
      </c>
      <c r="G181" s="40">
        <f t="shared" ca="1" si="17"/>
        <v>0</v>
      </c>
      <c r="H181" s="23">
        <f t="shared" ca="1" si="18"/>
        <v>28</v>
      </c>
      <c r="I181" s="40">
        <f t="shared" ca="1" si="19"/>
        <v>0</v>
      </c>
    </row>
    <row r="182" spans="1:9" x14ac:dyDescent="0.25">
      <c r="A182" s="17">
        <f t="shared" si="14"/>
        <v>81</v>
      </c>
      <c r="B182" t="str">
        <f ca="1">TEXT(DATE(YEAR(Invoer!$A$5),1,1)+INT((ROWS(B$2:B182)-1)/3),"jjjjmmdd")</f>
        <v>19200301</v>
      </c>
      <c r="C182" s="35" t="str">
        <f>IF(MOD(ROWS(C$2:C182)-1,3)=2,"24.00",INDEX(Data,2,2+MOD(ROWS(C$2:C182)-1,3)))</f>
        <v>08.00</v>
      </c>
      <c r="D182" s="23">
        <f t="shared" ca="1" si="20"/>
        <v>746.5</v>
      </c>
      <c r="E182" s="40">
        <f t="shared" ca="1" si="15"/>
        <v>0</v>
      </c>
      <c r="F182" s="23" t="str">
        <f t="shared" ca="1" si="16"/>
        <v>—</v>
      </c>
      <c r="G182" s="40">
        <f t="shared" ca="1" si="17"/>
        <v>7</v>
      </c>
      <c r="H182" s="23" t="str">
        <f t="shared" ca="1" si="18"/>
        <v>—</v>
      </c>
      <c r="I182" s="40">
        <f t="shared" ca="1" si="19"/>
        <v>7</v>
      </c>
    </row>
    <row r="183" spans="1:9" x14ac:dyDescent="0.25">
      <c r="A183" s="17">
        <f t="shared" si="14"/>
        <v>81</v>
      </c>
      <c r="B183" t="str">
        <f ca="1">TEXT(DATE(YEAR(Invoer!$A$5),1,1)+INT((ROWS(B$2:B183)-1)/3),"jjjjmmdd")</f>
        <v>19200301</v>
      </c>
      <c r="C183" s="35" t="str">
        <f>IF(MOD(ROWS(C$2:C183)-1,3)=2,"24.00",INDEX(Data,2,2+MOD(ROWS(C$2:C183)-1,3)))</f>
        <v>14.00</v>
      </c>
      <c r="D183" s="23">
        <f t="shared" ca="1" si="20"/>
        <v>746.2</v>
      </c>
      <c r="E183" s="40">
        <f t="shared" ca="1" si="15"/>
        <v>0</v>
      </c>
      <c r="F183" s="23" t="str">
        <f t="shared" ca="1" si="16"/>
        <v>—</v>
      </c>
      <c r="G183" s="40">
        <f t="shared" ca="1" si="17"/>
        <v>7</v>
      </c>
      <c r="H183" s="23" t="str">
        <f t="shared" ca="1" si="18"/>
        <v>—</v>
      </c>
      <c r="I183" s="40">
        <f t="shared" ca="1" si="19"/>
        <v>7</v>
      </c>
    </row>
    <row r="184" spans="1:9" x14ac:dyDescent="0.25">
      <c r="A184" s="17">
        <f t="shared" si="14"/>
        <v>81</v>
      </c>
      <c r="B184" t="str">
        <f ca="1">TEXT(DATE(YEAR(Invoer!$A$5),1,1)+INT((ROWS(B$2:B184)-1)/3),"jjjjmmdd")</f>
        <v>19200301</v>
      </c>
      <c r="C184" s="35" t="str">
        <f>IF(MOD(ROWS(C$2:C184)-1,3)=2,"24.00",INDEX(Data,2,2+MOD(ROWS(C$2:C184)-1,3)))</f>
        <v>24.00</v>
      </c>
      <c r="D184" s="23" t="str">
        <f t="shared" ca="1" si="20"/>
        <v>—</v>
      </c>
      <c r="E184" s="40">
        <f t="shared" ca="1" si="15"/>
        <v>7</v>
      </c>
      <c r="F184" s="23">
        <f t="shared" ca="1" si="16"/>
        <v>25</v>
      </c>
      <c r="G184" s="40">
        <f t="shared" ca="1" si="17"/>
        <v>0</v>
      </c>
      <c r="H184" s="23">
        <f t="shared" ca="1" si="18"/>
        <v>27.8</v>
      </c>
      <c r="I184" s="40">
        <f t="shared" ca="1" si="19"/>
        <v>0</v>
      </c>
    </row>
    <row r="185" spans="1:9" x14ac:dyDescent="0.25">
      <c r="A185" s="17">
        <f t="shared" si="14"/>
        <v>81</v>
      </c>
      <c r="B185" t="str">
        <f ca="1">TEXT(DATE(YEAR(Invoer!$A$5),1,1)+INT((ROWS(B$2:B185)-1)/3),"jjjjmmdd")</f>
        <v>19200302</v>
      </c>
      <c r="C185" s="35" t="str">
        <f>IF(MOD(ROWS(C$2:C185)-1,3)=2,"24.00",INDEX(Data,2,2+MOD(ROWS(C$2:C185)-1,3)))</f>
        <v>08.00</v>
      </c>
      <c r="D185" s="23">
        <f t="shared" ca="1" si="20"/>
        <v>748</v>
      </c>
      <c r="E185" s="40">
        <f t="shared" ca="1" si="15"/>
        <v>0</v>
      </c>
      <c r="F185" s="23" t="str">
        <f t="shared" ca="1" si="16"/>
        <v>—</v>
      </c>
      <c r="G185" s="40">
        <f t="shared" ca="1" si="17"/>
        <v>7</v>
      </c>
      <c r="H185" s="23" t="str">
        <f t="shared" ca="1" si="18"/>
        <v>—</v>
      </c>
      <c r="I185" s="40">
        <f t="shared" ca="1" si="19"/>
        <v>7</v>
      </c>
    </row>
    <row r="186" spans="1:9" x14ac:dyDescent="0.25">
      <c r="A186" s="17">
        <f t="shared" si="14"/>
        <v>81</v>
      </c>
      <c r="B186" t="str">
        <f ca="1">TEXT(DATE(YEAR(Invoer!$A$5),1,1)+INT((ROWS(B$2:B186)-1)/3),"jjjjmmdd")</f>
        <v>19200302</v>
      </c>
      <c r="C186" s="35" t="str">
        <f>IF(MOD(ROWS(C$2:C186)-1,3)=2,"24.00",INDEX(Data,2,2+MOD(ROWS(C$2:C186)-1,3)))</f>
        <v>14.00</v>
      </c>
      <c r="D186" s="23">
        <f t="shared" ca="1" si="20"/>
        <v>747.8</v>
      </c>
      <c r="E186" s="40">
        <f t="shared" ca="1" si="15"/>
        <v>0</v>
      </c>
      <c r="F186" s="23" t="str">
        <f t="shared" ca="1" si="16"/>
        <v>—</v>
      </c>
      <c r="G186" s="40">
        <f t="shared" ca="1" si="17"/>
        <v>7</v>
      </c>
      <c r="H186" s="23" t="str">
        <f t="shared" ca="1" si="18"/>
        <v>—</v>
      </c>
      <c r="I186" s="40">
        <f t="shared" ca="1" si="19"/>
        <v>7</v>
      </c>
    </row>
    <row r="187" spans="1:9" x14ac:dyDescent="0.25">
      <c r="A187" s="17">
        <f t="shared" si="14"/>
        <v>81</v>
      </c>
      <c r="B187" t="str">
        <f ca="1">TEXT(DATE(YEAR(Invoer!$A$5),1,1)+INT((ROWS(B$2:B187)-1)/3),"jjjjmmdd")</f>
        <v>19200302</v>
      </c>
      <c r="C187" s="35" t="str">
        <f>IF(MOD(ROWS(C$2:C187)-1,3)=2,"24.00",INDEX(Data,2,2+MOD(ROWS(C$2:C187)-1,3)))</f>
        <v>24.00</v>
      </c>
      <c r="D187" s="23" t="str">
        <f t="shared" ca="1" si="20"/>
        <v>—</v>
      </c>
      <c r="E187" s="40">
        <f t="shared" ca="1" si="15"/>
        <v>7</v>
      </c>
      <c r="F187" s="23">
        <f t="shared" ca="1" si="16"/>
        <v>26</v>
      </c>
      <c r="G187" s="40">
        <f t="shared" ca="1" si="17"/>
        <v>0</v>
      </c>
      <c r="H187" s="23">
        <f t="shared" ca="1" si="18"/>
        <v>26.5</v>
      </c>
      <c r="I187" s="40">
        <f t="shared" ca="1" si="19"/>
        <v>0</v>
      </c>
    </row>
    <row r="188" spans="1:9" x14ac:dyDescent="0.25">
      <c r="A188" s="17">
        <f t="shared" si="14"/>
        <v>81</v>
      </c>
      <c r="B188" t="str">
        <f ca="1">TEXT(DATE(YEAR(Invoer!$A$5),1,1)+INT((ROWS(B$2:B188)-1)/3),"jjjjmmdd")</f>
        <v>19200303</v>
      </c>
      <c r="C188" s="35" t="str">
        <f>IF(MOD(ROWS(C$2:C188)-1,3)=2,"24.00",INDEX(Data,2,2+MOD(ROWS(C$2:C188)-1,3)))</f>
        <v>08.00</v>
      </c>
      <c r="D188" s="23">
        <f t="shared" ca="1" si="20"/>
        <v>749</v>
      </c>
      <c r="E188" s="40">
        <f t="shared" ca="1" si="15"/>
        <v>0</v>
      </c>
      <c r="F188" s="23" t="str">
        <f t="shared" ca="1" si="16"/>
        <v>—</v>
      </c>
      <c r="G188" s="40">
        <f t="shared" ca="1" si="17"/>
        <v>7</v>
      </c>
      <c r="H188" s="23" t="str">
        <f t="shared" ca="1" si="18"/>
        <v>—</v>
      </c>
      <c r="I188" s="40">
        <f t="shared" ca="1" si="19"/>
        <v>7</v>
      </c>
    </row>
    <row r="189" spans="1:9" x14ac:dyDescent="0.25">
      <c r="A189" s="17">
        <f t="shared" si="14"/>
        <v>81</v>
      </c>
      <c r="B189" t="str">
        <f ca="1">TEXT(DATE(YEAR(Invoer!$A$5),1,1)+INT((ROWS(B$2:B189)-1)/3),"jjjjmmdd")</f>
        <v>19200303</v>
      </c>
      <c r="C189" s="35" t="str">
        <f>IF(MOD(ROWS(C$2:C189)-1,3)=2,"24.00",INDEX(Data,2,2+MOD(ROWS(C$2:C189)-1,3)))</f>
        <v>14.00</v>
      </c>
      <c r="D189" s="23">
        <f t="shared" ca="1" si="20"/>
        <v>748.3</v>
      </c>
      <c r="E189" s="40">
        <f t="shared" ca="1" si="15"/>
        <v>0</v>
      </c>
      <c r="F189" s="23" t="str">
        <f t="shared" ca="1" si="16"/>
        <v>—</v>
      </c>
      <c r="G189" s="40">
        <f t="shared" ca="1" si="17"/>
        <v>7</v>
      </c>
      <c r="H189" s="23" t="str">
        <f t="shared" ca="1" si="18"/>
        <v>—</v>
      </c>
      <c r="I189" s="40">
        <f t="shared" ca="1" si="19"/>
        <v>7</v>
      </c>
    </row>
    <row r="190" spans="1:9" x14ac:dyDescent="0.25">
      <c r="A190" s="17">
        <f t="shared" si="14"/>
        <v>81</v>
      </c>
      <c r="B190" t="str">
        <f ca="1">TEXT(DATE(YEAR(Invoer!$A$5),1,1)+INT((ROWS(B$2:B190)-1)/3),"jjjjmmdd")</f>
        <v>19200303</v>
      </c>
      <c r="C190" s="35" t="str">
        <f>IF(MOD(ROWS(C$2:C190)-1,3)=2,"24.00",INDEX(Data,2,2+MOD(ROWS(C$2:C190)-1,3)))</f>
        <v>24.00</v>
      </c>
      <c r="D190" s="23" t="str">
        <f t="shared" ca="1" si="20"/>
        <v>—</v>
      </c>
      <c r="E190" s="40">
        <f t="shared" ca="1" si="15"/>
        <v>7</v>
      </c>
      <c r="F190" s="23">
        <f t="shared" ca="1" si="16"/>
        <v>25</v>
      </c>
      <c r="G190" s="40">
        <f t="shared" ca="1" si="17"/>
        <v>0</v>
      </c>
      <c r="H190" s="23">
        <f t="shared" ca="1" si="18"/>
        <v>28.3</v>
      </c>
      <c r="I190" s="40">
        <f t="shared" ca="1" si="19"/>
        <v>0</v>
      </c>
    </row>
    <row r="191" spans="1:9" x14ac:dyDescent="0.25">
      <c r="A191" s="17">
        <f t="shared" si="14"/>
        <v>81</v>
      </c>
      <c r="B191" t="str">
        <f ca="1">TEXT(DATE(YEAR(Invoer!$A$5),1,1)+INT((ROWS(B$2:B191)-1)/3),"jjjjmmdd")</f>
        <v>19200304</v>
      </c>
      <c r="C191" s="35" t="str">
        <f>IF(MOD(ROWS(C$2:C191)-1,3)=2,"24.00",INDEX(Data,2,2+MOD(ROWS(C$2:C191)-1,3)))</f>
        <v>08.00</v>
      </c>
      <c r="D191" s="23">
        <f t="shared" ca="1" si="20"/>
        <v>747</v>
      </c>
      <c r="E191" s="40">
        <f t="shared" ca="1" si="15"/>
        <v>0</v>
      </c>
      <c r="F191" s="23" t="str">
        <f t="shared" ca="1" si="16"/>
        <v>—</v>
      </c>
      <c r="G191" s="40">
        <f t="shared" ca="1" si="17"/>
        <v>7</v>
      </c>
      <c r="H191" s="23" t="str">
        <f t="shared" ca="1" si="18"/>
        <v>—</v>
      </c>
      <c r="I191" s="40">
        <f t="shared" ca="1" si="19"/>
        <v>7</v>
      </c>
    </row>
    <row r="192" spans="1:9" x14ac:dyDescent="0.25">
      <c r="A192" s="17">
        <f t="shared" si="14"/>
        <v>81</v>
      </c>
      <c r="B192" t="str">
        <f ca="1">TEXT(DATE(YEAR(Invoer!$A$5),1,1)+INT((ROWS(B$2:B192)-1)/3),"jjjjmmdd")</f>
        <v>19200304</v>
      </c>
      <c r="C192" s="35" t="str">
        <f>IF(MOD(ROWS(C$2:C192)-1,3)=2,"24.00",INDEX(Data,2,2+MOD(ROWS(C$2:C192)-1,3)))</f>
        <v>14.00</v>
      </c>
      <c r="D192" s="23">
        <f t="shared" ca="1" si="20"/>
        <v>746.4</v>
      </c>
      <c r="E192" s="40">
        <f t="shared" ca="1" si="15"/>
        <v>0</v>
      </c>
      <c r="F192" s="23" t="str">
        <f t="shared" ca="1" si="16"/>
        <v>—</v>
      </c>
      <c r="G192" s="40">
        <f t="shared" ca="1" si="17"/>
        <v>7</v>
      </c>
      <c r="H192" s="23" t="str">
        <f t="shared" ca="1" si="18"/>
        <v>—</v>
      </c>
      <c r="I192" s="40">
        <f t="shared" ca="1" si="19"/>
        <v>7</v>
      </c>
    </row>
    <row r="193" spans="1:9" x14ac:dyDescent="0.25">
      <c r="A193" s="17">
        <f t="shared" si="14"/>
        <v>81</v>
      </c>
      <c r="B193" t="str">
        <f ca="1">TEXT(DATE(YEAR(Invoer!$A$5),1,1)+INT((ROWS(B$2:B193)-1)/3),"jjjjmmdd")</f>
        <v>19200304</v>
      </c>
      <c r="C193" s="35" t="str">
        <f>IF(MOD(ROWS(C$2:C193)-1,3)=2,"24.00",INDEX(Data,2,2+MOD(ROWS(C$2:C193)-1,3)))</f>
        <v>24.00</v>
      </c>
      <c r="D193" s="23" t="str">
        <f t="shared" ca="1" si="20"/>
        <v>—</v>
      </c>
      <c r="E193" s="40">
        <f t="shared" ca="1" si="15"/>
        <v>7</v>
      </c>
      <c r="F193" s="23">
        <f t="shared" ca="1" si="16"/>
        <v>24.8</v>
      </c>
      <c r="G193" s="40">
        <f t="shared" ca="1" si="17"/>
        <v>0</v>
      </c>
      <c r="H193" s="23">
        <f t="shared" ca="1" si="18"/>
        <v>28</v>
      </c>
      <c r="I193" s="40">
        <f t="shared" ca="1" si="19"/>
        <v>0</v>
      </c>
    </row>
    <row r="194" spans="1:9" x14ac:dyDescent="0.25">
      <c r="A194" s="17">
        <f t="shared" ref="A194:A257" si="21">INDEX(Stations,2,1)</f>
        <v>81</v>
      </c>
      <c r="B194" t="str">
        <f ca="1">TEXT(DATE(YEAR(Invoer!$A$5),1,1)+INT((ROWS(B$2:B194)-1)/3),"jjjjmmdd")</f>
        <v>19200305</v>
      </c>
      <c r="C194" s="35" t="str">
        <f>IF(MOD(ROWS(C$2:C194)-1,3)=2,"24.00",INDEX(Data,2,2+MOD(ROWS(C$2:C194)-1,3)))</f>
        <v>08.00</v>
      </c>
      <c r="D194" s="23">
        <f t="shared" ca="1" si="20"/>
        <v>746</v>
      </c>
      <c r="E194" s="40">
        <f t="shared" ref="E194:E257" ca="1" si="22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 t="str">
        <f t="shared" ref="F194:F257" ca="1" si="23">IF(OR(ISBLANK(VLOOKUP(DATEVALUE(LEFT($B194,4)&amp;"-"&amp;MID($B194,5,2)&amp;"-"&amp;RIGHT($B194,2)),Data,MATCH(LEFT(VLOOKUP(F$1,Parameters,2,FALSE()),4)&amp;"*",OFFSET(Data,1,0,1),0),FALSE())),ISTEXT(VLOOKUP(DATEVALUE(LEFT($B194,4)&amp;"-"&amp;MID($B194,5,2)&amp;"-"&amp;RIGHT($B194,2)),Data,MATCH(LEFT(VLOOKUP(F$1,Parameters,2,FALSE()),4)&amp;"*",OFFSET(Data,1,0,1),0),FALSE())),NOT(EXACT($C194,"24.00"))),"—",VLOOKUP(DATEVALUE(LEFT($B194,4)&amp;"-"&amp;MID($B194,5,2)&amp;"-"&amp;RIGHT($B194,2)),Data,MATCH(LEFT(VLOOKUP(F$1,Parameters,2,FALSE()),4)&amp;"*",OFFSET(Data,1,0,1),0),FALSE()))</f>
        <v>—</v>
      </c>
      <c r="G194" s="40">
        <f t="shared" ref="G194:G257" ca="1" si="24">IF(OR(ISBLANK(VLOOKUP(DATEVALUE(LEFT($B194,4)&amp;"-"&amp;MID($B194,5,2)&amp;"-"&amp;RIGHT($B194,2)),Data,MATCH(LEFT(VLOOKUP(MID(G$1,2,LEN(G$1)-1),Parameters,2,FALSE()),4)&amp;"*",OFFSET(Data,1,0,1),0),FALSE())),ISTEXT(VLOOKUP(DATEVALUE(LEFT($B194,4)&amp;"-"&amp;MID($B194,5,2)&amp;"-"&amp;RIGHT($B194,2)),Data,MATCH(LEFT(VLOOKUP(MID(G$1,2,LEN(G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1,0,1),0),FALSE())))</f>
        <v>7</v>
      </c>
      <c r="H194" s="23" t="str">
        <f t="shared" ref="H194:H257" ca="1" si="25">IF(OR(ISBLANK(VLOOKUP(DATEVALUE(LEFT($B194,4)&amp;"-"&amp;MID($B194,5,2)&amp;"-"&amp;RIGHT($B194,2)),Data,MATCH(LEFT(VLOOKUP(H$1,Parameters,2,FALSE()),4)&amp;"*",OFFSET(Data,1,0,1),0),FALSE())),ISTEXT(VLOOKUP(DATEVALUE(LEFT($B194,4)&amp;"-"&amp;MID($B194,5,2)&amp;"-"&amp;RIGHT($B194,2)),Data,MATCH(LEFT(VLOOKUP(H$1,Parameters,2,FALSE()),4)&amp;"*",OFFSET(Data,1,0,1),0),FALSE())),NOT(EXACT($C194,"24.00"))),"—",VLOOKUP(DATEVALUE(LEFT($B194,4)&amp;"-"&amp;MID($B194,5,2)&amp;"-"&amp;RIGHT($B194,2)),Data,MATCH(LEFT(VLOOKUP(H$1,Parameters,2,FALSE()),4)&amp;"*",OFFSET(Data,1,0,1),0),FALSE()))</f>
        <v>—</v>
      </c>
      <c r="I194" s="40">
        <f t="shared" ref="I194:I257" ca="1" si="26">IF(OR(ISBLANK(VLOOKUP(DATEVALUE(LEFT($B194,4)&amp;"-"&amp;MID($B194,5,2)&amp;"-"&amp;RIGHT($B194,2)),Data,MATCH(LEFT(VLOOKUP(MID(I$1,2,LEN(I$1)-1),Parameters,2,FALSE()),4)&amp;"*",OFFSET(Data,1,0,1),0),FALSE())),ISTEXT(VLOOKUP(DATEVALUE(LEFT($B194,4)&amp;"-"&amp;MID($B194,5,2)&amp;"-"&amp;RIGHT($B194,2)),Data,MATCH(LEFT(VLOOKUP(MID(I$1,2,LEN(I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4)&amp;"*",OFFSET(Catalogus,1,0,1),0),FALSE())))</f>
        <v>7</v>
      </c>
    </row>
    <row r="195" spans="1:9" x14ac:dyDescent="0.25">
      <c r="A195" s="17">
        <f t="shared" si="21"/>
        <v>81</v>
      </c>
      <c r="B195" t="str">
        <f ca="1">TEXT(DATE(YEAR(Invoer!$A$5),1,1)+INT((ROWS(B$2:B195)-1)/3),"jjjjmmdd")</f>
        <v>19200305</v>
      </c>
      <c r="C195" s="35" t="str">
        <f>IF(MOD(ROWS(C$2:C195)-1,3)=2,"24.00",INDEX(Data,2,2+MOD(ROWS(C$2:C195)-1,3)))</f>
        <v>14.00</v>
      </c>
      <c r="D195" s="23">
        <f t="shared" ref="D195:D258" ca="1" si="27">IF(OR(ISBLANK(VLOOKUP(DATEVALUE(LEFT($B195,4)&amp;"-"&amp;MID($B195,5,2)&amp;"-"&amp;RIGHT($B195,2)),Data,MATCH(LEFT(VLOOKUP(D$1,Parameters,2,FALSE()),4)&amp;"*",OFFSET(Data,0,0,1),0)+MATCH($C195,OFFSET(Data,1,0,1),0)-2,FALSE())),ISTEXT(VLOOKUP(DATEVALUE(LEFT($B195,4)&amp;"-"&amp;MID($B195,5,2)&amp;"-"&amp;RIGHT($B195,2)),Data,MATCH(LEFT(VLOOKUP(D$1,Parameters,2,FALSE()),4)&amp;"*",OFFSET(Data,0,0,1),0)+MATCH($C195,OFFSET(Data,1,0,1),0)-2,FALSE())),EXACT(C195,"24.00")),"—",VLOOKUP(DATEVALUE(LEFT($B195,4)&amp;"-"&amp;MID($B195,5,2)&amp;"-"&amp;RIGHT($B195,2)),Data,MATCH(LEFT(VLOOKUP(D$1,Parameters,2,FALSE()),4)&amp;"*",OFFSET(Data,0,0,1),0)+MATCH($C195,OFFSET(Data,1,0,1),0)-2,FALSE()))</f>
        <v>745.7</v>
      </c>
      <c r="E195" s="40">
        <f t="shared" ca="1" si="22"/>
        <v>0</v>
      </c>
      <c r="F195" s="23" t="str">
        <f t="shared" ca="1" si="23"/>
        <v>—</v>
      </c>
      <c r="G195" s="40">
        <f t="shared" ca="1" si="24"/>
        <v>7</v>
      </c>
      <c r="H195" s="23" t="str">
        <f t="shared" ca="1" si="25"/>
        <v>—</v>
      </c>
      <c r="I195" s="40">
        <f t="shared" ca="1" si="26"/>
        <v>7</v>
      </c>
    </row>
    <row r="196" spans="1:9" x14ac:dyDescent="0.25">
      <c r="A196" s="17">
        <f t="shared" si="21"/>
        <v>81</v>
      </c>
      <c r="B196" t="str">
        <f ca="1">TEXT(DATE(YEAR(Invoer!$A$5),1,1)+INT((ROWS(B$2:B196)-1)/3),"jjjjmmdd")</f>
        <v>19200305</v>
      </c>
      <c r="C196" s="35" t="str">
        <f>IF(MOD(ROWS(C$2:C196)-1,3)=2,"24.00",INDEX(Data,2,2+MOD(ROWS(C$2:C196)-1,3)))</f>
        <v>24.00</v>
      </c>
      <c r="D196" s="23" t="str">
        <f t="shared" ca="1" si="27"/>
        <v>—</v>
      </c>
      <c r="E196" s="40">
        <f t="shared" ca="1" si="22"/>
        <v>7</v>
      </c>
      <c r="F196" s="23">
        <f t="shared" ca="1" si="23"/>
        <v>25</v>
      </c>
      <c r="G196" s="40">
        <f t="shared" ca="1" si="24"/>
        <v>0</v>
      </c>
      <c r="H196" s="23">
        <f t="shared" ca="1" si="25"/>
        <v>27.3</v>
      </c>
      <c r="I196" s="40">
        <f t="shared" ca="1" si="26"/>
        <v>0</v>
      </c>
    </row>
    <row r="197" spans="1:9" x14ac:dyDescent="0.25">
      <c r="A197" s="17">
        <f t="shared" si="21"/>
        <v>81</v>
      </c>
      <c r="B197" t="str">
        <f ca="1">TEXT(DATE(YEAR(Invoer!$A$5),1,1)+INT((ROWS(B$2:B197)-1)/3),"jjjjmmdd")</f>
        <v>19200306</v>
      </c>
      <c r="C197" s="35" t="str">
        <f>IF(MOD(ROWS(C$2:C197)-1,3)=2,"24.00",INDEX(Data,2,2+MOD(ROWS(C$2:C197)-1,3)))</f>
        <v>08.00</v>
      </c>
      <c r="D197" s="23">
        <f t="shared" ca="1" si="27"/>
        <v>748</v>
      </c>
      <c r="E197" s="40">
        <f t="shared" ca="1" si="22"/>
        <v>0</v>
      </c>
      <c r="F197" s="23" t="str">
        <f t="shared" ca="1" si="23"/>
        <v>—</v>
      </c>
      <c r="G197" s="40">
        <f t="shared" ca="1" si="24"/>
        <v>7</v>
      </c>
      <c r="H197" s="23" t="str">
        <f t="shared" ca="1" si="25"/>
        <v>—</v>
      </c>
      <c r="I197" s="40">
        <f t="shared" ca="1" si="26"/>
        <v>7</v>
      </c>
    </row>
    <row r="198" spans="1:9" x14ac:dyDescent="0.25">
      <c r="A198" s="17">
        <f t="shared" si="21"/>
        <v>81</v>
      </c>
      <c r="B198" t="str">
        <f ca="1">TEXT(DATE(YEAR(Invoer!$A$5),1,1)+INT((ROWS(B$2:B198)-1)/3),"jjjjmmdd")</f>
        <v>19200306</v>
      </c>
      <c r="C198" s="35" t="str">
        <f>IF(MOD(ROWS(C$2:C198)-1,3)=2,"24.00",INDEX(Data,2,2+MOD(ROWS(C$2:C198)-1,3)))</f>
        <v>14.00</v>
      </c>
      <c r="D198" s="23">
        <f t="shared" ca="1" si="27"/>
        <v>747.8</v>
      </c>
      <c r="E198" s="40">
        <f t="shared" ca="1" si="22"/>
        <v>0</v>
      </c>
      <c r="F198" s="23" t="str">
        <f t="shared" ca="1" si="23"/>
        <v>—</v>
      </c>
      <c r="G198" s="40">
        <f t="shared" ca="1" si="24"/>
        <v>7</v>
      </c>
      <c r="H198" s="23" t="str">
        <f t="shared" ca="1" si="25"/>
        <v>—</v>
      </c>
      <c r="I198" s="40">
        <f t="shared" ca="1" si="26"/>
        <v>7</v>
      </c>
    </row>
    <row r="199" spans="1:9" x14ac:dyDescent="0.25">
      <c r="A199" s="17">
        <f t="shared" si="21"/>
        <v>81</v>
      </c>
      <c r="B199" t="str">
        <f ca="1">TEXT(DATE(YEAR(Invoer!$A$5),1,1)+INT((ROWS(B$2:B199)-1)/3),"jjjjmmdd")</f>
        <v>19200306</v>
      </c>
      <c r="C199" s="35" t="str">
        <f>IF(MOD(ROWS(C$2:C199)-1,3)=2,"24.00",INDEX(Data,2,2+MOD(ROWS(C$2:C199)-1,3)))</f>
        <v>24.00</v>
      </c>
      <c r="D199" s="23" t="str">
        <f t="shared" ca="1" si="27"/>
        <v>—</v>
      </c>
      <c r="E199" s="40">
        <f t="shared" ca="1" si="22"/>
        <v>7</v>
      </c>
      <c r="F199" s="23">
        <f t="shared" ca="1" si="23"/>
        <v>25.5</v>
      </c>
      <c r="G199" s="40">
        <f t="shared" ca="1" si="24"/>
        <v>0</v>
      </c>
      <c r="H199" s="23">
        <f t="shared" ca="1" si="25"/>
        <v>28.3</v>
      </c>
      <c r="I199" s="40">
        <f t="shared" ca="1" si="26"/>
        <v>0</v>
      </c>
    </row>
    <row r="200" spans="1:9" x14ac:dyDescent="0.25">
      <c r="A200" s="17">
        <f t="shared" si="21"/>
        <v>81</v>
      </c>
      <c r="B200" t="str">
        <f ca="1">TEXT(DATE(YEAR(Invoer!$A$5),1,1)+INT((ROWS(B$2:B200)-1)/3),"jjjjmmdd")</f>
        <v>19200307</v>
      </c>
      <c r="C200" s="35" t="str">
        <f>IF(MOD(ROWS(C$2:C200)-1,3)=2,"24.00",INDEX(Data,2,2+MOD(ROWS(C$2:C200)-1,3)))</f>
        <v>08.00</v>
      </c>
      <c r="D200" s="23">
        <f t="shared" ca="1" si="27"/>
        <v>748.5</v>
      </c>
      <c r="E200" s="40">
        <f t="shared" ca="1" si="22"/>
        <v>0</v>
      </c>
      <c r="F200" s="23" t="str">
        <f t="shared" ca="1" si="23"/>
        <v>—</v>
      </c>
      <c r="G200" s="40">
        <f t="shared" ca="1" si="24"/>
        <v>7</v>
      </c>
      <c r="H200" s="23" t="str">
        <f t="shared" ca="1" si="25"/>
        <v>—</v>
      </c>
      <c r="I200" s="40">
        <f t="shared" ca="1" si="26"/>
        <v>7</v>
      </c>
    </row>
    <row r="201" spans="1:9" x14ac:dyDescent="0.25">
      <c r="A201" s="17">
        <f t="shared" si="21"/>
        <v>81</v>
      </c>
      <c r="B201" t="str">
        <f ca="1">TEXT(DATE(YEAR(Invoer!$A$5),1,1)+INT((ROWS(B$2:B201)-1)/3),"jjjjmmdd")</f>
        <v>19200307</v>
      </c>
      <c r="C201" s="35" t="str">
        <f>IF(MOD(ROWS(C$2:C201)-1,3)=2,"24.00",INDEX(Data,2,2+MOD(ROWS(C$2:C201)-1,3)))</f>
        <v>14.00</v>
      </c>
      <c r="D201" s="23">
        <f t="shared" ca="1" si="27"/>
        <v>747</v>
      </c>
      <c r="E201" s="40">
        <f t="shared" ca="1" si="22"/>
        <v>0</v>
      </c>
      <c r="F201" s="23" t="str">
        <f t="shared" ca="1" si="23"/>
        <v>—</v>
      </c>
      <c r="G201" s="40">
        <f t="shared" ca="1" si="24"/>
        <v>7</v>
      </c>
      <c r="H201" s="23" t="str">
        <f t="shared" ca="1" si="25"/>
        <v>—</v>
      </c>
      <c r="I201" s="40">
        <f t="shared" ca="1" si="26"/>
        <v>7</v>
      </c>
    </row>
    <row r="202" spans="1:9" x14ac:dyDescent="0.25">
      <c r="A202" s="17">
        <f t="shared" si="21"/>
        <v>81</v>
      </c>
      <c r="B202" t="str">
        <f ca="1">TEXT(DATE(YEAR(Invoer!$A$5),1,1)+INT((ROWS(B$2:B202)-1)/3),"jjjjmmdd")</f>
        <v>19200307</v>
      </c>
      <c r="C202" s="35" t="str">
        <f>IF(MOD(ROWS(C$2:C202)-1,3)=2,"24.00",INDEX(Data,2,2+MOD(ROWS(C$2:C202)-1,3)))</f>
        <v>24.00</v>
      </c>
      <c r="D202" s="23" t="str">
        <f t="shared" ca="1" si="27"/>
        <v>—</v>
      </c>
      <c r="E202" s="40">
        <f t="shared" ca="1" si="22"/>
        <v>7</v>
      </c>
      <c r="F202" s="23">
        <f t="shared" ca="1" si="23"/>
        <v>24</v>
      </c>
      <c r="G202" s="40">
        <f t="shared" ca="1" si="24"/>
        <v>0</v>
      </c>
      <c r="H202" s="23">
        <f t="shared" ca="1" si="25"/>
        <v>27</v>
      </c>
      <c r="I202" s="40">
        <f t="shared" ca="1" si="26"/>
        <v>0</v>
      </c>
    </row>
    <row r="203" spans="1:9" x14ac:dyDescent="0.25">
      <c r="A203" s="17">
        <f t="shared" si="21"/>
        <v>81</v>
      </c>
      <c r="B203" t="str">
        <f ca="1">TEXT(DATE(YEAR(Invoer!$A$5),1,1)+INT((ROWS(B$2:B203)-1)/3),"jjjjmmdd")</f>
        <v>19200308</v>
      </c>
      <c r="C203" s="35" t="str">
        <f>IF(MOD(ROWS(C$2:C203)-1,3)=2,"24.00",INDEX(Data,2,2+MOD(ROWS(C$2:C203)-1,3)))</f>
        <v>08.00</v>
      </c>
      <c r="D203" s="23">
        <f t="shared" ca="1" si="27"/>
        <v>747</v>
      </c>
      <c r="E203" s="40">
        <f t="shared" ca="1" si="22"/>
        <v>0</v>
      </c>
      <c r="F203" s="23" t="str">
        <f t="shared" ca="1" si="23"/>
        <v>—</v>
      </c>
      <c r="G203" s="40">
        <f t="shared" ca="1" si="24"/>
        <v>7</v>
      </c>
      <c r="H203" s="23" t="str">
        <f t="shared" ca="1" si="25"/>
        <v>—</v>
      </c>
      <c r="I203" s="40">
        <f t="shared" ca="1" si="26"/>
        <v>7</v>
      </c>
    </row>
    <row r="204" spans="1:9" x14ac:dyDescent="0.25">
      <c r="A204" s="17">
        <f t="shared" si="21"/>
        <v>81</v>
      </c>
      <c r="B204" t="str">
        <f ca="1">TEXT(DATE(YEAR(Invoer!$A$5),1,1)+INT((ROWS(B$2:B204)-1)/3),"jjjjmmdd")</f>
        <v>19200308</v>
      </c>
      <c r="C204" s="35" t="str">
        <f>IF(MOD(ROWS(C$2:C204)-1,3)=2,"24.00",INDEX(Data,2,2+MOD(ROWS(C$2:C204)-1,3)))</f>
        <v>14.00</v>
      </c>
      <c r="D204" s="23">
        <f t="shared" ca="1" si="27"/>
        <v>746.4</v>
      </c>
      <c r="E204" s="40">
        <f t="shared" ca="1" si="22"/>
        <v>0</v>
      </c>
      <c r="F204" s="23" t="str">
        <f t="shared" ca="1" si="23"/>
        <v>—</v>
      </c>
      <c r="G204" s="40">
        <f t="shared" ca="1" si="24"/>
        <v>7</v>
      </c>
      <c r="H204" s="23" t="str">
        <f t="shared" ca="1" si="25"/>
        <v>—</v>
      </c>
      <c r="I204" s="40">
        <f t="shared" ca="1" si="26"/>
        <v>7</v>
      </c>
    </row>
    <row r="205" spans="1:9" x14ac:dyDescent="0.25">
      <c r="A205" s="17">
        <f t="shared" si="21"/>
        <v>81</v>
      </c>
      <c r="B205" t="str">
        <f ca="1">TEXT(DATE(YEAR(Invoer!$A$5),1,1)+INT((ROWS(B$2:B205)-1)/3),"jjjjmmdd")</f>
        <v>19200308</v>
      </c>
      <c r="C205" s="35" t="str">
        <f>IF(MOD(ROWS(C$2:C205)-1,3)=2,"24.00",INDEX(Data,2,2+MOD(ROWS(C$2:C205)-1,3)))</f>
        <v>24.00</v>
      </c>
      <c r="D205" s="23" t="str">
        <f t="shared" ca="1" si="27"/>
        <v>—</v>
      </c>
      <c r="E205" s="40">
        <f t="shared" ca="1" si="22"/>
        <v>7</v>
      </c>
      <c r="F205" s="23">
        <f t="shared" ca="1" si="23"/>
        <v>23.8</v>
      </c>
      <c r="G205" s="40">
        <f t="shared" ca="1" si="24"/>
        <v>0</v>
      </c>
      <c r="H205" s="23">
        <f t="shared" ca="1" si="25"/>
        <v>26.5</v>
      </c>
      <c r="I205" s="40">
        <f t="shared" ca="1" si="26"/>
        <v>0</v>
      </c>
    </row>
    <row r="206" spans="1:9" x14ac:dyDescent="0.25">
      <c r="A206" s="17">
        <f t="shared" si="21"/>
        <v>81</v>
      </c>
      <c r="B206" t="str">
        <f ca="1">TEXT(DATE(YEAR(Invoer!$A$5),1,1)+INT((ROWS(B$2:B206)-1)/3),"jjjjmmdd")</f>
        <v>19200309</v>
      </c>
      <c r="C206" s="35" t="str">
        <f>IF(MOD(ROWS(C$2:C206)-1,3)=2,"24.00",INDEX(Data,2,2+MOD(ROWS(C$2:C206)-1,3)))</f>
        <v>08.00</v>
      </c>
      <c r="D206" s="23">
        <f t="shared" ca="1" si="27"/>
        <v>751</v>
      </c>
      <c r="E206" s="40">
        <f t="shared" ca="1" si="22"/>
        <v>0</v>
      </c>
      <c r="F206" s="23" t="str">
        <f t="shared" ca="1" si="23"/>
        <v>—</v>
      </c>
      <c r="G206" s="40">
        <f t="shared" ca="1" si="24"/>
        <v>7</v>
      </c>
      <c r="H206" s="23" t="str">
        <f t="shared" ca="1" si="25"/>
        <v>—</v>
      </c>
      <c r="I206" s="40">
        <f t="shared" ca="1" si="26"/>
        <v>7</v>
      </c>
    </row>
    <row r="207" spans="1:9" x14ac:dyDescent="0.25">
      <c r="A207" s="17">
        <f t="shared" si="21"/>
        <v>81</v>
      </c>
      <c r="B207" t="str">
        <f ca="1">TEXT(DATE(YEAR(Invoer!$A$5),1,1)+INT((ROWS(B$2:B207)-1)/3),"jjjjmmdd")</f>
        <v>19200309</v>
      </c>
      <c r="C207" s="35" t="str">
        <f>IF(MOD(ROWS(C$2:C207)-1,3)=2,"24.00",INDEX(Data,2,2+MOD(ROWS(C$2:C207)-1,3)))</f>
        <v>14.00</v>
      </c>
      <c r="D207" s="23">
        <f t="shared" ca="1" si="27"/>
        <v>750</v>
      </c>
      <c r="E207" s="40">
        <f t="shared" ca="1" si="22"/>
        <v>0</v>
      </c>
      <c r="F207" s="23" t="str">
        <f t="shared" ca="1" si="23"/>
        <v>—</v>
      </c>
      <c r="G207" s="40">
        <f t="shared" ca="1" si="24"/>
        <v>7</v>
      </c>
      <c r="H207" s="23" t="str">
        <f t="shared" ca="1" si="25"/>
        <v>—</v>
      </c>
      <c r="I207" s="40">
        <f t="shared" ca="1" si="26"/>
        <v>7</v>
      </c>
    </row>
    <row r="208" spans="1:9" x14ac:dyDescent="0.25">
      <c r="A208" s="17">
        <f t="shared" si="21"/>
        <v>81</v>
      </c>
      <c r="B208" t="str">
        <f ca="1">TEXT(DATE(YEAR(Invoer!$A$5),1,1)+INT((ROWS(B$2:B208)-1)/3),"jjjjmmdd")</f>
        <v>19200309</v>
      </c>
      <c r="C208" s="35" t="str">
        <f>IF(MOD(ROWS(C$2:C208)-1,3)=2,"24.00",INDEX(Data,2,2+MOD(ROWS(C$2:C208)-1,3)))</f>
        <v>24.00</v>
      </c>
      <c r="D208" s="23" t="str">
        <f t="shared" ca="1" si="27"/>
        <v>—</v>
      </c>
      <c r="E208" s="40">
        <f t="shared" ca="1" si="22"/>
        <v>7</v>
      </c>
      <c r="F208" s="23">
        <f t="shared" ca="1" si="23"/>
        <v>24.5</v>
      </c>
      <c r="G208" s="40">
        <f t="shared" ca="1" si="24"/>
        <v>0</v>
      </c>
      <c r="H208" s="23">
        <f t="shared" ca="1" si="25"/>
        <v>27.5</v>
      </c>
      <c r="I208" s="40">
        <f t="shared" ca="1" si="26"/>
        <v>0</v>
      </c>
    </row>
    <row r="209" spans="1:9" x14ac:dyDescent="0.25">
      <c r="A209" s="17">
        <f t="shared" si="21"/>
        <v>81</v>
      </c>
      <c r="B209" t="str">
        <f ca="1">TEXT(DATE(YEAR(Invoer!$A$5),1,1)+INT((ROWS(B$2:B209)-1)/3),"jjjjmmdd")</f>
        <v>19200310</v>
      </c>
      <c r="C209" s="35" t="str">
        <f>IF(MOD(ROWS(C$2:C209)-1,3)=2,"24.00",INDEX(Data,2,2+MOD(ROWS(C$2:C209)-1,3)))</f>
        <v>08.00</v>
      </c>
      <c r="D209" s="23">
        <f t="shared" ca="1" si="27"/>
        <v>750</v>
      </c>
      <c r="E209" s="40">
        <f t="shared" ca="1" si="22"/>
        <v>0</v>
      </c>
      <c r="F209" s="23" t="str">
        <f t="shared" ca="1" si="23"/>
        <v>—</v>
      </c>
      <c r="G209" s="40">
        <f t="shared" ca="1" si="24"/>
        <v>7</v>
      </c>
      <c r="H209" s="23" t="str">
        <f t="shared" ca="1" si="25"/>
        <v>—</v>
      </c>
      <c r="I209" s="40">
        <f t="shared" ca="1" si="26"/>
        <v>7</v>
      </c>
    </row>
    <row r="210" spans="1:9" x14ac:dyDescent="0.25">
      <c r="A210" s="17">
        <f t="shared" si="21"/>
        <v>81</v>
      </c>
      <c r="B210" t="str">
        <f ca="1">TEXT(DATE(YEAR(Invoer!$A$5),1,1)+INT((ROWS(B$2:B210)-1)/3),"jjjjmmdd")</f>
        <v>19200310</v>
      </c>
      <c r="C210" s="35" t="str">
        <f>IF(MOD(ROWS(C$2:C210)-1,3)=2,"24.00",INDEX(Data,2,2+MOD(ROWS(C$2:C210)-1,3)))</f>
        <v>14.00</v>
      </c>
      <c r="D210" s="23">
        <f t="shared" ca="1" si="27"/>
        <v>749</v>
      </c>
      <c r="E210" s="40">
        <f t="shared" ca="1" si="22"/>
        <v>0</v>
      </c>
      <c r="F210" s="23" t="str">
        <f t="shared" ca="1" si="23"/>
        <v>—</v>
      </c>
      <c r="G210" s="40">
        <f t="shared" ca="1" si="24"/>
        <v>7</v>
      </c>
      <c r="H210" s="23" t="str">
        <f t="shared" ca="1" si="25"/>
        <v>—</v>
      </c>
      <c r="I210" s="40">
        <f t="shared" ca="1" si="26"/>
        <v>7</v>
      </c>
    </row>
    <row r="211" spans="1:9" x14ac:dyDescent="0.25">
      <c r="A211" s="17">
        <f t="shared" si="21"/>
        <v>81</v>
      </c>
      <c r="B211" t="str">
        <f ca="1">TEXT(DATE(YEAR(Invoer!$A$5),1,1)+INT((ROWS(B$2:B211)-1)/3),"jjjjmmdd")</f>
        <v>19200310</v>
      </c>
      <c r="C211" s="35" t="str">
        <f>IF(MOD(ROWS(C$2:C211)-1,3)=2,"24.00",INDEX(Data,2,2+MOD(ROWS(C$2:C211)-1,3)))</f>
        <v>24.00</v>
      </c>
      <c r="D211" s="23" t="str">
        <f t="shared" ca="1" si="27"/>
        <v>—</v>
      </c>
      <c r="E211" s="40">
        <f t="shared" ca="1" si="22"/>
        <v>7</v>
      </c>
      <c r="F211" s="23">
        <f t="shared" ca="1" si="23"/>
        <v>24</v>
      </c>
      <c r="G211" s="40">
        <f t="shared" ca="1" si="24"/>
        <v>0</v>
      </c>
      <c r="H211" s="23">
        <f t="shared" ca="1" si="25"/>
        <v>27</v>
      </c>
      <c r="I211" s="40">
        <f t="shared" ca="1" si="26"/>
        <v>0</v>
      </c>
    </row>
    <row r="212" spans="1:9" x14ac:dyDescent="0.25">
      <c r="A212" s="17">
        <f t="shared" si="21"/>
        <v>81</v>
      </c>
      <c r="B212" t="str">
        <f ca="1">TEXT(DATE(YEAR(Invoer!$A$5),1,1)+INT((ROWS(B$2:B212)-1)/3),"jjjjmmdd")</f>
        <v>19200311</v>
      </c>
      <c r="C212" s="35" t="str">
        <f>IF(MOD(ROWS(C$2:C212)-1,3)=2,"24.00",INDEX(Data,2,2+MOD(ROWS(C$2:C212)-1,3)))</f>
        <v>08.00</v>
      </c>
      <c r="D212" s="23">
        <f t="shared" ca="1" si="27"/>
        <v>750</v>
      </c>
      <c r="E212" s="40">
        <f t="shared" ca="1" si="22"/>
        <v>0</v>
      </c>
      <c r="F212" s="23" t="str">
        <f t="shared" ca="1" si="23"/>
        <v>—</v>
      </c>
      <c r="G212" s="40">
        <f t="shared" ca="1" si="24"/>
        <v>7</v>
      </c>
      <c r="H212" s="23" t="str">
        <f t="shared" ca="1" si="25"/>
        <v>—</v>
      </c>
      <c r="I212" s="40">
        <f t="shared" ca="1" si="26"/>
        <v>7</v>
      </c>
    </row>
    <row r="213" spans="1:9" x14ac:dyDescent="0.25">
      <c r="A213" s="17">
        <f t="shared" si="21"/>
        <v>81</v>
      </c>
      <c r="B213" t="str">
        <f ca="1">TEXT(DATE(YEAR(Invoer!$A$5),1,1)+INT((ROWS(B$2:B213)-1)/3),"jjjjmmdd")</f>
        <v>19200311</v>
      </c>
      <c r="C213" s="35" t="str">
        <f>IF(MOD(ROWS(C$2:C213)-1,3)=2,"24.00",INDEX(Data,2,2+MOD(ROWS(C$2:C213)-1,3)))</f>
        <v>14.00</v>
      </c>
      <c r="D213" s="23">
        <f t="shared" ca="1" si="27"/>
        <v>749</v>
      </c>
      <c r="E213" s="40">
        <f t="shared" ca="1" si="22"/>
        <v>0</v>
      </c>
      <c r="F213" s="23" t="str">
        <f t="shared" ca="1" si="23"/>
        <v>—</v>
      </c>
      <c r="G213" s="40">
        <f t="shared" ca="1" si="24"/>
        <v>7</v>
      </c>
      <c r="H213" s="23" t="str">
        <f t="shared" ca="1" si="25"/>
        <v>—</v>
      </c>
      <c r="I213" s="40">
        <f t="shared" ca="1" si="26"/>
        <v>7</v>
      </c>
    </row>
    <row r="214" spans="1:9" x14ac:dyDescent="0.25">
      <c r="A214" s="17">
        <f t="shared" si="21"/>
        <v>81</v>
      </c>
      <c r="B214" t="str">
        <f ca="1">TEXT(DATE(YEAR(Invoer!$A$5),1,1)+INT((ROWS(B$2:B214)-1)/3),"jjjjmmdd")</f>
        <v>19200311</v>
      </c>
      <c r="C214" s="35" t="str">
        <f>IF(MOD(ROWS(C$2:C214)-1,3)=2,"24.00",INDEX(Data,2,2+MOD(ROWS(C$2:C214)-1,3)))</f>
        <v>24.00</v>
      </c>
      <c r="D214" s="23" t="str">
        <f t="shared" ca="1" si="27"/>
        <v>—</v>
      </c>
      <c r="E214" s="40">
        <f t="shared" ca="1" si="22"/>
        <v>7</v>
      </c>
      <c r="F214" s="23">
        <f t="shared" ca="1" si="23"/>
        <v>23</v>
      </c>
      <c r="G214" s="40">
        <f t="shared" ca="1" si="24"/>
        <v>0</v>
      </c>
      <c r="H214" s="23">
        <f t="shared" ca="1" si="25"/>
        <v>26</v>
      </c>
      <c r="I214" s="40">
        <f t="shared" ca="1" si="26"/>
        <v>0</v>
      </c>
    </row>
    <row r="215" spans="1:9" x14ac:dyDescent="0.25">
      <c r="A215" s="17">
        <f t="shared" si="21"/>
        <v>81</v>
      </c>
      <c r="B215" t="str">
        <f ca="1">TEXT(DATE(YEAR(Invoer!$A$5),1,1)+INT((ROWS(B$2:B215)-1)/3),"jjjjmmdd")</f>
        <v>19200312</v>
      </c>
      <c r="C215" s="35" t="str">
        <f>IF(MOD(ROWS(C$2:C215)-1,3)=2,"24.00",INDEX(Data,2,2+MOD(ROWS(C$2:C215)-1,3)))</f>
        <v>08.00</v>
      </c>
      <c r="D215" s="23">
        <f t="shared" ca="1" si="27"/>
        <v>749.5</v>
      </c>
      <c r="E215" s="40">
        <f t="shared" ca="1" si="22"/>
        <v>0</v>
      </c>
      <c r="F215" s="23" t="str">
        <f t="shared" ca="1" si="23"/>
        <v>—</v>
      </c>
      <c r="G215" s="40">
        <f t="shared" ca="1" si="24"/>
        <v>7</v>
      </c>
      <c r="H215" s="23" t="str">
        <f t="shared" ca="1" si="25"/>
        <v>—</v>
      </c>
      <c r="I215" s="40">
        <f t="shared" ca="1" si="26"/>
        <v>7</v>
      </c>
    </row>
    <row r="216" spans="1:9" x14ac:dyDescent="0.25">
      <c r="A216" s="17">
        <f t="shared" si="21"/>
        <v>81</v>
      </c>
      <c r="B216" t="str">
        <f ca="1">TEXT(DATE(YEAR(Invoer!$A$5),1,1)+INT((ROWS(B$2:B216)-1)/3),"jjjjmmdd")</f>
        <v>19200312</v>
      </c>
      <c r="C216" s="35" t="str">
        <f>IF(MOD(ROWS(C$2:C216)-1,3)=2,"24.00",INDEX(Data,2,2+MOD(ROWS(C$2:C216)-1,3)))</f>
        <v>14.00</v>
      </c>
      <c r="D216" s="23">
        <f t="shared" ca="1" si="27"/>
        <v>749</v>
      </c>
      <c r="E216" s="40">
        <f t="shared" ca="1" si="22"/>
        <v>0</v>
      </c>
      <c r="F216" s="23" t="str">
        <f t="shared" ca="1" si="23"/>
        <v>—</v>
      </c>
      <c r="G216" s="40">
        <f t="shared" ca="1" si="24"/>
        <v>7</v>
      </c>
      <c r="H216" s="23" t="str">
        <f t="shared" ca="1" si="25"/>
        <v>—</v>
      </c>
      <c r="I216" s="40">
        <f t="shared" ca="1" si="26"/>
        <v>7</v>
      </c>
    </row>
    <row r="217" spans="1:9" x14ac:dyDescent="0.25">
      <c r="A217" s="17">
        <f t="shared" si="21"/>
        <v>81</v>
      </c>
      <c r="B217" t="str">
        <f ca="1">TEXT(DATE(YEAR(Invoer!$A$5),1,1)+INT((ROWS(B$2:B217)-1)/3),"jjjjmmdd")</f>
        <v>19200312</v>
      </c>
      <c r="C217" s="35" t="str">
        <f>IF(MOD(ROWS(C$2:C217)-1,3)=2,"24.00",INDEX(Data,2,2+MOD(ROWS(C$2:C217)-1,3)))</f>
        <v>24.00</v>
      </c>
      <c r="D217" s="23" t="str">
        <f t="shared" ca="1" si="27"/>
        <v>—</v>
      </c>
      <c r="E217" s="40">
        <f t="shared" ca="1" si="22"/>
        <v>7</v>
      </c>
      <c r="F217" s="23">
        <f t="shared" ca="1" si="23"/>
        <v>24</v>
      </c>
      <c r="G217" s="40">
        <f t="shared" ca="1" si="24"/>
        <v>0</v>
      </c>
      <c r="H217" s="23">
        <f t="shared" ca="1" si="25"/>
        <v>27.3</v>
      </c>
      <c r="I217" s="40">
        <f t="shared" ca="1" si="26"/>
        <v>0</v>
      </c>
    </row>
    <row r="218" spans="1:9" x14ac:dyDescent="0.25">
      <c r="A218" s="17">
        <f t="shared" si="21"/>
        <v>81</v>
      </c>
      <c r="B218" t="str">
        <f ca="1">TEXT(DATE(YEAR(Invoer!$A$5),1,1)+INT((ROWS(B$2:B218)-1)/3),"jjjjmmdd")</f>
        <v>19200313</v>
      </c>
      <c r="C218" s="35" t="str">
        <f>IF(MOD(ROWS(C$2:C218)-1,3)=2,"24.00",INDEX(Data,2,2+MOD(ROWS(C$2:C218)-1,3)))</f>
        <v>08.00</v>
      </c>
      <c r="D218" s="23">
        <f t="shared" ca="1" si="27"/>
        <v>748.5</v>
      </c>
      <c r="E218" s="40">
        <f t="shared" ca="1" si="22"/>
        <v>0</v>
      </c>
      <c r="F218" s="23" t="str">
        <f t="shared" ca="1" si="23"/>
        <v>—</v>
      </c>
      <c r="G218" s="40">
        <f t="shared" ca="1" si="24"/>
        <v>7</v>
      </c>
      <c r="H218" s="23" t="str">
        <f t="shared" ca="1" si="25"/>
        <v>—</v>
      </c>
      <c r="I218" s="40">
        <f t="shared" ca="1" si="26"/>
        <v>7</v>
      </c>
    </row>
    <row r="219" spans="1:9" x14ac:dyDescent="0.25">
      <c r="A219" s="17">
        <f t="shared" si="21"/>
        <v>81</v>
      </c>
      <c r="B219" t="str">
        <f ca="1">TEXT(DATE(YEAR(Invoer!$A$5),1,1)+INT((ROWS(B$2:B219)-1)/3),"jjjjmmdd")</f>
        <v>19200313</v>
      </c>
      <c r="C219" s="35" t="str">
        <f>IF(MOD(ROWS(C$2:C219)-1,3)=2,"24.00",INDEX(Data,2,2+MOD(ROWS(C$2:C219)-1,3)))</f>
        <v>14.00</v>
      </c>
      <c r="D219" s="23">
        <f t="shared" ca="1" si="27"/>
        <v>748</v>
      </c>
      <c r="E219" s="40">
        <f t="shared" ca="1" si="22"/>
        <v>0</v>
      </c>
      <c r="F219" s="23" t="str">
        <f t="shared" ca="1" si="23"/>
        <v>—</v>
      </c>
      <c r="G219" s="40">
        <f t="shared" ca="1" si="24"/>
        <v>7</v>
      </c>
      <c r="H219" s="23" t="str">
        <f t="shared" ca="1" si="25"/>
        <v>—</v>
      </c>
      <c r="I219" s="40">
        <f t="shared" ca="1" si="26"/>
        <v>7</v>
      </c>
    </row>
    <row r="220" spans="1:9" x14ac:dyDescent="0.25">
      <c r="A220" s="17">
        <f t="shared" si="21"/>
        <v>81</v>
      </c>
      <c r="B220" t="str">
        <f ca="1">TEXT(DATE(YEAR(Invoer!$A$5),1,1)+INT((ROWS(B$2:B220)-1)/3),"jjjjmmdd")</f>
        <v>19200313</v>
      </c>
      <c r="C220" s="35" t="str">
        <f>IF(MOD(ROWS(C$2:C220)-1,3)=2,"24.00",INDEX(Data,2,2+MOD(ROWS(C$2:C220)-1,3)))</f>
        <v>24.00</v>
      </c>
      <c r="D220" s="23" t="str">
        <f t="shared" ca="1" si="27"/>
        <v>—</v>
      </c>
      <c r="E220" s="40">
        <f t="shared" ca="1" si="22"/>
        <v>7</v>
      </c>
      <c r="F220" s="23">
        <f t="shared" ca="1" si="23"/>
        <v>24</v>
      </c>
      <c r="G220" s="40">
        <f t="shared" ca="1" si="24"/>
        <v>0</v>
      </c>
      <c r="H220" s="23">
        <f t="shared" ca="1" si="25"/>
        <v>26.8</v>
      </c>
      <c r="I220" s="40">
        <f t="shared" ca="1" si="26"/>
        <v>0</v>
      </c>
    </row>
    <row r="221" spans="1:9" x14ac:dyDescent="0.25">
      <c r="A221" s="17">
        <f t="shared" si="21"/>
        <v>81</v>
      </c>
      <c r="B221" t="str">
        <f ca="1">TEXT(DATE(YEAR(Invoer!$A$5),1,1)+INT((ROWS(B$2:B221)-1)/3),"jjjjmmdd")</f>
        <v>19200314</v>
      </c>
      <c r="C221" s="35" t="str">
        <f>IF(MOD(ROWS(C$2:C221)-1,3)=2,"24.00",INDEX(Data,2,2+MOD(ROWS(C$2:C221)-1,3)))</f>
        <v>08.00</v>
      </c>
      <c r="D221" s="23">
        <f t="shared" ca="1" si="27"/>
        <v>749</v>
      </c>
      <c r="E221" s="40">
        <f t="shared" ca="1" si="22"/>
        <v>0</v>
      </c>
      <c r="F221" s="23" t="str">
        <f t="shared" ca="1" si="23"/>
        <v>—</v>
      </c>
      <c r="G221" s="40">
        <f t="shared" ca="1" si="24"/>
        <v>7</v>
      </c>
      <c r="H221" s="23" t="str">
        <f t="shared" ca="1" si="25"/>
        <v>—</v>
      </c>
      <c r="I221" s="40">
        <f t="shared" ca="1" si="26"/>
        <v>7</v>
      </c>
    </row>
    <row r="222" spans="1:9" x14ac:dyDescent="0.25">
      <c r="A222" s="17">
        <f t="shared" si="21"/>
        <v>81</v>
      </c>
      <c r="B222" t="str">
        <f ca="1">TEXT(DATE(YEAR(Invoer!$A$5),1,1)+INT((ROWS(B$2:B222)-1)/3),"jjjjmmdd")</f>
        <v>19200314</v>
      </c>
      <c r="C222" s="35" t="str">
        <f>IF(MOD(ROWS(C$2:C222)-1,3)=2,"24.00",INDEX(Data,2,2+MOD(ROWS(C$2:C222)-1,3)))</f>
        <v>14.00</v>
      </c>
      <c r="D222" s="23">
        <f t="shared" ca="1" si="27"/>
        <v>748</v>
      </c>
      <c r="E222" s="40">
        <f t="shared" ca="1" si="22"/>
        <v>0</v>
      </c>
      <c r="F222" s="23" t="str">
        <f t="shared" ca="1" si="23"/>
        <v>—</v>
      </c>
      <c r="G222" s="40">
        <f t="shared" ca="1" si="24"/>
        <v>7</v>
      </c>
      <c r="H222" s="23" t="str">
        <f t="shared" ca="1" si="25"/>
        <v>—</v>
      </c>
      <c r="I222" s="40">
        <f t="shared" ca="1" si="26"/>
        <v>7</v>
      </c>
    </row>
    <row r="223" spans="1:9" x14ac:dyDescent="0.25">
      <c r="A223" s="17">
        <f t="shared" si="21"/>
        <v>81</v>
      </c>
      <c r="B223" t="str">
        <f ca="1">TEXT(DATE(YEAR(Invoer!$A$5),1,1)+INT((ROWS(B$2:B223)-1)/3),"jjjjmmdd")</f>
        <v>19200314</v>
      </c>
      <c r="C223" s="35" t="str">
        <f>IF(MOD(ROWS(C$2:C223)-1,3)=2,"24.00",INDEX(Data,2,2+MOD(ROWS(C$2:C223)-1,3)))</f>
        <v>24.00</v>
      </c>
      <c r="D223" s="23" t="str">
        <f t="shared" ca="1" si="27"/>
        <v>—</v>
      </c>
      <c r="E223" s="40">
        <f t="shared" ca="1" si="22"/>
        <v>7</v>
      </c>
      <c r="F223" s="23">
        <f t="shared" ca="1" si="23"/>
        <v>24</v>
      </c>
      <c r="G223" s="40">
        <f t="shared" ca="1" si="24"/>
        <v>0</v>
      </c>
      <c r="H223" s="23">
        <f t="shared" ca="1" si="25"/>
        <v>27</v>
      </c>
      <c r="I223" s="40">
        <f t="shared" ca="1" si="26"/>
        <v>0</v>
      </c>
    </row>
    <row r="224" spans="1:9" x14ac:dyDescent="0.25">
      <c r="A224" s="17">
        <f t="shared" si="21"/>
        <v>81</v>
      </c>
      <c r="B224" t="str">
        <f ca="1">TEXT(DATE(YEAR(Invoer!$A$5),1,1)+INT((ROWS(B$2:B224)-1)/3),"jjjjmmdd")</f>
        <v>19200315</v>
      </c>
      <c r="C224" s="35" t="str">
        <f>IF(MOD(ROWS(C$2:C224)-1,3)=2,"24.00",INDEX(Data,2,2+MOD(ROWS(C$2:C224)-1,3)))</f>
        <v>08.00</v>
      </c>
      <c r="D224" s="23">
        <f t="shared" ca="1" si="27"/>
        <v>749</v>
      </c>
      <c r="E224" s="40">
        <f t="shared" ca="1" si="22"/>
        <v>0</v>
      </c>
      <c r="F224" s="23" t="str">
        <f t="shared" ca="1" si="23"/>
        <v>—</v>
      </c>
      <c r="G224" s="40">
        <f t="shared" ca="1" si="24"/>
        <v>7</v>
      </c>
      <c r="H224" s="23" t="str">
        <f t="shared" ca="1" si="25"/>
        <v>—</v>
      </c>
      <c r="I224" s="40">
        <f t="shared" ca="1" si="26"/>
        <v>7</v>
      </c>
    </row>
    <row r="225" spans="1:9" x14ac:dyDescent="0.25">
      <c r="A225" s="17">
        <f t="shared" si="21"/>
        <v>81</v>
      </c>
      <c r="B225" t="str">
        <f ca="1">TEXT(DATE(YEAR(Invoer!$A$5),1,1)+INT((ROWS(B$2:B225)-1)/3),"jjjjmmdd")</f>
        <v>19200315</v>
      </c>
      <c r="C225" s="35" t="str">
        <f>IF(MOD(ROWS(C$2:C225)-1,3)=2,"24.00",INDEX(Data,2,2+MOD(ROWS(C$2:C225)-1,3)))</f>
        <v>14.00</v>
      </c>
      <c r="D225" s="23">
        <f t="shared" ca="1" si="27"/>
        <v>748</v>
      </c>
      <c r="E225" s="40">
        <f t="shared" ca="1" si="22"/>
        <v>0</v>
      </c>
      <c r="F225" s="23" t="str">
        <f t="shared" ca="1" si="23"/>
        <v>—</v>
      </c>
      <c r="G225" s="40">
        <f t="shared" ca="1" si="24"/>
        <v>7</v>
      </c>
      <c r="H225" s="23" t="str">
        <f t="shared" ca="1" si="25"/>
        <v>—</v>
      </c>
      <c r="I225" s="40">
        <f t="shared" ca="1" si="26"/>
        <v>7</v>
      </c>
    </row>
    <row r="226" spans="1:9" x14ac:dyDescent="0.25">
      <c r="A226" s="17">
        <f t="shared" si="21"/>
        <v>81</v>
      </c>
      <c r="B226" t="str">
        <f ca="1">TEXT(DATE(YEAR(Invoer!$A$5),1,1)+INT((ROWS(B$2:B226)-1)/3),"jjjjmmdd")</f>
        <v>19200315</v>
      </c>
      <c r="C226" s="35" t="str">
        <f>IF(MOD(ROWS(C$2:C226)-1,3)=2,"24.00",INDEX(Data,2,2+MOD(ROWS(C$2:C226)-1,3)))</f>
        <v>24.00</v>
      </c>
      <c r="D226" s="23" t="str">
        <f t="shared" ca="1" si="27"/>
        <v>—</v>
      </c>
      <c r="E226" s="40">
        <f t="shared" ca="1" si="22"/>
        <v>7</v>
      </c>
      <c r="F226" s="23">
        <f t="shared" ca="1" si="23"/>
        <v>25</v>
      </c>
      <c r="G226" s="40">
        <f t="shared" ca="1" si="24"/>
        <v>0</v>
      </c>
      <c r="H226" s="23">
        <f t="shared" ca="1" si="25"/>
        <v>27</v>
      </c>
      <c r="I226" s="40">
        <f t="shared" ca="1" si="26"/>
        <v>0</v>
      </c>
    </row>
    <row r="227" spans="1:9" x14ac:dyDescent="0.25">
      <c r="A227" s="17">
        <f t="shared" si="21"/>
        <v>81</v>
      </c>
      <c r="B227" t="str">
        <f ca="1">TEXT(DATE(YEAR(Invoer!$A$5),1,1)+INT((ROWS(B$2:B227)-1)/3),"jjjjmmdd")</f>
        <v>19200316</v>
      </c>
      <c r="C227" s="35" t="str">
        <f>IF(MOD(ROWS(C$2:C227)-1,3)=2,"24.00",INDEX(Data,2,2+MOD(ROWS(C$2:C227)-1,3)))</f>
        <v>08.00</v>
      </c>
      <c r="D227" s="23">
        <f t="shared" ca="1" si="27"/>
        <v>750</v>
      </c>
      <c r="E227" s="40">
        <f t="shared" ca="1" si="22"/>
        <v>0</v>
      </c>
      <c r="F227" s="23" t="str">
        <f t="shared" ca="1" si="23"/>
        <v>—</v>
      </c>
      <c r="G227" s="40">
        <f t="shared" ca="1" si="24"/>
        <v>7</v>
      </c>
      <c r="H227" s="23" t="str">
        <f t="shared" ca="1" si="25"/>
        <v>—</v>
      </c>
      <c r="I227" s="40">
        <f t="shared" ca="1" si="26"/>
        <v>7</v>
      </c>
    </row>
    <row r="228" spans="1:9" x14ac:dyDescent="0.25">
      <c r="A228" s="17">
        <f t="shared" si="21"/>
        <v>81</v>
      </c>
      <c r="B228" t="str">
        <f ca="1">TEXT(DATE(YEAR(Invoer!$A$5),1,1)+INT((ROWS(B$2:B228)-1)/3),"jjjjmmdd")</f>
        <v>19200316</v>
      </c>
      <c r="C228" s="35" t="str">
        <f>IF(MOD(ROWS(C$2:C228)-1,3)=2,"24.00",INDEX(Data,2,2+MOD(ROWS(C$2:C228)-1,3)))</f>
        <v>14.00</v>
      </c>
      <c r="D228" s="23">
        <f t="shared" ca="1" si="27"/>
        <v>749</v>
      </c>
      <c r="E228" s="40">
        <f t="shared" ca="1" si="22"/>
        <v>0</v>
      </c>
      <c r="F228" s="23" t="str">
        <f t="shared" ca="1" si="23"/>
        <v>—</v>
      </c>
      <c r="G228" s="40">
        <f t="shared" ca="1" si="24"/>
        <v>7</v>
      </c>
      <c r="H228" s="23" t="str">
        <f t="shared" ca="1" si="25"/>
        <v>—</v>
      </c>
      <c r="I228" s="40">
        <f t="shared" ca="1" si="26"/>
        <v>7</v>
      </c>
    </row>
    <row r="229" spans="1:9" x14ac:dyDescent="0.25">
      <c r="A229" s="17">
        <f t="shared" si="21"/>
        <v>81</v>
      </c>
      <c r="B229" t="str">
        <f ca="1">TEXT(DATE(YEAR(Invoer!$A$5),1,1)+INT((ROWS(B$2:B229)-1)/3),"jjjjmmdd")</f>
        <v>19200316</v>
      </c>
      <c r="C229" s="35" t="str">
        <f>IF(MOD(ROWS(C$2:C229)-1,3)=2,"24.00",INDEX(Data,2,2+MOD(ROWS(C$2:C229)-1,3)))</f>
        <v>24.00</v>
      </c>
      <c r="D229" s="23" t="str">
        <f t="shared" ca="1" si="27"/>
        <v>—</v>
      </c>
      <c r="E229" s="40">
        <f t="shared" ca="1" si="22"/>
        <v>7</v>
      </c>
      <c r="F229" s="23">
        <f t="shared" ca="1" si="23"/>
        <v>25</v>
      </c>
      <c r="G229" s="40">
        <f t="shared" ca="1" si="24"/>
        <v>0</v>
      </c>
      <c r="H229" s="23">
        <f t="shared" ca="1" si="25"/>
        <v>27.5</v>
      </c>
      <c r="I229" s="40">
        <f t="shared" ca="1" si="26"/>
        <v>0</v>
      </c>
    </row>
    <row r="230" spans="1:9" x14ac:dyDescent="0.25">
      <c r="A230" s="17">
        <f t="shared" si="21"/>
        <v>81</v>
      </c>
      <c r="B230" t="str">
        <f ca="1">TEXT(DATE(YEAR(Invoer!$A$5),1,1)+INT((ROWS(B$2:B230)-1)/3),"jjjjmmdd")</f>
        <v>19200317</v>
      </c>
      <c r="C230" s="35" t="str">
        <f>IF(MOD(ROWS(C$2:C230)-1,3)=2,"24.00",INDEX(Data,2,2+MOD(ROWS(C$2:C230)-1,3)))</f>
        <v>08.00</v>
      </c>
      <c r="D230" s="23">
        <f t="shared" ca="1" si="27"/>
        <v>751</v>
      </c>
      <c r="E230" s="40">
        <f t="shared" ca="1" si="22"/>
        <v>0</v>
      </c>
      <c r="F230" s="23" t="str">
        <f t="shared" ca="1" si="23"/>
        <v>—</v>
      </c>
      <c r="G230" s="40">
        <f t="shared" ca="1" si="24"/>
        <v>7</v>
      </c>
      <c r="H230" s="23" t="str">
        <f t="shared" ca="1" si="25"/>
        <v>—</v>
      </c>
      <c r="I230" s="40">
        <f t="shared" ca="1" si="26"/>
        <v>7</v>
      </c>
    </row>
    <row r="231" spans="1:9" x14ac:dyDescent="0.25">
      <c r="A231" s="17">
        <f t="shared" si="21"/>
        <v>81</v>
      </c>
      <c r="B231" t="str">
        <f ca="1">TEXT(DATE(YEAR(Invoer!$A$5),1,1)+INT((ROWS(B$2:B231)-1)/3),"jjjjmmdd")</f>
        <v>19200317</v>
      </c>
      <c r="C231" s="35" t="str">
        <f>IF(MOD(ROWS(C$2:C231)-1,3)=2,"24.00",INDEX(Data,2,2+MOD(ROWS(C$2:C231)-1,3)))</f>
        <v>14.00</v>
      </c>
      <c r="D231" s="23">
        <f t="shared" ca="1" si="27"/>
        <v>750</v>
      </c>
      <c r="E231" s="40">
        <f t="shared" ca="1" si="22"/>
        <v>0</v>
      </c>
      <c r="F231" s="23" t="str">
        <f t="shared" ca="1" si="23"/>
        <v>—</v>
      </c>
      <c r="G231" s="40">
        <f t="shared" ca="1" si="24"/>
        <v>7</v>
      </c>
      <c r="H231" s="23" t="str">
        <f t="shared" ca="1" si="25"/>
        <v>—</v>
      </c>
      <c r="I231" s="40">
        <f t="shared" ca="1" si="26"/>
        <v>7</v>
      </c>
    </row>
    <row r="232" spans="1:9" x14ac:dyDescent="0.25">
      <c r="A232" s="17">
        <f t="shared" si="21"/>
        <v>81</v>
      </c>
      <c r="B232" t="str">
        <f ca="1">TEXT(DATE(YEAR(Invoer!$A$5),1,1)+INT((ROWS(B$2:B232)-1)/3),"jjjjmmdd")</f>
        <v>19200317</v>
      </c>
      <c r="C232" s="35" t="str">
        <f>IF(MOD(ROWS(C$2:C232)-1,3)=2,"24.00",INDEX(Data,2,2+MOD(ROWS(C$2:C232)-1,3)))</f>
        <v>24.00</v>
      </c>
      <c r="D232" s="23" t="str">
        <f t="shared" ca="1" si="27"/>
        <v>—</v>
      </c>
      <c r="E232" s="40">
        <f t="shared" ca="1" si="22"/>
        <v>7</v>
      </c>
      <c r="F232" s="23">
        <f t="shared" ca="1" si="23"/>
        <v>24</v>
      </c>
      <c r="G232" s="40">
        <f t="shared" ca="1" si="24"/>
        <v>0</v>
      </c>
      <c r="H232" s="23">
        <f t="shared" ca="1" si="25"/>
        <v>27.5</v>
      </c>
      <c r="I232" s="40">
        <f t="shared" ca="1" si="26"/>
        <v>0</v>
      </c>
    </row>
    <row r="233" spans="1:9" x14ac:dyDescent="0.25">
      <c r="A233" s="17">
        <f t="shared" si="21"/>
        <v>81</v>
      </c>
      <c r="B233" t="str">
        <f ca="1">TEXT(DATE(YEAR(Invoer!$A$5),1,1)+INT((ROWS(B$2:B233)-1)/3),"jjjjmmdd")</f>
        <v>19200318</v>
      </c>
      <c r="C233" s="35" t="str">
        <f>IF(MOD(ROWS(C$2:C233)-1,3)=2,"24.00",INDEX(Data,2,2+MOD(ROWS(C$2:C233)-1,3)))</f>
        <v>08.00</v>
      </c>
      <c r="D233" s="23">
        <f t="shared" ca="1" si="27"/>
        <v>749.5</v>
      </c>
      <c r="E233" s="40">
        <f t="shared" ca="1" si="22"/>
        <v>0</v>
      </c>
      <c r="F233" s="23" t="str">
        <f t="shared" ca="1" si="23"/>
        <v>—</v>
      </c>
      <c r="G233" s="40">
        <f t="shared" ca="1" si="24"/>
        <v>7</v>
      </c>
      <c r="H233" s="23" t="str">
        <f t="shared" ca="1" si="25"/>
        <v>—</v>
      </c>
      <c r="I233" s="40">
        <f t="shared" ca="1" si="26"/>
        <v>7</v>
      </c>
    </row>
    <row r="234" spans="1:9" x14ac:dyDescent="0.25">
      <c r="A234" s="17">
        <f t="shared" si="21"/>
        <v>81</v>
      </c>
      <c r="B234" t="str">
        <f ca="1">TEXT(DATE(YEAR(Invoer!$A$5),1,1)+INT((ROWS(B$2:B234)-1)/3),"jjjjmmdd")</f>
        <v>19200318</v>
      </c>
      <c r="C234" s="35" t="str">
        <f>IF(MOD(ROWS(C$2:C234)-1,3)=2,"24.00",INDEX(Data,2,2+MOD(ROWS(C$2:C234)-1,3)))</f>
        <v>14.00</v>
      </c>
      <c r="D234" s="23">
        <f t="shared" ca="1" si="27"/>
        <v>748</v>
      </c>
      <c r="E234" s="40">
        <f t="shared" ca="1" si="22"/>
        <v>0</v>
      </c>
      <c r="F234" s="23" t="str">
        <f t="shared" ca="1" si="23"/>
        <v>—</v>
      </c>
      <c r="G234" s="40">
        <f t="shared" ca="1" si="24"/>
        <v>7</v>
      </c>
      <c r="H234" s="23" t="str">
        <f t="shared" ca="1" si="25"/>
        <v>—</v>
      </c>
      <c r="I234" s="40">
        <f t="shared" ca="1" si="26"/>
        <v>7</v>
      </c>
    </row>
    <row r="235" spans="1:9" x14ac:dyDescent="0.25">
      <c r="A235" s="17">
        <f t="shared" si="21"/>
        <v>81</v>
      </c>
      <c r="B235" t="str">
        <f ca="1">TEXT(DATE(YEAR(Invoer!$A$5),1,1)+INT((ROWS(B$2:B235)-1)/3),"jjjjmmdd")</f>
        <v>19200318</v>
      </c>
      <c r="C235" s="35" t="str">
        <f>IF(MOD(ROWS(C$2:C235)-1,3)=2,"24.00",INDEX(Data,2,2+MOD(ROWS(C$2:C235)-1,3)))</f>
        <v>24.00</v>
      </c>
      <c r="D235" s="23" t="str">
        <f t="shared" ca="1" si="27"/>
        <v>—</v>
      </c>
      <c r="E235" s="40">
        <f t="shared" ca="1" si="22"/>
        <v>7</v>
      </c>
      <c r="F235" s="23">
        <f t="shared" ca="1" si="23"/>
        <v>24</v>
      </c>
      <c r="G235" s="40">
        <f t="shared" ca="1" si="24"/>
        <v>0</v>
      </c>
      <c r="H235" s="23">
        <f t="shared" ca="1" si="25"/>
        <v>26</v>
      </c>
      <c r="I235" s="40">
        <f t="shared" ca="1" si="26"/>
        <v>0</v>
      </c>
    </row>
    <row r="236" spans="1:9" x14ac:dyDescent="0.25">
      <c r="A236" s="17">
        <f t="shared" si="21"/>
        <v>81</v>
      </c>
      <c r="B236" t="str">
        <f ca="1">TEXT(DATE(YEAR(Invoer!$A$5),1,1)+INT((ROWS(B$2:B236)-1)/3),"jjjjmmdd")</f>
        <v>19200319</v>
      </c>
      <c r="C236" s="35" t="str">
        <f>IF(MOD(ROWS(C$2:C236)-1,3)=2,"24.00",INDEX(Data,2,2+MOD(ROWS(C$2:C236)-1,3)))</f>
        <v>08.00</v>
      </c>
      <c r="D236" s="23">
        <f t="shared" ca="1" si="27"/>
        <v>747</v>
      </c>
      <c r="E236" s="40">
        <f t="shared" ca="1" si="22"/>
        <v>0</v>
      </c>
      <c r="F236" s="23" t="str">
        <f t="shared" ca="1" si="23"/>
        <v>—</v>
      </c>
      <c r="G236" s="40">
        <f t="shared" ca="1" si="24"/>
        <v>7</v>
      </c>
      <c r="H236" s="23" t="str">
        <f t="shared" ca="1" si="25"/>
        <v>—</v>
      </c>
      <c r="I236" s="40">
        <f t="shared" ca="1" si="26"/>
        <v>7</v>
      </c>
    </row>
    <row r="237" spans="1:9" x14ac:dyDescent="0.25">
      <c r="A237" s="17">
        <f t="shared" si="21"/>
        <v>81</v>
      </c>
      <c r="B237" t="str">
        <f ca="1">TEXT(DATE(YEAR(Invoer!$A$5),1,1)+INT((ROWS(B$2:B237)-1)/3),"jjjjmmdd")</f>
        <v>19200319</v>
      </c>
      <c r="C237" s="35" t="str">
        <f>IF(MOD(ROWS(C$2:C237)-1,3)=2,"24.00",INDEX(Data,2,2+MOD(ROWS(C$2:C237)-1,3)))</f>
        <v>14.00</v>
      </c>
      <c r="D237" s="23">
        <f t="shared" ca="1" si="27"/>
        <v>746.5</v>
      </c>
      <c r="E237" s="40">
        <f t="shared" ca="1" si="22"/>
        <v>0</v>
      </c>
      <c r="F237" s="23" t="str">
        <f t="shared" ca="1" si="23"/>
        <v>—</v>
      </c>
      <c r="G237" s="40">
        <f t="shared" ca="1" si="24"/>
        <v>7</v>
      </c>
      <c r="H237" s="23" t="str">
        <f t="shared" ca="1" si="25"/>
        <v>—</v>
      </c>
      <c r="I237" s="40">
        <f t="shared" ca="1" si="26"/>
        <v>7</v>
      </c>
    </row>
    <row r="238" spans="1:9" x14ac:dyDescent="0.25">
      <c r="A238" s="17">
        <f t="shared" si="21"/>
        <v>81</v>
      </c>
      <c r="B238" t="str">
        <f ca="1">TEXT(DATE(YEAR(Invoer!$A$5),1,1)+INT((ROWS(B$2:B238)-1)/3),"jjjjmmdd")</f>
        <v>19200319</v>
      </c>
      <c r="C238" s="35" t="str">
        <f>IF(MOD(ROWS(C$2:C238)-1,3)=2,"24.00",INDEX(Data,2,2+MOD(ROWS(C$2:C238)-1,3)))</f>
        <v>24.00</v>
      </c>
      <c r="D238" s="23" t="str">
        <f t="shared" ca="1" si="27"/>
        <v>—</v>
      </c>
      <c r="E238" s="40">
        <f t="shared" ca="1" si="22"/>
        <v>7</v>
      </c>
      <c r="F238" s="23">
        <f t="shared" ca="1" si="23"/>
        <v>23</v>
      </c>
      <c r="G238" s="40">
        <f t="shared" ca="1" si="24"/>
        <v>0</v>
      </c>
      <c r="H238" s="23">
        <f t="shared" ca="1" si="25"/>
        <v>23.8</v>
      </c>
      <c r="I238" s="40">
        <f t="shared" ca="1" si="26"/>
        <v>0</v>
      </c>
    </row>
    <row r="239" spans="1:9" x14ac:dyDescent="0.25">
      <c r="A239" s="17">
        <f t="shared" si="21"/>
        <v>81</v>
      </c>
      <c r="B239" t="str">
        <f ca="1">TEXT(DATE(YEAR(Invoer!$A$5),1,1)+INT((ROWS(B$2:B239)-1)/3),"jjjjmmdd")</f>
        <v>19200320</v>
      </c>
      <c r="C239" s="35" t="str">
        <f>IF(MOD(ROWS(C$2:C239)-1,3)=2,"24.00",INDEX(Data,2,2+MOD(ROWS(C$2:C239)-1,3)))</f>
        <v>08.00</v>
      </c>
      <c r="D239" s="23">
        <f t="shared" ca="1" si="27"/>
        <v>748</v>
      </c>
      <c r="E239" s="40">
        <f t="shared" ca="1" si="22"/>
        <v>0</v>
      </c>
      <c r="F239" s="23" t="str">
        <f t="shared" ca="1" si="23"/>
        <v>—</v>
      </c>
      <c r="G239" s="40">
        <f t="shared" ca="1" si="24"/>
        <v>7</v>
      </c>
      <c r="H239" s="23" t="str">
        <f t="shared" ca="1" si="25"/>
        <v>—</v>
      </c>
      <c r="I239" s="40">
        <f t="shared" ca="1" si="26"/>
        <v>7</v>
      </c>
    </row>
    <row r="240" spans="1:9" x14ac:dyDescent="0.25">
      <c r="A240" s="17">
        <f t="shared" si="21"/>
        <v>81</v>
      </c>
      <c r="B240" t="str">
        <f ca="1">TEXT(DATE(YEAR(Invoer!$A$5),1,1)+INT((ROWS(B$2:B240)-1)/3),"jjjjmmdd")</f>
        <v>19200320</v>
      </c>
      <c r="C240" s="35" t="str">
        <f>IF(MOD(ROWS(C$2:C240)-1,3)=2,"24.00",INDEX(Data,2,2+MOD(ROWS(C$2:C240)-1,3)))</f>
        <v>14.00</v>
      </c>
      <c r="D240" s="23">
        <f t="shared" ca="1" si="27"/>
        <v>747.7</v>
      </c>
      <c r="E240" s="40">
        <f t="shared" ca="1" si="22"/>
        <v>0</v>
      </c>
      <c r="F240" s="23" t="str">
        <f t="shared" ca="1" si="23"/>
        <v>—</v>
      </c>
      <c r="G240" s="40">
        <f t="shared" ca="1" si="24"/>
        <v>7</v>
      </c>
      <c r="H240" s="23" t="str">
        <f t="shared" ca="1" si="25"/>
        <v>—</v>
      </c>
      <c r="I240" s="40">
        <f t="shared" ca="1" si="26"/>
        <v>7</v>
      </c>
    </row>
    <row r="241" spans="1:9" x14ac:dyDescent="0.25">
      <c r="A241" s="17">
        <f t="shared" si="21"/>
        <v>81</v>
      </c>
      <c r="B241" t="str">
        <f ca="1">TEXT(DATE(YEAR(Invoer!$A$5),1,1)+INT((ROWS(B$2:B241)-1)/3),"jjjjmmdd")</f>
        <v>19200320</v>
      </c>
      <c r="C241" s="35" t="str">
        <f>IF(MOD(ROWS(C$2:C241)-1,3)=2,"24.00",INDEX(Data,2,2+MOD(ROWS(C$2:C241)-1,3)))</f>
        <v>24.00</v>
      </c>
      <c r="D241" s="23" t="str">
        <f t="shared" ca="1" si="27"/>
        <v>—</v>
      </c>
      <c r="E241" s="40">
        <f t="shared" ca="1" si="22"/>
        <v>7</v>
      </c>
      <c r="F241" s="23">
        <f t="shared" ca="1" si="23"/>
        <v>23.5</v>
      </c>
      <c r="G241" s="40">
        <f t="shared" ca="1" si="24"/>
        <v>0</v>
      </c>
      <c r="H241" s="23">
        <f t="shared" ca="1" si="25"/>
        <v>27</v>
      </c>
      <c r="I241" s="40">
        <f t="shared" ca="1" si="26"/>
        <v>0</v>
      </c>
    </row>
    <row r="242" spans="1:9" x14ac:dyDescent="0.25">
      <c r="A242" s="17">
        <f t="shared" si="21"/>
        <v>81</v>
      </c>
      <c r="B242" t="str">
        <f ca="1">TEXT(DATE(YEAR(Invoer!$A$5),1,1)+INT((ROWS(B$2:B242)-1)/3),"jjjjmmdd")</f>
        <v>19200321</v>
      </c>
      <c r="C242" s="35" t="str">
        <f>IF(MOD(ROWS(C$2:C242)-1,3)=2,"24.00",INDEX(Data,2,2+MOD(ROWS(C$2:C242)-1,3)))</f>
        <v>08.00</v>
      </c>
      <c r="D242" s="23">
        <f t="shared" ca="1" si="27"/>
        <v>749</v>
      </c>
      <c r="E242" s="40">
        <f t="shared" ca="1" si="22"/>
        <v>0</v>
      </c>
      <c r="F242" s="23" t="str">
        <f t="shared" ca="1" si="23"/>
        <v>—</v>
      </c>
      <c r="G242" s="40">
        <f t="shared" ca="1" si="24"/>
        <v>7</v>
      </c>
      <c r="H242" s="23" t="str">
        <f t="shared" ca="1" si="25"/>
        <v>—</v>
      </c>
      <c r="I242" s="40">
        <f t="shared" ca="1" si="26"/>
        <v>7</v>
      </c>
    </row>
    <row r="243" spans="1:9" x14ac:dyDescent="0.25">
      <c r="A243" s="17">
        <f t="shared" si="21"/>
        <v>81</v>
      </c>
      <c r="B243" t="str">
        <f ca="1">TEXT(DATE(YEAR(Invoer!$A$5),1,1)+INT((ROWS(B$2:B243)-1)/3),"jjjjmmdd")</f>
        <v>19200321</v>
      </c>
      <c r="C243" s="35" t="str">
        <f>IF(MOD(ROWS(C$2:C243)-1,3)=2,"24.00",INDEX(Data,2,2+MOD(ROWS(C$2:C243)-1,3)))</f>
        <v>14.00</v>
      </c>
      <c r="D243" s="23">
        <f t="shared" ca="1" si="27"/>
        <v>748</v>
      </c>
      <c r="E243" s="40">
        <f t="shared" ca="1" si="22"/>
        <v>0</v>
      </c>
      <c r="F243" s="23" t="str">
        <f t="shared" ca="1" si="23"/>
        <v>—</v>
      </c>
      <c r="G243" s="40">
        <f t="shared" ca="1" si="24"/>
        <v>7</v>
      </c>
      <c r="H243" s="23" t="str">
        <f t="shared" ca="1" si="25"/>
        <v>—</v>
      </c>
      <c r="I243" s="40">
        <f t="shared" ca="1" si="26"/>
        <v>7</v>
      </c>
    </row>
    <row r="244" spans="1:9" x14ac:dyDescent="0.25">
      <c r="A244" s="17">
        <f t="shared" si="21"/>
        <v>81</v>
      </c>
      <c r="B244" t="str">
        <f ca="1">TEXT(DATE(YEAR(Invoer!$A$5),1,1)+INT((ROWS(B$2:B244)-1)/3),"jjjjmmdd")</f>
        <v>19200321</v>
      </c>
      <c r="C244" s="35" t="str">
        <f>IF(MOD(ROWS(C$2:C244)-1,3)=2,"24.00",INDEX(Data,2,2+MOD(ROWS(C$2:C244)-1,3)))</f>
        <v>24.00</v>
      </c>
      <c r="D244" s="23" t="str">
        <f t="shared" ca="1" si="27"/>
        <v>—</v>
      </c>
      <c r="E244" s="40">
        <f t="shared" ca="1" si="22"/>
        <v>7</v>
      </c>
      <c r="F244" s="23">
        <f t="shared" ca="1" si="23"/>
        <v>25</v>
      </c>
      <c r="G244" s="40">
        <f t="shared" ca="1" si="24"/>
        <v>0</v>
      </c>
      <c r="H244" s="23">
        <f t="shared" ca="1" si="25"/>
        <v>27</v>
      </c>
      <c r="I244" s="40">
        <f t="shared" ca="1" si="26"/>
        <v>0</v>
      </c>
    </row>
    <row r="245" spans="1:9" x14ac:dyDescent="0.25">
      <c r="A245" s="17">
        <f t="shared" si="21"/>
        <v>81</v>
      </c>
      <c r="B245" t="str">
        <f ca="1">TEXT(DATE(YEAR(Invoer!$A$5),1,1)+INT((ROWS(B$2:B245)-1)/3),"jjjjmmdd")</f>
        <v>19200322</v>
      </c>
      <c r="C245" s="35" t="str">
        <f>IF(MOD(ROWS(C$2:C245)-1,3)=2,"24.00",INDEX(Data,2,2+MOD(ROWS(C$2:C245)-1,3)))</f>
        <v>08.00</v>
      </c>
      <c r="D245" s="23">
        <f t="shared" ca="1" si="27"/>
        <v>750</v>
      </c>
      <c r="E245" s="40">
        <f t="shared" ca="1" si="22"/>
        <v>0</v>
      </c>
      <c r="F245" s="23" t="str">
        <f t="shared" ca="1" si="23"/>
        <v>—</v>
      </c>
      <c r="G245" s="40">
        <f t="shared" ca="1" si="24"/>
        <v>7</v>
      </c>
      <c r="H245" s="23" t="str">
        <f t="shared" ca="1" si="25"/>
        <v>—</v>
      </c>
      <c r="I245" s="40">
        <f t="shared" ca="1" si="26"/>
        <v>7</v>
      </c>
    </row>
    <row r="246" spans="1:9" x14ac:dyDescent="0.25">
      <c r="A246" s="17">
        <f t="shared" si="21"/>
        <v>81</v>
      </c>
      <c r="B246" t="str">
        <f ca="1">TEXT(DATE(YEAR(Invoer!$A$5),1,1)+INT((ROWS(B$2:B246)-1)/3),"jjjjmmdd")</f>
        <v>19200322</v>
      </c>
      <c r="C246" s="35" t="str">
        <f>IF(MOD(ROWS(C$2:C246)-1,3)=2,"24.00",INDEX(Data,2,2+MOD(ROWS(C$2:C246)-1,3)))</f>
        <v>14.00</v>
      </c>
      <c r="D246" s="23">
        <f t="shared" ca="1" si="27"/>
        <v>749.6</v>
      </c>
      <c r="E246" s="40">
        <f t="shared" ca="1" si="22"/>
        <v>0</v>
      </c>
      <c r="F246" s="23" t="str">
        <f t="shared" ca="1" si="23"/>
        <v>—</v>
      </c>
      <c r="G246" s="40">
        <f t="shared" ca="1" si="24"/>
        <v>7</v>
      </c>
      <c r="H246" s="23" t="str">
        <f t="shared" ca="1" si="25"/>
        <v>—</v>
      </c>
      <c r="I246" s="40">
        <f t="shared" ca="1" si="26"/>
        <v>7</v>
      </c>
    </row>
    <row r="247" spans="1:9" x14ac:dyDescent="0.25">
      <c r="A247" s="17">
        <f t="shared" si="21"/>
        <v>81</v>
      </c>
      <c r="B247" t="str">
        <f ca="1">TEXT(DATE(YEAR(Invoer!$A$5),1,1)+INT((ROWS(B$2:B247)-1)/3),"jjjjmmdd")</f>
        <v>19200322</v>
      </c>
      <c r="C247" s="35" t="str">
        <f>IF(MOD(ROWS(C$2:C247)-1,3)=2,"24.00",INDEX(Data,2,2+MOD(ROWS(C$2:C247)-1,3)))</f>
        <v>24.00</v>
      </c>
      <c r="D247" s="23" t="str">
        <f t="shared" ca="1" si="27"/>
        <v>—</v>
      </c>
      <c r="E247" s="40">
        <f t="shared" ca="1" si="22"/>
        <v>7</v>
      </c>
      <c r="F247" s="23">
        <f t="shared" ca="1" si="23"/>
        <v>24.8</v>
      </c>
      <c r="G247" s="40">
        <f t="shared" ca="1" si="24"/>
        <v>0</v>
      </c>
      <c r="H247" s="23">
        <f t="shared" ca="1" si="25"/>
        <v>27</v>
      </c>
      <c r="I247" s="40">
        <f t="shared" ca="1" si="26"/>
        <v>0</v>
      </c>
    </row>
    <row r="248" spans="1:9" x14ac:dyDescent="0.25">
      <c r="A248" s="17">
        <f t="shared" si="21"/>
        <v>81</v>
      </c>
      <c r="B248" t="str">
        <f ca="1">TEXT(DATE(YEAR(Invoer!$A$5),1,1)+INT((ROWS(B$2:B248)-1)/3),"jjjjmmdd")</f>
        <v>19200323</v>
      </c>
      <c r="C248" s="35" t="str">
        <f>IF(MOD(ROWS(C$2:C248)-1,3)=2,"24.00",INDEX(Data,2,2+MOD(ROWS(C$2:C248)-1,3)))</f>
        <v>08.00</v>
      </c>
      <c r="D248" s="23">
        <f t="shared" ca="1" si="27"/>
        <v>749</v>
      </c>
      <c r="E248" s="40">
        <f t="shared" ca="1" si="22"/>
        <v>0</v>
      </c>
      <c r="F248" s="23" t="str">
        <f t="shared" ca="1" si="23"/>
        <v>—</v>
      </c>
      <c r="G248" s="40">
        <f t="shared" ca="1" si="24"/>
        <v>7</v>
      </c>
      <c r="H248" s="23" t="str">
        <f t="shared" ca="1" si="25"/>
        <v>—</v>
      </c>
      <c r="I248" s="40">
        <f t="shared" ca="1" si="26"/>
        <v>7</v>
      </c>
    </row>
    <row r="249" spans="1:9" x14ac:dyDescent="0.25">
      <c r="A249" s="17">
        <f t="shared" si="21"/>
        <v>81</v>
      </c>
      <c r="B249" t="str">
        <f ca="1">TEXT(DATE(YEAR(Invoer!$A$5),1,1)+INT((ROWS(B$2:B249)-1)/3),"jjjjmmdd")</f>
        <v>19200323</v>
      </c>
      <c r="C249" s="35" t="str">
        <f>IF(MOD(ROWS(C$2:C249)-1,3)=2,"24.00",INDEX(Data,2,2+MOD(ROWS(C$2:C249)-1,3)))</f>
        <v>14.00</v>
      </c>
      <c r="D249" s="23">
        <f t="shared" ca="1" si="27"/>
        <v>748.52</v>
      </c>
      <c r="E249" s="40">
        <f t="shared" ca="1" si="22"/>
        <v>0</v>
      </c>
      <c r="F249" s="23" t="str">
        <f t="shared" ca="1" si="23"/>
        <v>—</v>
      </c>
      <c r="G249" s="40">
        <f t="shared" ca="1" si="24"/>
        <v>7</v>
      </c>
      <c r="H249" s="23" t="str">
        <f t="shared" ca="1" si="25"/>
        <v>—</v>
      </c>
      <c r="I249" s="40">
        <f t="shared" ca="1" si="26"/>
        <v>7</v>
      </c>
    </row>
    <row r="250" spans="1:9" x14ac:dyDescent="0.25">
      <c r="A250" s="17">
        <f t="shared" si="21"/>
        <v>81</v>
      </c>
      <c r="B250" t="str">
        <f ca="1">TEXT(DATE(YEAR(Invoer!$A$5),1,1)+INT((ROWS(B$2:B250)-1)/3),"jjjjmmdd")</f>
        <v>19200323</v>
      </c>
      <c r="C250" s="35" t="str">
        <f>IF(MOD(ROWS(C$2:C250)-1,3)=2,"24.00",INDEX(Data,2,2+MOD(ROWS(C$2:C250)-1,3)))</f>
        <v>24.00</v>
      </c>
      <c r="D250" s="23" t="str">
        <f t="shared" ca="1" si="27"/>
        <v>—</v>
      </c>
      <c r="E250" s="40">
        <f t="shared" ca="1" si="22"/>
        <v>7</v>
      </c>
      <c r="F250" s="23">
        <f t="shared" ca="1" si="23"/>
        <v>24</v>
      </c>
      <c r="G250" s="40">
        <f t="shared" ca="1" si="24"/>
        <v>0</v>
      </c>
      <c r="H250" s="23">
        <f t="shared" ca="1" si="25"/>
        <v>28</v>
      </c>
      <c r="I250" s="40">
        <f t="shared" ca="1" si="26"/>
        <v>0</v>
      </c>
    </row>
    <row r="251" spans="1:9" x14ac:dyDescent="0.25">
      <c r="A251" s="17">
        <f t="shared" si="21"/>
        <v>81</v>
      </c>
      <c r="B251" t="str">
        <f ca="1">TEXT(DATE(YEAR(Invoer!$A$5),1,1)+INT((ROWS(B$2:B251)-1)/3),"jjjjmmdd")</f>
        <v>19200324</v>
      </c>
      <c r="C251" s="35" t="str">
        <f>IF(MOD(ROWS(C$2:C251)-1,3)=2,"24.00",INDEX(Data,2,2+MOD(ROWS(C$2:C251)-1,3)))</f>
        <v>08.00</v>
      </c>
      <c r="D251" s="23">
        <f t="shared" ca="1" si="27"/>
        <v>749</v>
      </c>
      <c r="E251" s="40">
        <f t="shared" ca="1" si="22"/>
        <v>0</v>
      </c>
      <c r="F251" s="23" t="str">
        <f t="shared" ca="1" si="23"/>
        <v>—</v>
      </c>
      <c r="G251" s="40">
        <f t="shared" ca="1" si="24"/>
        <v>7</v>
      </c>
      <c r="H251" s="23" t="str">
        <f t="shared" ca="1" si="25"/>
        <v>—</v>
      </c>
      <c r="I251" s="40">
        <f t="shared" ca="1" si="26"/>
        <v>7</v>
      </c>
    </row>
    <row r="252" spans="1:9" x14ac:dyDescent="0.25">
      <c r="A252" s="17">
        <f t="shared" si="21"/>
        <v>81</v>
      </c>
      <c r="B252" t="str">
        <f ca="1">TEXT(DATE(YEAR(Invoer!$A$5),1,1)+INT((ROWS(B$2:B252)-1)/3),"jjjjmmdd")</f>
        <v>19200324</v>
      </c>
      <c r="C252" s="35" t="str">
        <f>IF(MOD(ROWS(C$2:C252)-1,3)=2,"24.00",INDEX(Data,2,2+MOD(ROWS(C$2:C252)-1,3)))</f>
        <v>14.00</v>
      </c>
      <c r="D252" s="23">
        <f t="shared" ca="1" si="27"/>
        <v>748</v>
      </c>
      <c r="E252" s="40">
        <f t="shared" ca="1" si="22"/>
        <v>0</v>
      </c>
      <c r="F252" s="23" t="str">
        <f t="shared" ca="1" si="23"/>
        <v>—</v>
      </c>
      <c r="G252" s="40">
        <f t="shared" ca="1" si="24"/>
        <v>7</v>
      </c>
      <c r="H252" s="23" t="str">
        <f t="shared" ca="1" si="25"/>
        <v>—</v>
      </c>
      <c r="I252" s="40">
        <f t="shared" ca="1" si="26"/>
        <v>7</v>
      </c>
    </row>
    <row r="253" spans="1:9" x14ac:dyDescent="0.25">
      <c r="A253" s="17">
        <f t="shared" si="21"/>
        <v>81</v>
      </c>
      <c r="B253" t="str">
        <f ca="1">TEXT(DATE(YEAR(Invoer!$A$5),1,1)+INT((ROWS(B$2:B253)-1)/3),"jjjjmmdd")</f>
        <v>19200324</v>
      </c>
      <c r="C253" s="35" t="str">
        <f>IF(MOD(ROWS(C$2:C253)-1,3)=2,"24.00",INDEX(Data,2,2+MOD(ROWS(C$2:C253)-1,3)))</f>
        <v>24.00</v>
      </c>
      <c r="D253" s="23" t="str">
        <f t="shared" ca="1" si="27"/>
        <v>—</v>
      </c>
      <c r="E253" s="40">
        <f t="shared" ca="1" si="22"/>
        <v>7</v>
      </c>
      <c r="F253" s="23">
        <f t="shared" ca="1" si="23"/>
        <v>25.5</v>
      </c>
      <c r="G253" s="40">
        <f t="shared" ca="1" si="24"/>
        <v>0</v>
      </c>
      <c r="H253" s="23">
        <f t="shared" ca="1" si="25"/>
        <v>27</v>
      </c>
      <c r="I253" s="40">
        <f t="shared" ca="1" si="26"/>
        <v>0</v>
      </c>
    </row>
    <row r="254" spans="1:9" x14ac:dyDescent="0.25">
      <c r="A254" s="17">
        <f t="shared" si="21"/>
        <v>81</v>
      </c>
      <c r="B254" t="str">
        <f ca="1">TEXT(DATE(YEAR(Invoer!$A$5),1,1)+INT((ROWS(B$2:B254)-1)/3),"jjjjmmdd")</f>
        <v>19200325</v>
      </c>
      <c r="C254" s="35" t="str">
        <f>IF(MOD(ROWS(C$2:C254)-1,3)=2,"24.00",INDEX(Data,2,2+MOD(ROWS(C$2:C254)-1,3)))</f>
        <v>08.00</v>
      </c>
      <c r="D254" s="23">
        <f t="shared" ca="1" si="27"/>
        <v>748</v>
      </c>
      <c r="E254" s="40">
        <f t="shared" ca="1" si="22"/>
        <v>0</v>
      </c>
      <c r="F254" s="23" t="str">
        <f t="shared" ca="1" si="23"/>
        <v>—</v>
      </c>
      <c r="G254" s="40">
        <f t="shared" ca="1" si="24"/>
        <v>7</v>
      </c>
      <c r="H254" s="23" t="str">
        <f t="shared" ca="1" si="25"/>
        <v>—</v>
      </c>
      <c r="I254" s="40">
        <f t="shared" ca="1" si="26"/>
        <v>7</v>
      </c>
    </row>
    <row r="255" spans="1:9" x14ac:dyDescent="0.25">
      <c r="A255" s="17">
        <f t="shared" si="21"/>
        <v>81</v>
      </c>
      <c r="B255" t="str">
        <f ca="1">TEXT(DATE(YEAR(Invoer!$A$5),1,1)+INT((ROWS(B$2:B255)-1)/3),"jjjjmmdd")</f>
        <v>19200325</v>
      </c>
      <c r="C255" s="35" t="str">
        <f>IF(MOD(ROWS(C$2:C255)-1,3)=2,"24.00",INDEX(Data,2,2+MOD(ROWS(C$2:C255)-1,3)))</f>
        <v>14.00</v>
      </c>
      <c r="D255" s="23">
        <f t="shared" ca="1" si="27"/>
        <v>747.8</v>
      </c>
      <c r="E255" s="40">
        <f t="shared" ca="1" si="22"/>
        <v>0</v>
      </c>
      <c r="F255" s="23" t="str">
        <f t="shared" ca="1" si="23"/>
        <v>—</v>
      </c>
      <c r="G255" s="40">
        <f t="shared" ca="1" si="24"/>
        <v>7</v>
      </c>
      <c r="H255" s="23" t="str">
        <f t="shared" ca="1" si="25"/>
        <v>—</v>
      </c>
      <c r="I255" s="40">
        <f t="shared" ca="1" si="26"/>
        <v>7</v>
      </c>
    </row>
    <row r="256" spans="1:9" x14ac:dyDescent="0.25">
      <c r="A256" s="17">
        <f t="shared" si="21"/>
        <v>81</v>
      </c>
      <c r="B256" t="str">
        <f ca="1">TEXT(DATE(YEAR(Invoer!$A$5),1,1)+INT((ROWS(B$2:B256)-1)/3),"jjjjmmdd")</f>
        <v>19200325</v>
      </c>
      <c r="C256" s="35" t="str">
        <f>IF(MOD(ROWS(C$2:C256)-1,3)=2,"24.00",INDEX(Data,2,2+MOD(ROWS(C$2:C256)-1,3)))</f>
        <v>24.00</v>
      </c>
      <c r="D256" s="23" t="str">
        <f t="shared" ca="1" si="27"/>
        <v>—</v>
      </c>
      <c r="E256" s="40">
        <f t="shared" ca="1" si="22"/>
        <v>7</v>
      </c>
      <c r="F256" s="23">
        <f t="shared" ca="1" si="23"/>
        <v>22.3</v>
      </c>
      <c r="G256" s="40">
        <f t="shared" ca="1" si="24"/>
        <v>0</v>
      </c>
      <c r="H256" s="23">
        <f t="shared" ca="1" si="25"/>
        <v>22.5</v>
      </c>
      <c r="I256" s="40">
        <f t="shared" ca="1" si="26"/>
        <v>0</v>
      </c>
    </row>
    <row r="257" spans="1:9" x14ac:dyDescent="0.25">
      <c r="A257" s="17">
        <f t="shared" si="21"/>
        <v>81</v>
      </c>
      <c r="B257" t="str">
        <f ca="1">TEXT(DATE(YEAR(Invoer!$A$5),1,1)+INT((ROWS(B$2:B257)-1)/3),"jjjjmmdd")</f>
        <v>19200326</v>
      </c>
      <c r="C257" s="35" t="str">
        <f>IF(MOD(ROWS(C$2:C257)-1,3)=2,"24.00",INDEX(Data,2,2+MOD(ROWS(C$2:C257)-1,3)))</f>
        <v>08.00</v>
      </c>
      <c r="D257" s="23">
        <f t="shared" ca="1" si="27"/>
        <v>749</v>
      </c>
      <c r="E257" s="40">
        <f t="shared" ca="1" si="22"/>
        <v>0</v>
      </c>
      <c r="F257" s="23" t="str">
        <f t="shared" ca="1" si="23"/>
        <v>—</v>
      </c>
      <c r="G257" s="40">
        <f t="shared" ca="1" si="24"/>
        <v>7</v>
      </c>
      <c r="H257" s="23" t="str">
        <f t="shared" ca="1" si="25"/>
        <v>—</v>
      </c>
      <c r="I257" s="40">
        <f t="shared" ca="1" si="26"/>
        <v>7</v>
      </c>
    </row>
    <row r="258" spans="1:9" x14ac:dyDescent="0.25">
      <c r="A258" s="17">
        <f t="shared" ref="A258:A321" si="28">INDEX(Stations,2,1)</f>
        <v>81</v>
      </c>
      <c r="B258" t="str">
        <f ca="1">TEXT(DATE(YEAR(Invoer!$A$5),1,1)+INT((ROWS(B$2:B258)-1)/3),"jjjjmmdd")</f>
        <v>19200326</v>
      </c>
      <c r="C258" s="35" t="str">
        <f>IF(MOD(ROWS(C$2:C258)-1,3)=2,"24.00",INDEX(Data,2,2+MOD(ROWS(C$2:C258)-1,3)))</f>
        <v>14.00</v>
      </c>
      <c r="D258" s="23">
        <f t="shared" ca="1" si="27"/>
        <v>748.8</v>
      </c>
      <c r="E258" s="40">
        <f t="shared" ref="E258:E321" ca="1" si="29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 t="str">
        <f t="shared" ref="F258:F321" ca="1" si="30">IF(OR(ISBLANK(VLOOKUP(DATEVALUE(LEFT($B258,4)&amp;"-"&amp;MID($B258,5,2)&amp;"-"&amp;RIGHT($B258,2)),Data,MATCH(LEFT(VLOOKUP(F$1,Parameters,2,FALSE()),4)&amp;"*",OFFSET(Data,1,0,1),0),FALSE())),ISTEXT(VLOOKUP(DATEVALUE(LEFT($B258,4)&amp;"-"&amp;MID($B258,5,2)&amp;"-"&amp;RIGHT($B258,2)),Data,MATCH(LEFT(VLOOKUP(F$1,Parameters,2,FALSE()),4)&amp;"*",OFFSET(Data,1,0,1),0),FALSE())),NOT(EXACT($C258,"24.00"))),"—",VLOOKUP(DATEVALUE(LEFT($B258,4)&amp;"-"&amp;MID($B258,5,2)&amp;"-"&amp;RIGHT($B258,2)),Data,MATCH(LEFT(VLOOKUP(F$1,Parameters,2,FALSE()),4)&amp;"*",OFFSET(Data,1,0,1),0),FALSE()))</f>
        <v>—</v>
      </c>
      <c r="G258" s="40">
        <f t="shared" ref="G258:G321" ca="1" si="31">IF(OR(ISBLANK(VLOOKUP(DATEVALUE(LEFT($B258,4)&amp;"-"&amp;MID($B258,5,2)&amp;"-"&amp;RIGHT($B258,2)),Data,MATCH(LEFT(VLOOKUP(MID(G$1,2,LEN(G$1)-1),Parameters,2,FALSE()),4)&amp;"*",OFFSET(Data,1,0,1),0),FALSE())),ISTEXT(VLOOKUP(DATEVALUE(LEFT($B258,4)&amp;"-"&amp;MID($B258,5,2)&amp;"-"&amp;RIGHT($B258,2)),Data,MATCH(LEFT(VLOOKUP(MID(G$1,2,LEN(G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1,0,1),0),FALSE())))</f>
        <v>7</v>
      </c>
      <c r="H258" s="23" t="str">
        <f t="shared" ref="H258:H321" ca="1" si="32">IF(OR(ISBLANK(VLOOKUP(DATEVALUE(LEFT($B258,4)&amp;"-"&amp;MID($B258,5,2)&amp;"-"&amp;RIGHT($B258,2)),Data,MATCH(LEFT(VLOOKUP(H$1,Parameters,2,FALSE()),4)&amp;"*",OFFSET(Data,1,0,1),0),FALSE())),ISTEXT(VLOOKUP(DATEVALUE(LEFT($B258,4)&amp;"-"&amp;MID($B258,5,2)&amp;"-"&amp;RIGHT($B258,2)),Data,MATCH(LEFT(VLOOKUP(H$1,Parameters,2,FALSE()),4)&amp;"*",OFFSET(Data,1,0,1),0),FALSE())),NOT(EXACT($C258,"24.00"))),"—",VLOOKUP(DATEVALUE(LEFT($B258,4)&amp;"-"&amp;MID($B258,5,2)&amp;"-"&amp;RIGHT($B258,2)),Data,MATCH(LEFT(VLOOKUP(H$1,Parameters,2,FALSE()),4)&amp;"*",OFFSET(Data,1,0,1),0),FALSE()))</f>
        <v>—</v>
      </c>
      <c r="I258" s="40">
        <f t="shared" ref="I258:I321" ca="1" si="33">IF(OR(ISBLANK(VLOOKUP(DATEVALUE(LEFT($B258,4)&amp;"-"&amp;MID($B258,5,2)&amp;"-"&amp;RIGHT($B258,2)),Data,MATCH(LEFT(VLOOKUP(MID(I$1,2,LEN(I$1)-1),Parameters,2,FALSE()),4)&amp;"*",OFFSET(Data,1,0,1),0),FALSE())),ISTEXT(VLOOKUP(DATEVALUE(LEFT($B258,4)&amp;"-"&amp;MID($B258,5,2)&amp;"-"&amp;RIGHT($B258,2)),Data,MATCH(LEFT(VLOOKUP(MID(I$1,2,LEN(I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4)&amp;"*",OFFSET(Catalogus,1,0,1),0),FALSE())))</f>
        <v>7</v>
      </c>
    </row>
    <row r="259" spans="1:9" x14ac:dyDescent="0.25">
      <c r="A259" s="17">
        <f t="shared" si="28"/>
        <v>81</v>
      </c>
      <c r="B259" t="str">
        <f ca="1">TEXT(DATE(YEAR(Invoer!$A$5),1,1)+INT((ROWS(B$2:B259)-1)/3),"jjjjmmdd")</f>
        <v>19200326</v>
      </c>
      <c r="C259" s="35" t="str">
        <f>IF(MOD(ROWS(C$2:C259)-1,3)=2,"24.00",INDEX(Data,2,2+MOD(ROWS(C$2:C259)-1,3)))</f>
        <v>24.00</v>
      </c>
      <c r="D259" s="23" t="str">
        <f t="shared" ref="D259:D322" ca="1" si="34">IF(OR(ISBLANK(VLOOKUP(DATEVALUE(LEFT($B259,4)&amp;"-"&amp;MID($B259,5,2)&amp;"-"&amp;RIGHT($B259,2)),Data,MATCH(LEFT(VLOOKUP(D$1,Parameters,2,FALSE()),4)&amp;"*",OFFSET(Data,0,0,1),0)+MATCH($C259,OFFSET(Data,1,0,1),0)-2,FALSE())),ISTEXT(VLOOKUP(DATEVALUE(LEFT($B259,4)&amp;"-"&amp;MID($B259,5,2)&amp;"-"&amp;RIGHT($B259,2)),Data,MATCH(LEFT(VLOOKUP(D$1,Parameters,2,FALSE()),4)&amp;"*",OFFSET(Data,0,0,1),0)+MATCH($C259,OFFSET(Data,1,0,1),0)-2,FALSE())),EXACT(C259,"24.00")),"—",VLOOKUP(DATEVALUE(LEFT($B259,4)&amp;"-"&amp;MID($B259,5,2)&amp;"-"&amp;RIGHT($B259,2)),Data,MATCH(LEFT(VLOOKUP(D$1,Parameters,2,FALSE()),4)&amp;"*",OFFSET(Data,0,0,1),0)+MATCH($C259,OFFSET(Data,1,0,1),0)-2,FALSE()))</f>
        <v>—</v>
      </c>
      <c r="E259" s="40">
        <f t="shared" ca="1" si="29"/>
        <v>7</v>
      </c>
      <c r="F259" s="23">
        <f t="shared" ca="1" si="30"/>
        <v>24.5</v>
      </c>
      <c r="G259" s="40">
        <f t="shared" ca="1" si="31"/>
        <v>0</v>
      </c>
      <c r="H259" s="23">
        <f t="shared" ca="1" si="32"/>
        <v>27</v>
      </c>
      <c r="I259" s="40">
        <f t="shared" ca="1" si="33"/>
        <v>0</v>
      </c>
    </row>
    <row r="260" spans="1:9" x14ac:dyDescent="0.25">
      <c r="A260" s="17">
        <f t="shared" si="28"/>
        <v>81</v>
      </c>
      <c r="B260" t="str">
        <f ca="1">TEXT(DATE(YEAR(Invoer!$A$5),1,1)+INT((ROWS(B$2:B260)-1)/3),"jjjjmmdd")</f>
        <v>19200327</v>
      </c>
      <c r="C260" s="35" t="str">
        <f>IF(MOD(ROWS(C$2:C260)-1,3)=2,"24.00",INDEX(Data,2,2+MOD(ROWS(C$2:C260)-1,3)))</f>
        <v>08.00</v>
      </c>
      <c r="D260" s="23">
        <f t="shared" ca="1" si="34"/>
        <v>749</v>
      </c>
      <c r="E260" s="40">
        <f t="shared" ca="1" si="29"/>
        <v>0</v>
      </c>
      <c r="F260" s="23" t="str">
        <f t="shared" ca="1" si="30"/>
        <v>—</v>
      </c>
      <c r="G260" s="40">
        <f t="shared" ca="1" si="31"/>
        <v>7</v>
      </c>
      <c r="H260" s="23" t="str">
        <f t="shared" ca="1" si="32"/>
        <v>—</v>
      </c>
      <c r="I260" s="40">
        <f t="shared" ca="1" si="33"/>
        <v>7</v>
      </c>
    </row>
    <row r="261" spans="1:9" x14ac:dyDescent="0.25">
      <c r="A261" s="17">
        <f t="shared" si="28"/>
        <v>81</v>
      </c>
      <c r="B261" t="str">
        <f ca="1">TEXT(DATE(YEAR(Invoer!$A$5),1,1)+INT((ROWS(B$2:B261)-1)/3),"jjjjmmdd")</f>
        <v>19200327</v>
      </c>
      <c r="C261" s="35" t="str">
        <f>IF(MOD(ROWS(C$2:C261)-1,3)=2,"24.00",INDEX(Data,2,2+MOD(ROWS(C$2:C261)-1,3)))</f>
        <v>14.00</v>
      </c>
      <c r="D261" s="23">
        <f t="shared" ca="1" si="34"/>
        <v>748.6</v>
      </c>
      <c r="E261" s="40">
        <f t="shared" ca="1" si="29"/>
        <v>0</v>
      </c>
      <c r="F261" s="23" t="str">
        <f t="shared" ca="1" si="30"/>
        <v>—</v>
      </c>
      <c r="G261" s="40">
        <f t="shared" ca="1" si="31"/>
        <v>7</v>
      </c>
      <c r="H261" s="23" t="str">
        <f t="shared" ca="1" si="32"/>
        <v>—</v>
      </c>
      <c r="I261" s="40">
        <f t="shared" ca="1" si="33"/>
        <v>7</v>
      </c>
    </row>
    <row r="262" spans="1:9" x14ac:dyDescent="0.25">
      <c r="A262" s="17">
        <f t="shared" si="28"/>
        <v>81</v>
      </c>
      <c r="B262" t="str">
        <f ca="1">TEXT(DATE(YEAR(Invoer!$A$5),1,1)+INT((ROWS(B$2:B262)-1)/3),"jjjjmmdd")</f>
        <v>19200327</v>
      </c>
      <c r="C262" s="35" t="str">
        <f>IF(MOD(ROWS(C$2:C262)-1,3)=2,"24.00",INDEX(Data,2,2+MOD(ROWS(C$2:C262)-1,3)))</f>
        <v>24.00</v>
      </c>
      <c r="D262" s="23" t="str">
        <f t="shared" ca="1" si="34"/>
        <v>—</v>
      </c>
      <c r="E262" s="40">
        <f t="shared" ca="1" si="29"/>
        <v>7</v>
      </c>
      <c r="F262" s="23">
        <f t="shared" ca="1" si="30"/>
        <v>24</v>
      </c>
      <c r="G262" s="40">
        <f t="shared" ca="1" si="31"/>
        <v>0</v>
      </c>
      <c r="H262" s="23">
        <f t="shared" ca="1" si="32"/>
        <v>27.8</v>
      </c>
      <c r="I262" s="40">
        <f t="shared" ca="1" si="33"/>
        <v>0</v>
      </c>
    </row>
    <row r="263" spans="1:9" x14ac:dyDescent="0.25">
      <c r="A263" s="17">
        <f t="shared" si="28"/>
        <v>81</v>
      </c>
      <c r="B263" t="str">
        <f ca="1">TEXT(DATE(YEAR(Invoer!$A$5),1,1)+INT((ROWS(B$2:B263)-1)/3),"jjjjmmdd")</f>
        <v>19200328</v>
      </c>
      <c r="C263" s="35" t="str">
        <f>IF(MOD(ROWS(C$2:C263)-1,3)=2,"24.00",INDEX(Data,2,2+MOD(ROWS(C$2:C263)-1,3)))</f>
        <v>08.00</v>
      </c>
      <c r="D263" s="23">
        <f t="shared" ca="1" si="34"/>
        <v>749</v>
      </c>
      <c r="E263" s="40">
        <f t="shared" ca="1" si="29"/>
        <v>0</v>
      </c>
      <c r="F263" s="23" t="str">
        <f t="shared" ca="1" si="30"/>
        <v>—</v>
      </c>
      <c r="G263" s="40">
        <f t="shared" ca="1" si="31"/>
        <v>7</v>
      </c>
      <c r="H263" s="23" t="str">
        <f t="shared" ca="1" si="32"/>
        <v>—</v>
      </c>
      <c r="I263" s="40">
        <f t="shared" ca="1" si="33"/>
        <v>7</v>
      </c>
    </row>
    <row r="264" spans="1:9" x14ac:dyDescent="0.25">
      <c r="A264" s="17">
        <f t="shared" si="28"/>
        <v>81</v>
      </c>
      <c r="B264" t="str">
        <f ca="1">TEXT(DATE(YEAR(Invoer!$A$5),1,1)+INT((ROWS(B$2:B264)-1)/3),"jjjjmmdd")</f>
        <v>19200328</v>
      </c>
      <c r="C264" s="35" t="str">
        <f>IF(MOD(ROWS(C$2:C264)-1,3)=2,"24.00",INDEX(Data,2,2+MOD(ROWS(C$2:C264)-1,3)))</f>
        <v>14.00</v>
      </c>
      <c r="D264" s="23">
        <f t="shared" ca="1" si="34"/>
        <v>748</v>
      </c>
      <c r="E264" s="40">
        <f t="shared" ca="1" si="29"/>
        <v>0</v>
      </c>
      <c r="F264" s="23" t="str">
        <f t="shared" ca="1" si="30"/>
        <v>—</v>
      </c>
      <c r="G264" s="40">
        <f t="shared" ca="1" si="31"/>
        <v>7</v>
      </c>
      <c r="H264" s="23" t="str">
        <f t="shared" ca="1" si="32"/>
        <v>—</v>
      </c>
      <c r="I264" s="40">
        <f t="shared" ca="1" si="33"/>
        <v>7</v>
      </c>
    </row>
    <row r="265" spans="1:9" x14ac:dyDescent="0.25">
      <c r="A265" s="17">
        <f t="shared" si="28"/>
        <v>81</v>
      </c>
      <c r="B265" t="str">
        <f ca="1">TEXT(DATE(YEAR(Invoer!$A$5),1,1)+INT((ROWS(B$2:B265)-1)/3),"jjjjmmdd")</f>
        <v>19200328</v>
      </c>
      <c r="C265" s="35" t="str">
        <f>IF(MOD(ROWS(C$2:C265)-1,3)=2,"24.00",INDEX(Data,2,2+MOD(ROWS(C$2:C265)-1,3)))</f>
        <v>24.00</v>
      </c>
      <c r="D265" s="23" t="str">
        <f t="shared" ca="1" si="34"/>
        <v>—</v>
      </c>
      <c r="E265" s="40">
        <f t="shared" ca="1" si="29"/>
        <v>7</v>
      </c>
      <c r="F265" s="23">
        <f t="shared" ca="1" si="30"/>
        <v>24</v>
      </c>
      <c r="G265" s="40">
        <f t="shared" ca="1" si="31"/>
        <v>0</v>
      </c>
      <c r="H265" s="23">
        <f t="shared" ca="1" si="32"/>
        <v>27</v>
      </c>
      <c r="I265" s="40">
        <f t="shared" ca="1" si="33"/>
        <v>0</v>
      </c>
    </row>
    <row r="266" spans="1:9" x14ac:dyDescent="0.25">
      <c r="A266" s="17">
        <f t="shared" si="28"/>
        <v>81</v>
      </c>
      <c r="B266" t="str">
        <f ca="1">TEXT(DATE(YEAR(Invoer!$A$5),1,1)+INT((ROWS(B$2:B266)-1)/3),"jjjjmmdd")</f>
        <v>19200329</v>
      </c>
      <c r="C266" s="35" t="str">
        <f>IF(MOD(ROWS(C$2:C266)-1,3)=2,"24.00",INDEX(Data,2,2+MOD(ROWS(C$2:C266)-1,3)))</f>
        <v>08.00</v>
      </c>
      <c r="D266" s="23">
        <f t="shared" ca="1" si="34"/>
        <v>750</v>
      </c>
      <c r="E266" s="40">
        <f t="shared" ca="1" si="29"/>
        <v>0</v>
      </c>
      <c r="F266" s="23" t="str">
        <f t="shared" ca="1" si="30"/>
        <v>—</v>
      </c>
      <c r="G266" s="40">
        <f t="shared" ca="1" si="31"/>
        <v>7</v>
      </c>
      <c r="H266" s="23" t="str">
        <f t="shared" ca="1" si="32"/>
        <v>—</v>
      </c>
      <c r="I266" s="40">
        <f t="shared" ca="1" si="33"/>
        <v>7</v>
      </c>
    </row>
    <row r="267" spans="1:9" x14ac:dyDescent="0.25">
      <c r="A267" s="17">
        <f t="shared" si="28"/>
        <v>81</v>
      </c>
      <c r="B267" t="str">
        <f ca="1">TEXT(DATE(YEAR(Invoer!$A$5),1,1)+INT((ROWS(B$2:B267)-1)/3),"jjjjmmdd")</f>
        <v>19200329</v>
      </c>
      <c r="C267" s="35" t="str">
        <f>IF(MOD(ROWS(C$2:C267)-1,3)=2,"24.00",INDEX(Data,2,2+MOD(ROWS(C$2:C267)-1,3)))</f>
        <v>14.00</v>
      </c>
      <c r="D267" s="23">
        <f t="shared" ca="1" si="34"/>
        <v>749</v>
      </c>
      <c r="E267" s="40">
        <f t="shared" ca="1" si="29"/>
        <v>0</v>
      </c>
      <c r="F267" s="23" t="str">
        <f t="shared" ca="1" si="30"/>
        <v>—</v>
      </c>
      <c r="G267" s="40">
        <f t="shared" ca="1" si="31"/>
        <v>7</v>
      </c>
      <c r="H267" s="23" t="str">
        <f t="shared" ca="1" si="32"/>
        <v>—</v>
      </c>
      <c r="I267" s="40">
        <f t="shared" ca="1" si="33"/>
        <v>7</v>
      </c>
    </row>
    <row r="268" spans="1:9" x14ac:dyDescent="0.25">
      <c r="A268" s="17">
        <f t="shared" si="28"/>
        <v>81</v>
      </c>
      <c r="B268" t="str">
        <f ca="1">TEXT(DATE(YEAR(Invoer!$A$5),1,1)+INT((ROWS(B$2:B268)-1)/3),"jjjjmmdd")</f>
        <v>19200329</v>
      </c>
      <c r="C268" s="35" t="str">
        <f>IF(MOD(ROWS(C$2:C268)-1,3)=2,"24.00",INDEX(Data,2,2+MOD(ROWS(C$2:C268)-1,3)))</f>
        <v>24.00</v>
      </c>
      <c r="D268" s="23" t="str">
        <f t="shared" ca="1" si="34"/>
        <v>—</v>
      </c>
      <c r="E268" s="40">
        <f t="shared" ca="1" si="29"/>
        <v>7</v>
      </c>
      <c r="F268" s="23">
        <f t="shared" ca="1" si="30"/>
        <v>23.8</v>
      </c>
      <c r="G268" s="40">
        <f t="shared" ca="1" si="31"/>
        <v>0</v>
      </c>
      <c r="H268" s="23">
        <f t="shared" ca="1" si="32"/>
        <v>27</v>
      </c>
      <c r="I268" s="40">
        <f t="shared" ca="1" si="33"/>
        <v>0</v>
      </c>
    </row>
    <row r="269" spans="1:9" x14ac:dyDescent="0.25">
      <c r="A269" s="17">
        <f t="shared" si="28"/>
        <v>81</v>
      </c>
      <c r="B269" t="str">
        <f ca="1">TEXT(DATE(YEAR(Invoer!$A$5),1,1)+INT((ROWS(B$2:B269)-1)/3),"jjjjmmdd")</f>
        <v>19200330</v>
      </c>
      <c r="C269" s="35" t="str">
        <f>IF(MOD(ROWS(C$2:C269)-1,3)=2,"24.00",INDEX(Data,2,2+MOD(ROWS(C$2:C269)-1,3)))</f>
        <v>08.00</v>
      </c>
      <c r="D269" s="23">
        <f t="shared" ca="1" si="34"/>
        <v>750</v>
      </c>
      <c r="E269" s="40">
        <f t="shared" ca="1" si="29"/>
        <v>0</v>
      </c>
      <c r="F269" s="23" t="str">
        <f t="shared" ca="1" si="30"/>
        <v>—</v>
      </c>
      <c r="G269" s="40">
        <f t="shared" ca="1" si="31"/>
        <v>7</v>
      </c>
      <c r="H269" s="23" t="str">
        <f t="shared" ca="1" si="32"/>
        <v>—</v>
      </c>
      <c r="I269" s="40">
        <f t="shared" ca="1" si="33"/>
        <v>7</v>
      </c>
    </row>
    <row r="270" spans="1:9" x14ac:dyDescent="0.25">
      <c r="A270" s="17">
        <f t="shared" si="28"/>
        <v>81</v>
      </c>
      <c r="B270" t="str">
        <f ca="1">TEXT(DATE(YEAR(Invoer!$A$5),1,1)+INT((ROWS(B$2:B270)-1)/3),"jjjjmmdd")</f>
        <v>19200330</v>
      </c>
      <c r="C270" s="35" t="str">
        <f>IF(MOD(ROWS(C$2:C270)-1,3)=2,"24.00",INDEX(Data,2,2+MOD(ROWS(C$2:C270)-1,3)))</f>
        <v>14.00</v>
      </c>
      <c r="D270" s="23">
        <f t="shared" ca="1" si="34"/>
        <v>748.9</v>
      </c>
      <c r="E270" s="40">
        <f t="shared" ca="1" si="29"/>
        <v>0</v>
      </c>
      <c r="F270" s="23" t="str">
        <f t="shared" ca="1" si="30"/>
        <v>—</v>
      </c>
      <c r="G270" s="40">
        <f t="shared" ca="1" si="31"/>
        <v>7</v>
      </c>
      <c r="H270" s="23" t="str">
        <f t="shared" ca="1" si="32"/>
        <v>—</v>
      </c>
      <c r="I270" s="40">
        <f t="shared" ca="1" si="33"/>
        <v>7</v>
      </c>
    </row>
    <row r="271" spans="1:9" x14ac:dyDescent="0.25">
      <c r="A271" s="17">
        <f t="shared" si="28"/>
        <v>81</v>
      </c>
      <c r="B271" t="str">
        <f ca="1">TEXT(DATE(YEAR(Invoer!$A$5),1,1)+INT((ROWS(B$2:B271)-1)/3),"jjjjmmdd")</f>
        <v>19200330</v>
      </c>
      <c r="C271" s="35" t="str">
        <f>IF(MOD(ROWS(C$2:C271)-1,3)=2,"24.00",INDEX(Data,2,2+MOD(ROWS(C$2:C271)-1,3)))</f>
        <v>24.00</v>
      </c>
      <c r="D271" s="23" t="str">
        <f t="shared" ca="1" si="34"/>
        <v>—</v>
      </c>
      <c r="E271" s="40">
        <f t="shared" ca="1" si="29"/>
        <v>7</v>
      </c>
      <c r="F271" s="23">
        <f t="shared" ca="1" si="30"/>
        <v>24</v>
      </c>
      <c r="G271" s="40">
        <f t="shared" ca="1" si="31"/>
        <v>0</v>
      </c>
      <c r="H271" s="23">
        <f t="shared" ca="1" si="32"/>
        <v>27</v>
      </c>
      <c r="I271" s="40">
        <f t="shared" ca="1" si="33"/>
        <v>0</v>
      </c>
    </row>
    <row r="272" spans="1:9" x14ac:dyDescent="0.25">
      <c r="A272" s="17">
        <f t="shared" si="28"/>
        <v>81</v>
      </c>
      <c r="B272" t="str">
        <f ca="1">TEXT(DATE(YEAR(Invoer!$A$5),1,1)+INT((ROWS(B$2:B272)-1)/3),"jjjjmmdd")</f>
        <v>19200331</v>
      </c>
      <c r="C272" s="35" t="str">
        <f>IF(MOD(ROWS(C$2:C272)-1,3)=2,"24.00",INDEX(Data,2,2+MOD(ROWS(C$2:C272)-1,3)))</f>
        <v>08.00</v>
      </c>
      <c r="D272" s="23">
        <f t="shared" ca="1" si="34"/>
        <v>749</v>
      </c>
      <c r="E272" s="40">
        <f t="shared" ca="1" si="29"/>
        <v>0</v>
      </c>
      <c r="F272" s="23" t="str">
        <f t="shared" ca="1" si="30"/>
        <v>—</v>
      </c>
      <c r="G272" s="40">
        <f t="shared" ca="1" si="31"/>
        <v>7</v>
      </c>
      <c r="H272" s="23" t="str">
        <f t="shared" ca="1" si="32"/>
        <v>—</v>
      </c>
      <c r="I272" s="40">
        <f t="shared" ca="1" si="33"/>
        <v>7</v>
      </c>
    </row>
    <row r="273" spans="1:9" x14ac:dyDescent="0.25">
      <c r="A273" s="17">
        <f t="shared" si="28"/>
        <v>81</v>
      </c>
      <c r="B273" t="str">
        <f ca="1">TEXT(DATE(YEAR(Invoer!$A$5),1,1)+INT((ROWS(B$2:B273)-1)/3),"jjjjmmdd")</f>
        <v>19200331</v>
      </c>
      <c r="C273" s="35" t="str">
        <f>IF(MOD(ROWS(C$2:C273)-1,3)=2,"24.00",INDEX(Data,2,2+MOD(ROWS(C$2:C273)-1,3)))</f>
        <v>14.00</v>
      </c>
      <c r="D273" s="23">
        <f t="shared" ca="1" si="34"/>
        <v>748.9</v>
      </c>
      <c r="E273" s="40">
        <f t="shared" ca="1" si="29"/>
        <v>0</v>
      </c>
      <c r="F273" s="23" t="str">
        <f t="shared" ca="1" si="30"/>
        <v>—</v>
      </c>
      <c r="G273" s="40">
        <f t="shared" ca="1" si="31"/>
        <v>7</v>
      </c>
      <c r="H273" s="23" t="str">
        <f t="shared" ca="1" si="32"/>
        <v>—</v>
      </c>
      <c r="I273" s="40">
        <f t="shared" ca="1" si="33"/>
        <v>7</v>
      </c>
    </row>
    <row r="274" spans="1:9" x14ac:dyDescent="0.25">
      <c r="A274" s="17">
        <f t="shared" si="28"/>
        <v>81</v>
      </c>
      <c r="B274" t="str">
        <f ca="1">TEXT(DATE(YEAR(Invoer!$A$5),1,1)+INT((ROWS(B$2:B274)-1)/3),"jjjjmmdd")</f>
        <v>19200331</v>
      </c>
      <c r="C274" s="35" t="str">
        <f>IF(MOD(ROWS(C$2:C274)-1,3)=2,"24.00",INDEX(Data,2,2+MOD(ROWS(C$2:C274)-1,3)))</f>
        <v>24.00</v>
      </c>
      <c r="D274" s="23" t="str">
        <f t="shared" ca="1" si="34"/>
        <v>—</v>
      </c>
      <c r="E274" s="40">
        <f t="shared" ca="1" si="29"/>
        <v>7</v>
      </c>
      <c r="F274" s="23">
        <f t="shared" ca="1" si="30"/>
        <v>23</v>
      </c>
      <c r="G274" s="40">
        <f t="shared" ca="1" si="31"/>
        <v>0</v>
      </c>
      <c r="H274" s="23">
        <f t="shared" ca="1" si="32"/>
        <v>27.8</v>
      </c>
      <c r="I274" s="40">
        <f t="shared" ca="1" si="33"/>
        <v>0</v>
      </c>
    </row>
    <row r="275" spans="1:9" x14ac:dyDescent="0.25">
      <c r="A275" s="17">
        <f t="shared" si="28"/>
        <v>81</v>
      </c>
      <c r="B275" t="str">
        <f ca="1">TEXT(DATE(YEAR(Invoer!$A$5),1,1)+INT((ROWS(B$2:B275)-1)/3),"jjjjmmdd")</f>
        <v>19200401</v>
      </c>
      <c r="C275" s="35" t="str">
        <f>IF(MOD(ROWS(C$2:C275)-1,3)=2,"24.00",INDEX(Data,2,2+MOD(ROWS(C$2:C275)-1,3)))</f>
        <v>08.00</v>
      </c>
      <c r="D275" s="23">
        <f t="shared" ca="1" si="34"/>
        <v>749</v>
      </c>
      <c r="E275" s="40">
        <f t="shared" ca="1" si="29"/>
        <v>0</v>
      </c>
      <c r="F275" s="23" t="str">
        <f t="shared" ca="1" si="30"/>
        <v>—</v>
      </c>
      <c r="G275" s="40">
        <f t="shared" ca="1" si="31"/>
        <v>7</v>
      </c>
      <c r="H275" s="23" t="str">
        <f t="shared" ca="1" si="32"/>
        <v>—</v>
      </c>
      <c r="I275" s="40">
        <f t="shared" ca="1" si="33"/>
        <v>7</v>
      </c>
    </row>
    <row r="276" spans="1:9" x14ac:dyDescent="0.25">
      <c r="A276" s="17">
        <f t="shared" si="28"/>
        <v>81</v>
      </c>
      <c r="B276" t="str">
        <f ca="1">TEXT(DATE(YEAR(Invoer!$A$5),1,1)+INT((ROWS(B$2:B276)-1)/3),"jjjjmmdd")</f>
        <v>19200401</v>
      </c>
      <c r="C276" s="35" t="str">
        <f>IF(MOD(ROWS(C$2:C276)-1,3)=2,"24.00",INDEX(Data,2,2+MOD(ROWS(C$2:C276)-1,3)))</f>
        <v>14.00</v>
      </c>
      <c r="D276" s="23">
        <f t="shared" ca="1" si="34"/>
        <v>748.3</v>
      </c>
      <c r="E276" s="40">
        <f t="shared" ca="1" si="29"/>
        <v>0</v>
      </c>
      <c r="F276" s="23" t="str">
        <f t="shared" ca="1" si="30"/>
        <v>—</v>
      </c>
      <c r="G276" s="40">
        <f t="shared" ca="1" si="31"/>
        <v>7</v>
      </c>
      <c r="H276" s="23" t="str">
        <f t="shared" ca="1" si="32"/>
        <v>—</v>
      </c>
      <c r="I276" s="40">
        <f t="shared" ca="1" si="33"/>
        <v>7</v>
      </c>
    </row>
    <row r="277" spans="1:9" x14ac:dyDescent="0.25">
      <c r="A277" s="17">
        <f t="shared" si="28"/>
        <v>81</v>
      </c>
      <c r="B277" t="str">
        <f ca="1">TEXT(DATE(YEAR(Invoer!$A$5),1,1)+INT((ROWS(B$2:B277)-1)/3),"jjjjmmdd")</f>
        <v>19200401</v>
      </c>
      <c r="C277" s="35" t="str">
        <f>IF(MOD(ROWS(C$2:C277)-1,3)=2,"24.00",INDEX(Data,2,2+MOD(ROWS(C$2:C277)-1,3)))</f>
        <v>24.00</v>
      </c>
      <c r="D277" s="23" t="str">
        <f t="shared" ca="1" si="34"/>
        <v>—</v>
      </c>
      <c r="E277" s="40">
        <f t="shared" ca="1" si="29"/>
        <v>7</v>
      </c>
      <c r="F277" s="23">
        <f t="shared" ca="1" si="30"/>
        <v>24.3</v>
      </c>
      <c r="G277" s="40">
        <f t="shared" ca="1" si="31"/>
        <v>0</v>
      </c>
      <c r="H277" s="23">
        <f t="shared" ca="1" si="32"/>
        <v>27.5</v>
      </c>
      <c r="I277" s="40">
        <f t="shared" ca="1" si="33"/>
        <v>0</v>
      </c>
    </row>
    <row r="278" spans="1:9" x14ac:dyDescent="0.25">
      <c r="A278" s="17">
        <f t="shared" si="28"/>
        <v>81</v>
      </c>
      <c r="B278" t="str">
        <f ca="1">TEXT(DATE(YEAR(Invoer!$A$5),1,1)+INT((ROWS(B$2:B278)-1)/3),"jjjjmmdd")</f>
        <v>19200402</v>
      </c>
      <c r="C278" s="35" t="str">
        <f>IF(MOD(ROWS(C$2:C278)-1,3)=2,"24.00",INDEX(Data,2,2+MOD(ROWS(C$2:C278)-1,3)))</f>
        <v>08.00</v>
      </c>
      <c r="D278" s="23">
        <f t="shared" ca="1" si="34"/>
        <v>749</v>
      </c>
      <c r="E278" s="40">
        <f t="shared" ca="1" si="29"/>
        <v>0</v>
      </c>
      <c r="F278" s="23" t="str">
        <f t="shared" ca="1" si="30"/>
        <v>—</v>
      </c>
      <c r="G278" s="40">
        <f t="shared" ca="1" si="31"/>
        <v>7</v>
      </c>
      <c r="H278" s="23" t="str">
        <f t="shared" ca="1" si="32"/>
        <v>—</v>
      </c>
      <c r="I278" s="40">
        <f t="shared" ca="1" si="33"/>
        <v>7</v>
      </c>
    </row>
    <row r="279" spans="1:9" x14ac:dyDescent="0.25">
      <c r="A279" s="17">
        <f t="shared" si="28"/>
        <v>81</v>
      </c>
      <c r="B279" t="str">
        <f ca="1">TEXT(DATE(YEAR(Invoer!$A$5),1,1)+INT((ROWS(B$2:B279)-1)/3),"jjjjmmdd")</f>
        <v>19200402</v>
      </c>
      <c r="C279" s="35" t="str">
        <f>IF(MOD(ROWS(C$2:C279)-1,3)=2,"24.00",INDEX(Data,2,2+MOD(ROWS(C$2:C279)-1,3)))</f>
        <v>14.00</v>
      </c>
      <c r="D279" s="23">
        <f t="shared" ca="1" si="34"/>
        <v>748.5</v>
      </c>
      <c r="E279" s="40">
        <f t="shared" ca="1" si="29"/>
        <v>0</v>
      </c>
      <c r="F279" s="23" t="str">
        <f t="shared" ca="1" si="30"/>
        <v>—</v>
      </c>
      <c r="G279" s="40">
        <f t="shared" ca="1" si="31"/>
        <v>7</v>
      </c>
      <c r="H279" s="23" t="str">
        <f t="shared" ca="1" si="32"/>
        <v>—</v>
      </c>
      <c r="I279" s="40">
        <f t="shared" ca="1" si="33"/>
        <v>7</v>
      </c>
    </row>
    <row r="280" spans="1:9" x14ac:dyDescent="0.25">
      <c r="A280" s="17">
        <f t="shared" si="28"/>
        <v>81</v>
      </c>
      <c r="B280" t="str">
        <f ca="1">TEXT(DATE(YEAR(Invoer!$A$5),1,1)+INT((ROWS(B$2:B280)-1)/3),"jjjjmmdd")</f>
        <v>19200402</v>
      </c>
      <c r="C280" s="35" t="str">
        <f>IF(MOD(ROWS(C$2:C280)-1,3)=2,"24.00",INDEX(Data,2,2+MOD(ROWS(C$2:C280)-1,3)))</f>
        <v>24.00</v>
      </c>
      <c r="D280" s="23" t="str">
        <f t="shared" ca="1" si="34"/>
        <v>—</v>
      </c>
      <c r="E280" s="40">
        <f t="shared" ca="1" si="29"/>
        <v>7</v>
      </c>
      <c r="F280" s="23">
        <f t="shared" ca="1" si="30"/>
        <v>24.5</v>
      </c>
      <c r="G280" s="40">
        <f t="shared" ca="1" si="31"/>
        <v>0</v>
      </c>
      <c r="H280" s="23">
        <f t="shared" ca="1" si="32"/>
        <v>28</v>
      </c>
      <c r="I280" s="40">
        <f t="shared" ca="1" si="33"/>
        <v>0</v>
      </c>
    </row>
    <row r="281" spans="1:9" x14ac:dyDescent="0.25">
      <c r="A281" s="17">
        <f t="shared" si="28"/>
        <v>81</v>
      </c>
      <c r="B281" t="str">
        <f ca="1">TEXT(DATE(YEAR(Invoer!$A$5),1,1)+INT((ROWS(B$2:B281)-1)/3),"jjjjmmdd")</f>
        <v>19200403</v>
      </c>
      <c r="C281" s="35" t="str">
        <f>IF(MOD(ROWS(C$2:C281)-1,3)=2,"24.00",INDEX(Data,2,2+MOD(ROWS(C$2:C281)-1,3)))</f>
        <v>08.00</v>
      </c>
      <c r="D281" s="23">
        <f t="shared" ca="1" si="34"/>
        <v>749</v>
      </c>
      <c r="E281" s="40">
        <f t="shared" ca="1" si="29"/>
        <v>0</v>
      </c>
      <c r="F281" s="23" t="str">
        <f t="shared" ca="1" si="30"/>
        <v>—</v>
      </c>
      <c r="G281" s="40">
        <f t="shared" ca="1" si="31"/>
        <v>7</v>
      </c>
      <c r="H281" s="23" t="str">
        <f t="shared" ca="1" si="32"/>
        <v>—</v>
      </c>
      <c r="I281" s="40">
        <f t="shared" ca="1" si="33"/>
        <v>7</v>
      </c>
    </row>
    <row r="282" spans="1:9" x14ac:dyDescent="0.25">
      <c r="A282" s="17">
        <f t="shared" si="28"/>
        <v>81</v>
      </c>
      <c r="B282" t="str">
        <f ca="1">TEXT(DATE(YEAR(Invoer!$A$5),1,1)+INT((ROWS(B$2:B282)-1)/3),"jjjjmmdd")</f>
        <v>19200403</v>
      </c>
      <c r="C282" s="35" t="str">
        <f>IF(MOD(ROWS(C$2:C282)-1,3)=2,"24.00",INDEX(Data,2,2+MOD(ROWS(C$2:C282)-1,3)))</f>
        <v>14.00</v>
      </c>
      <c r="D282" s="23">
        <f t="shared" ca="1" si="34"/>
        <v>748.6</v>
      </c>
      <c r="E282" s="40">
        <f t="shared" ca="1" si="29"/>
        <v>0</v>
      </c>
      <c r="F282" s="23" t="str">
        <f t="shared" ca="1" si="30"/>
        <v>—</v>
      </c>
      <c r="G282" s="40">
        <f t="shared" ca="1" si="31"/>
        <v>7</v>
      </c>
      <c r="H282" s="23" t="str">
        <f t="shared" ca="1" si="32"/>
        <v>—</v>
      </c>
      <c r="I282" s="40">
        <f t="shared" ca="1" si="33"/>
        <v>7</v>
      </c>
    </row>
    <row r="283" spans="1:9" x14ac:dyDescent="0.25">
      <c r="A283" s="17">
        <f t="shared" si="28"/>
        <v>81</v>
      </c>
      <c r="B283" t="str">
        <f ca="1">TEXT(DATE(YEAR(Invoer!$A$5),1,1)+INT((ROWS(B$2:B283)-1)/3),"jjjjmmdd")</f>
        <v>19200403</v>
      </c>
      <c r="C283" s="35" t="str">
        <f>IF(MOD(ROWS(C$2:C283)-1,3)=2,"24.00",INDEX(Data,2,2+MOD(ROWS(C$2:C283)-1,3)))</f>
        <v>24.00</v>
      </c>
      <c r="D283" s="23" t="str">
        <f t="shared" ca="1" si="34"/>
        <v>—</v>
      </c>
      <c r="E283" s="40">
        <f t="shared" ca="1" si="29"/>
        <v>7</v>
      </c>
      <c r="F283" s="23">
        <f t="shared" ca="1" si="30"/>
        <v>24.5</v>
      </c>
      <c r="G283" s="40">
        <f t="shared" ca="1" si="31"/>
        <v>0</v>
      </c>
      <c r="H283" s="23">
        <f t="shared" ca="1" si="32"/>
        <v>28.5</v>
      </c>
      <c r="I283" s="40">
        <f t="shared" ca="1" si="33"/>
        <v>0</v>
      </c>
    </row>
    <row r="284" spans="1:9" x14ac:dyDescent="0.25">
      <c r="A284" s="17">
        <f t="shared" si="28"/>
        <v>81</v>
      </c>
      <c r="B284" t="str">
        <f ca="1">TEXT(DATE(YEAR(Invoer!$A$5),1,1)+INT((ROWS(B$2:B284)-1)/3),"jjjjmmdd")</f>
        <v>19200404</v>
      </c>
      <c r="C284" s="35" t="str">
        <f>IF(MOD(ROWS(C$2:C284)-1,3)=2,"24.00",INDEX(Data,2,2+MOD(ROWS(C$2:C284)-1,3)))</f>
        <v>08.00</v>
      </c>
      <c r="D284" s="23">
        <f t="shared" ca="1" si="34"/>
        <v>749</v>
      </c>
      <c r="E284" s="40">
        <f t="shared" ca="1" si="29"/>
        <v>0</v>
      </c>
      <c r="F284" s="23" t="str">
        <f t="shared" ca="1" si="30"/>
        <v>—</v>
      </c>
      <c r="G284" s="40">
        <f t="shared" ca="1" si="31"/>
        <v>7</v>
      </c>
      <c r="H284" s="23" t="str">
        <f t="shared" ca="1" si="32"/>
        <v>—</v>
      </c>
      <c r="I284" s="40">
        <f t="shared" ca="1" si="33"/>
        <v>7</v>
      </c>
    </row>
    <row r="285" spans="1:9" x14ac:dyDescent="0.25">
      <c r="A285" s="17">
        <f t="shared" si="28"/>
        <v>81</v>
      </c>
      <c r="B285" t="str">
        <f ca="1">TEXT(DATE(YEAR(Invoer!$A$5),1,1)+INT((ROWS(B$2:B285)-1)/3),"jjjjmmdd")</f>
        <v>19200404</v>
      </c>
      <c r="C285" s="35" t="str">
        <f>IF(MOD(ROWS(C$2:C285)-1,3)=2,"24.00",INDEX(Data,2,2+MOD(ROWS(C$2:C285)-1,3)))</f>
        <v>14.00</v>
      </c>
      <c r="D285" s="23">
        <f t="shared" ca="1" si="34"/>
        <v>748</v>
      </c>
      <c r="E285" s="40">
        <f t="shared" ca="1" si="29"/>
        <v>0</v>
      </c>
      <c r="F285" s="23" t="str">
        <f t="shared" ca="1" si="30"/>
        <v>—</v>
      </c>
      <c r="G285" s="40">
        <f t="shared" ca="1" si="31"/>
        <v>7</v>
      </c>
      <c r="H285" s="23" t="str">
        <f t="shared" ca="1" si="32"/>
        <v>—</v>
      </c>
      <c r="I285" s="40">
        <f t="shared" ca="1" si="33"/>
        <v>7</v>
      </c>
    </row>
    <row r="286" spans="1:9" x14ac:dyDescent="0.25">
      <c r="A286" s="17">
        <f t="shared" si="28"/>
        <v>81</v>
      </c>
      <c r="B286" t="str">
        <f ca="1">TEXT(DATE(YEAR(Invoer!$A$5),1,1)+INT((ROWS(B$2:B286)-1)/3),"jjjjmmdd")</f>
        <v>19200404</v>
      </c>
      <c r="C286" s="35" t="str">
        <f>IF(MOD(ROWS(C$2:C286)-1,3)=2,"24.00",INDEX(Data,2,2+MOD(ROWS(C$2:C286)-1,3)))</f>
        <v>24.00</v>
      </c>
      <c r="D286" s="23" t="str">
        <f t="shared" ca="1" si="34"/>
        <v>—</v>
      </c>
      <c r="E286" s="40">
        <f t="shared" ca="1" si="29"/>
        <v>7</v>
      </c>
      <c r="F286" s="23">
        <f t="shared" ca="1" si="30"/>
        <v>24.3</v>
      </c>
      <c r="G286" s="40">
        <f t="shared" ca="1" si="31"/>
        <v>0</v>
      </c>
      <c r="H286" s="23">
        <f t="shared" ca="1" si="32"/>
        <v>28</v>
      </c>
      <c r="I286" s="40">
        <f t="shared" ca="1" si="33"/>
        <v>0</v>
      </c>
    </row>
    <row r="287" spans="1:9" x14ac:dyDescent="0.25">
      <c r="A287" s="17">
        <f t="shared" si="28"/>
        <v>81</v>
      </c>
      <c r="B287" t="str">
        <f ca="1">TEXT(DATE(YEAR(Invoer!$A$5),1,1)+INT((ROWS(B$2:B287)-1)/3),"jjjjmmdd")</f>
        <v>19200405</v>
      </c>
      <c r="C287" s="35" t="str">
        <f>IF(MOD(ROWS(C$2:C287)-1,3)=2,"24.00",INDEX(Data,2,2+MOD(ROWS(C$2:C287)-1,3)))</f>
        <v>08.00</v>
      </c>
      <c r="D287" s="23">
        <f t="shared" ca="1" si="34"/>
        <v>748.7</v>
      </c>
      <c r="E287" s="40">
        <f t="shared" ca="1" si="29"/>
        <v>0</v>
      </c>
      <c r="F287" s="23" t="str">
        <f t="shared" ca="1" si="30"/>
        <v>—</v>
      </c>
      <c r="G287" s="40">
        <f t="shared" ca="1" si="31"/>
        <v>7</v>
      </c>
      <c r="H287" s="23" t="str">
        <f t="shared" ca="1" si="32"/>
        <v>—</v>
      </c>
      <c r="I287" s="40">
        <f t="shared" ca="1" si="33"/>
        <v>7</v>
      </c>
    </row>
    <row r="288" spans="1:9" x14ac:dyDescent="0.25">
      <c r="A288" s="17">
        <f t="shared" si="28"/>
        <v>81</v>
      </c>
      <c r="B288" t="str">
        <f ca="1">TEXT(DATE(YEAR(Invoer!$A$5),1,1)+INT((ROWS(B$2:B288)-1)/3),"jjjjmmdd")</f>
        <v>19200405</v>
      </c>
      <c r="C288" s="35" t="str">
        <f>IF(MOD(ROWS(C$2:C288)-1,3)=2,"24.00",INDEX(Data,2,2+MOD(ROWS(C$2:C288)-1,3)))</f>
        <v>14.00</v>
      </c>
      <c r="D288" s="23">
        <f t="shared" ca="1" si="34"/>
        <v>748.2</v>
      </c>
      <c r="E288" s="40">
        <f t="shared" ca="1" si="29"/>
        <v>0</v>
      </c>
      <c r="F288" s="23" t="str">
        <f t="shared" ca="1" si="30"/>
        <v>—</v>
      </c>
      <c r="G288" s="40">
        <f t="shared" ca="1" si="31"/>
        <v>7</v>
      </c>
      <c r="H288" s="23" t="str">
        <f t="shared" ca="1" si="32"/>
        <v>—</v>
      </c>
      <c r="I288" s="40">
        <f t="shared" ca="1" si="33"/>
        <v>7</v>
      </c>
    </row>
    <row r="289" spans="1:9" x14ac:dyDescent="0.25">
      <c r="A289" s="17">
        <f t="shared" si="28"/>
        <v>81</v>
      </c>
      <c r="B289" t="str">
        <f ca="1">TEXT(DATE(YEAR(Invoer!$A$5),1,1)+INT((ROWS(B$2:B289)-1)/3),"jjjjmmdd")</f>
        <v>19200405</v>
      </c>
      <c r="C289" s="35" t="str">
        <f>IF(MOD(ROWS(C$2:C289)-1,3)=2,"24.00",INDEX(Data,2,2+MOD(ROWS(C$2:C289)-1,3)))</f>
        <v>24.00</v>
      </c>
      <c r="D289" s="23" t="str">
        <f t="shared" ca="1" si="34"/>
        <v>—</v>
      </c>
      <c r="E289" s="40">
        <f t="shared" ca="1" si="29"/>
        <v>7</v>
      </c>
      <c r="F289" s="23">
        <f t="shared" ca="1" si="30"/>
        <v>24</v>
      </c>
      <c r="G289" s="40">
        <f t="shared" ca="1" si="31"/>
        <v>0</v>
      </c>
      <c r="H289" s="23">
        <f t="shared" ca="1" si="32"/>
        <v>28</v>
      </c>
      <c r="I289" s="40">
        <f t="shared" ca="1" si="33"/>
        <v>0</v>
      </c>
    </row>
    <row r="290" spans="1:9" x14ac:dyDescent="0.25">
      <c r="A290" s="17">
        <f t="shared" si="28"/>
        <v>81</v>
      </c>
      <c r="B290" t="str">
        <f ca="1">TEXT(DATE(YEAR(Invoer!$A$5),1,1)+INT((ROWS(B$2:B290)-1)/3),"jjjjmmdd")</f>
        <v>19200406</v>
      </c>
      <c r="C290" s="35" t="str">
        <f>IF(MOD(ROWS(C$2:C290)-1,3)=2,"24.00",INDEX(Data,2,2+MOD(ROWS(C$2:C290)-1,3)))</f>
        <v>08.00</v>
      </c>
      <c r="D290" s="23">
        <f t="shared" ca="1" si="34"/>
        <v>749</v>
      </c>
      <c r="E290" s="40">
        <f t="shared" ca="1" si="29"/>
        <v>0</v>
      </c>
      <c r="F290" s="23" t="str">
        <f t="shared" ca="1" si="30"/>
        <v>—</v>
      </c>
      <c r="G290" s="40">
        <f t="shared" ca="1" si="31"/>
        <v>7</v>
      </c>
      <c r="H290" s="23" t="str">
        <f t="shared" ca="1" si="32"/>
        <v>—</v>
      </c>
      <c r="I290" s="40">
        <f t="shared" ca="1" si="33"/>
        <v>7</v>
      </c>
    </row>
    <row r="291" spans="1:9" x14ac:dyDescent="0.25">
      <c r="A291" s="17">
        <f t="shared" si="28"/>
        <v>81</v>
      </c>
      <c r="B291" t="str">
        <f ca="1">TEXT(DATE(YEAR(Invoer!$A$5),1,1)+INT((ROWS(B$2:B291)-1)/3),"jjjjmmdd")</f>
        <v>19200406</v>
      </c>
      <c r="C291" s="35" t="str">
        <f>IF(MOD(ROWS(C$2:C291)-1,3)=2,"24.00",INDEX(Data,2,2+MOD(ROWS(C$2:C291)-1,3)))</f>
        <v>14.00</v>
      </c>
      <c r="D291" s="23">
        <f t="shared" ca="1" si="34"/>
        <v>748.7</v>
      </c>
      <c r="E291" s="40">
        <f t="shared" ca="1" si="29"/>
        <v>0</v>
      </c>
      <c r="F291" s="23" t="str">
        <f t="shared" ca="1" si="30"/>
        <v>—</v>
      </c>
      <c r="G291" s="40">
        <f t="shared" ca="1" si="31"/>
        <v>7</v>
      </c>
      <c r="H291" s="23" t="str">
        <f t="shared" ca="1" si="32"/>
        <v>—</v>
      </c>
      <c r="I291" s="40">
        <f t="shared" ca="1" si="33"/>
        <v>7</v>
      </c>
    </row>
    <row r="292" spans="1:9" x14ac:dyDescent="0.25">
      <c r="A292" s="17">
        <f t="shared" si="28"/>
        <v>81</v>
      </c>
      <c r="B292" t="str">
        <f ca="1">TEXT(DATE(YEAR(Invoer!$A$5),1,1)+INT((ROWS(B$2:B292)-1)/3),"jjjjmmdd")</f>
        <v>19200406</v>
      </c>
      <c r="C292" s="35" t="str">
        <f>IF(MOD(ROWS(C$2:C292)-1,3)=2,"24.00",INDEX(Data,2,2+MOD(ROWS(C$2:C292)-1,3)))</f>
        <v>24.00</v>
      </c>
      <c r="D292" s="23" t="str">
        <f t="shared" ca="1" si="34"/>
        <v>—</v>
      </c>
      <c r="E292" s="40">
        <f t="shared" ca="1" si="29"/>
        <v>7</v>
      </c>
      <c r="F292" s="23">
        <f t="shared" ca="1" si="30"/>
        <v>24</v>
      </c>
      <c r="G292" s="40">
        <f t="shared" ca="1" si="31"/>
        <v>0</v>
      </c>
      <c r="H292" s="23">
        <f t="shared" ca="1" si="32"/>
        <v>28</v>
      </c>
      <c r="I292" s="40">
        <f t="shared" ca="1" si="33"/>
        <v>0</v>
      </c>
    </row>
    <row r="293" spans="1:9" x14ac:dyDescent="0.25">
      <c r="A293" s="17">
        <f t="shared" si="28"/>
        <v>81</v>
      </c>
      <c r="B293" t="str">
        <f ca="1">TEXT(DATE(YEAR(Invoer!$A$5),1,1)+INT((ROWS(B$2:B293)-1)/3),"jjjjmmdd")</f>
        <v>19200407</v>
      </c>
      <c r="C293" s="35" t="str">
        <f>IF(MOD(ROWS(C$2:C293)-1,3)=2,"24.00",INDEX(Data,2,2+MOD(ROWS(C$2:C293)-1,3)))</f>
        <v>08.00</v>
      </c>
      <c r="D293" s="23">
        <f t="shared" ca="1" si="34"/>
        <v>748.3</v>
      </c>
      <c r="E293" s="40">
        <f t="shared" ca="1" si="29"/>
        <v>0</v>
      </c>
      <c r="F293" s="23" t="str">
        <f t="shared" ca="1" si="30"/>
        <v>—</v>
      </c>
      <c r="G293" s="40">
        <f t="shared" ca="1" si="31"/>
        <v>7</v>
      </c>
      <c r="H293" s="23" t="str">
        <f t="shared" ca="1" si="32"/>
        <v>—</v>
      </c>
      <c r="I293" s="40">
        <f t="shared" ca="1" si="33"/>
        <v>7</v>
      </c>
    </row>
    <row r="294" spans="1:9" x14ac:dyDescent="0.25">
      <c r="A294" s="17">
        <f t="shared" si="28"/>
        <v>81</v>
      </c>
      <c r="B294" t="str">
        <f ca="1">TEXT(DATE(YEAR(Invoer!$A$5),1,1)+INT((ROWS(B$2:B294)-1)/3),"jjjjmmdd")</f>
        <v>19200407</v>
      </c>
      <c r="C294" s="35" t="str">
        <f>IF(MOD(ROWS(C$2:C294)-1,3)=2,"24.00",INDEX(Data,2,2+MOD(ROWS(C$2:C294)-1,3)))</f>
        <v>14.00</v>
      </c>
      <c r="D294" s="23">
        <f t="shared" ca="1" si="34"/>
        <v>748</v>
      </c>
      <c r="E294" s="40">
        <f t="shared" ca="1" si="29"/>
        <v>0</v>
      </c>
      <c r="F294" s="23" t="str">
        <f t="shared" ca="1" si="30"/>
        <v>—</v>
      </c>
      <c r="G294" s="40">
        <f t="shared" ca="1" si="31"/>
        <v>7</v>
      </c>
      <c r="H294" s="23" t="str">
        <f t="shared" ca="1" si="32"/>
        <v>—</v>
      </c>
      <c r="I294" s="40">
        <f t="shared" ca="1" si="33"/>
        <v>7</v>
      </c>
    </row>
    <row r="295" spans="1:9" x14ac:dyDescent="0.25">
      <c r="A295" s="17">
        <f t="shared" si="28"/>
        <v>81</v>
      </c>
      <c r="B295" t="str">
        <f ca="1">TEXT(DATE(YEAR(Invoer!$A$5),1,1)+INT((ROWS(B$2:B295)-1)/3),"jjjjmmdd")</f>
        <v>19200407</v>
      </c>
      <c r="C295" s="35" t="str">
        <f>IF(MOD(ROWS(C$2:C295)-1,3)=2,"24.00",INDEX(Data,2,2+MOD(ROWS(C$2:C295)-1,3)))</f>
        <v>24.00</v>
      </c>
      <c r="D295" s="23" t="str">
        <f t="shared" ca="1" si="34"/>
        <v>—</v>
      </c>
      <c r="E295" s="40">
        <f t="shared" ca="1" si="29"/>
        <v>7</v>
      </c>
      <c r="F295" s="23">
        <f t="shared" ca="1" si="30"/>
        <v>25</v>
      </c>
      <c r="G295" s="40">
        <f t="shared" ca="1" si="31"/>
        <v>0</v>
      </c>
      <c r="H295" s="23">
        <f t="shared" ca="1" si="32"/>
        <v>28</v>
      </c>
      <c r="I295" s="40">
        <f t="shared" ca="1" si="33"/>
        <v>0</v>
      </c>
    </row>
    <row r="296" spans="1:9" x14ac:dyDescent="0.25">
      <c r="A296" s="17">
        <f t="shared" si="28"/>
        <v>81</v>
      </c>
      <c r="B296" t="str">
        <f ca="1">TEXT(DATE(YEAR(Invoer!$A$5),1,1)+INT((ROWS(B$2:B296)-1)/3),"jjjjmmdd")</f>
        <v>19200408</v>
      </c>
      <c r="C296" s="35" t="str">
        <f>IF(MOD(ROWS(C$2:C296)-1,3)=2,"24.00",INDEX(Data,2,2+MOD(ROWS(C$2:C296)-1,3)))</f>
        <v>08.00</v>
      </c>
      <c r="D296" s="23">
        <f t="shared" ca="1" si="34"/>
        <v>748</v>
      </c>
      <c r="E296" s="40">
        <f t="shared" ca="1" si="29"/>
        <v>0</v>
      </c>
      <c r="F296" s="23" t="str">
        <f t="shared" ca="1" si="30"/>
        <v>—</v>
      </c>
      <c r="G296" s="40">
        <f t="shared" ca="1" si="31"/>
        <v>7</v>
      </c>
      <c r="H296" s="23" t="str">
        <f t="shared" ca="1" si="32"/>
        <v>—</v>
      </c>
      <c r="I296" s="40">
        <f t="shared" ca="1" si="33"/>
        <v>7</v>
      </c>
    </row>
    <row r="297" spans="1:9" x14ac:dyDescent="0.25">
      <c r="A297" s="17">
        <f t="shared" si="28"/>
        <v>81</v>
      </c>
      <c r="B297" t="str">
        <f ca="1">TEXT(DATE(YEAR(Invoer!$A$5),1,1)+INT((ROWS(B$2:B297)-1)/3),"jjjjmmdd")</f>
        <v>19200408</v>
      </c>
      <c r="C297" s="35" t="str">
        <f>IF(MOD(ROWS(C$2:C297)-1,3)=2,"24.00",INDEX(Data,2,2+MOD(ROWS(C$2:C297)-1,3)))</f>
        <v>14.00</v>
      </c>
      <c r="D297" s="23">
        <f t="shared" ca="1" si="34"/>
        <v>747.7</v>
      </c>
      <c r="E297" s="40">
        <f t="shared" ca="1" si="29"/>
        <v>0</v>
      </c>
      <c r="F297" s="23" t="str">
        <f t="shared" ca="1" si="30"/>
        <v>—</v>
      </c>
      <c r="G297" s="40">
        <f t="shared" ca="1" si="31"/>
        <v>7</v>
      </c>
      <c r="H297" s="23" t="str">
        <f t="shared" ca="1" si="32"/>
        <v>—</v>
      </c>
      <c r="I297" s="40">
        <f t="shared" ca="1" si="33"/>
        <v>7</v>
      </c>
    </row>
    <row r="298" spans="1:9" x14ac:dyDescent="0.25">
      <c r="A298" s="17">
        <f t="shared" si="28"/>
        <v>81</v>
      </c>
      <c r="B298" t="str">
        <f ca="1">TEXT(DATE(YEAR(Invoer!$A$5),1,1)+INT((ROWS(B$2:B298)-1)/3),"jjjjmmdd")</f>
        <v>19200408</v>
      </c>
      <c r="C298" s="35" t="str">
        <f>IF(MOD(ROWS(C$2:C298)-1,3)=2,"24.00",INDEX(Data,2,2+MOD(ROWS(C$2:C298)-1,3)))</f>
        <v>24.00</v>
      </c>
      <c r="D298" s="23" t="str">
        <f t="shared" ca="1" si="34"/>
        <v>—</v>
      </c>
      <c r="E298" s="40">
        <f t="shared" ca="1" si="29"/>
        <v>7</v>
      </c>
      <c r="F298" s="23">
        <f t="shared" ca="1" si="30"/>
        <v>25</v>
      </c>
      <c r="G298" s="40">
        <f t="shared" ca="1" si="31"/>
        <v>0</v>
      </c>
      <c r="H298" s="23">
        <f t="shared" ca="1" si="32"/>
        <v>28.5</v>
      </c>
      <c r="I298" s="40">
        <f t="shared" ca="1" si="33"/>
        <v>0</v>
      </c>
    </row>
    <row r="299" spans="1:9" x14ac:dyDescent="0.25">
      <c r="A299" s="17">
        <f t="shared" si="28"/>
        <v>81</v>
      </c>
      <c r="B299" t="str">
        <f ca="1">TEXT(DATE(YEAR(Invoer!$A$5),1,1)+INT((ROWS(B$2:B299)-1)/3),"jjjjmmdd")</f>
        <v>19200409</v>
      </c>
      <c r="C299" s="35" t="str">
        <f>IF(MOD(ROWS(C$2:C299)-1,3)=2,"24.00",INDEX(Data,2,2+MOD(ROWS(C$2:C299)-1,3)))</f>
        <v>08.00</v>
      </c>
      <c r="D299" s="23">
        <f t="shared" ca="1" si="34"/>
        <v>747.5</v>
      </c>
      <c r="E299" s="40">
        <f t="shared" ca="1" si="29"/>
        <v>0</v>
      </c>
      <c r="F299" s="23" t="str">
        <f t="shared" ca="1" si="30"/>
        <v>—</v>
      </c>
      <c r="G299" s="40">
        <f t="shared" ca="1" si="31"/>
        <v>7</v>
      </c>
      <c r="H299" s="23" t="str">
        <f t="shared" ca="1" si="32"/>
        <v>—</v>
      </c>
      <c r="I299" s="40">
        <f t="shared" ca="1" si="33"/>
        <v>7</v>
      </c>
    </row>
    <row r="300" spans="1:9" x14ac:dyDescent="0.25">
      <c r="A300" s="17">
        <f t="shared" si="28"/>
        <v>81</v>
      </c>
      <c r="B300" t="str">
        <f ca="1">TEXT(DATE(YEAR(Invoer!$A$5),1,1)+INT((ROWS(B$2:B300)-1)/3),"jjjjmmdd")</f>
        <v>19200409</v>
      </c>
      <c r="C300" s="35" t="str">
        <f>IF(MOD(ROWS(C$2:C300)-1,3)=2,"24.00",INDEX(Data,2,2+MOD(ROWS(C$2:C300)-1,3)))</f>
        <v>14.00</v>
      </c>
      <c r="D300" s="23">
        <f t="shared" ca="1" si="34"/>
        <v>747.3</v>
      </c>
      <c r="E300" s="40">
        <f t="shared" ca="1" si="29"/>
        <v>0</v>
      </c>
      <c r="F300" s="23" t="str">
        <f t="shared" ca="1" si="30"/>
        <v>—</v>
      </c>
      <c r="G300" s="40">
        <f t="shared" ca="1" si="31"/>
        <v>7</v>
      </c>
      <c r="H300" s="23" t="str">
        <f t="shared" ca="1" si="32"/>
        <v>—</v>
      </c>
      <c r="I300" s="40">
        <f t="shared" ca="1" si="33"/>
        <v>7</v>
      </c>
    </row>
    <row r="301" spans="1:9" x14ac:dyDescent="0.25">
      <c r="A301" s="17">
        <f t="shared" si="28"/>
        <v>81</v>
      </c>
      <c r="B301" t="str">
        <f ca="1">TEXT(DATE(YEAR(Invoer!$A$5),1,1)+INT((ROWS(B$2:B301)-1)/3),"jjjjmmdd")</f>
        <v>19200409</v>
      </c>
      <c r="C301" s="35" t="str">
        <f>IF(MOD(ROWS(C$2:C301)-1,3)=2,"24.00",INDEX(Data,2,2+MOD(ROWS(C$2:C301)-1,3)))</f>
        <v>24.00</v>
      </c>
      <c r="D301" s="23" t="str">
        <f t="shared" ca="1" si="34"/>
        <v>—</v>
      </c>
      <c r="E301" s="40">
        <f t="shared" ca="1" si="29"/>
        <v>7</v>
      </c>
      <c r="F301" s="23">
        <f t="shared" ca="1" si="30"/>
        <v>25</v>
      </c>
      <c r="G301" s="40">
        <f t="shared" ca="1" si="31"/>
        <v>0</v>
      </c>
      <c r="H301" s="23">
        <f t="shared" ca="1" si="32"/>
        <v>27.5</v>
      </c>
      <c r="I301" s="40">
        <f t="shared" ca="1" si="33"/>
        <v>0</v>
      </c>
    </row>
    <row r="302" spans="1:9" x14ac:dyDescent="0.25">
      <c r="A302" s="17">
        <f t="shared" si="28"/>
        <v>81</v>
      </c>
      <c r="B302" t="str">
        <f ca="1">TEXT(DATE(YEAR(Invoer!$A$5),1,1)+INT((ROWS(B$2:B302)-1)/3),"jjjjmmdd")</f>
        <v>19200410</v>
      </c>
      <c r="C302" s="35" t="str">
        <f>IF(MOD(ROWS(C$2:C302)-1,3)=2,"24.00",INDEX(Data,2,2+MOD(ROWS(C$2:C302)-1,3)))</f>
        <v>08.00</v>
      </c>
      <c r="D302" s="23">
        <f t="shared" ca="1" si="34"/>
        <v>748</v>
      </c>
      <c r="E302" s="40">
        <f t="shared" ca="1" si="29"/>
        <v>0</v>
      </c>
      <c r="F302" s="23" t="str">
        <f t="shared" ca="1" si="30"/>
        <v>—</v>
      </c>
      <c r="G302" s="40">
        <f t="shared" ca="1" si="31"/>
        <v>7</v>
      </c>
      <c r="H302" s="23" t="str">
        <f t="shared" ca="1" si="32"/>
        <v>—</v>
      </c>
      <c r="I302" s="40">
        <f t="shared" ca="1" si="33"/>
        <v>7</v>
      </c>
    </row>
    <row r="303" spans="1:9" x14ac:dyDescent="0.25">
      <c r="A303" s="17">
        <f t="shared" si="28"/>
        <v>81</v>
      </c>
      <c r="B303" t="str">
        <f ca="1">TEXT(DATE(YEAR(Invoer!$A$5),1,1)+INT((ROWS(B$2:B303)-1)/3),"jjjjmmdd")</f>
        <v>19200410</v>
      </c>
      <c r="C303" s="35" t="str">
        <f>IF(MOD(ROWS(C$2:C303)-1,3)=2,"24.00",INDEX(Data,2,2+MOD(ROWS(C$2:C303)-1,3)))</f>
        <v>14.00</v>
      </c>
      <c r="D303" s="23">
        <f t="shared" ca="1" si="34"/>
        <v>747.7</v>
      </c>
      <c r="E303" s="40">
        <f t="shared" ca="1" si="29"/>
        <v>0</v>
      </c>
      <c r="F303" s="23" t="str">
        <f t="shared" ca="1" si="30"/>
        <v>—</v>
      </c>
      <c r="G303" s="40">
        <f t="shared" ca="1" si="31"/>
        <v>7</v>
      </c>
      <c r="H303" s="23" t="str">
        <f t="shared" ca="1" si="32"/>
        <v>—</v>
      </c>
      <c r="I303" s="40">
        <f t="shared" ca="1" si="33"/>
        <v>7</v>
      </c>
    </row>
    <row r="304" spans="1:9" x14ac:dyDescent="0.25">
      <c r="A304" s="17">
        <f t="shared" si="28"/>
        <v>81</v>
      </c>
      <c r="B304" t="str">
        <f ca="1">TEXT(DATE(YEAR(Invoer!$A$5),1,1)+INT((ROWS(B$2:B304)-1)/3),"jjjjmmdd")</f>
        <v>19200410</v>
      </c>
      <c r="C304" s="35" t="str">
        <f>IF(MOD(ROWS(C$2:C304)-1,3)=2,"24.00",INDEX(Data,2,2+MOD(ROWS(C$2:C304)-1,3)))</f>
        <v>24.00</v>
      </c>
      <c r="D304" s="23" t="str">
        <f t="shared" ca="1" si="34"/>
        <v>—</v>
      </c>
      <c r="E304" s="40">
        <f t="shared" ca="1" si="29"/>
        <v>7</v>
      </c>
      <c r="F304" s="23">
        <f t="shared" ca="1" si="30"/>
        <v>25</v>
      </c>
      <c r="G304" s="40">
        <f t="shared" ca="1" si="31"/>
        <v>0</v>
      </c>
      <c r="H304" s="23">
        <f t="shared" ca="1" si="32"/>
        <v>27.3</v>
      </c>
      <c r="I304" s="40">
        <f t="shared" ca="1" si="33"/>
        <v>0</v>
      </c>
    </row>
    <row r="305" spans="1:9" x14ac:dyDescent="0.25">
      <c r="A305" s="17">
        <f t="shared" si="28"/>
        <v>81</v>
      </c>
      <c r="B305" t="str">
        <f ca="1">TEXT(DATE(YEAR(Invoer!$A$5),1,1)+INT((ROWS(B$2:B305)-1)/3),"jjjjmmdd")</f>
        <v>19200411</v>
      </c>
      <c r="C305" s="35" t="str">
        <f>IF(MOD(ROWS(C$2:C305)-1,3)=2,"24.00",INDEX(Data,2,2+MOD(ROWS(C$2:C305)-1,3)))</f>
        <v>08.00</v>
      </c>
      <c r="D305" s="23">
        <f t="shared" ca="1" si="34"/>
        <v>748</v>
      </c>
      <c r="E305" s="40">
        <f t="shared" ca="1" si="29"/>
        <v>0</v>
      </c>
      <c r="F305" s="23" t="str">
        <f t="shared" ca="1" si="30"/>
        <v>—</v>
      </c>
      <c r="G305" s="40">
        <f t="shared" ca="1" si="31"/>
        <v>7</v>
      </c>
      <c r="H305" s="23" t="str">
        <f t="shared" ca="1" si="32"/>
        <v>—</v>
      </c>
      <c r="I305" s="40">
        <f t="shared" ca="1" si="33"/>
        <v>7</v>
      </c>
    </row>
    <row r="306" spans="1:9" x14ac:dyDescent="0.25">
      <c r="A306" s="17">
        <f t="shared" si="28"/>
        <v>81</v>
      </c>
      <c r="B306" t="str">
        <f ca="1">TEXT(DATE(YEAR(Invoer!$A$5),1,1)+INT((ROWS(B$2:B306)-1)/3),"jjjjmmdd")</f>
        <v>19200411</v>
      </c>
      <c r="C306" s="35" t="str">
        <f>IF(MOD(ROWS(C$2:C306)-1,3)=2,"24.00",INDEX(Data,2,2+MOD(ROWS(C$2:C306)-1,3)))</f>
        <v>14.00</v>
      </c>
      <c r="D306" s="23">
        <f t="shared" ca="1" si="34"/>
        <v>747.5</v>
      </c>
      <c r="E306" s="40">
        <f t="shared" ca="1" si="29"/>
        <v>0</v>
      </c>
      <c r="F306" s="23" t="str">
        <f t="shared" ca="1" si="30"/>
        <v>—</v>
      </c>
      <c r="G306" s="40">
        <f t="shared" ca="1" si="31"/>
        <v>7</v>
      </c>
      <c r="H306" s="23" t="str">
        <f t="shared" ca="1" si="32"/>
        <v>—</v>
      </c>
      <c r="I306" s="40">
        <f t="shared" ca="1" si="33"/>
        <v>7</v>
      </c>
    </row>
    <row r="307" spans="1:9" x14ac:dyDescent="0.25">
      <c r="A307" s="17">
        <f t="shared" si="28"/>
        <v>81</v>
      </c>
      <c r="B307" t="str">
        <f ca="1">TEXT(DATE(YEAR(Invoer!$A$5),1,1)+INT((ROWS(B$2:B307)-1)/3),"jjjjmmdd")</f>
        <v>19200411</v>
      </c>
      <c r="C307" s="35" t="str">
        <f>IF(MOD(ROWS(C$2:C307)-1,3)=2,"24.00",INDEX(Data,2,2+MOD(ROWS(C$2:C307)-1,3)))</f>
        <v>24.00</v>
      </c>
      <c r="D307" s="23" t="str">
        <f t="shared" ca="1" si="34"/>
        <v>—</v>
      </c>
      <c r="E307" s="40">
        <f t="shared" ca="1" si="29"/>
        <v>7</v>
      </c>
      <c r="F307" s="23">
        <f t="shared" ca="1" si="30"/>
        <v>25</v>
      </c>
      <c r="G307" s="40">
        <f t="shared" ca="1" si="31"/>
        <v>0</v>
      </c>
      <c r="H307" s="23">
        <f t="shared" ca="1" si="32"/>
        <v>27.5</v>
      </c>
      <c r="I307" s="40">
        <f t="shared" ca="1" si="33"/>
        <v>0</v>
      </c>
    </row>
    <row r="308" spans="1:9" x14ac:dyDescent="0.25">
      <c r="A308" s="17">
        <f t="shared" si="28"/>
        <v>81</v>
      </c>
      <c r="B308" t="str">
        <f ca="1">TEXT(DATE(YEAR(Invoer!$A$5),1,1)+INT((ROWS(B$2:B308)-1)/3),"jjjjmmdd")</f>
        <v>19200412</v>
      </c>
      <c r="C308" s="35" t="str">
        <f>IF(MOD(ROWS(C$2:C308)-1,3)=2,"24.00",INDEX(Data,2,2+MOD(ROWS(C$2:C308)-1,3)))</f>
        <v>08.00</v>
      </c>
      <c r="D308" s="23">
        <f t="shared" ca="1" si="34"/>
        <v>748</v>
      </c>
      <c r="E308" s="40">
        <f t="shared" ca="1" si="29"/>
        <v>0</v>
      </c>
      <c r="F308" s="23" t="str">
        <f t="shared" ca="1" si="30"/>
        <v>—</v>
      </c>
      <c r="G308" s="40">
        <f t="shared" ca="1" si="31"/>
        <v>7</v>
      </c>
      <c r="H308" s="23" t="str">
        <f t="shared" ca="1" si="32"/>
        <v>—</v>
      </c>
      <c r="I308" s="40">
        <f t="shared" ca="1" si="33"/>
        <v>7</v>
      </c>
    </row>
    <row r="309" spans="1:9" x14ac:dyDescent="0.25">
      <c r="A309" s="17">
        <f t="shared" si="28"/>
        <v>81</v>
      </c>
      <c r="B309" t="str">
        <f ca="1">TEXT(DATE(YEAR(Invoer!$A$5),1,1)+INT((ROWS(B$2:B309)-1)/3),"jjjjmmdd")</f>
        <v>19200412</v>
      </c>
      <c r="C309" s="35" t="str">
        <f>IF(MOD(ROWS(C$2:C309)-1,3)=2,"24.00",INDEX(Data,2,2+MOD(ROWS(C$2:C309)-1,3)))</f>
        <v>14.00</v>
      </c>
      <c r="D309" s="23">
        <f t="shared" ca="1" si="34"/>
        <v>747.5</v>
      </c>
      <c r="E309" s="40">
        <f t="shared" ca="1" si="29"/>
        <v>0</v>
      </c>
      <c r="F309" s="23" t="str">
        <f t="shared" ca="1" si="30"/>
        <v>—</v>
      </c>
      <c r="G309" s="40">
        <f t="shared" ca="1" si="31"/>
        <v>7</v>
      </c>
      <c r="H309" s="23" t="str">
        <f t="shared" ca="1" si="32"/>
        <v>—</v>
      </c>
      <c r="I309" s="40">
        <f t="shared" ca="1" si="33"/>
        <v>7</v>
      </c>
    </row>
    <row r="310" spans="1:9" x14ac:dyDescent="0.25">
      <c r="A310" s="17">
        <f t="shared" si="28"/>
        <v>81</v>
      </c>
      <c r="B310" t="str">
        <f ca="1">TEXT(DATE(YEAR(Invoer!$A$5),1,1)+INT((ROWS(B$2:B310)-1)/3),"jjjjmmdd")</f>
        <v>19200412</v>
      </c>
      <c r="C310" s="35" t="str">
        <f>IF(MOD(ROWS(C$2:C310)-1,3)=2,"24.00",INDEX(Data,2,2+MOD(ROWS(C$2:C310)-1,3)))</f>
        <v>24.00</v>
      </c>
      <c r="D310" s="23" t="str">
        <f t="shared" ca="1" si="34"/>
        <v>—</v>
      </c>
      <c r="E310" s="40">
        <f t="shared" ca="1" si="29"/>
        <v>7</v>
      </c>
      <c r="F310" s="23">
        <f t="shared" ca="1" si="30"/>
        <v>25</v>
      </c>
      <c r="G310" s="40">
        <f t="shared" ca="1" si="31"/>
        <v>0</v>
      </c>
      <c r="H310" s="23">
        <f t="shared" ca="1" si="32"/>
        <v>28.5</v>
      </c>
      <c r="I310" s="40">
        <f t="shared" ca="1" si="33"/>
        <v>0</v>
      </c>
    </row>
    <row r="311" spans="1:9" x14ac:dyDescent="0.25">
      <c r="A311" s="17">
        <f t="shared" si="28"/>
        <v>81</v>
      </c>
      <c r="B311" t="str">
        <f ca="1">TEXT(DATE(YEAR(Invoer!$A$5),1,1)+INT((ROWS(B$2:B311)-1)/3),"jjjjmmdd")</f>
        <v>19200413</v>
      </c>
      <c r="C311" s="35" t="str">
        <f>IF(MOD(ROWS(C$2:C311)-1,3)=2,"24.00",INDEX(Data,2,2+MOD(ROWS(C$2:C311)-1,3)))</f>
        <v>08.00</v>
      </c>
      <c r="D311" s="23">
        <f t="shared" ca="1" si="34"/>
        <v>748</v>
      </c>
      <c r="E311" s="40">
        <f t="shared" ca="1" si="29"/>
        <v>0</v>
      </c>
      <c r="F311" s="23" t="str">
        <f t="shared" ca="1" si="30"/>
        <v>—</v>
      </c>
      <c r="G311" s="40">
        <f t="shared" ca="1" si="31"/>
        <v>7</v>
      </c>
      <c r="H311" s="23" t="str">
        <f t="shared" ca="1" si="32"/>
        <v>—</v>
      </c>
      <c r="I311" s="40">
        <f t="shared" ca="1" si="33"/>
        <v>7</v>
      </c>
    </row>
    <row r="312" spans="1:9" x14ac:dyDescent="0.25">
      <c r="A312" s="17">
        <f t="shared" si="28"/>
        <v>81</v>
      </c>
      <c r="B312" t="str">
        <f ca="1">TEXT(DATE(YEAR(Invoer!$A$5),1,1)+INT((ROWS(B$2:B312)-1)/3),"jjjjmmdd")</f>
        <v>19200413</v>
      </c>
      <c r="C312" s="35" t="str">
        <f>IF(MOD(ROWS(C$2:C312)-1,3)=2,"24.00",INDEX(Data,2,2+MOD(ROWS(C$2:C312)-1,3)))</f>
        <v>14.00</v>
      </c>
      <c r="D312" s="23">
        <f t="shared" ca="1" si="34"/>
        <v>747.5</v>
      </c>
      <c r="E312" s="40">
        <f t="shared" ca="1" si="29"/>
        <v>0</v>
      </c>
      <c r="F312" s="23" t="str">
        <f t="shared" ca="1" si="30"/>
        <v>—</v>
      </c>
      <c r="G312" s="40">
        <f t="shared" ca="1" si="31"/>
        <v>7</v>
      </c>
      <c r="H312" s="23" t="str">
        <f t="shared" ca="1" si="32"/>
        <v>—</v>
      </c>
      <c r="I312" s="40">
        <f t="shared" ca="1" si="33"/>
        <v>7</v>
      </c>
    </row>
    <row r="313" spans="1:9" x14ac:dyDescent="0.25">
      <c r="A313" s="17">
        <f t="shared" si="28"/>
        <v>81</v>
      </c>
      <c r="B313" t="str">
        <f ca="1">TEXT(DATE(YEAR(Invoer!$A$5),1,1)+INT((ROWS(B$2:B313)-1)/3),"jjjjmmdd")</f>
        <v>19200413</v>
      </c>
      <c r="C313" s="35" t="str">
        <f>IF(MOD(ROWS(C$2:C313)-1,3)=2,"24.00",INDEX(Data,2,2+MOD(ROWS(C$2:C313)-1,3)))</f>
        <v>24.00</v>
      </c>
      <c r="D313" s="23" t="str">
        <f t="shared" ca="1" si="34"/>
        <v>—</v>
      </c>
      <c r="E313" s="40">
        <f t="shared" ca="1" si="29"/>
        <v>7</v>
      </c>
      <c r="F313" s="23">
        <f t="shared" ca="1" si="30"/>
        <v>27</v>
      </c>
      <c r="G313" s="40">
        <f t="shared" ca="1" si="31"/>
        <v>0</v>
      </c>
      <c r="H313" s="23">
        <f t="shared" ca="1" si="32"/>
        <v>28</v>
      </c>
      <c r="I313" s="40">
        <f t="shared" ca="1" si="33"/>
        <v>0</v>
      </c>
    </row>
    <row r="314" spans="1:9" x14ac:dyDescent="0.25">
      <c r="A314" s="17">
        <f t="shared" si="28"/>
        <v>81</v>
      </c>
      <c r="B314" t="str">
        <f ca="1">TEXT(DATE(YEAR(Invoer!$A$5),1,1)+INT((ROWS(B$2:B314)-1)/3),"jjjjmmdd")</f>
        <v>19200414</v>
      </c>
      <c r="C314" s="35" t="str">
        <f>IF(MOD(ROWS(C$2:C314)-1,3)=2,"24.00",INDEX(Data,2,2+MOD(ROWS(C$2:C314)-1,3)))</f>
        <v>08.00</v>
      </c>
      <c r="D314" s="23">
        <f t="shared" ca="1" si="34"/>
        <v>748</v>
      </c>
      <c r="E314" s="40">
        <f t="shared" ca="1" si="29"/>
        <v>0</v>
      </c>
      <c r="F314" s="23" t="str">
        <f t="shared" ca="1" si="30"/>
        <v>—</v>
      </c>
      <c r="G314" s="40">
        <f t="shared" ca="1" si="31"/>
        <v>7</v>
      </c>
      <c r="H314" s="23" t="str">
        <f t="shared" ca="1" si="32"/>
        <v>—</v>
      </c>
      <c r="I314" s="40">
        <f t="shared" ca="1" si="33"/>
        <v>7</v>
      </c>
    </row>
    <row r="315" spans="1:9" x14ac:dyDescent="0.25">
      <c r="A315" s="17">
        <f t="shared" si="28"/>
        <v>81</v>
      </c>
      <c r="B315" t="str">
        <f ca="1">TEXT(DATE(YEAR(Invoer!$A$5),1,1)+INT((ROWS(B$2:B315)-1)/3),"jjjjmmdd")</f>
        <v>19200414</v>
      </c>
      <c r="C315" s="35" t="str">
        <f>IF(MOD(ROWS(C$2:C315)-1,3)=2,"24.00",INDEX(Data,2,2+MOD(ROWS(C$2:C315)-1,3)))</f>
        <v>14.00</v>
      </c>
      <c r="D315" s="23">
        <f t="shared" ca="1" si="34"/>
        <v>747.7</v>
      </c>
      <c r="E315" s="40">
        <f t="shared" ca="1" si="29"/>
        <v>0</v>
      </c>
      <c r="F315" s="23" t="str">
        <f t="shared" ca="1" si="30"/>
        <v>—</v>
      </c>
      <c r="G315" s="40">
        <f t="shared" ca="1" si="31"/>
        <v>7</v>
      </c>
      <c r="H315" s="23" t="str">
        <f t="shared" ca="1" si="32"/>
        <v>—</v>
      </c>
      <c r="I315" s="40">
        <f t="shared" ca="1" si="33"/>
        <v>7</v>
      </c>
    </row>
    <row r="316" spans="1:9" x14ac:dyDescent="0.25">
      <c r="A316" s="17">
        <f t="shared" si="28"/>
        <v>81</v>
      </c>
      <c r="B316" t="str">
        <f ca="1">TEXT(DATE(YEAR(Invoer!$A$5),1,1)+INT((ROWS(B$2:B316)-1)/3),"jjjjmmdd")</f>
        <v>19200414</v>
      </c>
      <c r="C316" s="35" t="str">
        <f>IF(MOD(ROWS(C$2:C316)-1,3)=2,"24.00",INDEX(Data,2,2+MOD(ROWS(C$2:C316)-1,3)))</f>
        <v>24.00</v>
      </c>
      <c r="D316" s="23" t="str">
        <f t="shared" ca="1" si="34"/>
        <v>—</v>
      </c>
      <c r="E316" s="40">
        <f t="shared" ca="1" si="29"/>
        <v>7</v>
      </c>
      <c r="F316" s="23">
        <f t="shared" ca="1" si="30"/>
        <v>26</v>
      </c>
      <c r="G316" s="40">
        <f t="shared" ca="1" si="31"/>
        <v>0</v>
      </c>
      <c r="H316" s="23">
        <f t="shared" ca="1" si="32"/>
        <v>28</v>
      </c>
      <c r="I316" s="40">
        <f t="shared" ca="1" si="33"/>
        <v>0</v>
      </c>
    </row>
    <row r="317" spans="1:9" x14ac:dyDescent="0.25">
      <c r="A317" s="17">
        <f t="shared" si="28"/>
        <v>81</v>
      </c>
      <c r="B317" t="str">
        <f ca="1">TEXT(DATE(YEAR(Invoer!$A$5),1,1)+INT((ROWS(B$2:B317)-1)/3),"jjjjmmdd")</f>
        <v>19200415</v>
      </c>
      <c r="C317" s="35" t="str">
        <f>IF(MOD(ROWS(C$2:C317)-1,3)=2,"24.00",INDEX(Data,2,2+MOD(ROWS(C$2:C317)-1,3)))</f>
        <v>08.00</v>
      </c>
      <c r="D317" s="23">
        <f t="shared" ca="1" si="34"/>
        <v>748</v>
      </c>
      <c r="E317" s="40">
        <f t="shared" ca="1" si="29"/>
        <v>0</v>
      </c>
      <c r="F317" s="23" t="str">
        <f t="shared" ca="1" si="30"/>
        <v>—</v>
      </c>
      <c r="G317" s="40">
        <f t="shared" ca="1" si="31"/>
        <v>7</v>
      </c>
      <c r="H317" s="23" t="str">
        <f t="shared" ca="1" si="32"/>
        <v>—</v>
      </c>
      <c r="I317" s="40">
        <f t="shared" ca="1" si="33"/>
        <v>7</v>
      </c>
    </row>
    <row r="318" spans="1:9" x14ac:dyDescent="0.25">
      <c r="A318" s="17">
        <f t="shared" si="28"/>
        <v>81</v>
      </c>
      <c r="B318" t="str">
        <f ca="1">TEXT(DATE(YEAR(Invoer!$A$5),1,1)+INT((ROWS(B$2:B318)-1)/3),"jjjjmmdd")</f>
        <v>19200415</v>
      </c>
      <c r="C318" s="35" t="str">
        <f>IF(MOD(ROWS(C$2:C318)-1,3)=2,"24.00",INDEX(Data,2,2+MOD(ROWS(C$2:C318)-1,3)))</f>
        <v>14.00</v>
      </c>
      <c r="D318" s="23">
        <f t="shared" ca="1" si="34"/>
        <v>747.5</v>
      </c>
      <c r="E318" s="40">
        <f t="shared" ca="1" si="29"/>
        <v>0</v>
      </c>
      <c r="F318" s="23" t="str">
        <f t="shared" ca="1" si="30"/>
        <v>—</v>
      </c>
      <c r="G318" s="40">
        <f t="shared" ca="1" si="31"/>
        <v>7</v>
      </c>
      <c r="H318" s="23" t="str">
        <f t="shared" ca="1" si="32"/>
        <v>—</v>
      </c>
      <c r="I318" s="40">
        <f t="shared" ca="1" si="33"/>
        <v>7</v>
      </c>
    </row>
    <row r="319" spans="1:9" x14ac:dyDescent="0.25">
      <c r="A319" s="17">
        <f t="shared" si="28"/>
        <v>81</v>
      </c>
      <c r="B319" t="str">
        <f ca="1">TEXT(DATE(YEAR(Invoer!$A$5),1,1)+INT((ROWS(B$2:B319)-1)/3),"jjjjmmdd")</f>
        <v>19200415</v>
      </c>
      <c r="C319" s="35" t="str">
        <f>IF(MOD(ROWS(C$2:C319)-1,3)=2,"24.00",INDEX(Data,2,2+MOD(ROWS(C$2:C319)-1,3)))</f>
        <v>24.00</v>
      </c>
      <c r="D319" s="23" t="str">
        <f t="shared" ca="1" si="34"/>
        <v>—</v>
      </c>
      <c r="E319" s="40">
        <f t="shared" ca="1" si="29"/>
        <v>7</v>
      </c>
      <c r="F319" s="23">
        <f t="shared" ca="1" si="30"/>
        <v>25</v>
      </c>
      <c r="G319" s="40">
        <f t="shared" ca="1" si="31"/>
        <v>0</v>
      </c>
      <c r="H319" s="23">
        <f t="shared" ca="1" si="32"/>
        <v>28</v>
      </c>
      <c r="I319" s="40">
        <f t="shared" ca="1" si="33"/>
        <v>0</v>
      </c>
    </row>
    <row r="320" spans="1:9" x14ac:dyDescent="0.25">
      <c r="A320" s="17">
        <f t="shared" si="28"/>
        <v>81</v>
      </c>
      <c r="B320" t="str">
        <f ca="1">TEXT(DATE(YEAR(Invoer!$A$5),1,1)+INT((ROWS(B$2:B320)-1)/3),"jjjjmmdd")</f>
        <v>19200416</v>
      </c>
      <c r="C320" s="35" t="str">
        <f>IF(MOD(ROWS(C$2:C320)-1,3)=2,"24.00",INDEX(Data,2,2+MOD(ROWS(C$2:C320)-1,3)))</f>
        <v>08.00</v>
      </c>
      <c r="D320" s="23">
        <f t="shared" ca="1" si="34"/>
        <v>748.5</v>
      </c>
      <c r="E320" s="40">
        <f t="shared" ca="1" si="29"/>
        <v>0</v>
      </c>
      <c r="F320" s="23" t="str">
        <f t="shared" ca="1" si="30"/>
        <v>—</v>
      </c>
      <c r="G320" s="40">
        <f t="shared" ca="1" si="31"/>
        <v>7</v>
      </c>
      <c r="H320" s="23" t="str">
        <f t="shared" ca="1" si="32"/>
        <v>—</v>
      </c>
      <c r="I320" s="40">
        <f t="shared" ca="1" si="33"/>
        <v>7</v>
      </c>
    </row>
    <row r="321" spans="1:9" x14ac:dyDescent="0.25">
      <c r="A321" s="17">
        <f t="shared" si="28"/>
        <v>81</v>
      </c>
      <c r="B321" t="str">
        <f ca="1">TEXT(DATE(YEAR(Invoer!$A$5),1,1)+INT((ROWS(B$2:B321)-1)/3),"jjjjmmdd")</f>
        <v>19200416</v>
      </c>
      <c r="C321" s="35" t="str">
        <f>IF(MOD(ROWS(C$2:C321)-1,3)=2,"24.00",INDEX(Data,2,2+MOD(ROWS(C$2:C321)-1,3)))</f>
        <v>14.00</v>
      </c>
      <c r="D321" s="23">
        <f t="shared" ca="1" si="34"/>
        <v>748</v>
      </c>
      <c r="E321" s="40">
        <f t="shared" ca="1" si="29"/>
        <v>0</v>
      </c>
      <c r="F321" s="23" t="str">
        <f t="shared" ca="1" si="30"/>
        <v>—</v>
      </c>
      <c r="G321" s="40">
        <f t="shared" ca="1" si="31"/>
        <v>7</v>
      </c>
      <c r="H321" s="23" t="str">
        <f t="shared" ca="1" si="32"/>
        <v>—</v>
      </c>
      <c r="I321" s="40">
        <f t="shared" ca="1" si="33"/>
        <v>7</v>
      </c>
    </row>
    <row r="322" spans="1:9" x14ac:dyDescent="0.25">
      <c r="A322" s="17">
        <f t="shared" ref="A322:A385" si="35">INDEX(Stations,2,1)</f>
        <v>81</v>
      </c>
      <c r="B322" t="str">
        <f ca="1">TEXT(DATE(YEAR(Invoer!$A$5),1,1)+INT((ROWS(B$2:B322)-1)/3),"jjjjmmdd")</f>
        <v>19200416</v>
      </c>
      <c r="C322" s="35" t="str">
        <f>IF(MOD(ROWS(C$2:C322)-1,3)=2,"24.00",INDEX(Data,2,2+MOD(ROWS(C$2:C322)-1,3)))</f>
        <v>24.00</v>
      </c>
      <c r="D322" s="23" t="str">
        <f t="shared" ca="1" si="34"/>
        <v>—</v>
      </c>
      <c r="E322" s="40">
        <f t="shared" ref="E322:E385" ca="1" si="36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7</v>
      </c>
      <c r="F322" s="23">
        <f t="shared" ref="F322:F385" ca="1" si="37">IF(OR(ISBLANK(VLOOKUP(DATEVALUE(LEFT($B322,4)&amp;"-"&amp;MID($B322,5,2)&amp;"-"&amp;RIGHT($B322,2)),Data,MATCH(LEFT(VLOOKUP(F$1,Parameters,2,FALSE()),4)&amp;"*",OFFSET(Data,1,0,1),0),FALSE())),ISTEXT(VLOOKUP(DATEVALUE(LEFT($B322,4)&amp;"-"&amp;MID($B322,5,2)&amp;"-"&amp;RIGHT($B322,2)),Data,MATCH(LEFT(VLOOKUP(F$1,Parameters,2,FALSE()),4)&amp;"*",OFFSET(Data,1,0,1),0),FALSE())),NOT(EXACT($C322,"24.00"))),"—",VLOOKUP(DATEVALUE(LEFT($B322,4)&amp;"-"&amp;MID($B322,5,2)&amp;"-"&amp;RIGHT($B322,2)),Data,MATCH(LEFT(VLOOKUP(F$1,Parameters,2,FALSE()),4)&amp;"*",OFFSET(Data,1,0,1),0),FALSE()))</f>
        <v>27</v>
      </c>
      <c r="G322" s="40">
        <f t="shared" ref="G322:G385" ca="1" si="38">IF(OR(ISBLANK(VLOOKUP(DATEVALUE(LEFT($B322,4)&amp;"-"&amp;MID($B322,5,2)&amp;"-"&amp;RIGHT($B322,2)),Data,MATCH(LEFT(VLOOKUP(MID(G$1,2,LEN(G$1)-1),Parameters,2,FALSE()),4)&amp;"*",OFFSET(Data,1,0,1),0),FALSE())),ISTEXT(VLOOKUP(DATEVALUE(LEFT($B322,4)&amp;"-"&amp;MID($B322,5,2)&amp;"-"&amp;RIGHT($B322,2)),Data,MATCH(LEFT(VLOOKUP(MID(G$1,2,LEN(G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1,0,1),0),FALSE())))</f>
        <v>0</v>
      </c>
      <c r="H322" s="23">
        <f t="shared" ref="H322:H385" ca="1" si="39">IF(OR(ISBLANK(VLOOKUP(DATEVALUE(LEFT($B322,4)&amp;"-"&amp;MID($B322,5,2)&amp;"-"&amp;RIGHT($B322,2)),Data,MATCH(LEFT(VLOOKUP(H$1,Parameters,2,FALSE()),4)&amp;"*",OFFSET(Data,1,0,1),0),FALSE())),ISTEXT(VLOOKUP(DATEVALUE(LEFT($B322,4)&amp;"-"&amp;MID($B322,5,2)&amp;"-"&amp;RIGHT($B322,2)),Data,MATCH(LEFT(VLOOKUP(H$1,Parameters,2,FALSE()),4)&amp;"*",OFFSET(Data,1,0,1),0),FALSE())),NOT(EXACT($C322,"24.00"))),"—",VLOOKUP(DATEVALUE(LEFT($B322,4)&amp;"-"&amp;MID($B322,5,2)&amp;"-"&amp;RIGHT($B322,2)),Data,MATCH(LEFT(VLOOKUP(H$1,Parameters,2,FALSE()),4)&amp;"*",OFFSET(Data,1,0,1),0),FALSE()))</f>
        <v>30</v>
      </c>
      <c r="I322" s="40">
        <f t="shared" ref="I322:I385" ca="1" si="40">IF(OR(ISBLANK(VLOOKUP(DATEVALUE(LEFT($B322,4)&amp;"-"&amp;MID($B322,5,2)&amp;"-"&amp;RIGHT($B322,2)),Data,MATCH(LEFT(VLOOKUP(MID(I$1,2,LEN(I$1)-1),Parameters,2,FALSE()),4)&amp;"*",OFFSET(Data,1,0,1),0),FALSE())),ISTEXT(VLOOKUP(DATEVALUE(LEFT($B322,4)&amp;"-"&amp;MID($B322,5,2)&amp;"-"&amp;RIGHT($B322,2)),Data,MATCH(LEFT(VLOOKUP(MID(I$1,2,LEN(I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4)&amp;"*",OFFSET(Catalogus,1,0,1),0),FALSE())))</f>
        <v>0</v>
      </c>
    </row>
    <row r="323" spans="1:9" x14ac:dyDescent="0.25">
      <c r="A323" s="17">
        <f t="shared" si="35"/>
        <v>81</v>
      </c>
      <c r="B323" t="str">
        <f ca="1">TEXT(DATE(YEAR(Invoer!$A$5),1,1)+INT((ROWS(B$2:B323)-1)/3),"jjjjmmdd")</f>
        <v>19200417</v>
      </c>
      <c r="C323" s="35" t="str">
        <f>IF(MOD(ROWS(C$2:C323)-1,3)=2,"24.00",INDEX(Data,2,2+MOD(ROWS(C$2:C323)-1,3)))</f>
        <v>08.00</v>
      </c>
      <c r="D323" s="23">
        <f t="shared" ref="D323:D386" ca="1" si="41">IF(OR(ISBLANK(VLOOKUP(DATEVALUE(LEFT($B323,4)&amp;"-"&amp;MID($B323,5,2)&amp;"-"&amp;RIGHT($B323,2)),Data,MATCH(LEFT(VLOOKUP(D$1,Parameters,2,FALSE()),4)&amp;"*",OFFSET(Data,0,0,1),0)+MATCH($C323,OFFSET(Data,1,0,1),0)-2,FALSE())),ISTEXT(VLOOKUP(DATEVALUE(LEFT($B323,4)&amp;"-"&amp;MID($B323,5,2)&amp;"-"&amp;RIGHT($B323,2)),Data,MATCH(LEFT(VLOOKUP(D$1,Parameters,2,FALSE()),4)&amp;"*",OFFSET(Data,0,0,1),0)+MATCH($C323,OFFSET(Data,1,0,1),0)-2,FALSE())),EXACT(C323,"24.00")),"—",VLOOKUP(DATEVALUE(LEFT($B323,4)&amp;"-"&amp;MID($B323,5,2)&amp;"-"&amp;RIGHT($B323,2)),Data,MATCH(LEFT(VLOOKUP(D$1,Parameters,2,FALSE()),4)&amp;"*",OFFSET(Data,0,0,1),0)+MATCH($C323,OFFSET(Data,1,0,1),0)-2,FALSE()))</f>
        <v>747.6</v>
      </c>
      <c r="E323" s="40">
        <f t="shared" ca="1" si="36"/>
        <v>0</v>
      </c>
      <c r="F323" s="23" t="str">
        <f t="shared" ca="1" si="37"/>
        <v>—</v>
      </c>
      <c r="G323" s="40">
        <f t="shared" ca="1" si="38"/>
        <v>7</v>
      </c>
      <c r="H323" s="23" t="str">
        <f t="shared" ca="1" si="39"/>
        <v>—</v>
      </c>
      <c r="I323" s="40">
        <f t="shared" ca="1" si="40"/>
        <v>7</v>
      </c>
    </row>
    <row r="324" spans="1:9" x14ac:dyDescent="0.25">
      <c r="A324" s="17">
        <f t="shared" si="35"/>
        <v>81</v>
      </c>
      <c r="B324" t="str">
        <f ca="1">TEXT(DATE(YEAR(Invoer!$A$5),1,1)+INT((ROWS(B$2:B324)-1)/3),"jjjjmmdd")</f>
        <v>19200417</v>
      </c>
      <c r="C324" s="35" t="str">
        <f>IF(MOD(ROWS(C$2:C324)-1,3)=2,"24.00",INDEX(Data,2,2+MOD(ROWS(C$2:C324)-1,3)))</f>
        <v>14.00</v>
      </c>
      <c r="D324" s="23">
        <f t="shared" ca="1" si="41"/>
        <v>747.1</v>
      </c>
      <c r="E324" s="40">
        <f t="shared" ca="1" si="36"/>
        <v>0</v>
      </c>
      <c r="F324" s="23" t="str">
        <f t="shared" ca="1" si="37"/>
        <v>—</v>
      </c>
      <c r="G324" s="40">
        <f t="shared" ca="1" si="38"/>
        <v>7</v>
      </c>
      <c r="H324" s="23" t="str">
        <f t="shared" ca="1" si="39"/>
        <v>—</v>
      </c>
      <c r="I324" s="40">
        <f t="shared" ca="1" si="40"/>
        <v>7</v>
      </c>
    </row>
    <row r="325" spans="1:9" x14ac:dyDescent="0.25">
      <c r="A325" s="17">
        <f t="shared" si="35"/>
        <v>81</v>
      </c>
      <c r="B325" t="str">
        <f ca="1">TEXT(DATE(YEAR(Invoer!$A$5),1,1)+INT((ROWS(B$2:B325)-1)/3),"jjjjmmdd")</f>
        <v>19200417</v>
      </c>
      <c r="C325" s="35" t="str">
        <f>IF(MOD(ROWS(C$2:C325)-1,3)=2,"24.00",INDEX(Data,2,2+MOD(ROWS(C$2:C325)-1,3)))</f>
        <v>24.00</v>
      </c>
      <c r="D325" s="23" t="str">
        <f t="shared" ca="1" si="41"/>
        <v>—</v>
      </c>
      <c r="E325" s="40">
        <f t="shared" ca="1" si="36"/>
        <v>7</v>
      </c>
      <c r="F325" s="23">
        <f t="shared" ca="1" si="37"/>
        <v>26</v>
      </c>
      <c r="G325" s="40">
        <f t="shared" ca="1" si="38"/>
        <v>0</v>
      </c>
      <c r="H325" s="23">
        <f t="shared" ca="1" si="39"/>
        <v>29</v>
      </c>
      <c r="I325" s="40">
        <f t="shared" ca="1" si="40"/>
        <v>0</v>
      </c>
    </row>
    <row r="326" spans="1:9" x14ac:dyDescent="0.25">
      <c r="A326" s="17">
        <f t="shared" si="35"/>
        <v>81</v>
      </c>
      <c r="B326" t="str">
        <f ca="1">TEXT(DATE(YEAR(Invoer!$A$5),1,1)+INT((ROWS(B$2:B326)-1)/3),"jjjjmmdd")</f>
        <v>19200418</v>
      </c>
      <c r="C326" s="35" t="str">
        <f>IF(MOD(ROWS(C$2:C326)-1,3)=2,"24.00",INDEX(Data,2,2+MOD(ROWS(C$2:C326)-1,3)))</f>
        <v>08.00</v>
      </c>
      <c r="D326" s="23">
        <f t="shared" ca="1" si="41"/>
        <v>747.4</v>
      </c>
      <c r="E326" s="40">
        <f t="shared" ca="1" si="36"/>
        <v>0</v>
      </c>
      <c r="F326" s="23" t="str">
        <f t="shared" ca="1" si="37"/>
        <v>—</v>
      </c>
      <c r="G326" s="40">
        <f t="shared" ca="1" si="38"/>
        <v>7</v>
      </c>
      <c r="H326" s="23" t="str">
        <f t="shared" ca="1" si="39"/>
        <v>—</v>
      </c>
      <c r="I326" s="40">
        <f t="shared" ca="1" si="40"/>
        <v>7</v>
      </c>
    </row>
    <row r="327" spans="1:9" x14ac:dyDescent="0.25">
      <c r="A327" s="17">
        <f t="shared" si="35"/>
        <v>81</v>
      </c>
      <c r="B327" t="str">
        <f ca="1">TEXT(DATE(YEAR(Invoer!$A$5),1,1)+INT((ROWS(B$2:B327)-1)/3),"jjjjmmdd")</f>
        <v>19200418</v>
      </c>
      <c r="C327" s="35" t="str">
        <f>IF(MOD(ROWS(C$2:C327)-1,3)=2,"24.00",INDEX(Data,2,2+MOD(ROWS(C$2:C327)-1,3)))</f>
        <v>14.00</v>
      </c>
      <c r="D327" s="23">
        <f t="shared" ca="1" si="41"/>
        <v>747</v>
      </c>
      <c r="E327" s="40">
        <f t="shared" ca="1" si="36"/>
        <v>0</v>
      </c>
      <c r="F327" s="23" t="str">
        <f t="shared" ca="1" si="37"/>
        <v>—</v>
      </c>
      <c r="G327" s="40">
        <f t="shared" ca="1" si="38"/>
        <v>7</v>
      </c>
      <c r="H327" s="23" t="str">
        <f t="shared" ca="1" si="39"/>
        <v>—</v>
      </c>
      <c r="I327" s="40">
        <f t="shared" ca="1" si="40"/>
        <v>7</v>
      </c>
    </row>
    <row r="328" spans="1:9" x14ac:dyDescent="0.25">
      <c r="A328" s="17">
        <f t="shared" si="35"/>
        <v>81</v>
      </c>
      <c r="B328" t="str">
        <f ca="1">TEXT(DATE(YEAR(Invoer!$A$5),1,1)+INT((ROWS(B$2:B328)-1)/3),"jjjjmmdd")</f>
        <v>19200418</v>
      </c>
      <c r="C328" s="35" t="str">
        <f>IF(MOD(ROWS(C$2:C328)-1,3)=2,"24.00",INDEX(Data,2,2+MOD(ROWS(C$2:C328)-1,3)))</f>
        <v>24.00</v>
      </c>
      <c r="D328" s="23" t="str">
        <f t="shared" ca="1" si="41"/>
        <v>—</v>
      </c>
      <c r="E328" s="40">
        <f t="shared" ca="1" si="36"/>
        <v>7</v>
      </c>
      <c r="F328" s="23">
        <f t="shared" ca="1" si="37"/>
        <v>26</v>
      </c>
      <c r="G328" s="40">
        <f t="shared" ca="1" si="38"/>
        <v>0</v>
      </c>
      <c r="H328" s="23">
        <f t="shared" ca="1" si="39"/>
        <v>29</v>
      </c>
      <c r="I328" s="40">
        <f t="shared" ca="1" si="40"/>
        <v>0</v>
      </c>
    </row>
    <row r="329" spans="1:9" x14ac:dyDescent="0.25">
      <c r="A329" s="17">
        <f t="shared" si="35"/>
        <v>81</v>
      </c>
      <c r="B329" t="str">
        <f ca="1">TEXT(DATE(YEAR(Invoer!$A$5),1,1)+INT((ROWS(B$2:B329)-1)/3),"jjjjmmdd")</f>
        <v>19200419</v>
      </c>
      <c r="C329" s="35" t="str">
        <f>IF(MOD(ROWS(C$2:C329)-1,3)=2,"24.00",INDEX(Data,2,2+MOD(ROWS(C$2:C329)-1,3)))</f>
        <v>08.00</v>
      </c>
      <c r="D329" s="23">
        <f t="shared" ca="1" si="41"/>
        <v>747.3</v>
      </c>
      <c r="E329" s="40">
        <f t="shared" ca="1" si="36"/>
        <v>0</v>
      </c>
      <c r="F329" s="23" t="str">
        <f t="shared" ca="1" si="37"/>
        <v>—</v>
      </c>
      <c r="G329" s="40">
        <f t="shared" ca="1" si="38"/>
        <v>7</v>
      </c>
      <c r="H329" s="23" t="str">
        <f t="shared" ca="1" si="39"/>
        <v>—</v>
      </c>
      <c r="I329" s="40">
        <f t="shared" ca="1" si="40"/>
        <v>7</v>
      </c>
    </row>
    <row r="330" spans="1:9" x14ac:dyDescent="0.25">
      <c r="A330" s="17">
        <f t="shared" si="35"/>
        <v>81</v>
      </c>
      <c r="B330" t="str">
        <f ca="1">TEXT(DATE(YEAR(Invoer!$A$5),1,1)+INT((ROWS(B$2:B330)-1)/3),"jjjjmmdd")</f>
        <v>19200419</v>
      </c>
      <c r="C330" s="35" t="str">
        <f>IF(MOD(ROWS(C$2:C330)-1,3)=2,"24.00",INDEX(Data,2,2+MOD(ROWS(C$2:C330)-1,3)))</f>
        <v>14.00</v>
      </c>
      <c r="D330" s="23">
        <f t="shared" ca="1" si="41"/>
        <v>747.1</v>
      </c>
      <c r="E330" s="40">
        <f t="shared" ca="1" si="36"/>
        <v>0</v>
      </c>
      <c r="F330" s="23" t="str">
        <f t="shared" ca="1" si="37"/>
        <v>—</v>
      </c>
      <c r="G330" s="40">
        <f t="shared" ca="1" si="38"/>
        <v>7</v>
      </c>
      <c r="H330" s="23" t="str">
        <f t="shared" ca="1" si="39"/>
        <v>—</v>
      </c>
      <c r="I330" s="40">
        <f t="shared" ca="1" si="40"/>
        <v>7</v>
      </c>
    </row>
    <row r="331" spans="1:9" x14ac:dyDescent="0.25">
      <c r="A331" s="17">
        <f t="shared" si="35"/>
        <v>81</v>
      </c>
      <c r="B331" t="str">
        <f ca="1">TEXT(DATE(YEAR(Invoer!$A$5),1,1)+INT((ROWS(B$2:B331)-1)/3),"jjjjmmdd")</f>
        <v>19200419</v>
      </c>
      <c r="C331" s="35" t="str">
        <f>IF(MOD(ROWS(C$2:C331)-1,3)=2,"24.00",INDEX(Data,2,2+MOD(ROWS(C$2:C331)-1,3)))</f>
        <v>24.00</v>
      </c>
      <c r="D331" s="23" t="str">
        <f t="shared" ca="1" si="41"/>
        <v>—</v>
      </c>
      <c r="E331" s="40">
        <f t="shared" ca="1" si="36"/>
        <v>7</v>
      </c>
      <c r="F331" s="23">
        <f t="shared" ca="1" si="37"/>
        <v>26</v>
      </c>
      <c r="G331" s="40">
        <f t="shared" ca="1" si="38"/>
        <v>0</v>
      </c>
      <c r="H331" s="23">
        <f t="shared" ca="1" si="39"/>
        <v>30</v>
      </c>
      <c r="I331" s="40">
        <f t="shared" ca="1" si="40"/>
        <v>0</v>
      </c>
    </row>
    <row r="332" spans="1:9" x14ac:dyDescent="0.25">
      <c r="A332" s="17">
        <f t="shared" si="35"/>
        <v>81</v>
      </c>
      <c r="B332" t="str">
        <f ca="1">TEXT(DATE(YEAR(Invoer!$A$5),1,1)+INT((ROWS(B$2:B332)-1)/3),"jjjjmmdd")</f>
        <v>19200420</v>
      </c>
      <c r="C332" s="35" t="str">
        <f>IF(MOD(ROWS(C$2:C332)-1,3)=2,"24.00",INDEX(Data,2,2+MOD(ROWS(C$2:C332)-1,3)))</f>
        <v>08.00</v>
      </c>
      <c r="D332" s="23">
        <f t="shared" ca="1" si="41"/>
        <v>748.7</v>
      </c>
      <c r="E332" s="40">
        <f t="shared" ca="1" si="36"/>
        <v>0</v>
      </c>
      <c r="F332" s="23" t="str">
        <f t="shared" ca="1" si="37"/>
        <v>—</v>
      </c>
      <c r="G332" s="40">
        <f t="shared" ca="1" si="38"/>
        <v>7</v>
      </c>
      <c r="H332" s="23" t="str">
        <f t="shared" ca="1" si="39"/>
        <v>—</v>
      </c>
      <c r="I332" s="40">
        <f t="shared" ca="1" si="40"/>
        <v>7</v>
      </c>
    </row>
    <row r="333" spans="1:9" x14ac:dyDescent="0.25">
      <c r="A333" s="17">
        <f t="shared" si="35"/>
        <v>81</v>
      </c>
      <c r="B333" t="str">
        <f ca="1">TEXT(DATE(YEAR(Invoer!$A$5),1,1)+INT((ROWS(B$2:B333)-1)/3),"jjjjmmdd")</f>
        <v>19200420</v>
      </c>
      <c r="C333" s="35" t="str">
        <f>IF(MOD(ROWS(C$2:C333)-1,3)=2,"24.00",INDEX(Data,2,2+MOD(ROWS(C$2:C333)-1,3)))</f>
        <v>14.00</v>
      </c>
      <c r="D333" s="23">
        <f t="shared" ca="1" si="41"/>
        <v>748.4</v>
      </c>
      <c r="E333" s="40">
        <f t="shared" ca="1" si="36"/>
        <v>0</v>
      </c>
      <c r="F333" s="23" t="str">
        <f t="shared" ca="1" si="37"/>
        <v>—</v>
      </c>
      <c r="G333" s="40">
        <f t="shared" ca="1" si="38"/>
        <v>7</v>
      </c>
      <c r="H333" s="23" t="str">
        <f t="shared" ca="1" si="39"/>
        <v>—</v>
      </c>
      <c r="I333" s="40">
        <f t="shared" ca="1" si="40"/>
        <v>7</v>
      </c>
    </row>
    <row r="334" spans="1:9" x14ac:dyDescent="0.25">
      <c r="A334" s="17">
        <f t="shared" si="35"/>
        <v>81</v>
      </c>
      <c r="B334" t="str">
        <f ca="1">TEXT(DATE(YEAR(Invoer!$A$5),1,1)+INT((ROWS(B$2:B334)-1)/3),"jjjjmmdd")</f>
        <v>19200420</v>
      </c>
      <c r="C334" s="35" t="str">
        <f>IF(MOD(ROWS(C$2:C334)-1,3)=2,"24.00",INDEX(Data,2,2+MOD(ROWS(C$2:C334)-1,3)))</f>
        <v>24.00</v>
      </c>
      <c r="D334" s="23" t="str">
        <f t="shared" ca="1" si="41"/>
        <v>—</v>
      </c>
      <c r="E334" s="40">
        <f t="shared" ca="1" si="36"/>
        <v>7</v>
      </c>
      <c r="F334" s="23">
        <f t="shared" ca="1" si="37"/>
        <v>26.8</v>
      </c>
      <c r="G334" s="40">
        <f t="shared" ca="1" si="38"/>
        <v>0</v>
      </c>
      <c r="H334" s="23">
        <f t="shared" ca="1" si="39"/>
        <v>28</v>
      </c>
      <c r="I334" s="40">
        <f t="shared" ca="1" si="40"/>
        <v>0</v>
      </c>
    </row>
    <row r="335" spans="1:9" x14ac:dyDescent="0.25">
      <c r="A335" s="17">
        <f t="shared" si="35"/>
        <v>81</v>
      </c>
      <c r="B335" t="str">
        <f ca="1">TEXT(DATE(YEAR(Invoer!$A$5),1,1)+INT((ROWS(B$2:B335)-1)/3),"jjjjmmdd")</f>
        <v>19200421</v>
      </c>
      <c r="C335" s="35" t="str">
        <f>IF(MOD(ROWS(C$2:C335)-1,3)=2,"24.00",INDEX(Data,2,2+MOD(ROWS(C$2:C335)-1,3)))</f>
        <v>08.00</v>
      </c>
      <c r="D335" s="23">
        <f t="shared" ca="1" si="41"/>
        <v>750.5</v>
      </c>
      <c r="E335" s="40">
        <f t="shared" ca="1" si="36"/>
        <v>0</v>
      </c>
      <c r="F335" s="23" t="str">
        <f t="shared" ca="1" si="37"/>
        <v>—</v>
      </c>
      <c r="G335" s="40">
        <f t="shared" ca="1" si="38"/>
        <v>7</v>
      </c>
      <c r="H335" s="23" t="str">
        <f t="shared" ca="1" si="39"/>
        <v>—</v>
      </c>
      <c r="I335" s="40">
        <f t="shared" ca="1" si="40"/>
        <v>7</v>
      </c>
    </row>
    <row r="336" spans="1:9" x14ac:dyDescent="0.25">
      <c r="A336" s="17">
        <f t="shared" si="35"/>
        <v>81</v>
      </c>
      <c r="B336" t="str">
        <f ca="1">TEXT(DATE(YEAR(Invoer!$A$5),1,1)+INT((ROWS(B$2:B336)-1)/3),"jjjjmmdd")</f>
        <v>19200421</v>
      </c>
      <c r="C336" s="35" t="str">
        <f>IF(MOD(ROWS(C$2:C336)-1,3)=2,"24.00",INDEX(Data,2,2+MOD(ROWS(C$2:C336)-1,3)))</f>
        <v>14.00</v>
      </c>
      <c r="D336" s="23">
        <f t="shared" ca="1" si="41"/>
        <v>750</v>
      </c>
      <c r="E336" s="40">
        <f t="shared" ca="1" si="36"/>
        <v>0</v>
      </c>
      <c r="F336" s="23" t="str">
        <f t="shared" ca="1" si="37"/>
        <v>—</v>
      </c>
      <c r="G336" s="40">
        <f t="shared" ca="1" si="38"/>
        <v>7</v>
      </c>
      <c r="H336" s="23" t="str">
        <f t="shared" ca="1" si="39"/>
        <v>—</v>
      </c>
      <c r="I336" s="40">
        <f t="shared" ca="1" si="40"/>
        <v>7</v>
      </c>
    </row>
    <row r="337" spans="1:9" x14ac:dyDescent="0.25">
      <c r="A337" s="17">
        <f t="shared" si="35"/>
        <v>81</v>
      </c>
      <c r="B337" t="str">
        <f ca="1">TEXT(DATE(YEAR(Invoer!$A$5),1,1)+INT((ROWS(B$2:B337)-1)/3),"jjjjmmdd")</f>
        <v>19200421</v>
      </c>
      <c r="C337" s="35" t="str">
        <f>IF(MOD(ROWS(C$2:C337)-1,3)=2,"24.00",INDEX(Data,2,2+MOD(ROWS(C$2:C337)-1,3)))</f>
        <v>24.00</v>
      </c>
      <c r="D337" s="23" t="str">
        <f t="shared" ca="1" si="41"/>
        <v>—</v>
      </c>
      <c r="E337" s="40">
        <f t="shared" ca="1" si="36"/>
        <v>7</v>
      </c>
      <c r="F337" s="23">
        <f t="shared" ca="1" si="37"/>
        <v>26</v>
      </c>
      <c r="G337" s="40">
        <f t="shared" ca="1" si="38"/>
        <v>0</v>
      </c>
      <c r="H337" s="23">
        <f t="shared" ca="1" si="39"/>
        <v>29</v>
      </c>
      <c r="I337" s="40">
        <f t="shared" ca="1" si="40"/>
        <v>0</v>
      </c>
    </row>
    <row r="338" spans="1:9" x14ac:dyDescent="0.25">
      <c r="A338" s="17">
        <f t="shared" si="35"/>
        <v>81</v>
      </c>
      <c r="B338" t="str">
        <f ca="1">TEXT(DATE(YEAR(Invoer!$A$5),1,1)+INT((ROWS(B$2:B338)-1)/3),"jjjjmmdd")</f>
        <v>19200422</v>
      </c>
      <c r="C338" s="35" t="str">
        <f>IF(MOD(ROWS(C$2:C338)-1,3)=2,"24.00",INDEX(Data,2,2+MOD(ROWS(C$2:C338)-1,3)))</f>
        <v>08.00</v>
      </c>
      <c r="D338" s="23">
        <f t="shared" ca="1" si="41"/>
        <v>749</v>
      </c>
      <c r="E338" s="40">
        <f t="shared" ca="1" si="36"/>
        <v>0</v>
      </c>
      <c r="F338" s="23" t="str">
        <f t="shared" ca="1" si="37"/>
        <v>—</v>
      </c>
      <c r="G338" s="40">
        <f t="shared" ca="1" si="38"/>
        <v>7</v>
      </c>
      <c r="H338" s="23" t="str">
        <f t="shared" ca="1" si="39"/>
        <v>—</v>
      </c>
      <c r="I338" s="40">
        <f t="shared" ca="1" si="40"/>
        <v>7</v>
      </c>
    </row>
    <row r="339" spans="1:9" x14ac:dyDescent="0.25">
      <c r="A339" s="17">
        <f t="shared" si="35"/>
        <v>81</v>
      </c>
      <c r="B339" t="str">
        <f ca="1">TEXT(DATE(YEAR(Invoer!$A$5),1,1)+INT((ROWS(B$2:B339)-1)/3),"jjjjmmdd")</f>
        <v>19200422</v>
      </c>
      <c r="C339" s="35" t="str">
        <f>IF(MOD(ROWS(C$2:C339)-1,3)=2,"24.00",INDEX(Data,2,2+MOD(ROWS(C$2:C339)-1,3)))</f>
        <v>14.00</v>
      </c>
      <c r="D339" s="23">
        <f t="shared" ca="1" si="41"/>
        <v>748.8</v>
      </c>
      <c r="E339" s="40">
        <f t="shared" ca="1" si="36"/>
        <v>0</v>
      </c>
      <c r="F339" s="23" t="str">
        <f t="shared" ca="1" si="37"/>
        <v>—</v>
      </c>
      <c r="G339" s="40">
        <f t="shared" ca="1" si="38"/>
        <v>7</v>
      </c>
      <c r="H339" s="23" t="str">
        <f t="shared" ca="1" si="39"/>
        <v>—</v>
      </c>
      <c r="I339" s="40">
        <f t="shared" ca="1" si="40"/>
        <v>7</v>
      </c>
    </row>
    <row r="340" spans="1:9" x14ac:dyDescent="0.25">
      <c r="A340" s="17">
        <f t="shared" si="35"/>
        <v>81</v>
      </c>
      <c r="B340" t="str">
        <f ca="1">TEXT(DATE(YEAR(Invoer!$A$5),1,1)+INT((ROWS(B$2:B340)-1)/3),"jjjjmmdd")</f>
        <v>19200422</v>
      </c>
      <c r="C340" s="35" t="str">
        <f>IF(MOD(ROWS(C$2:C340)-1,3)=2,"24.00",INDEX(Data,2,2+MOD(ROWS(C$2:C340)-1,3)))</f>
        <v>24.00</v>
      </c>
      <c r="D340" s="23" t="str">
        <f t="shared" ca="1" si="41"/>
        <v>—</v>
      </c>
      <c r="E340" s="40">
        <f t="shared" ca="1" si="36"/>
        <v>7</v>
      </c>
      <c r="F340" s="23">
        <f t="shared" ca="1" si="37"/>
        <v>26</v>
      </c>
      <c r="G340" s="40">
        <f t="shared" ca="1" si="38"/>
        <v>0</v>
      </c>
      <c r="H340" s="23">
        <f t="shared" ca="1" si="39"/>
        <v>27.5</v>
      </c>
      <c r="I340" s="40">
        <f t="shared" ca="1" si="40"/>
        <v>0</v>
      </c>
    </row>
    <row r="341" spans="1:9" x14ac:dyDescent="0.25">
      <c r="A341" s="17">
        <f t="shared" si="35"/>
        <v>81</v>
      </c>
      <c r="B341" t="str">
        <f ca="1">TEXT(DATE(YEAR(Invoer!$A$5),1,1)+INT((ROWS(B$2:B341)-1)/3),"jjjjmmdd")</f>
        <v>19200423</v>
      </c>
      <c r="C341" s="35" t="str">
        <f>IF(MOD(ROWS(C$2:C341)-1,3)=2,"24.00",INDEX(Data,2,2+MOD(ROWS(C$2:C341)-1,3)))</f>
        <v>08.00</v>
      </c>
      <c r="D341" s="23">
        <f t="shared" ca="1" si="41"/>
        <v>749</v>
      </c>
      <c r="E341" s="40">
        <f t="shared" ca="1" si="36"/>
        <v>0</v>
      </c>
      <c r="F341" s="23" t="str">
        <f t="shared" ca="1" si="37"/>
        <v>—</v>
      </c>
      <c r="G341" s="40">
        <f t="shared" ca="1" si="38"/>
        <v>7</v>
      </c>
      <c r="H341" s="23" t="str">
        <f t="shared" ca="1" si="39"/>
        <v>—</v>
      </c>
      <c r="I341" s="40">
        <f t="shared" ca="1" si="40"/>
        <v>7</v>
      </c>
    </row>
    <row r="342" spans="1:9" x14ac:dyDescent="0.25">
      <c r="A342" s="17">
        <f t="shared" si="35"/>
        <v>81</v>
      </c>
      <c r="B342" t="str">
        <f ca="1">TEXT(DATE(YEAR(Invoer!$A$5),1,1)+INT((ROWS(B$2:B342)-1)/3),"jjjjmmdd")</f>
        <v>19200423</v>
      </c>
      <c r="C342" s="35" t="str">
        <f>IF(MOD(ROWS(C$2:C342)-1,3)=2,"24.00",INDEX(Data,2,2+MOD(ROWS(C$2:C342)-1,3)))</f>
        <v>14.00</v>
      </c>
      <c r="D342" s="23">
        <f t="shared" ca="1" si="41"/>
        <v>748.5</v>
      </c>
      <c r="E342" s="40">
        <f t="shared" ca="1" si="36"/>
        <v>0</v>
      </c>
      <c r="F342" s="23" t="str">
        <f t="shared" ca="1" si="37"/>
        <v>—</v>
      </c>
      <c r="G342" s="40">
        <f t="shared" ca="1" si="38"/>
        <v>7</v>
      </c>
      <c r="H342" s="23" t="str">
        <f t="shared" ca="1" si="39"/>
        <v>—</v>
      </c>
      <c r="I342" s="40">
        <f t="shared" ca="1" si="40"/>
        <v>7</v>
      </c>
    </row>
    <row r="343" spans="1:9" x14ac:dyDescent="0.25">
      <c r="A343" s="17">
        <f t="shared" si="35"/>
        <v>81</v>
      </c>
      <c r="B343" t="str">
        <f ca="1">TEXT(DATE(YEAR(Invoer!$A$5),1,1)+INT((ROWS(B$2:B343)-1)/3),"jjjjmmdd")</f>
        <v>19200423</v>
      </c>
      <c r="C343" s="35" t="str">
        <f>IF(MOD(ROWS(C$2:C343)-1,3)=2,"24.00",INDEX(Data,2,2+MOD(ROWS(C$2:C343)-1,3)))</f>
        <v>24.00</v>
      </c>
      <c r="D343" s="23" t="str">
        <f t="shared" ca="1" si="41"/>
        <v>—</v>
      </c>
      <c r="E343" s="40">
        <f t="shared" ca="1" si="36"/>
        <v>7</v>
      </c>
      <c r="F343" s="23">
        <f t="shared" ca="1" si="37"/>
        <v>25</v>
      </c>
      <c r="G343" s="40">
        <f t="shared" ca="1" si="38"/>
        <v>0</v>
      </c>
      <c r="H343" s="23">
        <f t="shared" ca="1" si="39"/>
        <v>27</v>
      </c>
      <c r="I343" s="40">
        <f t="shared" ca="1" si="40"/>
        <v>0</v>
      </c>
    </row>
    <row r="344" spans="1:9" x14ac:dyDescent="0.25">
      <c r="A344" s="17">
        <f t="shared" si="35"/>
        <v>81</v>
      </c>
      <c r="B344" t="str">
        <f ca="1">TEXT(DATE(YEAR(Invoer!$A$5),1,1)+INT((ROWS(B$2:B344)-1)/3),"jjjjmmdd")</f>
        <v>19200424</v>
      </c>
      <c r="C344" s="35" t="str">
        <f>IF(MOD(ROWS(C$2:C344)-1,3)=2,"24.00",INDEX(Data,2,2+MOD(ROWS(C$2:C344)-1,3)))</f>
        <v>08.00</v>
      </c>
      <c r="D344" s="23">
        <f t="shared" ca="1" si="41"/>
        <v>749</v>
      </c>
      <c r="E344" s="40">
        <f t="shared" ca="1" si="36"/>
        <v>0</v>
      </c>
      <c r="F344" s="23" t="str">
        <f t="shared" ca="1" si="37"/>
        <v>—</v>
      </c>
      <c r="G344" s="40">
        <f t="shared" ca="1" si="38"/>
        <v>7</v>
      </c>
      <c r="H344" s="23" t="str">
        <f t="shared" ca="1" si="39"/>
        <v>—</v>
      </c>
      <c r="I344" s="40">
        <f t="shared" ca="1" si="40"/>
        <v>7</v>
      </c>
    </row>
    <row r="345" spans="1:9" x14ac:dyDescent="0.25">
      <c r="A345" s="17">
        <f t="shared" si="35"/>
        <v>81</v>
      </c>
      <c r="B345" t="str">
        <f ca="1">TEXT(DATE(YEAR(Invoer!$A$5),1,1)+INT((ROWS(B$2:B345)-1)/3),"jjjjmmdd")</f>
        <v>19200424</v>
      </c>
      <c r="C345" s="35" t="str">
        <f>IF(MOD(ROWS(C$2:C345)-1,3)=2,"24.00",INDEX(Data,2,2+MOD(ROWS(C$2:C345)-1,3)))</f>
        <v>14.00</v>
      </c>
      <c r="D345" s="23">
        <f t="shared" ca="1" si="41"/>
        <v>748.5</v>
      </c>
      <c r="E345" s="40">
        <f t="shared" ca="1" si="36"/>
        <v>0</v>
      </c>
      <c r="F345" s="23" t="str">
        <f t="shared" ca="1" si="37"/>
        <v>—</v>
      </c>
      <c r="G345" s="40">
        <f t="shared" ca="1" si="38"/>
        <v>7</v>
      </c>
      <c r="H345" s="23" t="str">
        <f t="shared" ca="1" si="39"/>
        <v>—</v>
      </c>
      <c r="I345" s="40">
        <f t="shared" ca="1" si="40"/>
        <v>7</v>
      </c>
    </row>
    <row r="346" spans="1:9" x14ac:dyDescent="0.25">
      <c r="A346" s="17">
        <f t="shared" si="35"/>
        <v>81</v>
      </c>
      <c r="B346" t="str">
        <f ca="1">TEXT(DATE(YEAR(Invoer!$A$5),1,1)+INT((ROWS(B$2:B346)-1)/3),"jjjjmmdd")</f>
        <v>19200424</v>
      </c>
      <c r="C346" s="35" t="str">
        <f>IF(MOD(ROWS(C$2:C346)-1,3)=2,"24.00",INDEX(Data,2,2+MOD(ROWS(C$2:C346)-1,3)))</f>
        <v>24.00</v>
      </c>
      <c r="D346" s="23" t="str">
        <f t="shared" ca="1" si="41"/>
        <v>—</v>
      </c>
      <c r="E346" s="40">
        <f t="shared" ca="1" si="36"/>
        <v>7</v>
      </c>
      <c r="F346" s="23">
        <f t="shared" ca="1" si="37"/>
        <v>25</v>
      </c>
      <c r="G346" s="40">
        <f t="shared" ca="1" si="38"/>
        <v>0</v>
      </c>
      <c r="H346" s="23">
        <f t="shared" ca="1" si="39"/>
        <v>28.5</v>
      </c>
      <c r="I346" s="40">
        <f t="shared" ca="1" si="40"/>
        <v>0</v>
      </c>
    </row>
    <row r="347" spans="1:9" x14ac:dyDescent="0.25">
      <c r="A347" s="17">
        <f t="shared" si="35"/>
        <v>81</v>
      </c>
      <c r="B347" t="str">
        <f ca="1">TEXT(DATE(YEAR(Invoer!$A$5),1,1)+INT((ROWS(B$2:B347)-1)/3),"jjjjmmdd")</f>
        <v>19200425</v>
      </c>
      <c r="C347" s="35" t="str">
        <f>IF(MOD(ROWS(C$2:C347)-1,3)=2,"24.00",INDEX(Data,2,2+MOD(ROWS(C$2:C347)-1,3)))</f>
        <v>08.00</v>
      </c>
      <c r="D347" s="23">
        <f t="shared" ca="1" si="41"/>
        <v>749.2</v>
      </c>
      <c r="E347" s="40">
        <f t="shared" ca="1" si="36"/>
        <v>0</v>
      </c>
      <c r="F347" s="23" t="str">
        <f t="shared" ca="1" si="37"/>
        <v>—</v>
      </c>
      <c r="G347" s="40">
        <f t="shared" ca="1" si="38"/>
        <v>7</v>
      </c>
      <c r="H347" s="23" t="str">
        <f t="shared" ca="1" si="39"/>
        <v>—</v>
      </c>
      <c r="I347" s="40">
        <f t="shared" ca="1" si="40"/>
        <v>7</v>
      </c>
    </row>
    <row r="348" spans="1:9" x14ac:dyDescent="0.25">
      <c r="A348" s="17">
        <f t="shared" si="35"/>
        <v>81</v>
      </c>
      <c r="B348" t="str">
        <f ca="1">TEXT(DATE(YEAR(Invoer!$A$5),1,1)+INT((ROWS(B$2:B348)-1)/3),"jjjjmmdd")</f>
        <v>19200425</v>
      </c>
      <c r="C348" s="35" t="str">
        <f>IF(MOD(ROWS(C$2:C348)-1,3)=2,"24.00",INDEX(Data,2,2+MOD(ROWS(C$2:C348)-1,3)))</f>
        <v>14.00</v>
      </c>
      <c r="D348" s="23">
        <f t="shared" ca="1" si="41"/>
        <v>748.1</v>
      </c>
      <c r="E348" s="40">
        <f t="shared" ca="1" si="36"/>
        <v>0</v>
      </c>
      <c r="F348" s="23" t="str">
        <f t="shared" ca="1" si="37"/>
        <v>—</v>
      </c>
      <c r="G348" s="40">
        <f t="shared" ca="1" si="38"/>
        <v>7</v>
      </c>
      <c r="H348" s="23" t="str">
        <f t="shared" ca="1" si="39"/>
        <v>—</v>
      </c>
      <c r="I348" s="40">
        <f t="shared" ca="1" si="40"/>
        <v>7</v>
      </c>
    </row>
    <row r="349" spans="1:9" x14ac:dyDescent="0.25">
      <c r="A349" s="17">
        <f t="shared" si="35"/>
        <v>81</v>
      </c>
      <c r="B349" t="str">
        <f ca="1">TEXT(DATE(YEAR(Invoer!$A$5),1,1)+INT((ROWS(B$2:B349)-1)/3),"jjjjmmdd")</f>
        <v>19200425</v>
      </c>
      <c r="C349" s="35" t="str">
        <f>IF(MOD(ROWS(C$2:C349)-1,3)=2,"24.00",INDEX(Data,2,2+MOD(ROWS(C$2:C349)-1,3)))</f>
        <v>24.00</v>
      </c>
      <c r="D349" s="23" t="str">
        <f t="shared" ca="1" si="41"/>
        <v>—</v>
      </c>
      <c r="E349" s="40">
        <f t="shared" ca="1" si="36"/>
        <v>7</v>
      </c>
      <c r="F349" s="23">
        <f t="shared" ca="1" si="37"/>
        <v>26</v>
      </c>
      <c r="G349" s="40">
        <f t="shared" ca="1" si="38"/>
        <v>0</v>
      </c>
      <c r="H349" s="23">
        <f t="shared" ca="1" si="39"/>
        <v>29</v>
      </c>
      <c r="I349" s="40">
        <f t="shared" ca="1" si="40"/>
        <v>0</v>
      </c>
    </row>
    <row r="350" spans="1:9" x14ac:dyDescent="0.25">
      <c r="A350" s="17">
        <f t="shared" si="35"/>
        <v>81</v>
      </c>
      <c r="B350" t="str">
        <f ca="1">TEXT(DATE(YEAR(Invoer!$A$5),1,1)+INT((ROWS(B$2:B350)-1)/3),"jjjjmmdd")</f>
        <v>19200426</v>
      </c>
      <c r="C350" s="35" t="str">
        <f>IF(MOD(ROWS(C$2:C350)-1,3)=2,"24.00",INDEX(Data,2,2+MOD(ROWS(C$2:C350)-1,3)))</f>
        <v>08.00</v>
      </c>
      <c r="D350" s="23">
        <f t="shared" ca="1" si="41"/>
        <v>749.5</v>
      </c>
      <c r="E350" s="40">
        <f t="shared" ca="1" si="36"/>
        <v>0</v>
      </c>
      <c r="F350" s="23" t="str">
        <f t="shared" ca="1" si="37"/>
        <v>—</v>
      </c>
      <c r="G350" s="40">
        <f t="shared" ca="1" si="38"/>
        <v>7</v>
      </c>
      <c r="H350" s="23" t="str">
        <f t="shared" ca="1" si="39"/>
        <v>—</v>
      </c>
      <c r="I350" s="40">
        <f t="shared" ca="1" si="40"/>
        <v>7</v>
      </c>
    </row>
    <row r="351" spans="1:9" x14ac:dyDescent="0.25">
      <c r="A351" s="17">
        <f t="shared" si="35"/>
        <v>81</v>
      </c>
      <c r="B351" t="str">
        <f ca="1">TEXT(DATE(YEAR(Invoer!$A$5),1,1)+INT((ROWS(B$2:B351)-1)/3),"jjjjmmdd")</f>
        <v>19200426</v>
      </c>
      <c r="C351" s="35" t="str">
        <f>IF(MOD(ROWS(C$2:C351)-1,3)=2,"24.00",INDEX(Data,2,2+MOD(ROWS(C$2:C351)-1,3)))</f>
        <v>14.00</v>
      </c>
      <c r="D351" s="23">
        <f t="shared" ca="1" si="41"/>
        <v>748.1</v>
      </c>
      <c r="E351" s="40">
        <f t="shared" ca="1" si="36"/>
        <v>0</v>
      </c>
      <c r="F351" s="23" t="str">
        <f t="shared" ca="1" si="37"/>
        <v>—</v>
      </c>
      <c r="G351" s="40">
        <f t="shared" ca="1" si="38"/>
        <v>7</v>
      </c>
      <c r="H351" s="23" t="str">
        <f t="shared" ca="1" si="39"/>
        <v>—</v>
      </c>
      <c r="I351" s="40">
        <f t="shared" ca="1" si="40"/>
        <v>7</v>
      </c>
    </row>
    <row r="352" spans="1:9" x14ac:dyDescent="0.25">
      <c r="A352" s="17">
        <f t="shared" si="35"/>
        <v>81</v>
      </c>
      <c r="B352" t="str">
        <f ca="1">TEXT(DATE(YEAR(Invoer!$A$5),1,1)+INT((ROWS(B$2:B352)-1)/3),"jjjjmmdd")</f>
        <v>19200426</v>
      </c>
      <c r="C352" s="35" t="str">
        <f>IF(MOD(ROWS(C$2:C352)-1,3)=2,"24.00",INDEX(Data,2,2+MOD(ROWS(C$2:C352)-1,3)))</f>
        <v>24.00</v>
      </c>
      <c r="D352" s="23" t="str">
        <f t="shared" ca="1" si="41"/>
        <v>—</v>
      </c>
      <c r="E352" s="40">
        <f t="shared" ca="1" si="36"/>
        <v>7</v>
      </c>
      <c r="F352" s="23">
        <f t="shared" ca="1" si="37"/>
        <v>26</v>
      </c>
      <c r="G352" s="40">
        <f t="shared" ca="1" si="38"/>
        <v>0</v>
      </c>
      <c r="H352" s="23">
        <f t="shared" ca="1" si="39"/>
        <v>29</v>
      </c>
      <c r="I352" s="40">
        <f t="shared" ca="1" si="40"/>
        <v>0</v>
      </c>
    </row>
    <row r="353" spans="1:9" x14ac:dyDescent="0.25">
      <c r="A353" s="17">
        <f t="shared" si="35"/>
        <v>81</v>
      </c>
      <c r="B353" t="str">
        <f ca="1">TEXT(DATE(YEAR(Invoer!$A$5),1,1)+INT((ROWS(B$2:B353)-1)/3),"jjjjmmdd")</f>
        <v>19200427</v>
      </c>
      <c r="C353" s="35" t="str">
        <f>IF(MOD(ROWS(C$2:C353)-1,3)=2,"24.00",INDEX(Data,2,2+MOD(ROWS(C$2:C353)-1,3)))</f>
        <v>08.00</v>
      </c>
      <c r="D353" s="23">
        <f t="shared" ca="1" si="41"/>
        <v>749</v>
      </c>
      <c r="E353" s="40">
        <f t="shared" ca="1" si="36"/>
        <v>0</v>
      </c>
      <c r="F353" s="23" t="str">
        <f t="shared" ca="1" si="37"/>
        <v>—</v>
      </c>
      <c r="G353" s="40">
        <f t="shared" ca="1" si="38"/>
        <v>7</v>
      </c>
      <c r="H353" s="23" t="str">
        <f t="shared" ca="1" si="39"/>
        <v>—</v>
      </c>
      <c r="I353" s="40">
        <f t="shared" ca="1" si="40"/>
        <v>7</v>
      </c>
    </row>
    <row r="354" spans="1:9" x14ac:dyDescent="0.25">
      <c r="A354" s="17">
        <f t="shared" si="35"/>
        <v>81</v>
      </c>
      <c r="B354" t="str">
        <f ca="1">TEXT(DATE(YEAR(Invoer!$A$5),1,1)+INT((ROWS(B$2:B354)-1)/3),"jjjjmmdd")</f>
        <v>19200427</v>
      </c>
      <c r="C354" s="35" t="str">
        <f>IF(MOD(ROWS(C$2:C354)-1,3)=2,"24.00",INDEX(Data,2,2+MOD(ROWS(C$2:C354)-1,3)))</f>
        <v>14.00</v>
      </c>
      <c r="D354" s="23">
        <f t="shared" ca="1" si="41"/>
        <v>748.6</v>
      </c>
      <c r="E354" s="40">
        <f t="shared" ca="1" si="36"/>
        <v>0</v>
      </c>
      <c r="F354" s="23" t="str">
        <f t="shared" ca="1" si="37"/>
        <v>—</v>
      </c>
      <c r="G354" s="40">
        <f t="shared" ca="1" si="38"/>
        <v>7</v>
      </c>
      <c r="H354" s="23" t="str">
        <f t="shared" ca="1" si="39"/>
        <v>—</v>
      </c>
      <c r="I354" s="40">
        <f t="shared" ca="1" si="40"/>
        <v>7</v>
      </c>
    </row>
    <row r="355" spans="1:9" x14ac:dyDescent="0.25">
      <c r="A355" s="17">
        <f t="shared" si="35"/>
        <v>81</v>
      </c>
      <c r="B355" t="str">
        <f ca="1">TEXT(DATE(YEAR(Invoer!$A$5),1,1)+INT((ROWS(B$2:B355)-1)/3),"jjjjmmdd")</f>
        <v>19200427</v>
      </c>
      <c r="C355" s="35" t="str">
        <f>IF(MOD(ROWS(C$2:C355)-1,3)=2,"24.00",INDEX(Data,2,2+MOD(ROWS(C$2:C355)-1,3)))</f>
        <v>24.00</v>
      </c>
      <c r="D355" s="23" t="str">
        <f t="shared" ca="1" si="41"/>
        <v>—</v>
      </c>
      <c r="E355" s="40">
        <f t="shared" ca="1" si="36"/>
        <v>7</v>
      </c>
      <c r="F355" s="23">
        <f t="shared" ca="1" si="37"/>
        <v>27</v>
      </c>
      <c r="G355" s="40">
        <f t="shared" ca="1" si="38"/>
        <v>0</v>
      </c>
      <c r="H355" s="23">
        <f t="shared" ca="1" si="39"/>
        <v>29.5</v>
      </c>
      <c r="I355" s="40">
        <f t="shared" ca="1" si="40"/>
        <v>0</v>
      </c>
    </row>
    <row r="356" spans="1:9" x14ac:dyDescent="0.25">
      <c r="A356" s="17">
        <f t="shared" si="35"/>
        <v>81</v>
      </c>
      <c r="B356" t="str">
        <f ca="1">TEXT(DATE(YEAR(Invoer!$A$5),1,1)+INT((ROWS(B$2:B356)-1)/3),"jjjjmmdd")</f>
        <v>19200428</v>
      </c>
      <c r="C356" s="35" t="str">
        <f>IF(MOD(ROWS(C$2:C356)-1,3)=2,"24.00",INDEX(Data,2,2+MOD(ROWS(C$2:C356)-1,3)))</f>
        <v>08.00</v>
      </c>
      <c r="D356" s="23">
        <f t="shared" ca="1" si="41"/>
        <v>749</v>
      </c>
      <c r="E356" s="40">
        <f t="shared" ca="1" si="36"/>
        <v>0</v>
      </c>
      <c r="F356" s="23" t="str">
        <f t="shared" ca="1" si="37"/>
        <v>—</v>
      </c>
      <c r="G356" s="40">
        <f t="shared" ca="1" si="38"/>
        <v>7</v>
      </c>
      <c r="H356" s="23" t="str">
        <f t="shared" ca="1" si="39"/>
        <v>—</v>
      </c>
      <c r="I356" s="40">
        <f t="shared" ca="1" si="40"/>
        <v>7</v>
      </c>
    </row>
    <row r="357" spans="1:9" x14ac:dyDescent="0.25">
      <c r="A357" s="17">
        <f t="shared" si="35"/>
        <v>81</v>
      </c>
      <c r="B357" t="str">
        <f ca="1">TEXT(DATE(YEAR(Invoer!$A$5),1,1)+INT((ROWS(B$2:B357)-1)/3),"jjjjmmdd")</f>
        <v>19200428</v>
      </c>
      <c r="C357" s="35" t="str">
        <f>IF(MOD(ROWS(C$2:C357)-1,3)=2,"24.00",INDEX(Data,2,2+MOD(ROWS(C$2:C357)-1,3)))</f>
        <v>14.00</v>
      </c>
      <c r="D357" s="23">
        <f t="shared" ca="1" si="41"/>
        <v>748.5</v>
      </c>
      <c r="E357" s="40">
        <f t="shared" ca="1" si="36"/>
        <v>0</v>
      </c>
      <c r="F357" s="23" t="str">
        <f t="shared" ca="1" si="37"/>
        <v>—</v>
      </c>
      <c r="G357" s="40">
        <f t="shared" ca="1" si="38"/>
        <v>7</v>
      </c>
      <c r="H357" s="23" t="str">
        <f t="shared" ca="1" si="39"/>
        <v>—</v>
      </c>
      <c r="I357" s="40">
        <f t="shared" ca="1" si="40"/>
        <v>7</v>
      </c>
    </row>
    <row r="358" spans="1:9" x14ac:dyDescent="0.25">
      <c r="A358" s="17">
        <f t="shared" si="35"/>
        <v>81</v>
      </c>
      <c r="B358" t="str">
        <f ca="1">TEXT(DATE(YEAR(Invoer!$A$5),1,1)+INT((ROWS(B$2:B358)-1)/3),"jjjjmmdd")</f>
        <v>19200428</v>
      </c>
      <c r="C358" s="35" t="str">
        <f>IF(MOD(ROWS(C$2:C358)-1,3)=2,"24.00",INDEX(Data,2,2+MOD(ROWS(C$2:C358)-1,3)))</f>
        <v>24.00</v>
      </c>
      <c r="D358" s="23" t="str">
        <f t="shared" ca="1" si="41"/>
        <v>—</v>
      </c>
      <c r="E358" s="40">
        <f t="shared" ca="1" si="36"/>
        <v>7</v>
      </c>
      <c r="F358" s="23">
        <f t="shared" ca="1" si="37"/>
        <v>26</v>
      </c>
      <c r="G358" s="40">
        <f t="shared" ca="1" si="38"/>
        <v>0</v>
      </c>
      <c r="H358" s="23">
        <f t="shared" ca="1" si="39"/>
        <v>28.8</v>
      </c>
      <c r="I358" s="40">
        <f t="shared" ca="1" si="40"/>
        <v>0</v>
      </c>
    </row>
    <row r="359" spans="1:9" x14ac:dyDescent="0.25">
      <c r="A359" s="17">
        <f t="shared" si="35"/>
        <v>81</v>
      </c>
      <c r="B359" t="str">
        <f ca="1">TEXT(DATE(YEAR(Invoer!$A$5),1,1)+INT((ROWS(B$2:B359)-1)/3),"jjjjmmdd")</f>
        <v>19200429</v>
      </c>
      <c r="C359" s="35" t="str">
        <f>IF(MOD(ROWS(C$2:C359)-1,3)=2,"24.00",INDEX(Data,2,2+MOD(ROWS(C$2:C359)-1,3)))</f>
        <v>08.00</v>
      </c>
      <c r="D359" s="23">
        <f t="shared" ca="1" si="41"/>
        <v>750</v>
      </c>
      <c r="E359" s="40">
        <f t="shared" ca="1" si="36"/>
        <v>0</v>
      </c>
      <c r="F359" s="23" t="str">
        <f t="shared" ca="1" si="37"/>
        <v>—</v>
      </c>
      <c r="G359" s="40">
        <f t="shared" ca="1" si="38"/>
        <v>7</v>
      </c>
      <c r="H359" s="23" t="str">
        <f t="shared" ca="1" si="39"/>
        <v>—</v>
      </c>
      <c r="I359" s="40">
        <f t="shared" ca="1" si="40"/>
        <v>7</v>
      </c>
    </row>
    <row r="360" spans="1:9" x14ac:dyDescent="0.25">
      <c r="A360" s="17">
        <f t="shared" si="35"/>
        <v>81</v>
      </c>
      <c r="B360" t="str">
        <f ca="1">TEXT(DATE(YEAR(Invoer!$A$5),1,1)+INT((ROWS(B$2:B360)-1)/3),"jjjjmmdd")</f>
        <v>19200429</v>
      </c>
      <c r="C360" s="35" t="str">
        <f>IF(MOD(ROWS(C$2:C360)-1,3)=2,"24.00",INDEX(Data,2,2+MOD(ROWS(C$2:C360)-1,3)))</f>
        <v>14.00</v>
      </c>
      <c r="D360" s="23">
        <f t="shared" ca="1" si="41"/>
        <v>749.3</v>
      </c>
      <c r="E360" s="40">
        <f t="shared" ca="1" si="36"/>
        <v>0</v>
      </c>
      <c r="F360" s="23" t="str">
        <f t="shared" ca="1" si="37"/>
        <v>—</v>
      </c>
      <c r="G360" s="40">
        <f t="shared" ca="1" si="38"/>
        <v>7</v>
      </c>
      <c r="H360" s="23" t="str">
        <f t="shared" ca="1" si="39"/>
        <v>—</v>
      </c>
      <c r="I360" s="40">
        <f t="shared" ca="1" si="40"/>
        <v>7</v>
      </c>
    </row>
    <row r="361" spans="1:9" x14ac:dyDescent="0.25">
      <c r="A361" s="17">
        <f t="shared" si="35"/>
        <v>81</v>
      </c>
      <c r="B361" t="str">
        <f ca="1">TEXT(DATE(YEAR(Invoer!$A$5),1,1)+INT((ROWS(B$2:B361)-1)/3),"jjjjmmdd")</f>
        <v>19200429</v>
      </c>
      <c r="C361" s="35" t="str">
        <f>IF(MOD(ROWS(C$2:C361)-1,3)=2,"24.00",INDEX(Data,2,2+MOD(ROWS(C$2:C361)-1,3)))</f>
        <v>24.00</v>
      </c>
      <c r="D361" s="23" t="str">
        <f t="shared" ca="1" si="41"/>
        <v>—</v>
      </c>
      <c r="E361" s="40">
        <f t="shared" ca="1" si="36"/>
        <v>7</v>
      </c>
      <c r="F361" s="23">
        <f t="shared" ca="1" si="37"/>
        <v>25</v>
      </c>
      <c r="G361" s="40">
        <f t="shared" ca="1" si="38"/>
        <v>0</v>
      </c>
      <c r="H361" s="23">
        <f t="shared" ca="1" si="39"/>
        <v>28.5</v>
      </c>
      <c r="I361" s="40">
        <f t="shared" ca="1" si="40"/>
        <v>0</v>
      </c>
    </row>
    <row r="362" spans="1:9" x14ac:dyDescent="0.25">
      <c r="A362" s="17">
        <f t="shared" si="35"/>
        <v>81</v>
      </c>
      <c r="B362" t="str">
        <f ca="1">TEXT(DATE(YEAR(Invoer!$A$5),1,1)+INT((ROWS(B$2:B362)-1)/3),"jjjjmmdd")</f>
        <v>19200430</v>
      </c>
      <c r="C362" s="35" t="str">
        <f>IF(MOD(ROWS(C$2:C362)-1,3)=2,"24.00",INDEX(Data,2,2+MOD(ROWS(C$2:C362)-1,3)))</f>
        <v>08.00</v>
      </c>
      <c r="D362" s="23">
        <f t="shared" ca="1" si="41"/>
        <v>750</v>
      </c>
      <c r="E362" s="40">
        <f t="shared" ca="1" si="36"/>
        <v>0</v>
      </c>
      <c r="F362" s="23" t="str">
        <f t="shared" ca="1" si="37"/>
        <v>—</v>
      </c>
      <c r="G362" s="40">
        <f t="shared" ca="1" si="38"/>
        <v>7</v>
      </c>
      <c r="H362" s="23" t="str">
        <f t="shared" ca="1" si="39"/>
        <v>—</v>
      </c>
      <c r="I362" s="40">
        <f t="shared" ca="1" si="40"/>
        <v>7</v>
      </c>
    </row>
    <row r="363" spans="1:9" x14ac:dyDescent="0.25">
      <c r="A363" s="17">
        <f t="shared" si="35"/>
        <v>81</v>
      </c>
      <c r="B363" t="str">
        <f ca="1">TEXT(DATE(YEAR(Invoer!$A$5),1,1)+INT((ROWS(B$2:B363)-1)/3),"jjjjmmdd")</f>
        <v>19200430</v>
      </c>
      <c r="C363" s="35" t="str">
        <f>IF(MOD(ROWS(C$2:C363)-1,3)=2,"24.00",INDEX(Data,2,2+MOD(ROWS(C$2:C363)-1,3)))</f>
        <v>14.00</v>
      </c>
      <c r="D363" s="23">
        <f t="shared" ca="1" si="41"/>
        <v>749</v>
      </c>
      <c r="E363" s="40">
        <f t="shared" ca="1" si="36"/>
        <v>0</v>
      </c>
      <c r="F363" s="23" t="str">
        <f t="shared" ca="1" si="37"/>
        <v>—</v>
      </c>
      <c r="G363" s="40">
        <f t="shared" ca="1" si="38"/>
        <v>7</v>
      </c>
      <c r="H363" s="23" t="str">
        <f t="shared" ca="1" si="39"/>
        <v>—</v>
      </c>
      <c r="I363" s="40">
        <f t="shared" ca="1" si="40"/>
        <v>7</v>
      </c>
    </row>
    <row r="364" spans="1:9" x14ac:dyDescent="0.25">
      <c r="A364" s="17">
        <f t="shared" si="35"/>
        <v>81</v>
      </c>
      <c r="B364" t="str">
        <f ca="1">TEXT(DATE(YEAR(Invoer!$A$5),1,1)+INT((ROWS(B$2:B364)-1)/3),"jjjjmmdd")</f>
        <v>19200430</v>
      </c>
      <c r="C364" s="35" t="str">
        <f>IF(MOD(ROWS(C$2:C364)-1,3)=2,"24.00",INDEX(Data,2,2+MOD(ROWS(C$2:C364)-1,3)))</f>
        <v>24.00</v>
      </c>
      <c r="D364" s="23" t="str">
        <f t="shared" ca="1" si="41"/>
        <v>—</v>
      </c>
      <c r="E364" s="40">
        <f t="shared" ca="1" si="36"/>
        <v>7</v>
      </c>
      <c r="F364" s="23">
        <f t="shared" ca="1" si="37"/>
        <v>26</v>
      </c>
      <c r="G364" s="40">
        <f t="shared" ca="1" si="38"/>
        <v>0</v>
      </c>
      <c r="H364" s="23">
        <f t="shared" ca="1" si="39"/>
        <v>28.5</v>
      </c>
      <c r="I364" s="40">
        <f t="shared" ca="1" si="40"/>
        <v>0</v>
      </c>
    </row>
    <row r="365" spans="1:9" x14ac:dyDescent="0.25">
      <c r="A365" s="17">
        <f t="shared" si="35"/>
        <v>81</v>
      </c>
      <c r="B365" t="str">
        <f ca="1">TEXT(DATE(YEAR(Invoer!$A$5),1,1)+INT((ROWS(B$2:B365)-1)/3),"jjjjmmdd")</f>
        <v>19200501</v>
      </c>
      <c r="C365" s="35" t="str">
        <f>IF(MOD(ROWS(C$2:C365)-1,3)=2,"24.00",INDEX(Data,2,2+MOD(ROWS(C$2:C365)-1,3)))</f>
        <v>08.00</v>
      </c>
      <c r="D365" s="23">
        <f t="shared" ca="1" si="41"/>
        <v>748</v>
      </c>
      <c r="E365" s="40">
        <f t="shared" ca="1" si="36"/>
        <v>0</v>
      </c>
      <c r="F365" s="23" t="str">
        <f t="shared" ca="1" si="37"/>
        <v>—</v>
      </c>
      <c r="G365" s="40">
        <f t="shared" ca="1" si="38"/>
        <v>7</v>
      </c>
      <c r="H365" s="23" t="str">
        <f t="shared" ca="1" si="39"/>
        <v>—</v>
      </c>
      <c r="I365" s="40">
        <f t="shared" ca="1" si="40"/>
        <v>7</v>
      </c>
    </row>
    <row r="366" spans="1:9" x14ac:dyDescent="0.25">
      <c r="A366" s="17">
        <f t="shared" si="35"/>
        <v>81</v>
      </c>
      <c r="B366" t="str">
        <f ca="1">TEXT(DATE(YEAR(Invoer!$A$5),1,1)+INT((ROWS(B$2:B366)-1)/3),"jjjjmmdd")</f>
        <v>19200501</v>
      </c>
      <c r="C366" s="35" t="str">
        <f>IF(MOD(ROWS(C$2:C366)-1,3)=2,"24.00",INDEX(Data,2,2+MOD(ROWS(C$2:C366)-1,3)))</f>
        <v>14.00</v>
      </c>
      <c r="D366" s="23">
        <f t="shared" ca="1" si="41"/>
        <v>747.6</v>
      </c>
      <c r="E366" s="40">
        <f t="shared" ca="1" si="36"/>
        <v>0</v>
      </c>
      <c r="F366" s="23" t="str">
        <f t="shared" ca="1" si="37"/>
        <v>—</v>
      </c>
      <c r="G366" s="40">
        <f t="shared" ca="1" si="38"/>
        <v>7</v>
      </c>
      <c r="H366" s="23" t="str">
        <f t="shared" ca="1" si="39"/>
        <v>—</v>
      </c>
      <c r="I366" s="40">
        <f t="shared" ca="1" si="40"/>
        <v>7</v>
      </c>
    </row>
    <row r="367" spans="1:9" x14ac:dyDescent="0.25">
      <c r="A367" s="17">
        <f t="shared" si="35"/>
        <v>81</v>
      </c>
      <c r="B367" t="str">
        <f ca="1">TEXT(DATE(YEAR(Invoer!$A$5),1,1)+INT((ROWS(B$2:B367)-1)/3),"jjjjmmdd")</f>
        <v>19200501</v>
      </c>
      <c r="C367" s="35" t="str">
        <f>IF(MOD(ROWS(C$2:C367)-1,3)=2,"24.00",INDEX(Data,2,2+MOD(ROWS(C$2:C367)-1,3)))</f>
        <v>24.00</v>
      </c>
      <c r="D367" s="23" t="str">
        <f t="shared" ca="1" si="41"/>
        <v>—</v>
      </c>
      <c r="E367" s="40">
        <f t="shared" ca="1" si="36"/>
        <v>7</v>
      </c>
      <c r="F367" s="23">
        <f t="shared" ca="1" si="37"/>
        <v>26</v>
      </c>
      <c r="G367" s="40">
        <f t="shared" ca="1" si="38"/>
        <v>0</v>
      </c>
      <c r="H367" s="23">
        <f t="shared" ca="1" si="39"/>
        <v>27.5</v>
      </c>
      <c r="I367" s="40">
        <f t="shared" ca="1" si="40"/>
        <v>0</v>
      </c>
    </row>
    <row r="368" spans="1:9" x14ac:dyDescent="0.25">
      <c r="A368" s="17">
        <f t="shared" si="35"/>
        <v>81</v>
      </c>
      <c r="B368" t="str">
        <f ca="1">TEXT(DATE(YEAR(Invoer!$A$5),1,1)+INT((ROWS(B$2:B368)-1)/3),"jjjjmmdd")</f>
        <v>19200502</v>
      </c>
      <c r="C368" s="35" t="str">
        <f>IF(MOD(ROWS(C$2:C368)-1,3)=2,"24.00",INDEX(Data,2,2+MOD(ROWS(C$2:C368)-1,3)))</f>
        <v>08.00</v>
      </c>
      <c r="D368" s="23">
        <f t="shared" ca="1" si="41"/>
        <v>747.5</v>
      </c>
      <c r="E368" s="40">
        <f t="shared" ca="1" si="36"/>
        <v>0</v>
      </c>
      <c r="F368" s="23" t="str">
        <f t="shared" ca="1" si="37"/>
        <v>—</v>
      </c>
      <c r="G368" s="40">
        <f t="shared" ca="1" si="38"/>
        <v>7</v>
      </c>
      <c r="H368" s="23" t="str">
        <f t="shared" ca="1" si="39"/>
        <v>—</v>
      </c>
      <c r="I368" s="40">
        <f t="shared" ca="1" si="40"/>
        <v>7</v>
      </c>
    </row>
    <row r="369" spans="1:9" x14ac:dyDescent="0.25">
      <c r="A369" s="17">
        <f t="shared" si="35"/>
        <v>81</v>
      </c>
      <c r="B369" t="str">
        <f ca="1">TEXT(DATE(YEAR(Invoer!$A$5),1,1)+INT((ROWS(B$2:B369)-1)/3),"jjjjmmdd")</f>
        <v>19200502</v>
      </c>
      <c r="C369" s="35" t="str">
        <f>IF(MOD(ROWS(C$2:C369)-1,3)=2,"24.00",INDEX(Data,2,2+MOD(ROWS(C$2:C369)-1,3)))</f>
        <v>14.00</v>
      </c>
      <c r="D369" s="23">
        <f t="shared" ca="1" si="41"/>
        <v>747</v>
      </c>
      <c r="E369" s="40">
        <f t="shared" ca="1" si="36"/>
        <v>0</v>
      </c>
      <c r="F369" s="23" t="str">
        <f t="shared" ca="1" si="37"/>
        <v>—</v>
      </c>
      <c r="G369" s="40">
        <f t="shared" ca="1" si="38"/>
        <v>7</v>
      </c>
      <c r="H369" s="23" t="str">
        <f t="shared" ca="1" si="39"/>
        <v>—</v>
      </c>
      <c r="I369" s="40">
        <f t="shared" ca="1" si="40"/>
        <v>7</v>
      </c>
    </row>
    <row r="370" spans="1:9" x14ac:dyDescent="0.25">
      <c r="A370" s="17">
        <f t="shared" si="35"/>
        <v>81</v>
      </c>
      <c r="B370" t="str">
        <f ca="1">TEXT(DATE(YEAR(Invoer!$A$5),1,1)+INT((ROWS(B$2:B370)-1)/3),"jjjjmmdd")</f>
        <v>19200502</v>
      </c>
      <c r="C370" s="35" t="str">
        <f>IF(MOD(ROWS(C$2:C370)-1,3)=2,"24.00",INDEX(Data,2,2+MOD(ROWS(C$2:C370)-1,3)))</f>
        <v>24.00</v>
      </c>
      <c r="D370" s="23" t="str">
        <f t="shared" ca="1" si="41"/>
        <v>—</v>
      </c>
      <c r="E370" s="40">
        <f t="shared" ca="1" si="36"/>
        <v>7</v>
      </c>
      <c r="F370" s="23">
        <f t="shared" ca="1" si="37"/>
        <v>26</v>
      </c>
      <c r="G370" s="40">
        <f t="shared" ca="1" si="38"/>
        <v>0</v>
      </c>
      <c r="H370" s="23">
        <f t="shared" ca="1" si="39"/>
        <v>27.5</v>
      </c>
      <c r="I370" s="40">
        <f t="shared" ca="1" si="40"/>
        <v>0</v>
      </c>
    </row>
    <row r="371" spans="1:9" x14ac:dyDescent="0.25">
      <c r="A371" s="17">
        <f t="shared" si="35"/>
        <v>81</v>
      </c>
      <c r="B371" t="str">
        <f ca="1">TEXT(DATE(YEAR(Invoer!$A$5),1,1)+INT((ROWS(B$2:B371)-1)/3),"jjjjmmdd")</f>
        <v>19200503</v>
      </c>
      <c r="C371" s="35" t="str">
        <f>IF(MOD(ROWS(C$2:C371)-1,3)=2,"24.00",INDEX(Data,2,2+MOD(ROWS(C$2:C371)-1,3)))</f>
        <v>08.00</v>
      </c>
      <c r="D371" s="23">
        <f t="shared" ca="1" si="41"/>
        <v>747</v>
      </c>
      <c r="E371" s="40">
        <f t="shared" ca="1" si="36"/>
        <v>0</v>
      </c>
      <c r="F371" s="23" t="str">
        <f t="shared" ca="1" si="37"/>
        <v>—</v>
      </c>
      <c r="G371" s="40">
        <f t="shared" ca="1" si="38"/>
        <v>7</v>
      </c>
      <c r="H371" s="23" t="str">
        <f t="shared" ca="1" si="39"/>
        <v>—</v>
      </c>
      <c r="I371" s="40">
        <f t="shared" ca="1" si="40"/>
        <v>7</v>
      </c>
    </row>
    <row r="372" spans="1:9" x14ac:dyDescent="0.25">
      <c r="A372" s="17">
        <f t="shared" si="35"/>
        <v>81</v>
      </c>
      <c r="B372" t="str">
        <f ca="1">TEXT(DATE(YEAR(Invoer!$A$5),1,1)+INT((ROWS(B$2:B372)-1)/3),"jjjjmmdd")</f>
        <v>19200503</v>
      </c>
      <c r="C372" s="35" t="str">
        <f>IF(MOD(ROWS(C$2:C372)-1,3)=2,"24.00",INDEX(Data,2,2+MOD(ROWS(C$2:C372)-1,3)))</f>
        <v>14.00</v>
      </c>
      <c r="D372" s="23">
        <f t="shared" ca="1" si="41"/>
        <v>746.7</v>
      </c>
      <c r="E372" s="40">
        <f t="shared" ca="1" si="36"/>
        <v>0</v>
      </c>
      <c r="F372" s="23" t="str">
        <f t="shared" ca="1" si="37"/>
        <v>—</v>
      </c>
      <c r="G372" s="40">
        <f t="shared" ca="1" si="38"/>
        <v>7</v>
      </c>
      <c r="H372" s="23" t="str">
        <f t="shared" ca="1" si="39"/>
        <v>—</v>
      </c>
      <c r="I372" s="40">
        <f t="shared" ca="1" si="40"/>
        <v>7</v>
      </c>
    </row>
    <row r="373" spans="1:9" x14ac:dyDescent="0.25">
      <c r="A373" s="17">
        <f t="shared" si="35"/>
        <v>81</v>
      </c>
      <c r="B373" t="str">
        <f ca="1">TEXT(DATE(YEAR(Invoer!$A$5),1,1)+INT((ROWS(B$2:B373)-1)/3),"jjjjmmdd")</f>
        <v>19200503</v>
      </c>
      <c r="C373" s="35" t="str">
        <f>IF(MOD(ROWS(C$2:C373)-1,3)=2,"24.00",INDEX(Data,2,2+MOD(ROWS(C$2:C373)-1,3)))</f>
        <v>24.00</v>
      </c>
      <c r="D373" s="23" t="str">
        <f t="shared" ca="1" si="41"/>
        <v>—</v>
      </c>
      <c r="E373" s="40">
        <f t="shared" ca="1" si="36"/>
        <v>7</v>
      </c>
      <c r="F373" s="23">
        <f t="shared" ca="1" si="37"/>
        <v>26</v>
      </c>
      <c r="G373" s="40">
        <f t="shared" ca="1" si="38"/>
        <v>0</v>
      </c>
      <c r="H373" s="23">
        <f t="shared" ca="1" si="39"/>
        <v>27.8</v>
      </c>
      <c r="I373" s="40">
        <f t="shared" ca="1" si="40"/>
        <v>0</v>
      </c>
    </row>
    <row r="374" spans="1:9" x14ac:dyDescent="0.25">
      <c r="A374" s="17">
        <f t="shared" si="35"/>
        <v>81</v>
      </c>
      <c r="B374" t="str">
        <f ca="1">TEXT(DATE(YEAR(Invoer!$A$5),1,1)+INT((ROWS(B$2:B374)-1)/3),"jjjjmmdd")</f>
        <v>19200504</v>
      </c>
      <c r="C374" s="35" t="str">
        <f>IF(MOD(ROWS(C$2:C374)-1,3)=2,"24.00",INDEX(Data,2,2+MOD(ROWS(C$2:C374)-1,3)))</f>
        <v>08.00</v>
      </c>
      <c r="D374" s="23">
        <f t="shared" ca="1" si="41"/>
        <v>748</v>
      </c>
      <c r="E374" s="40">
        <f t="shared" ca="1" si="36"/>
        <v>0</v>
      </c>
      <c r="F374" s="23" t="str">
        <f t="shared" ca="1" si="37"/>
        <v>—</v>
      </c>
      <c r="G374" s="40">
        <f t="shared" ca="1" si="38"/>
        <v>7</v>
      </c>
      <c r="H374" s="23" t="str">
        <f t="shared" ca="1" si="39"/>
        <v>—</v>
      </c>
      <c r="I374" s="40">
        <f t="shared" ca="1" si="40"/>
        <v>7</v>
      </c>
    </row>
    <row r="375" spans="1:9" x14ac:dyDescent="0.25">
      <c r="A375" s="17">
        <f t="shared" si="35"/>
        <v>81</v>
      </c>
      <c r="B375" t="str">
        <f ca="1">TEXT(DATE(YEAR(Invoer!$A$5),1,1)+INT((ROWS(B$2:B375)-1)/3),"jjjjmmdd")</f>
        <v>19200504</v>
      </c>
      <c r="C375" s="35" t="str">
        <f>IF(MOD(ROWS(C$2:C375)-1,3)=2,"24.00",INDEX(Data,2,2+MOD(ROWS(C$2:C375)-1,3)))</f>
        <v>14.00</v>
      </c>
      <c r="D375" s="23">
        <f t="shared" ca="1" si="41"/>
        <v>747.5</v>
      </c>
      <c r="E375" s="40">
        <f t="shared" ca="1" si="36"/>
        <v>0</v>
      </c>
      <c r="F375" s="23" t="str">
        <f t="shared" ca="1" si="37"/>
        <v>—</v>
      </c>
      <c r="G375" s="40">
        <f t="shared" ca="1" si="38"/>
        <v>7</v>
      </c>
      <c r="H375" s="23" t="str">
        <f t="shared" ca="1" si="39"/>
        <v>—</v>
      </c>
      <c r="I375" s="40">
        <f t="shared" ca="1" si="40"/>
        <v>7</v>
      </c>
    </row>
    <row r="376" spans="1:9" x14ac:dyDescent="0.25">
      <c r="A376" s="17">
        <f t="shared" si="35"/>
        <v>81</v>
      </c>
      <c r="B376" t="str">
        <f ca="1">TEXT(DATE(YEAR(Invoer!$A$5),1,1)+INT((ROWS(B$2:B376)-1)/3),"jjjjmmdd")</f>
        <v>19200504</v>
      </c>
      <c r="C376" s="35" t="str">
        <f>IF(MOD(ROWS(C$2:C376)-1,3)=2,"24.00",INDEX(Data,2,2+MOD(ROWS(C$2:C376)-1,3)))</f>
        <v>24.00</v>
      </c>
      <c r="D376" s="23" t="str">
        <f t="shared" ca="1" si="41"/>
        <v>—</v>
      </c>
      <c r="E376" s="40">
        <f t="shared" ca="1" si="36"/>
        <v>7</v>
      </c>
      <c r="F376" s="23">
        <f t="shared" ca="1" si="37"/>
        <v>25.3</v>
      </c>
      <c r="G376" s="40">
        <f t="shared" ca="1" si="38"/>
        <v>0</v>
      </c>
      <c r="H376" s="23">
        <f t="shared" ca="1" si="39"/>
        <v>28</v>
      </c>
      <c r="I376" s="40">
        <f t="shared" ca="1" si="40"/>
        <v>0</v>
      </c>
    </row>
    <row r="377" spans="1:9" x14ac:dyDescent="0.25">
      <c r="A377" s="17">
        <f t="shared" si="35"/>
        <v>81</v>
      </c>
      <c r="B377" t="str">
        <f ca="1">TEXT(DATE(YEAR(Invoer!$A$5),1,1)+INT((ROWS(B$2:B377)-1)/3),"jjjjmmdd")</f>
        <v>19200505</v>
      </c>
      <c r="C377" s="35" t="str">
        <f>IF(MOD(ROWS(C$2:C377)-1,3)=2,"24.00",INDEX(Data,2,2+MOD(ROWS(C$2:C377)-1,3)))</f>
        <v>08.00</v>
      </c>
      <c r="D377" s="23">
        <f t="shared" ca="1" si="41"/>
        <v>749</v>
      </c>
      <c r="E377" s="40">
        <f t="shared" ca="1" si="36"/>
        <v>0</v>
      </c>
      <c r="F377" s="23" t="str">
        <f t="shared" ca="1" si="37"/>
        <v>—</v>
      </c>
      <c r="G377" s="40">
        <f t="shared" ca="1" si="38"/>
        <v>7</v>
      </c>
      <c r="H377" s="23" t="str">
        <f t="shared" ca="1" si="39"/>
        <v>—</v>
      </c>
      <c r="I377" s="40">
        <f t="shared" ca="1" si="40"/>
        <v>7</v>
      </c>
    </row>
    <row r="378" spans="1:9" x14ac:dyDescent="0.25">
      <c r="A378" s="17">
        <f t="shared" si="35"/>
        <v>81</v>
      </c>
      <c r="B378" t="str">
        <f ca="1">TEXT(DATE(YEAR(Invoer!$A$5),1,1)+INT((ROWS(B$2:B378)-1)/3),"jjjjmmdd")</f>
        <v>19200505</v>
      </c>
      <c r="C378" s="35" t="str">
        <f>IF(MOD(ROWS(C$2:C378)-1,3)=2,"24.00",INDEX(Data,2,2+MOD(ROWS(C$2:C378)-1,3)))</f>
        <v>14.00</v>
      </c>
      <c r="D378" s="23">
        <f t="shared" ca="1" si="41"/>
        <v>748.6</v>
      </c>
      <c r="E378" s="40">
        <f t="shared" ca="1" si="36"/>
        <v>0</v>
      </c>
      <c r="F378" s="23" t="str">
        <f t="shared" ca="1" si="37"/>
        <v>—</v>
      </c>
      <c r="G378" s="40">
        <f t="shared" ca="1" si="38"/>
        <v>7</v>
      </c>
      <c r="H378" s="23" t="str">
        <f t="shared" ca="1" si="39"/>
        <v>—</v>
      </c>
      <c r="I378" s="40">
        <f t="shared" ca="1" si="40"/>
        <v>7</v>
      </c>
    </row>
    <row r="379" spans="1:9" x14ac:dyDescent="0.25">
      <c r="A379" s="17">
        <f t="shared" si="35"/>
        <v>81</v>
      </c>
      <c r="B379" t="str">
        <f ca="1">TEXT(DATE(YEAR(Invoer!$A$5),1,1)+INT((ROWS(B$2:B379)-1)/3),"jjjjmmdd")</f>
        <v>19200505</v>
      </c>
      <c r="C379" s="35" t="str">
        <f>IF(MOD(ROWS(C$2:C379)-1,3)=2,"24.00",INDEX(Data,2,2+MOD(ROWS(C$2:C379)-1,3)))</f>
        <v>24.00</v>
      </c>
      <c r="D379" s="23" t="str">
        <f t="shared" ca="1" si="41"/>
        <v>—</v>
      </c>
      <c r="E379" s="40">
        <f t="shared" ca="1" si="36"/>
        <v>7</v>
      </c>
      <c r="F379" s="23">
        <f t="shared" ca="1" si="37"/>
        <v>27</v>
      </c>
      <c r="G379" s="40">
        <f t="shared" ca="1" si="38"/>
        <v>0</v>
      </c>
      <c r="H379" s="23">
        <f t="shared" ca="1" si="39"/>
        <v>28</v>
      </c>
      <c r="I379" s="40">
        <f t="shared" ca="1" si="40"/>
        <v>0</v>
      </c>
    </row>
    <row r="380" spans="1:9" x14ac:dyDescent="0.25">
      <c r="A380" s="17">
        <f t="shared" si="35"/>
        <v>81</v>
      </c>
      <c r="B380" t="str">
        <f ca="1">TEXT(DATE(YEAR(Invoer!$A$5),1,1)+INT((ROWS(B$2:B380)-1)/3),"jjjjmmdd")</f>
        <v>19200506</v>
      </c>
      <c r="C380" s="35" t="str">
        <f>IF(MOD(ROWS(C$2:C380)-1,3)=2,"24.00",INDEX(Data,2,2+MOD(ROWS(C$2:C380)-1,3)))</f>
        <v>08.00</v>
      </c>
      <c r="D380" s="23">
        <f t="shared" ca="1" si="41"/>
        <v>748.5</v>
      </c>
      <c r="E380" s="40">
        <f t="shared" ca="1" si="36"/>
        <v>0</v>
      </c>
      <c r="F380" s="23" t="str">
        <f t="shared" ca="1" si="37"/>
        <v>—</v>
      </c>
      <c r="G380" s="40">
        <f t="shared" ca="1" si="38"/>
        <v>7</v>
      </c>
      <c r="H380" s="23" t="str">
        <f t="shared" ca="1" si="39"/>
        <v>—</v>
      </c>
      <c r="I380" s="40">
        <f t="shared" ca="1" si="40"/>
        <v>7</v>
      </c>
    </row>
    <row r="381" spans="1:9" x14ac:dyDescent="0.25">
      <c r="A381" s="17">
        <f t="shared" si="35"/>
        <v>81</v>
      </c>
      <c r="B381" t="str">
        <f ca="1">TEXT(DATE(YEAR(Invoer!$A$5),1,1)+INT((ROWS(B$2:B381)-1)/3),"jjjjmmdd")</f>
        <v>19200506</v>
      </c>
      <c r="C381" s="35" t="str">
        <f>IF(MOD(ROWS(C$2:C381)-1,3)=2,"24.00",INDEX(Data,2,2+MOD(ROWS(C$2:C381)-1,3)))</f>
        <v>14.00</v>
      </c>
      <c r="D381" s="23">
        <f t="shared" ca="1" si="41"/>
        <v>748.1</v>
      </c>
      <c r="E381" s="40">
        <f t="shared" ca="1" si="36"/>
        <v>0</v>
      </c>
      <c r="F381" s="23" t="str">
        <f t="shared" ca="1" si="37"/>
        <v>—</v>
      </c>
      <c r="G381" s="40">
        <f t="shared" ca="1" si="38"/>
        <v>7</v>
      </c>
      <c r="H381" s="23" t="str">
        <f t="shared" ca="1" si="39"/>
        <v>—</v>
      </c>
      <c r="I381" s="40">
        <f t="shared" ca="1" si="40"/>
        <v>7</v>
      </c>
    </row>
    <row r="382" spans="1:9" x14ac:dyDescent="0.25">
      <c r="A382" s="17">
        <f t="shared" si="35"/>
        <v>81</v>
      </c>
      <c r="B382" t="str">
        <f ca="1">TEXT(DATE(YEAR(Invoer!$A$5),1,1)+INT((ROWS(B$2:B382)-1)/3),"jjjjmmdd")</f>
        <v>19200506</v>
      </c>
      <c r="C382" s="35" t="str">
        <f>IF(MOD(ROWS(C$2:C382)-1,3)=2,"24.00",INDEX(Data,2,2+MOD(ROWS(C$2:C382)-1,3)))</f>
        <v>24.00</v>
      </c>
      <c r="D382" s="23" t="str">
        <f t="shared" ca="1" si="41"/>
        <v>—</v>
      </c>
      <c r="E382" s="40">
        <f t="shared" ca="1" si="36"/>
        <v>7</v>
      </c>
      <c r="F382" s="23">
        <f t="shared" ca="1" si="37"/>
        <v>26</v>
      </c>
      <c r="G382" s="40">
        <f t="shared" ca="1" si="38"/>
        <v>0</v>
      </c>
      <c r="H382" s="23">
        <f t="shared" ca="1" si="39"/>
        <v>28.3</v>
      </c>
      <c r="I382" s="40">
        <f t="shared" ca="1" si="40"/>
        <v>0</v>
      </c>
    </row>
    <row r="383" spans="1:9" x14ac:dyDescent="0.25">
      <c r="A383" s="17">
        <f t="shared" si="35"/>
        <v>81</v>
      </c>
      <c r="B383" t="str">
        <f ca="1">TEXT(DATE(YEAR(Invoer!$A$5),1,1)+INT((ROWS(B$2:B383)-1)/3),"jjjjmmdd")</f>
        <v>19200507</v>
      </c>
      <c r="C383" s="35" t="str">
        <f>IF(MOD(ROWS(C$2:C383)-1,3)=2,"24.00",INDEX(Data,2,2+MOD(ROWS(C$2:C383)-1,3)))</f>
        <v>08.00</v>
      </c>
      <c r="D383" s="23">
        <f t="shared" ca="1" si="41"/>
        <v>749</v>
      </c>
      <c r="E383" s="40">
        <f t="shared" ca="1" si="36"/>
        <v>0</v>
      </c>
      <c r="F383" s="23" t="str">
        <f t="shared" ca="1" si="37"/>
        <v>—</v>
      </c>
      <c r="G383" s="40">
        <f t="shared" ca="1" si="38"/>
        <v>7</v>
      </c>
      <c r="H383" s="23" t="str">
        <f t="shared" ca="1" si="39"/>
        <v>—</v>
      </c>
      <c r="I383" s="40">
        <f t="shared" ca="1" si="40"/>
        <v>7</v>
      </c>
    </row>
    <row r="384" spans="1:9" x14ac:dyDescent="0.25">
      <c r="A384" s="17">
        <f t="shared" si="35"/>
        <v>81</v>
      </c>
      <c r="B384" t="str">
        <f ca="1">TEXT(DATE(YEAR(Invoer!$A$5),1,1)+INT((ROWS(B$2:B384)-1)/3),"jjjjmmdd")</f>
        <v>19200507</v>
      </c>
      <c r="C384" s="35" t="str">
        <f>IF(MOD(ROWS(C$2:C384)-1,3)=2,"24.00",INDEX(Data,2,2+MOD(ROWS(C$2:C384)-1,3)))</f>
        <v>14.00</v>
      </c>
      <c r="D384" s="23">
        <f t="shared" ca="1" si="41"/>
        <v>748.6</v>
      </c>
      <c r="E384" s="40">
        <f t="shared" ca="1" si="36"/>
        <v>0</v>
      </c>
      <c r="F384" s="23" t="str">
        <f t="shared" ca="1" si="37"/>
        <v>—</v>
      </c>
      <c r="G384" s="40">
        <f t="shared" ca="1" si="38"/>
        <v>7</v>
      </c>
      <c r="H384" s="23" t="str">
        <f t="shared" ca="1" si="39"/>
        <v>—</v>
      </c>
      <c r="I384" s="40">
        <f t="shared" ca="1" si="40"/>
        <v>7</v>
      </c>
    </row>
    <row r="385" spans="1:9" x14ac:dyDescent="0.25">
      <c r="A385" s="17">
        <f t="shared" si="35"/>
        <v>81</v>
      </c>
      <c r="B385" t="str">
        <f ca="1">TEXT(DATE(YEAR(Invoer!$A$5),1,1)+INT((ROWS(B$2:B385)-1)/3),"jjjjmmdd")</f>
        <v>19200507</v>
      </c>
      <c r="C385" s="35" t="str">
        <f>IF(MOD(ROWS(C$2:C385)-1,3)=2,"24.00",INDEX(Data,2,2+MOD(ROWS(C$2:C385)-1,3)))</f>
        <v>24.00</v>
      </c>
      <c r="D385" s="23" t="str">
        <f t="shared" ca="1" si="41"/>
        <v>—</v>
      </c>
      <c r="E385" s="40">
        <f t="shared" ca="1" si="36"/>
        <v>7</v>
      </c>
      <c r="F385" s="23">
        <f t="shared" ca="1" si="37"/>
        <v>26</v>
      </c>
      <c r="G385" s="40">
        <f t="shared" ca="1" si="38"/>
        <v>0</v>
      </c>
      <c r="H385" s="23">
        <f t="shared" ca="1" si="39"/>
        <v>28.5</v>
      </c>
      <c r="I385" s="40">
        <f t="shared" ca="1" si="40"/>
        <v>0</v>
      </c>
    </row>
    <row r="386" spans="1:9" x14ac:dyDescent="0.25">
      <c r="A386" s="17">
        <f t="shared" ref="A386:A449" si="42">INDEX(Stations,2,1)</f>
        <v>81</v>
      </c>
      <c r="B386" t="str">
        <f ca="1">TEXT(DATE(YEAR(Invoer!$A$5),1,1)+INT((ROWS(B$2:B386)-1)/3),"jjjjmmdd")</f>
        <v>19200508</v>
      </c>
      <c r="C386" s="35" t="str">
        <f>IF(MOD(ROWS(C$2:C386)-1,3)=2,"24.00",INDEX(Data,2,2+MOD(ROWS(C$2:C386)-1,3)))</f>
        <v>08.00</v>
      </c>
      <c r="D386" s="23">
        <f t="shared" ca="1" si="41"/>
        <v>749</v>
      </c>
      <c r="E386" s="40">
        <f t="shared" ref="E386:E449" ca="1" si="43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 t="str">
        <f t="shared" ref="F386:F449" ca="1" si="44">IF(OR(ISBLANK(VLOOKUP(DATEVALUE(LEFT($B386,4)&amp;"-"&amp;MID($B386,5,2)&amp;"-"&amp;RIGHT($B386,2)),Data,MATCH(LEFT(VLOOKUP(F$1,Parameters,2,FALSE()),4)&amp;"*",OFFSET(Data,1,0,1),0),FALSE())),ISTEXT(VLOOKUP(DATEVALUE(LEFT($B386,4)&amp;"-"&amp;MID($B386,5,2)&amp;"-"&amp;RIGHT($B386,2)),Data,MATCH(LEFT(VLOOKUP(F$1,Parameters,2,FALSE()),4)&amp;"*",OFFSET(Data,1,0,1),0),FALSE())),NOT(EXACT($C386,"24.00"))),"—",VLOOKUP(DATEVALUE(LEFT($B386,4)&amp;"-"&amp;MID($B386,5,2)&amp;"-"&amp;RIGHT($B386,2)),Data,MATCH(LEFT(VLOOKUP(F$1,Parameters,2,FALSE()),4)&amp;"*",OFFSET(Data,1,0,1),0),FALSE()))</f>
        <v>—</v>
      </c>
      <c r="G386" s="40">
        <f t="shared" ref="G386:G449" ca="1" si="45">IF(OR(ISBLANK(VLOOKUP(DATEVALUE(LEFT($B386,4)&amp;"-"&amp;MID($B386,5,2)&amp;"-"&amp;RIGHT($B386,2)),Data,MATCH(LEFT(VLOOKUP(MID(G$1,2,LEN(G$1)-1),Parameters,2,FALSE()),4)&amp;"*",OFFSET(Data,1,0,1),0),FALSE())),ISTEXT(VLOOKUP(DATEVALUE(LEFT($B386,4)&amp;"-"&amp;MID($B386,5,2)&amp;"-"&amp;RIGHT($B386,2)),Data,MATCH(LEFT(VLOOKUP(MID(G$1,2,LEN(G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1,0,1),0),FALSE())))</f>
        <v>7</v>
      </c>
      <c r="H386" s="23" t="str">
        <f t="shared" ref="H386:H449" ca="1" si="46">IF(OR(ISBLANK(VLOOKUP(DATEVALUE(LEFT($B386,4)&amp;"-"&amp;MID($B386,5,2)&amp;"-"&amp;RIGHT($B386,2)),Data,MATCH(LEFT(VLOOKUP(H$1,Parameters,2,FALSE()),4)&amp;"*",OFFSET(Data,1,0,1),0),FALSE())),ISTEXT(VLOOKUP(DATEVALUE(LEFT($B386,4)&amp;"-"&amp;MID($B386,5,2)&amp;"-"&amp;RIGHT($B386,2)),Data,MATCH(LEFT(VLOOKUP(H$1,Parameters,2,FALSE()),4)&amp;"*",OFFSET(Data,1,0,1),0),FALSE())),NOT(EXACT($C386,"24.00"))),"—",VLOOKUP(DATEVALUE(LEFT($B386,4)&amp;"-"&amp;MID($B386,5,2)&amp;"-"&amp;RIGHT($B386,2)),Data,MATCH(LEFT(VLOOKUP(H$1,Parameters,2,FALSE()),4)&amp;"*",OFFSET(Data,1,0,1),0),FALSE()))</f>
        <v>—</v>
      </c>
      <c r="I386" s="40">
        <f t="shared" ref="I386:I449" ca="1" si="47">IF(OR(ISBLANK(VLOOKUP(DATEVALUE(LEFT($B386,4)&amp;"-"&amp;MID($B386,5,2)&amp;"-"&amp;RIGHT($B386,2)),Data,MATCH(LEFT(VLOOKUP(MID(I$1,2,LEN(I$1)-1),Parameters,2,FALSE()),4)&amp;"*",OFFSET(Data,1,0,1),0),FALSE())),ISTEXT(VLOOKUP(DATEVALUE(LEFT($B386,4)&amp;"-"&amp;MID($B386,5,2)&amp;"-"&amp;RIGHT($B386,2)),Data,MATCH(LEFT(VLOOKUP(MID(I$1,2,LEN(I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I$1,2,LEN(I$1)-1),Parameters,2,FALSE()),4)&amp;"*",OFFSET(Catalogus,1,0,1),0),FALSE())))</f>
        <v>7</v>
      </c>
    </row>
    <row r="387" spans="1:9" x14ac:dyDescent="0.25">
      <c r="A387" s="17">
        <f t="shared" si="42"/>
        <v>81</v>
      </c>
      <c r="B387" t="str">
        <f ca="1">TEXT(DATE(YEAR(Invoer!$A$5),1,1)+INT((ROWS(B$2:B387)-1)/3),"jjjjmmdd")</f>
        <v>19200508</v>
      </c>
      <c r="C387" s="35" t="str">
        <f>IF(MOD(ROWS(C$2:C387)-1,3)=2,"24.00",INDEX(Data,2,2+MOD(ROWS(C$2:C387)-1,3)))</f>
        <v>14.00</v>
      </c>
      <c r="D387" s="23">
        <f t="shared" ref="D387:D450" ca="1" si="48">IF(OR(ISBLANK(VLOOKUP(DATEVALUE(LEFT($B387,4)&amp;"-"&amp;MID($B387,5,2)&amp;"-"&amp;RIGHT($B387,2)),Data,MATCH(LEFT(VLOOKUP(D$1,Parameters,2,FALSE()),4)&amp;"*",OFFSET(Data,0,0,1),0)+MATCH($C387,OFFSET(Data,1,0,1),0)-2,FALSE())),ISTEXT(VLOOKUP(DATEVALUE(LEFT($B387,4)&amp;"-"&amp;MID($B387,5,2)&amp;"-"&amp;RIGHT($B387,2)),Data,MATCH(LEFT(VLOOKUP(D$1,Parameters,2,FALSE()),4)&amp;"*",OFFSET(Data,0,0,1),0)+MATCH($C387,OFFSET(Data,1,0,1),0)-2,FALSE())),EXACT(C387,"24.00")),"—",VLOOKUP(DATEVALUE(LEFT($B387,4)&amp;"-"&amp;MID($B387,5,2)&amp;"-"&amp;RIGHT($B387,2)),Data,MATCH(LEFT(VLOOKUP(D$1,Parameters,2,FALSE()),4)&amp;"*",OFFSET(Data,0,0,1),0)+MATCH($C387,OFFSET(Data,1,0,1),0)-2,FALSE()))</f>
        <v>748.3</v>
      </c>
      <c r="E387" s="40">
        <f t="shared" ca="1" si="43"/>
        <v>0</v>
      </c>
      <c r="F387" s="23" t="str">
        <f t="shared" ca="1" si="44"/>
        <v>—</v>
      </c>
      <c r="G387" s="40">
        <f t="shared" ca="1" si="45"/>
        <v>7</v>
      </c>
      <c r="H387" s="23" t="str">
        <f t="shared" ca="1" si="46"/>
        <v>—</v>
      </c>
      <c r="I387" s="40">
        <f t="shared" ca="1" si="47"/>
        <v>7</v>
      </c>
    </row>
    <row r="388" spans="1:9" x14ac:dyDescent="0.25">
      <c r="A388" s="17">
        <f t="shared" si="42"/>
        <v>81</v>
      </c>
      <c r="B388" t="str">
        <f ca="1">TEXT(DATE(YEAR(Invoer!$A$5),1,1)+INT((ROWS(B$2:B388)-1)/3),"jjjjmmdd")</f>
        <v>19200508</v>
      </c>
      <c r="C388" s="35" t="str">
        <f>IF(MOD(ROWS(C$2:C388)-1,3)=2,"24.00",INDEX(Data,2,2+MOD(ROWS(C$2:C388)-1,3)))</f>
        <v>24.00</v>
      </c>
      <c r="D388" s="23" t="str">
        <f t="shared" ca="1" si="48"/>
        <v>—</v>
      </c>
      <c r="E388" s="40">
        <f t="shared" ca="1" si="43"/>
        <v>7</v>
      </c>
      <c r="F388" s="23">
        <f t="shared" ca="1" si="44"/>
        <v>26.3</v>
      </c>
      <c r="G388" s="40">
        <f t="shared" ca="1" si="45"/>
        <v>0</v>
      </c>
      <c r="H388" s="23">
        <f t="shared" ca="1" si="46"/>
        <v>28.5</v>
      </c>
      <c r="I388" s="40">
        <f t="shared" ca="1" si="47"/>
        <v>0</v>
      </c>
    </row>
    <row r="389" spans="1:9" x14ac:dyDescent="0.25">
      <c r="A389" s="17">
        <f t="shared" si="42"/>
        <v>81</v>
      </c>
      <c r="B389" t="str">
        <f ca="1">TEXT(DATE(YEAR(Invoer!$A$5),1,1)+INT((ROWS(B$2:B389)-1)/3),"jjjjmmdd")</f>
        <v>19200509</v>
      </c>
      <c r="C389" s="35" t="str">
        <f>IF(MOD(ROWS(C$2:C389)-1,3)=2,"24.00",INDEX(Data,2,2+MOD(ROWS(C$2:C389)-1,3)))</f>
        <v>08.00</v>
      </c>
      <c r="D389" s="23">
        <f t="shared" ca="1" si="48"/>
        <v>749</v>
      </c>
      <c r="E389" s="40">
        <f t="shared" ca="1" si="43"/>
        <v>0</v>
      </c>
      <c r="F389" s="23" t="str">
        <f t="shared" ca="1" si="44"/>
        <v>—</v>
      </c>
      <c r="G389" s="40">
        <f t="shared" ca="1" si="45"/>
        <v>7</v>
      </c>
      <c r="H389" s="23" t="str">
        <f t="shared" ca="1" si="46"/>
        <v>—</v>
      </c>
      <c r="I389" s="40">
        <f t="shared" ca="1" si="47"/>
        <v>7</v>
      </c>
    </row>
    <row r="390" spans="1:9" x14ac:dyDescent="0.25">
      <c r="A390" s="17">
        <f t="shared" si="42"/>
        <v>81</v>
      </c>
      <c r="B390" t="str">
        <f ca="1">TEXT(DATE(YEAR(Invoer!$A$5),1,1)+INT((ROWS(B$2:B390)-1)/3),"jjjjmmdd")</f>
        <v>19200509</v>
      </c>
      <c r="C390" s="35" t="str">
        <f>IF(MOD(ROWS(C$2:C390)-1,3)=2,"24.00",INDEX(Data,2,2+MOD(ROWS(C$2:C390)-1,3)))</f>
        <v>14.00</v>
      </c>
      <c r="D390" s="23">
        <f t="shared" ca="1" si="48"/>
        <v>748.6</v>
      </c>
      <c r="E390" s="40">
        <f t="shared" ca="1" si="43"/>
        <v>0</v>
      </c>
      <c r="F390" s="23" t="str">
        <f t="shared" ca="1" si="44"/>
        <v>—</v>
      </c>
      <c r="G390" s="40">
        <f t="shared" ca="1" si="45"/>
        <v>7</v>
      </c>
      <c r="H390" s="23" t="str">
        <f t="shared" ca="1" si="46"/>
        <v>—</v>
      </c>
      <c r="I390" s="40">
        <f t="shared" ca="1" si="47"/>
        <v>7</v>
      </c>
    </row>
    <row r="391" spans="1:9" x14ac:dyDescent="0.25">
      <c r="A391" s="17">
        <f t="shared" si="42"/>
        <v>81</v>
      </c>
      <c r="B391" t="str">
        <f ca="1">TEXT(DATE(YEAR(Invoer!$A$5),1,1)+INT((ROWS(B$2:B391)-1)/3),"jjjjmmdd")</f>
        <v>19200509</v>
      </c>
      <c r="C391" s="35" t="str">
        <f>IF(MOD(ROWS(C$2:C391)-1,3)=2,"24.00",INDEX(Data,2,2+MOD(ROWS(C$2:C391)-1,3)))</f>
        <v>24.00</v>
      </c>
      <c r="D391" s="23" t="str">
        <f t="shared" ca="1" si="48"/>
        <v>—</v>
      </c>
      <c r="E391" s="40">
        <f t="shared" ca="1" si="43"/>
        <v>7</v>
      </c>
      <c r="F391" s="23">
        <f t="shared" ca="1" si="44"/>
        <v>26.5</v>
      </c>
      <c r="G391" s="40">
        <f t="shared" ca="1" si="45"/>
        <v>0</v>
      </c>
      <c r="H391" s="23">
        <f t="shared" ca="1" si="46"/>
        <v>28</v>
      </c>
      <c r="I391" s="40">
        <f t="shared" ca="1" si="47"/>
        <v>0</v>
      </c>
    </row>
    <row r="392" spans="1:9" x14ac:dyDescent="0.25">
      <c r="A392" s="17">
        <f t="shared" si="42"/>
        <v>81</v>
      </c>
      <c r="B392" t="str">
        <f ca="1">TEXT(DATE(YEAR(Invoer!$A$5),1,1)+INT((ROWS(B$2:B392)-1)/3),"jjjjmmdd")</f>
        <v>19200510</v>
      </c>
      <c r="C392" s="35" t="str">
        <f>IF(MOD(ROWS(C$2:C392)-1,3)=2,"24.00",INDEX(Data,2,2+MOD(ROWS(C$2:C392)-1,3)))</f>
        <v>08.00</v>
      </c>
      <c r="D392" s="23">
        <f t="shared" ca="1" si="48"/>
        <v>749</v>
      </c>
      <c r="E392" s="40">
        <f t="shared" ca="1" si="43"/>
        <v>0</v>
      </c>
      <c r="F392" s="23" t="str">
        <f t="shared" ca="1" si="44"/>
        <v>—</v>
      </c>
      <c r="G392" s="40">
        <f t="shared" ca="1" si="45"/>
        <v>7</v>
      </c>
      <c r="H392" s="23" t="str">
        <f t="shared" ca="1" si="46"/>
        <v>—</v>
      </c>
      <c r="I392" s="40">
        <f t="shared" ca="1" si="47"/>
        <v>7</v>
      </c>
    </row>
    <row r="393" spans="1:9" x14ac:dyDescent="0.25">
      <c r="A393" s="17">
        <f t="shared" si="42"/>
        <v>81</v>
      </c>
      <c r="B393" t="str">
        <f ca="1">TEXT(DATE(YEAR(Invoer!$A$5),1,1)+INT((ROWS(B$2:B393)-1)/3),"jjjjmmdd")</f>
        <v>19200510</v>
      </c>
      <c r="C393" s="35" t="str">
        <f>IF(MOD(ROWS(C$2:C393)-1,3)=2,"24.00",INDEX(Data,2,2+MOD(ROWS(C$2:C393)-1,3)))</f>
        <v>14.00</v>
      </c>
      <c r="D393" s="23">
        <f t="shared" ca="1" si="48"/>
        <v>748.5</v>
      </c>
      <c r="E393" s="40">
        <f t="shared" ca="1" si="43"/>
        <v>0</v>
      </c>
      <c r="F393" s="23" t="str">
        <f t="shared" ca="1" si="44"/>
        <v>—</v>
      </c>
      <c r="G393" s="40">
        <f t="shared" ca="1" si="45"/>
        <v>7</v>
      </c>
      <c r="H393" s="23" t="str">
        <f t="shared" ca="1" si="46"/>
        <v>—</v>
      </c>
      <c r="I393" s="40">
        <f t="shared" ca="1" si="47"/>
        <v>7</v>
      </c>
    </row>
    <row r="394" spans="1:9" x14ac:dyDescent="0.25">
      <c r="A394" s="17">
        <f t="shared" si="42"/>
        <v>81</v>
      </c>
      <c r="B394" t="str">
        <f ca="1">TEXT(DATE(YEAR(Invoer!$A$5),1,1)+INT((ROWS(B$2:B394)-1)/3),"jjjjmmdd")</f>
        <v>19200510</v>
      </c>
      <c r="C394" s="35" t="str">
        <f>IF(MOD(ROWS(C$2:C394)-1,3)=2,"24.00",INDEX(Data,2,2+MOD(ROWS(C$2:C394)-1,3)))</f>
        <v>24.00</v>
      </c>
      <c r="D394" s="23" t="str">
        <f t="shared" ca="1" si="48"/>
        <v>—</v>
      </c>
      <c r="E394" s="40">
        <f t="shared" ca="1" si="43"/>
        <v>7</v>
      </c>
      <c r="F394" s="23">
        <f t="shared" ca="1" si="44"/>
        <v>26.5</v>
      </c>
      <c r="G394" s="40">
        <f t="shared" ca="1" si="45"/>
        <v>0</v>
      </c>
      <c r="H394" s="23">
        <f t="shared" ca="1" si="46"/>
        <v>28</v>
      </c>
      <c r="I394" s="40">
        <f t="shared" ca="1" si="47"/>
        <v>0</v>
      </c>
    </row>
    <row r="395" spans="1:9" x14ac:dyDescent="0.25">
      <c r="A395" s="17">
        <f t="shared" si="42"/>
        <v>81</v>
      </c>
      <c r="B395" t="str">
        <f ca="1">TEXT(DATE(YEAR(Invoer!$A$5),1,1)+INT((ROWS(B$2:B395)-1)/3),"jjjjmmdd")</f>
        <v>19200511</v>
      </c>
      <c r="C395" s="35" t="str">
        <f>IF(MOD(ROWS(C$2:C395)-1,3)=2,"24.00",INDEX(Data,2,2+MOD(ROWS(C$2:C395)-1,3)))</f>
        <v>08.00</v>
      </c>
      <c r="D395" s="23">
        <f t="shared" ca="1" si="48"/>
        <v>749</v>
      </c>
      <c r="E395" s="40">
        <f t="shared" ca="1" si="43"/>
        <v>0</v>
      </c>
      <c r="F395" s="23" t="str">
        <f t="shared" ca="1" si="44"/>
        <v>—</v>
      </c>
      <c r="G395" s="40">
        <f t="shared" ca="1" si="45"/>
        <v>7</v>
      </c>
      <c r="H395" s="23" t="str">
        <f t="shared" ca="1" si="46"/>
        <v>—</v>
      </c>
      <c r="I395" s="40">
        <f t="shared" ca="1" si="47"/>
        <v>7</v>
      </c>
    </row>
    <row r="396" spans="1:9" x14ac:dyDescent="0.25">
      <c r="A396" s="17">
        <f t="shared" si="42"/>
        <v>81</v>
      </c>
      <c r="B396" t="str">
        <f ca="1">TEXT(DATE(YEAR(Invoer!$A$5),1,1)+INT((ROWS(B$2:B396)-1)/3),"jjjjmmdd")</f>
        <v>19200511</v>
      </c>
      <c r="C396" s="35" t="str">
        <f>IF(MOD(ROWS(C$2:C396)-1,3)=2,"24.00",INDEX(Data,2,2+MOD(ROWS(C$2:C396)-1,3)))</f>
        <v>14.00</v>
      </c>
      <c r="D396" s="23">
        <f t="shared" ca="1" si="48"/>
        <v>748.1</v>
      </c>
      <c r="E396" s="40">
        <f t="shared" ca="1" si="43"/>
        <v>0</v>
      </c>
      <c r="F396" s="23" t="str">
        <f t="shared" ca="1" si="44"/>
        <v>—</v>
      </c>
      <c r="G396" s="40">
        <f t="shared" ca="1" si="45"/>
        <v>7</v>
      </c>
      <c r="H396" s="23" t="str">
        <f t="shared" ca="1" si="46"/>
        <v>—</v>
      </c>
      <c r="I396" s="40">
        <f t="shared" ca="1" si="47"/>
        <v>7</v>
      </c>
    </row>
    <row r="397" spans="1:9" x14ac:dyDescent="0.25">
      <c r="A397" s="17">
        <f t="shared" si="42"/>
        <v>81</v>
      </c>
      <c r="B397" t="str">
        <f ca="1">TEXT(DATE(YEAR(Invoer!$A$5),1,1)+INT((ROWS(B$2:B397)-1)/3),"jjjjmmdd")</f>
        <v>19200511</v>
      </c>
      <c r="C397" s="35" t="str">
        <f>IF(MOD(ROWS(C$2:C397)-1,3)=2,"24.00",INDEX(Data,2,2+MOD(ROWS(C$2:C397)-1,3)))</f>
        <v>24.00</v>
      </c>
      <c r="D397" s="23" t="str">
        <f t="shared" ca="1" si="48"/>
        <v>—</v>
      </c>
      <c r="E397" s="40">
        <f t="shared" ca="1" si="43"/>
        <v>7</v>
      </c>
      <c r="F397" s="23">
        <f t="shared" ca="1" si="44"/>
        <v>25.5</v>
      </c>
      <c r="G397" s="40">
        <f t="shared" ca="1" si="45"/>
        <v>0</v>
      </c>
      <c r="H397" s="23">
        <f t="shared" ca="1" si="46"/>
        <v>28</v>
      </c>
      <c r="I397" s="40">
        <f t="shared" ca="1" si="47"/>
        <v>0</v>
      </c>
    </row>
    <row r="398" spans="1:9" x14ac:dyDescent="0.25">
      <c r="A398" s="17">
        <f t="shared" si="42"/>
        <v>81</v>
      </c>
      <c r="B398" t="str">
        <f ca="1">TEXT(DATE(YEAR(Invoer!$A$5),1,1)+INT((ROWS(B$2:B398)-1)/3),"jjjjmmdd")</f>
        <v>19200512</v>
      </c>
      <c r="C398" s="35" t="str">
        <f>IF(MOD(ROWS(C$2:C398)-1,3)=2,"24.00",INDEX(Data,2,2+MOD(ROWS(C$2:C398)-1,3)))</f>
        <v>08.00</v>
      </c>
      <c r="D398" s="23">
        <f t="shared" ca="1" si="48"/>
        <v>749</v>
      </c>
      <c r="E398" s="40">
        <f t="shared" ca="1" si="43"/>
        <v>0</v>
      </c>
      <c r="F398" s="23" t="str">
        <f t="shared" ca="1" si="44"/>
        <v>—</v>
      </c>
      <c r="G398" s="40">
        <f t="shared" ca="1" si="45"/>
        <v>7</v>
      </c>
      <c r="H398" s="23" t="str">
        <f t="shared" ca="1" si="46"/>
        <v>—</v>
      </c>
      <c r="I398" s="40">
        <f t="shared" ca="1" si="47"/>
        <v>7</v>
      </c>
    </row>
    <row r="399" spans="1:9" x14ac:dyDescent="0.25">
      <c r="A399" s="17">
        <f t="shared" si="42"/>
        <v>81</v>
      </c>
      <c r="B399" t="str">
        <f ca="1">TEXT(DATE(YEAR(Invoer!$A$5),1,1)+INT((ROWS(B$2:B399)-1)/3),"jjjjmmdd")</f>
        <v>19200512</v>
      </c>
      <c r="C399" s="35" t="str">
        <f>IF(MOD(ROWS(C$2:C399)-1,3)=2,"24.00",INDEX(Data,2,2+MOD(ROWS(C$2:C399)-1,3)))</f>
        <v>14.00</v>
      </c>
      <c r="D399" s="23">
        <f t="shared" ca="1" si="48"/>
        <v>747.5</v>
      </c>
      <c r="E399" s="40">
        <f t="shared" ca="1" si="43"/>
        <v>0</v>
      </c>
      <c r="F399" s="23" t="str">
        <f t="shared" ca="1" si="44"/>
        <v>—</v>
      </c>
      <c r="G399" s="40">
        <f t="shared" ca="1" si="45"/>
        <v>7</v>
      </c>
      <c r="H399" s="23" t="str">
        <f t="shared" ca="1" si="46"/>
        <v>—</v>
      </c>
      <c r="I399" s="40">
        <f t="shared" ca="1" si="47"/>
        <v>7</v>
      </c>
    </row>
    <row r="400" spans="1:9" x14ac:dyDescent="0.25">
      <c r="A400" s="17">
        <f t="shared" si="42"/>
        <v>81</v>
      </c>
      <c r="B400" t="str">
        <f ca="1">TEXT(DATE(YEAR(Invoer!$A$5),1,1)+INT((ROWS(B$2:B400)-1)/3),"jjjjmmdd")</f>
        <v>19200512</v>
      </c>
      <c r="C400" s="35" t="str">
        <f>IF(MOD(ROWS(C$2:C400)-1,3)=2,"24.00",INDEX(Data,2,2+MOD(ROWS(C$2:C400)-1,3)))</f>
        <v>24.00</v>
      </c>
      <c r="D400" s="23" t="str">
        <f t="shared" ca="1" si="48"/>
        <v>—</v>
      </c>
      <c r="E400" s="40">
        <f t="shared" ca="1" si="43"/>
        <v>7</v>
      </c>
      <c r="F400" s="23">
        <f t="shared" ca="1" si="44"/>
        <v>25</v>
      </c>
      <c r="G400" s="40">
        <f t="shared" ca="1" si="45"/>
        <v>0</v>
      </c>
      <c r="H400" s="23">
        <f t="shared" ca="1" si="46"/>
        <v>28</v>
      </c>
      <c r="I400" s="40">
        <f t="shared" ca="1" si="47"/>
        <v>0</v>
      </c>
    </row>
    <row r="401" spans="1:9" x14ac:dyDescent="0.25">
      <c r="A401" s="17">
        <f t="shared" si="42"/>
        <v>81</v>
      </c>
      <c r="B401" t="str">
        <f ca="1">TEXT(DATE(YEAR(Invoer!$A$5),1,1)+INT((ROWS(B$2:B401)-1)/3),"jjjjmmdd")</f>
        <v>19200513</v>
      </c>
      <c r="C401" s="35" t="str">
        <f>IF(MOD(ROWS(C$2:C401)-1,3)=2,"24.00",INDEX(Data,2,2+MOD(ROWS(C$2:C401)-1,3)))</f>
        <v>08.00</v>
      </c>
      <c r="D401" s="23">
        <f t="shared" ca="1" si="48"/>
        <v>748</v>
      </c>
      <c r="E401" s="40">
        <f t="shared" ca="1" si="43"/>
        <v>0</v>
      </c>
      <c r="F401" s="23" t="str">
        <f t="shared" ca="1" si="44"/>
        <v>—</v>
      </c>
      <c r="G401" s="40">
        <f t="shared" ca="1" si="45"/>
        <v>7</v>
      </c>
      <c r="H401" s="23" t="str">
        <f t="shared" ca="1" si="46"/>
        <v>—</v>
      </c>
      <c r="I401" s="40">
        <f t="shared" ca="1" si="47"/>
        <v>7</v>
      </c>
    </row>
    <row r="402" spans="1:9" x14ac:dyDescent="0.25">
      <c r="A402" s="17">
        <f t="shared" si="42"/>
        <v>81</v>
      </c>
      <c r="B402" t="str">
        <f ca="1">TEXT(DATE(YEAR(Invoer!$A$5),1,1)+INT((ROWS(B$2:B402)-1)/3),"jjjjmmdd")</f>
        <v>19200513</v>
      </c>
      <c r="C402" s="35" t="str">
        <f>IF(MOD(ROWS(C$2:C402)-1,3)=2,"24.00",INDEX(Data,2,2+MOD(ROWS(C$2:C402)-1,3)))</f>
        <v>14.00</v>
      </c>
      <c r="D402" s="23">
        <f t="shared" ca="1" si="48"/>
        <v>747.2</v>
      </c>
      <c r="E402" s="40">
        <f t="shared" ca="1" si="43"/>
        <v>0</v>
      </c>
      <c r="F402" s="23" t="str">
        <f t="shared" ca="1" si="44"/>
        <v>—</v>
      </c>
      <c r="G402" s="40">
        <f t="shared" ca="1" si="45"/>
        <v>7</v>
      </c>
      <c r="H402" s="23" t="str">
        <f t="shared" ca="1" si="46"/>
        <v>—</v>
      </c>
      <c r="I402" s="40">
        <f t="shared" ca="1" si="47"/>
        <v>7</v>
      </c>
    </row>
    <row r="403" spans="1:9" x14ac:dyDescent="0.25">
      <c r="A403" s="17">
        <f t="shared" si="42"/>
        <v>81</v>
      </c>
      <c r="B403" t="str">
        <f ca="1">TEXT(DATE(YEAR(Invoer!$A$5),1,1)+INT((ROWS(B$2:B403)-1)/3),"jjjjmmdd")</f>
        <v>19200513</v>
      </c>
      <c r="C403" s="35" t="str">
        <f>IF(MOD(ROWS(C$2:C403)-1,3)=2,"24.00",INDEX(Data,2,2+MOD(ROWS(C$2:C403)-1,3)))</f>
        <v>24.00</v>
      </c>
      <c r="D403" s="23" t="str">
        <f t="shared" ca="1" si="48"/>
        <v>—</v>
      </c>
      <c r="E403" s="40">
        <f t="shared" ca="1" si="43"/>
        <v>7</v>
      </c>
      <c r="F403" s="23">
        <f t="shared" ca="1" si="44"/>
        <v>25</v>
      </c>
      <c r="G403" s="40">
        <f t="shared" ca="1" si="45"/>
        <v>0</v>
      </c>
      <c r="H403" s="23">
        <f t="shared" ca="1" si="46"/>
        <v>27</v>
      </c>
      <c r="I403" s="40">
        <f t="shared" ca="1" si="47"/>
        <v>0</v>
      </c>
    </row>
    <row r="404" spans="1:9" x14ac:dyDescent="0.25">
      <c r="A404" s="17">
        <f t="shared" si="42"/>
        <v>81</v>
      </c>
      <c r="B404" t="str">
        <f ca="1">TEXT(DATE(YEAR(Invoer!$A$5),1,1)+INT((ROWS(B$2:B404)-1)/3),"jjjjmmdd")</f>
        <v>19200514</v>
      </c>
      <c r="C404" s="35" t="str">
        <f>IF(MOD(ROWS(C$2:C404)-1,3)=2,"24.00",INDEX(Data,2,2+MOD(ROWS(C$2:C404)-1,3)))</f>
        <v>08.00</v>
      </c>
      <c r="D404" s="23">
        <f t="shared" ca="1" si="48"/>
        <v>747.5</v>
      </c>
      <c r="E404" s="40">
        <f t="shared" ca="1" si="43"/>
        <v>0</v>
      </c>
      <c r="F404" s="23" t="str">
        <f t="shared" ca="1" si="44"/>
        <v>—</v>
      </c>
      <c r="G404" s="40">
        <f t="shared" ca="1" si="45"/>
        <v>7</v>
      </c>
      <c r="H404" s="23" t="str">
        <f t="shared" ca="1" si="46"/>
        <v>—</v>
      </c>
      <c r="I404" s="40">
        <f t="shared" ca="1" si="47"/>
        <v>7</v>
      </c>
    </row>
    <row r="405" spans="1:9" x14ac:dyDescent="0.25">
      <c r="A405" s="17">
        <f t="shared" si="42"/>
        <v>81</v>
      </c>
      <c r="B405" t="str">
        <f ca="1">TEXT(DATE(YEAR(Invoer!$A$5),1,1)+INT((ROWS(B$2:B405)-1)/3),"jjjjmmdd")</f>
        <v>19200514</v>
      </c>
      <c r="C405" s="35" t="str">
        <f>IF(MOD(ROWS(C$2:C405)-1,3)=2,"24.00",INDEX(Data,2,2+MOD(ROWS(C$2:C405)-1,3)))</f>
        <v>14.00</v>
      </c>
      <c r="D405" s="23">
        <f t="shared" ca="1" si="48"/>
        <v>747</v>
      </c>
      <c r="E405" s="40">
        <f t="shared" ca="1" si="43"/>
        <v>0</v>
      </c>
      <c r="F405" s="23" t="str">
        <f t="shared" ca="1" si="44"/>
        <v>—</v>
      </c>
      <c r="G405" s="40">
        <f t="shared" ca="1" si="45"/>
        <v>7</v>
      </c>
      <c r="H405" s="23" t="str">
        <f t="shared" ca="1" si="46"/>
        <v>—</v>
      </c>
      <c r="I405" s="40">
        <f t="shared" ca="1" si="47"/>
        <v>7</v>
      </c>
    </row>
    <row r="406" spans="1:9" x14ac:dyDescent="0.25">
      <c r="A406" s="17">
        <f t="shared" si="42"/>
        <v>81</v>
      </c>
      <c r="B406" t="str">
        <f ca="1">TEXT(DATE(YEAR(Invoer!$A$5),1,1)+INT((ROWS(B$2:B406)-1)/3),"jjjjmmdd")</f>
        <v>19200514</v>
      </c>
      <c r="C406" s="35" t="str">
        <f>IF(MOD(ROWS(C$2:C406)-1,3)=2,"24.00",INDEX(Data,2,2+MOD(ROWS(C$2:C406)-1,3)))</f>
        <v>24.00</v>
      </c>
      <c r="D406" s="23" t="str">
        <f t="shared" ca="1" si="48"/>
        <v>—</v>
      </c>
      <c r="E406" s="40">
        <f t="shared" ca="1" si="43"/>
        <v>7</v>
      </c>
      <c r="F406" s="23">
        <f t="shared" ca="1" si="44"/>
        <v>25</v>
      </c>
      <c r="G406" s="40">
        <f t="shared" ca="1" si="45"/>
        <v>0</v>
      </c>
      <c r="H406" s="23">
        <f t="shared" ca="1" si="46"/>
        <v>27.3</v>
      </c>
      <c r="I406" s="40">
        <f t="shared" ca="1" si="47"/>
        <v>0</v>
      </c>
    </row>
    <row r="407" spans="1:9" x14ac:dyDescent="0.25">
      <c r="A407" s="17">
        <f t="shared" si="42"/>
        <v>81</v>
      </c>
      <c r="B407" t="str">
        <f ca="1">TEXT(DATE(YEAR(Invoer!$A$5),1,1)+INT((ROWS(B$2:B407)-1)/3),"jjjjmmdd")</f>
        <v>19200515</v>
      </c>
      <c r="C407" s="35" t="str">
        <f>IF(MOD(ROWS(C$2:C407)-1,3)=2,"24.00",INDEX(Data,2,2+MOD(ROWS(C$2:C407)-1,3)))</f>
        <v>08.00</v>
      </c>
      <c r="D407" s="23">
        <f t="shared" ca="1" si="48"/>
        <v>747.5</v>
      </c>
      <c r="E407" s="40">
        <f t="shared" ca="1" si="43"/>
        <v>0</v>
      </c>
      <c r="F407" s="23" t="str">
        <f t="shared" ca="1" si="44"/>
        <v>—</v>
      </c>
      <c r="G407" s="40">
        <f t="shared" ca="1" si="45"/>
        <v>7</v>
      </c>
      <c r="H407" s="23" t="str">
        <f t="shared" ca="1" si="46"/>
        <v>—</v>
      </c>
      <c r="I407" s="40">
        <f t="shared" ca="1" si="47"/>
        <v>7</v>
      </c>
    </row>
    <row r="408" spans="1:9" x14ac:dyDescent="0.25">
      <c r="A408" s="17">
        <f t="shared" si="42"/>
        <v>81</v>
      </c>
      <c r="B408" t="str">
        <f ca="1">TEXT(DATE(YEAR(Invoer!$A$5),1,1)+INT((ROWS(B$2:B408)-1)/3),"jjjjmmdd")</f>
        <v>19200515</v>
      </c>
      <c r="C408" s="35" t="str">
        <f>IF(MOD(ROWS(C$2:C408)-1,3)=2,"24.00",INDEX(Data,2,2+MOD(ROWS(C$2:C408)-1,3)))</f>
        <v>14.00</v>
      </c>
      <c r="D408" s="23">
        <f t="shared" ca="1" si="48"/>
        <v>747</v>
      </c>
      <c r="E408" s="40">
        <f t="shared" ca="1" si="43"/>
        <v>0</v>
      </c>
      <c r="F408" s="23" t="str">
        <f t="shared" ca="1" si="44"/>
        <v>—</v>
      </c>
      <c r="G408" s="40">
        <f t="shared" ca="1" si="45"/>
        <v>7</v>
      </c>
      <c r="H408" s="23" t="str">
        <f t="shared" ca="1" si="46"/>
        <v>—</v>
      </c>
      <c r="I408" s="40">
        <f t="shared" ca="1" si="47"/>
        <v>7</v>
      </c>
    </row>
    <row r="409" spans="1:9" x14ac:dyDescent="0.25">
      <c r="A409" s="17">
        <f t="shared" si="42"/>
        <v>81</v>
      </c>
      <c r="B409" t="str">
        <f ca="1">TEXT(DATE(YEAR(Invoer!$A$5),1,1)+INT((ROWS(B$2:B409)-1)/3),"jjjjmmdd")</f>
        <v>19200515</v>
      </c>
      <c r="C409" s="35" t="str">
        <f>IF(MOD(ROWS(C$2:C409)-1,3)=2,"24.00",INDEX(Data,2,2+MOD(ROWS(C$2:C409)-1,3)))</f>
        <v>24.00</v>
      </c>
      <c r="D409" s="23" t="str">
        <f t="shared" ca="1" si="48"/>
        <v>—</v>
      </c>
      <c r="E409" s="40">
        <f t="shared" ca="1" si="43"/>
        <v>7</v>
      </c>
      <c r="F409" s="23">
        <f t="shared" ca="1" si="44"/>
        <v>25</v>
      </c>
      <c r="G409" s="40">
        <f t="shared" ca="1" si="45"/>
        <v>0</v>
      </c>
      <c r="H409" s="23">
        <f t="shared" ca="1" si="46"/>
        <v>28</v>
      </c>
      <c r="I409" s="40">
        <f t="shared" ca="1" si="47"/>
        <v>0</v>
      </c>
    </row>
    <row r="410" spans="1:9" x14ac:dyDescent="0.25">
      <c r="A410" s="17">
        <f t="shared" si="42"/>
        <v>81</v>
      </c>
      <c r="B410" t="str">
        <f ca="1">TEXT(DATE(YEAR(Invoer!$A$5),1,1)+INT((ROWS(B$2:B410)-1)/3),"jjjjmmdd")</f>
        <v>19200516</v>
      </c>
      <c r="C410" s="35" t="str">
        <f>IF(MOD(ROWS(C$2:C410)-1,3)=2,"24.00",INDEX(Data,2,2+MOD(ROWS(C$2:C410)-1,3)))</f>
        <v>08.00</v>
      </c>
      <c r="D410" s="23">
        <f t="shared" ca="1" si="48"/>
        <v>747.5</v>
      </c>
      <c r="E410" s="40">
        <f t="shared" ca="1" si="43"/>
        <v>0</v>
      </c>
      <c r="F410" s="23" t="str">
        <f t="shared" ca="1" si="44"/>
        <v>—</v>
      </c>
      <c r="G410" s="40">
        <f t="shared" ca="1" si="45"/>
        <v>7</v>
      </c>
      <c r="H410" s="23" t="str">
        <f t="shared" ca="1" si="46"/>
        <v>—</v>
      </c>
      <c r="I410" s="40">
        <f t="shared" ca="1" si="47"/>
        <v>7</v>
      </c>
    </row>
    <row r="411" spans="1:9" x14ac:dyDescent="0.25">
      <c r="A411" s="17">
        <f t="shared" si="42"/>
        <v>81</v>
      </c>
      <c r="B411" t="str">
        <f ca="1">TEXT(DATE(YEAR(Invoer!$A$5),1,1)+INT((ROWS(B$2:B411)-1)/3),"jjjjmmdd")</f>
        <v>19200516</v>
      </c>
      <c r="C411" s="35" t="str">
        <f>IF(MOD(ROWS(C$2:C411)-1,3)=2,"24.00",INDEX(Data,2,2+MOD(ROWS(C$2:C411)-1,3)))</f>
        <v>14.00</v>
      </c>
      <c r="D411" s="23">
        <f t="shared" ca="1" si="48"/>
        <v>747</v>
      </c>
      <c r="E411" s="40">
        <f t="shared" ca="1" si="43"/>
        <v>0</v>
      </c>
      <c r="F411" s="23" t="str">
        <f t="shared" ca="1" si="44"/>
        <v>—</v>
      </c>
      <c r="G411" s="40">
        <f t="shared" ca="1" si="45"/>
        <v>7</v>
      </c>
      <c r="H411" s="23" t="str">
        <f t="shared" ca="1" si="46"/>
        <v>—</v>
      </c>
      <c r="I411" s="40">
        <f t="shared" ca="1" si="47"/>
        <v>7</v>
      </c>
    </row>
    <row r="412" spans="1:9" x14ac:dyDescent="0.25">
      <c r="A412" s="17">
        <f t="shared" si="42"/>
        <v>81</v>
      </c>
      <c r="B412" t="str">
        <f ca="1">TEXT(DATE(YEAR(Invoer!$A$5),1,1)+INT((ROWS(B$2:B412)-1)/3),"jjjjmmdd")</f>
        <v>19200516</v>
      </c>
      <c r="C412" s="35" t="str">
        <f>IF(MOD(ROWS(C$2:C412)-1,3)=2,"24.00",INDEX(Data,2,2+MOD(ROWS(C$2:C412)-1,3)))</f>
        <v>24.00</v>
      </c>
      <c r="D412" s="23" t="str">
        <f t="shared" ca="1" si="48"/>
        <v>—</v>
      </c>
      <c r="E412" s="40">
        <f t="shared" ca="1" si="43"/>
        <v>7</v>
      </c>
      <c r="F412" s="23">
        <f t="shared" ca="1" si="44"/>
        <v>25.5</v>
      </c>
      <c r="G412" s="40">
        <f t="shared" ca="1" si="45"/>
        <v>0</v>
      </c>
      <c r="H412" s="23">
        <f t="shared" ca="1" si="46"/>
        <v>28</v>
      </c>
      <c r="I412" s="40">
        <f t="shared" ca="1" si="47"/>
        <v>0</v>
      </c>
    </row>
    <row r="413" spans="1:9" x14ac:dyDescent="0.25">
      <c r="A413" s="17">
        <f t="shared" si="42"/>
        <v>81</v>
      </c>
      <c r="B413" t="str">
        <f ca="1">TEXT(DATE(YEAR(Invoer!$A$5),1,1)+INT((ROWS(B$2:B413)-1)/3),"jjjjmmdd")</f>
        <v>19200517</v>
      </c>
      <c r="C413" s="35" t="str">
        <f>IF(MOD(ROWS(C$2:C413)-1,3)=2,"24.00",INDEX(Data,2,2+MOD(ROWS(C$2:C413)-1,3)))</f>
        <v>08.00</v>
      </c>
      <c r="D413" s="23">
        <f t="shared" ca="1" si="48"/>
        <v>747</v>
      </c>
      <c r="E413" s="40">
        <f t="shared" ca="1" si="43"/>
        <v>0</v>
      </c>
      <c r="F413" s="23" t="str">
        <f t="shared" ca="1" si="44"/>
        <v>—</v>
      </c>
      <c r="G413" s="40">
        <f t="shared" ca="1" si="45"/>
        <v>7</v>
      </c>
      <c r="H413" s="23" t="str">
        <f t="shared" ca="1" si="46"/>
        <v>—</v>
      </c>
      <c r="I413" s="40">
        <f t="shared" ca="1" si="47"/>
        <v>7</v>
      </c>
    </row>
    <row r="414" spans="1:9" x14ac:dyDescent="0.25">
      <c r="A414" s="17">
        <f t="shared" si="42"/>
        <v>81</v>
      </c>
      <c r="B414" t="str">
        <f ca="1">TEXT(DATE(YEAR(Invoer!$A$5),1,1)+INT((ROWS(B$2:B414)-1)/3),"jjjjmmdd")</f>
        <v>19200517</v>
      </c>
      <c r="C414" s="35" t="str">
        <f>IF(MOD(ROWS(C$2:C414)-1,3)=2,"24.00",INDEX(Data,2,2+MOD(ROWS(C$2:C414)-1,3)))</f>
        <v>14.00</v>
      </c>
      <c r="D414" s="23">
        <f t="shared" ca="1" si="48"/>
        <v>746.9</v>
      </c>
      <c r="E414" s="40">
        <f t="shared" ca="1" si="43"/>
        <v>0</v>
      </c>
      <c r="F414" s="23" t="str">
        <f t="shared" ca="1" si="44"/>
        <v>—</v>
      </c>
      <c r="G414" s="40">
        <f t="shared" ca="1" si="45"/>
        <v>7</v>
      </c>
      <c r="H414" s="23" t="str">
        <f t="shared" ca="1" si="46"/>
        <v>—</v>
      </c>
      <c r="I414" s="40">
        <f t="shared" ca="1" si="47"/>
        <v>7</v>
      </c>
    </row>
    <row r="415" spans="1:9" x14ac:dyDescent="0.25">
      <c r="A415" s="17">
        <f t="shared" si="42"/>
        <v>81</v>
      </c>
      <c r="B415" t="str">
        <f ca="1">TEXT(DATE(YEAR(Invoer!$A$5),1,1)+INT((ROWS(B$2:B415)-1)/3),"jjjjmmdd")</f>
        <v>19200517</v>
      </c>
      <c r="C415" s="35" t="str">
        <f>IF(MOD(ROWS(C$2:C415)-1,3)=2,"24.00",INDEX(Data,2,2+MOD(ROWS(C$2:C415)-1,3)))</f>
        <v>24.00</v>
      </c>
      <c r="D415" s="23" t="str">
        <f t="shared" ca="1" si="48"/>
        <v>—</v>
      </c>
      <c r="E415" s="40">
        <f t="shared" ca="1" si="43"/>
        <v>7</v>
      </c>
      <c r="F415" s="23">
        <f t="shared" ca="1" si="44"/>
        <v>25.8</v>
      </c>
      <c r="G415" s="40">
        <f t="shared" ca="1" si="45"/>
        <v>0</v>
      </c>
      <c r="H415" s="23">
        <f t="shared" ca="1" si="46"/>
        <v>28</v>
      </c>
      <c r="I415" s="40">
        <f t="shared" ca="1" si="47"/>
        <v>0</v>
      </c>
    </row>
    <row r="416" spans="1:9" x14ac:dyDescent="0.25">
      <c r="A416" s="17">
        <f t="shared" si="42"/>
        <v>81</v>
      </c>
      <c r="B416" t="str">
        <f ca="1">TEXT(DATE(YEAR(Invoer!$A$5),1,1)+INT((ROWS(B$2:B416)-1)/3),"jjjjmmdd")</f>
        <v>19200518</v>
      </c>
      <c r="C416" s="35" t="str">
        <f>IF(MOD(ROWS(C$2:C416)-1,3)=2,"24.00",INDEX(Data,2,2+MOD(ROWS(C$2:C416)-1,3)))</f>
        <v>08.00</v>
      </c>
      <c r="D416" s="23">
        <f t="shared" ca="1" si="48"/>
        <v>747</v>
      </c>
      <c r="E416" s="40">
        <f t="shared" ca="1" si="43"/>
        <v>0</v>
      </c>
      <c r="F416" s="23" t="str">
        <f t="shared" ca="1" si="44"/>
        <v>—</v>
      </c>
      <c r="G416" s="40">
        <f t="shared" ca="1" si="45"/>
        <v>7</v>
      </c>
      <c r="H416" s="23" t="str">
        <f t="shared" ca="1" si="46"/>
        <v>—</v>
      </c>
      <c r="I416" s="40">
        <f t="shared" ca="1" si="47"/>
        <v>7</v>
      </c>
    </row>
    <row r="417" spans="1:9" x14ac:dyDescent="0.25">
      <c r="A417" s="17">
        <f t="shared" si="42"/>
        <v>81</v>
      </c>
      <c r="B417" t="str">
        <f ca="1">TEXT(DATE(YEAR(Invoer!$A$5),1,1)+INT((ROWS(B$2:B417)-1)/3),"jjjjmmdd")</f>
        <v>19200518</v>
      </c>
      <c r="C417" s="35" t="str">
        <f>IF(MOD(ROWS(C$2:C417)-1,3)=2,"24.00",INDEX(Data,2,2+MOD(ROWS(C$2:C417)-1,3)))</f>
        <v>14.00</v>
      </c>
      <c r="D417" s="23">
        <f t="shared" ca="1" si="48"/>
        <v>746.5</v>
      </c>
      <c r="E417" s="40">
        <f t="shared" ca="1" si="43"/>
        <v>0</v>
      </c>
      <c r="F417" s="23" t="str">
        <f t="shared" ca="1" si="44"/>
        <v>—</v>
      </c>
      <c r="G417" s="40">
        <f t="shared" ca="1" si="45"/>
        <v>7</v>
      </c>
      <c r="H417" s="23" t="str">
        <f t="shared" ca="1" si="46"/>
        <v>—</v>
      </c>
      <c r="I417" s="40">
        <f t="shared" ca="1" si="47"/>
        <v>7</v>
      </c>
    </row>
    <row r="418" spans="1:9" x14ac:dyDescent="0.25">
      <c r="A418" s="17">
        <f t="shared" si="42"/>
        <v>81</v>
      </c>
      <c r="B418" t="str">
        <f ca="1">TEXT(DATE(YEAR(Invoer!$A$5),1,1)+INT((ROWS(B$2:B418)-1)/3),"jjjjmmdd")</f>
        <v>19200518</v>
      </c>
      <c r="C418" s="35" t="str">
        <f>IF(MOD(ROWS(C$2:C418)-1,3)=2,"24.00",INDEX(Data,2,2+MOD(ROWS(C$2:C418)-1,3)))</f>
        <v>24.00</v>
      </c>
      <c r="D418" s="23" t="str">
        <f t="shared" ca="1" si="48"/>
        <v>—</v>
      </c>
      <c r="E418" s="40">
        <f t="shared" ca="1" si="43"/>
        <v>7</v>
      </c>
      <c r="F418" s="23">
        <f t="shared" ca="1" si="44"/>
        <v>25</v>
      </c>
      <c r="G418" s="40">
        <f t="shared" ca="1" si="45"/>
        <v>0</v>
      </c>
      <c r="H418" s="23">
        <f t="shared" ca="1" si="46"/>
        <v>28</v>
      </c>
      <c r="I418" s="40">
        <f t="shared" ca="1" si="47"/>
        <v>0</v>
      </c>
    </row>
    <row r="419" spans="1:9" x14ac:dyDescent="0.25">
      <c r="A419" s="17">
        <f t="shared" si="42"/>
        <v>81</v>
      </c>
      <c r="B419" t="str">
        <f ca="1">TEXT(DATE(YEAR(Invoer!$A$5),1,1)+INT((ROWS(B$2:B419)-1)/3),"jjjjmmdd")</f>
        <v>19200519</v>
      </c>
      <c r="C419" s="35" t="str">
        <f>IF(MOD(ROWS(C$2:C419)-1,3)=2,"24.00",INDEX(Data,2,2+MOD(ROWS(C$2:C419)-1,3)))</f>
        <v>08.00</v>
      </c>
      <c r="D419" s="23">
        <f t="shared" ca="1" si="48"/>
        <v>747</v>
      </c>
      <c r="E419" s="40">
        <f t="shared" ca="1" si="43"/>
        <v>0</v>
      </c>
      <c r="F419" s="23" t="str">
        <f t="shared" ca="1" si="44"/>
        <v>—</v>
      </c>
      <c r="G419" s="40">
        <f t="shared" ca="1" si="45"/>
        <v>7</v>
      </c>
      <c r="H419" s="23" t="str">
        <f t="shared" ca="1" si="46"/>
        <v>—</v>
      </c>
      <c r="I419" s="40">
        <f t="shared" ca="1" si="47"/>
        <v>7</v>
      </c>
    </row>
    <row r="420" spans="1:9" x14ac:dyDescent="0.25">
      <c r="A420" s="17">
        <f t="shared" si="42"/>
        <v>81</v>
      </c>
      <c r="B420" t="str">
        <f ca="1">TEXT(DATE(YEAR(Invoer!$A$5),1,1)+INT((ROWS(B$2:B420)-1)/3),"jjjjmmdd")</f>
        <v>19200519</v>
      </c>
      <c r="C420" s="35" t="str">
        <f>IF(MOD(ROWS(C$2:C420)-1,3)=2,"24.00",INDEX(Data,2,2+MOD(ROWS(C$2:C420)-1,3)))</f>
        <v>14.00</v>
      </c>
      <c r="D420" s="23">
        <f t="shared" ca="1" si="48"/>
        <v>746.8</v>
      </c>
      <c r="E420" s="40">
        <f t="shared" ca="1" si="43"/>
        <v>0</v>
      </c>
      <c r="F420" s="23" t="str">
        <f t="shared" ca="1" si="44"/>
        <v>—</v>
      </c>
      <c r="G420" s="40">
        <f t="shared" ca="1" si="45"/>
        <v>7</v>
      </c>
      <c r="H420" s="23" t="str">
        <f t="shared" ca="1" si="46"/>
        <v>—</v>
      </c>
      <c r="I420" s="40">
        <f t="shared" ca="1" si="47"/>
        <v>7</v>
      </c>
    </row>
    <row r="421" spans="1:9" x14ac:dyDescent="0.25">
      <c r="A421" s="17">
        <f t="shared" si="42"/>
        <v>81</v>
      </c>
      <c r="B421" t="str">
        <f ca="1">TEXT(DATE(YEAR(Invoer!$A$5),1,1)+INT((ROWS(B$2:B421)-1)/3),"jjjjmmdd")</f>
        <v>19200519</v>
      </c>
      <c r="C421" s="35" t="str">
        <f>IF(MOD(ROWS(C$2:C421)-1,3)=2,"24.00",INDEX(Data,2,2+MOD(ROWS(C$2:C421)-1,3)))</f>
        <v>24.00</v>
      </c>
      <c r="D421" s="23" t="str">
        <f t="shared" ca="1" si="48"/>
        <v>—</v>
      </c>
      <c r="E421" s="40">
        <f t="shared" ca="1" si="43"/>
        <v>7</v>
      </c>
      <c r="F421" s="23">
        <f t="shared" ca="1" si="44"/>
        <v>26</v>
      </c>
      <c r="G421" s="40">
        <f t="shared" ca="1" si="45"/>
        <v>0</v>
      </c>
      <c r="H421" s="23">
        <f t="shared" ca="1" si="46"/>
        <v>27.3</v>
      </c>
      <c r="I421" s="40">
        <f t="shared" ca="1" si="47"/>
        <v>0</v>
      </c>
    </row>
    <row r="422" spans="1:9" x14ac:dyDescent="0.25">
      <c r="A422" s="17">
        <f t="shared" si="42"/>
        <v>81</v>
      </c>
      <c r="B422" t="str">
        <f ca="1">TEXT(DATE(YEAR(Invoer!$A$5),1,1)+INT((ROWS(B$2:B422)-1)/3),"jjjjmmdd")</f>
        <v>19200520</v>
      </c>
      <c r="C422" s="35" t="str">
        <f>IF(MOD(ROWS(C$2:C422)-1,3)=2,"24.00",INDEX(Data,2,2+MOD(ROWS(C$2:C422)-1,3)))</f>
        <v>08.00</v>
      </c>
      <c r="D422" s="23">
        <f t="shared" ca="1" si="48"/>
        <v>747</v>
      </c>
      <c r="E422" s="40">
        <f t="shared" ca="1" si="43"/>
        <v>0</v>
      </c>
      <c r="F422" s="23" t="str">
        <f t="shared" ca="1" si="44"/>
        <v>—</v>
      </c>
      <c r="G422" s="40">
        <f t="shared" ca="1" si="45"/>
        <v>7</v>
      </c>
      <c r="H422" s="23" t="str">
        <f t="shared" ca="1" si="46"/>
        <v>—</v>
      </c>
      <c r="I422" s="40">
        <f t="shared" ca="1" si="47"/>
        <v>7</v>
      </c>
    </row>
    <row r="423" spans="1:9" x14ac:dyDescent="0.25">
      <c r="A423" s="17">
        <f t="shared" si="42"/>
        <v>81</v>
      </c>
      <c r="B423" t="str">
        <f ca="1">TEXT(DATE(YEAR(Invoer!$A$5),1,1)+INT((ROWS(B$2:B423)-1)/3),"jjjjmmdd")</f>
        <v>19200520</v>
      </c>
      <c r="C423" s="35" t="str">
        <f>IF(MOD(ROWS(C$2:C423)-1,3)=2,"24.00",INDEX(Data,2,2+MOD(ROWS(C$2:C423)-1,3)))</f>
        <v>14.00</v>
      </c>
      <c r="D423" s="23">
        <f t="shared" ca="1" si="48"/>
        <v>746.8</v>
      </c>
      <c r="E423" s="40">
        <f t="shared" ca="1" si="43"/>
        <v>0</v>
      </c>
      <c r="F423" s="23" t="str">
        <f t="shared" ca="1" si="44"/>
        <v>—</v>
      </c>
      <c r="G423" s="40">
        <f t="shared" ca="1" si="45"/>
        <v>7</v>
      </c>
      <c r="H423" s="23" t="str">
        <f t="shared" ca="1" si="46"/>
        <v>—</v>
      </c>
      <c r="I423" s="40">
        <f t="shared" ca="1" si="47"/>
        <v>7</v>
      </c>
    </row>
    <row r="424" spans="1:9" x14ac:dyDescent="0.25">
      <c r="A424" s="17">
        <f t="shared" si="42"/>
        <v>81</v>
      </c>
      <c r="B424" t="str">
        <f ca="1">TEXT(DATE(YEAR(Invoer!$A$5),1,1)+INT((ROWS(B$2:B424)-1)/3),"jjjjmmdd")</f>
        <v>19200520</v>
      </c>
      <c r="C424" s="35" t="str">
        <f>IF(MOD(ROWS(C$2:C424)-1,3)=2,"24.00",INDEX(Data,2,2+MOD(ROWS(C$2:C424)-1,3)))</f>
        <v>24.00</v>
      </c>
      <c r="D424" s="23" t="str">
        <f t="shared" ca="1" si="48"/>
        <v>—</v>
      </c>
      <c r="E424" s="40">
        <f t="shared" ca="1" si="43"/>
        <v>7</v>
      </c>
      <c r="F424" s="23">
        <f t="shared" ca="1" si="44"/>
        <v>25.3</v>
      </c>
      <c r="G424" s="40">
        <f t="shared" ca="1" si="45"/>
        <v>0</v>
      </c>
      <c r="H424" s="23">
        <f t="shared" ca="1" si="46"/>
        <v>27.8</v>
      </c>
      <c r="I424" s="40">
        <f t="shared" ca="1" si="47"/>
        <v>0</v>
      </c>
    </row>
    <row r="425" spans="1:9" x14ac:dyDescent="0.25">
      <c r="A425" s="17">
        <f t="shared" si="42"/>
        <v>81</v>
      </c>
      <c r="B425" t="str">
        <f ca="1">TEXT(DATE(YEAR(Invoer!$A$5),1,1)+INT((ROWS(B$2:B425)-1)/3),"jjjjmmdd")</f>
        <v>19200521</v>
      </c>
      <c r="C425" s="35" t="str">
        <f>IF(MOD(ROWS(C$2:C425)-1,3)=2,"24.00",INDEX(Data,2,2+MOD(ROWS(C$2:C425)-1,3)))</f>
        <v>08.00</v>
      </c>
      <c r="D425" s="23">
        <f t="shared" ca="1" si="48"/>
        <v>747</v>
      </c>
      <c r="E425" s="40">
        <f t="shared" ca="1" si="43"/>
        <v>0</v>
      </c>
      <c r="F425" s="23" t="str">
        <f t="shared" ca="1" si="44"/>
        <v>—</v>
      </c>
      <c r="G425" s="40">
        <f t="shared" ca="1" si="45"/>
        <v>7</v>
      </c>
      <c r="H425" s="23" t="str">
        <f t="shared" ca="1" si="46"/>
        <v>—</v>
      </c>
      <c r="I425" s="40">
        <f t="shared" ca="1" si="47"/>
        <v>7</v>
      </c>
    </row>
    <row r="426" spans="1:9" x14ac:dyDescent="0.25">
      <c r="A426" s="17">
        <f t="shared" si="42"/>
        <v>81</v>
      </c>
      <c r="B426" t="str">
        <f ca="1">TEXT(DATE(YEAR(Invoer!$A$5),1,1)+INT((ROWS(B$2:B426)-1)/3),"jjjjmmdd")</f>
        <v>19200521</v>
      </c>
      <c r="C426" s="35" t="str">
        <f>IF(MOD(ROWS(C$2:C426)-1,3)=2,"24.00",INDEX(Data,2,2+MOD(ROWS(C$2:C426)-1,3)))</f>
        <v>14.00</v>
      </c>
      <c r="D426" s="23">
        <f t="shared" ca="1" si="48"/>
        <v>746.7</v>
      </c>
      <c r="E426" s="40">
        <f t="shared" ca="1" si="43"/>
        <v>0</v>
      </c>
      <c r="F426" s="23" t="str">
        <f t="shared" ca="1" si="44"/>
        <v>—</v>
      </c>
      <c r="G426" s="40">
        <f t="shared" ca="1" si="45"/>
        <v>7</v>
      </c>
      <c r="H426" s="23" t="str">
        <f t="shared" ca="1" si="46"/>
        <v>—</v>
      </c>
      <c r="I426" s="40">
        <f t="shared" ca="1" si="47"/>
        <v>7</v>
      </c>
    </row>
    <row r="427" spans="1:9" x14ac:dyDescent="0.25">
      <c r="A427" s="17">
        <f t="shared" si="42"/>
        <v>81</v>
      </c>
      <c r="B427" t="str">
        <f ca="1">TEXT(DATE(YEAR(Invoer!$A$5),1,1)+INT((ROWS(B$2:B427)-1)/3),"jjjjmmdd")</f>
        <v>19200521</v>
      </c>
      <c r="C427" s="35" t="str">
        <f>IF(MOD(ROWS(C$2:C427)-1,3)=2,"24.00",INDEX(Data,2,2+MOD(ROWS(C$2:C427)-1,3)))</f>
        <v>24.00</v>
      </c>
      <c r="D427" s="23" t="str">
        <f t="shared" ca="1" si="48"/>
        <v>—</v>
      </c>
      <c r="E427" s="40">
        <f t="shared" ca="1" si="43"/>
        <v>7</v>
      </c>
      <c r="F427" s="23">
        <f t="shared" ca="1" si="44"/>
        <v>27</v>
      </c>
      <c r="G427" s="40">
        <f t="shared" ca="1" si="45"/>
        <v>0</v>
      </c>
      <c r="H427" s="23">
        <f t="shared" ca="1" si="46"/>
        <v>28</v>
      </c>
      <c r="I427" s="40">
        <f t="shared" ca="1" si="47"/>
        <v>0</v>
      </c>
    </row>
    <row r="428" spans="1:9" x14ac:dyDescent="0.25">
      <c r="A428" s="17">
        <f t="shared" si="42"/>
        <v>81</v>
      </c>
      <c r="B428" t="str">
        <f ca="1">TEXT(DATE(YEAR(Invoer!$A$5),1,1)+INT((ROWS(B$2:B428)-1)/3),"jjjjmmdd")</f>
        <v>19200522</v>
      </c>
      <c r="C428" s="35" t="str">
        <f>IF(MOD(ROWS(C$2:C428)-1,3)=2,"24.00",INDEX(Data,2,2+MOD(ROWS(C$2:C428)-1,3)))</f>
        <v>08.00</v>
      </c>
      <c r="D428" s="23">
        <f t="shared" ca="1" si="48"/>
        <v>746.4</v>
      </c>
      <c r="E428" s="40">
        <f t="shared" ca="1" si="43"/>
        <v>0</v>
      </c>
      <c r="F428" s="23" t="str">
        <f t="shared" ca="1" si="44"/>
        <v>—</v>
      </c>
      <c r="G428" s="40">
        <f t="shared" ca="1" si="45"/>
        <v>7</v>
      </c>
      <c r="H428" s="23" t="str">
        <f t="shared" ca="1" si="46"/>
        <v>—</v>
      </c>
      <c r="I428" s="40">
        <f t="shared" ca="1" si="47"/>
        <v>7</v>
      </c>
    </row>
    <row r="429" spans="1:9" x14ac:dyDescent="0.25">
      <c r="A429" s="17">
        <f t="shared" si="42"/>
        <v>81</v>
      </c>
      <c r="B429" t="str">
        <f ca="1">TEXT(DATE(YEAR(Invoer!$A$5),1,1)+INT((ROWS(B$2:B429)-1)/3),"jjjjmmdd")</f>
        <v>19200522</v>
      </c>
      <c r="C429" s="35" t="str">
        <f>IF(MOD(ROWS(C$2:C429)-1,3)=2,"24.00",INDEX(Data,2,2+MOD(ROWS(C$2:C429)-1,3)))</f>
        <v>14.00</v>
      </c>
      <c r="D429" s="23">
        <f t="shared" ca="1" si="48"/>
        <v>746</v>
      </c>
      <c r="E429" s="40">
        <f t="shared" ca="1" si="43"/>
        <v>0</v>
      </c>
      <c r="F429" s="23" t="str">
        <f t="shared" ca="1" si="44"/>
        <v>—</v>
      </c>
      <c r="G429" s="40">
        <f t="shared" ca="1" si="45"/>
        <v>7</v>
      </c>
      <c r="H429" s="23" t="str">
        <f t="shared" ca="1" si="46"/>
        <v>—</v>
      </c>
      <c r="I429" s="40">
        <f t="shared" ca="1" si="47"/>
        <v>7</v>
      </c>
    </row>
    <row r="430" spans="1:9" x14ac:dyDescent="0.25">
      <c r="A430" s="17">
        <f t="shared" si="42"/>
        <v>81</v>
      </c>
      <c r="B430" t="str">
        <f ca="1">TEXT(DATE(YEAR(Invoer!$A$5),1,1)+INT((ROWS(B$2:B430)-1)/3),"jjjjmmdd")</f>
        <v>19200522</v>
      </c>
      <c r="C430" s="35" t="str">
        <f>IF(MOD(ROWS(C$2:C430)-1,3)=2,"24.00",INDEX(Data,2,2+MOD(ROWS(C$2:C430)-1,3)))</f>
        <v>24.00</v>
      </c>
      <c r="D430" s="23" t="str">
        <f t="shared" ca="1" si="48"/>
        <v>—</v>
      </c>
      <c r="E430" s="40">
        <f t="shared" ca="1" si="43"/>
        <v>7</v>
      </c>
      <c r="F430" s="23">
        <f t="shared" ca="1" si="44"/>
        <v>26</v>
      </c>
      <c r="G430" s="40">
        <f t="shared" ca="1" si="45"/>
        <v>0</v>
      </c>
      <c r="H430" s="23">
        <f t="shared" ca="1" si="46"/>
        <v>28.3</v>
      </c>
      <c r="I430" s="40">
        <f t="shared" ca="1" si="47"/>
        <v>0</v>
      </c>
    </row>
    <row r="431" spans="1:9" x14ac:dyDescent="0.25">
      <c r="A431" s="17">
        <f t="shared" si="42"/>
        <v>81</v>
      </c>
      <c r="B431" t="str">
        <f ca="1">TEXT(DATE(YEAR(Invoer!$A$5),1,1)+INT((ROWS(B$2:B431)-1)/3),"jjjjmmdd")</f>
        <v>19200523</v>
      </c>
      <c r="C431" s="35" t="str">
        <f>IF(MOD(ROWS(C$2:C431)-1,3)=2,"24.00",INDEX(Data,2,2+MOD(ROWS(C$2:C431)-1,3)))</f>
        <v>08.00</v>
      </c>
      <c r="D431" s="23">
        <f t="shared" ca="1" si="48"/>
        <v>746.4</v>
      </c>
      <c r="E431" s="40">
        <f t="shared" ca="1" si="43"/>
        <v>0</v>
      </c>
      <c r="F431" s="23" t="str">
        <f t="shared" ca="1" si="44"/>
        <v>—</v>
      </c>
      <c r="G431" s="40">
        <f t="shared" ca="1" si="45"/>
        <v>7</v>
      </c>
      <c r="H431" s="23" t="str">
        <f t="shared" ca="1" si="46"/>
        <v>—</v>
      </c>
      <c r="I431" s="40">
        <f t="shared" ca="1" si="47"/>
        <v>7</v>
      </c>
    </row>
    <row r="432" spans="1:9" x14ac:dyDescent="0.25">
      <c r="A432" s="17">
        <f t="shared" si="42"/>
        <v>81</v>
      </c>
      <c r="B432" t="str">
        <f ca="1">TEXT(DATE(YEAR(Invoer!$A$5),1,1)+INT((ROWS(B$2:B432)-1)/3),"jjjjmmdd")</f>
        <v>19200523</v>
      </c>
      <c r="C432" s="35" t="str">
        <f>IF(MOD(ROWS(C$2:C432)-1,3)=2,"24.00",INDEX(Data,2,2+MOD(ROWS(C$2:C432)-1,3)))</f>
        <v>14.00</v>
      </c>
      <c r="D432" s="23">
        <f t="shared" ca="1" si="48"/>
        <v>746</v>
      </c>
      <c r="E432" s="40">
        <f t="shared" ca="1" si="43"/>
        <v>0</v>
      </c>
      <c r="F432" s="23" t="str">
        <f t="shared" ca="1" si="44"/>
        <v>—</v>
      </c>
      <c r="G432" s="40">
        <f t="shared" ca="1" si="45"/>
        <v>7</v>
      </c>
      <c r="H432" s="23" t="str">
        <f t="shared" ca="1" si="46"/>
        <v>—</v>
      </c>
      <c r="I432" s="40">
        <f t="shared" ca="1" si="47"/>
        <v>7</v>
      </c>
    </row>
    <row r="433" spans="1:9" x14ac:dyDescent="0.25">
      <c r="A433" s="17">
        <f t="shared" si="42"/>
        <v>81</v>
      </c>
      <c r="B433" t="str">
        <f ca="1">TEXT(DATE(YEAR(Invoer!$A$5),1,1)+INT((ROWS(B$2:B433)-1)/3),"jjjjmmdd")</f>
        <v>19200523</v>
      </c>
      <c r="C433" s="35" t="str">
        <f>IF(MOD(ROWS(C$2:C433)-1,3)=2,"24.00",INDEX(Data,2,2+MOD(ROWS(C$2:C433)-1,3)))</f>
        <v>24.00</v>
      </c>
      <c r="D433" s="23" t="str">
        <f t="shared" ca="1" si="48"/>
        <v>—</v>
      </c>
      <c r="E433" s="40">
        <f t="shared" ca="1" si="43"/>
        <v>7</v>
      </c>
      <c r="F433" s="23">
        <f t="shared" ca="1" si="44"/>
        <v>26</v>
      </c>
      <c r="G433" s="40">
        <f t="shared" ca="1" si="45"/>
        <v>0</v>
      </c>
      <c r="H433" s="23">
        <f t="shared" ca="1" si="46"/>
        <v>28</v>
      </c>
      <c r="I433" s="40">
        <f t="shared" ca="1" si="47"/>
        <v>0</v>
      </c>
    </row>
    <row r="434" spans="1:9" x14ac:dyDescent="0.25">
      <c r="A434" s="17">
        <f t="shared" si="42"/>
        <v>81</v>
      </c>
      <c r="B434" t="str">
        <f ca="1">TEXT(DATE(YEAR(Invoer!$A$5),1,1)+INT((ROWS(B$2:B434)-1)/3),"jjjjmmdd")</f>
        <v>19200524</v>
      </c>
      <c r="C434" s="35" t="str">
        <f>IF(MOD(ROWS(C$2:C434)-1,3)=2,"24.00",INDEX(Data,2,2+MOD(ROWS(C$2:C434)-1,3)))</f>
        <v>08.00</v>
      </c>
      <c r="D434" s="23">
        <f t="shared" ca="1" si="48"/>
        <v>746.3</v>
      </c>
      <c r="E434" s="40">
        <f t="shared" ca="1" si="43"/>
        <v>0</v>
      </c>
      <c r="F434" s="23" t="str">
        <f t="shared" ca="1" si="44"/>
        <v>—</v>
      </c>
      <c r="G434" s="40">
        <f t="shared" ca="1" si="45"/>
        <v>7</v>
      </c>
      <c r="H434" s="23" t="str">
        <f t="shared" ca="1" si="46"/>
        <v>—</v>
      </c>
      <c r="I434" s="40">
        <f t="shared" ca="1" si="47"/>
        <v>7</v>
      </c>
    </row>
    <row r="435" spans="1:9" x14ac:dyDescent="0.25">
      <c r="A435" s="17">
        <f t="shared" si="42"/>
        <v>81</v>
      </c>
      <c r="B435" t="str">
        <f ca="1">TEXT(DATE(YEAR(Invoer!$A$5),1,1)+INT((ROWS(B$2:B435)-1)/3),"jjjjmmdd")</f>
        <v>19200524</v>
      </c>
      <c r="C435" s="35" t="str">
        <f>IF(MOD(ROWS(C$2:C435)-1,3)=2,"24.00",INDEX(Data,2,2+MOD(ROWS(C$2:C435)-1,3)))</f>
        <v>14.00</v>
      </c>
      <c r="D435" s="23">
        <f t="shared" ca="1" si="48"/>
        <v>745</v>
      </c>
      <c r="E435" s="40">
        <f t="shared" ca="1" si="43"/>
        <v>0</v>
      </c>
      <c r="F435" s="23" t="str">
        <f t="shared" ca="1" si="44"/>
        <v>—</v>
      </c>
      <c r="G435" s="40">
        <f t="shared" ca="1" si="45"/>
        <v>7</v>
      </c>
      <c r="H435" s="23" t="str">
        <f t="shared" ca="1" si="46"/>
        <v>—</v>
      </c>
      <c r="I435" s="40">
        <f t="shared" ca="1" si="47"/>
        <v>7</v>
      </c>
    </row>
    <row r="436" spans="1:9" x14ac:dyDescent="0.25">
      <c r="A436" s="17">
        <f t="shared" si="42"/>
        <v>81</v>
      </c>
      <c r="B436" t="str">
        <f ca="1">TEXT(DATE(YEAR(Invoer!$A$5),1,1)+INT((ROWS(B$2:B436)-1)/3),"jjjjmmdd")</f>
        <v>19200524</v>
      </c>
      <c r="C436" s="35" t="str">
        <f>IF(MOD(ROWS(C$2:C436)-1,3)=2,"24.00",INDEX(Data,2,2+MOD(ROWS(C$2:C436)-1,3)))</f>
        <v>24.00</v>
      </c>
      <c r="D436" s="23" t="str">
        <f t="shared" ca="1" si="48"/>
        <v>—</v>
      </c>
      <c r="E436" s="40">
        <f t="shared" ca="1" si="43"/>
        <v>7</v>
      </c>
      <c r="F436" s="23">
        <f t="shared" ca="1" si="44"/>
        <v>26</v>
      </c>
      <c r="G436" s="40">
        <f t="shared" ca="1" si="45"/>
        <v>0</v>
      </c>
      <c r="H436" s="23">
        <f t="shared" ca="1" si="46"/>
        <v>26</v>
      </c>
      <c r="I436" s="40">
        <f t="shared" ca="1" si="47"/>
        <v>0</v>
      </c>
    </row>
    <row r="437" spans="1:9" x14ac:dyDescent="0.25">
      <c r="A437" s="17">
        <f t="shared" si="42"/>
        <v>81</v>
      </c>
      <c r="B437" t="str">
        <f ca="1">TEXT(DATE(YEAR(Invoer!$A$5),1,1)+INT((ROWS(B$2:B437)-1)/3),"jjjjmmdd")</f>
        <v>19200525</v>
      </c>
      <c r="C437" s="35" t="str">
        <f>IF(MOD(ROWS(C$2:C437)-1,3)=2,"24.00",INDEX(Data,2,2+MOD(ROWS(C$2:C437)-1,3)))</f>
        <v>08.00</v>
      </c>
      <c r="D437" s="23">
        <f t="shared" ca="1" si="48"/>
        <v>745</v>
      </c>
      <c r="E437" s="40">
        <f t="shared" ca="1" si="43"/>
        <v>0</v>
      </c>
      <c r="F437" s="23" t="str">
        <f t="shared" ca="1" si="44"/>
        <v>—</v>
      </c>
      <c r="G437" s="40">
        <f t="shared" ca="1" si="45"/>
        <v>7</v>
      </c>
      <c r="H437" s="23" t="str">
        <f t="shared" ca="1" si="46"/>
        <v>—</v>
      </c>
      <c r="I437" s="40">
        <f t="shared" ca="1" si="47"/>
        <v>7</v>
      </c>
    </row>
    <row r="438" spans="1:9" x14ac:dyDescent="0.25">
      <c r="A438" s="17">
        <f t="shared" si="42"/>
        <v>81</v>
      </c>
      <c r="B438" t="str">
        <f ca="1">TEXT(DATE(YEAR(Invoer!$A$5),1,1)+INT((ROWS(B$2:B438)-1)/3),"jjjjmmdd")</f>
        <v>19200525</v>
      </c>
      <c r="C438" s="35" t="str">
        <f>IF(MOD(ROWS(C$2:C438)-1,3)=2,"24.00",INDEX(Data,2,2+MOD(ROWS(C$2:C438)-1,3)))</f>
        <v>14.00</v>
      </c>
      <c r="D438" s="23">
        <f t="shared" ca="1" si="48"/>
        <v>744</v>
      </c>
      <c r="E438" s="40">
        <f t="shared" ca="1" si="43"/>
        <v>0</v>
      </c>
      <c r="F438" s="23" t="str">
        <f t="shared" ca="1" si="44"/>
        <v>—</v>
      </c>
      <c r="G438" s="40">
        <f t="shared" ca="1" si="45"/>
        <v>7</v>
      </c>
      <c r="H438" s="23" t="str">
        <f t="shared" ca="1" si="46"/>
        <v>—</v>
      </c>
      <c r="I438" s="40">
        <f t="shared" ca="1" si="47"/>
        <v>7</v>
      </c>
    </row>
    <row r="439" spans="1:9" x14ac:dyDescent="0.25">
      <c r="A439" s="17">
        <f t="shared" si="42"/>
        <v>81</v>
      </c>
      <c r="B439" t="str">
        <f ca="1">TEXT(DATE(YEAR(Invoer!$A$5),1,1)+INT((ROWS(B$2:B439)-1)/3),"jjjjmmdd")</f>
        <v>19200525</v>
      </c>
      <c r="C439" s="35" t="str">
        <f>IF(MOD(ROWS(C$2:C439)-1,3)=2,"24.00",INDEX(Data,2,2+MOD(ROWS(C$2:C439)-1,3)))</f>
        <v>24.00</v>
      </c>
      <c r="D439" s="23" t="str">
        <f t="shared" ca="1" si="48"/>
        <v>—</v>
      </c>
      <c r="E439" s="40">
        <f t="shared" ca="1" si="43"/>
        <v>7</v>
      </c>
      <c r="F439" s="23">
        <f t="shared" ca="1" si="44"/>
        <v>24</v>
      </c>
      <c r="G439" s="40">
        <f t="shared" ca="1" si="45"/>
        <v>0</v>
      </c>
      <c r="H439" s="23">
        <f t="shared" ca="1" si="46"/>
        <v>26.5</v>
      </c>
      <c r="I439" s="40">
        <f t="shared" ca="1" si="47"/>
        <v>0</v>
      </c>
    </row>
    <row r="440" spans="1:9" x14ac:dyDescent="0.25">
      <c r="A440" s="17">
        <f t="shared" si="42"/>
        <v>81</v>
      </c>
      <c r="B440" t="str">
        <f ca="1">TEXT(DATE(YEAR(Invoer!$A$5),1,1)+INT((ROWS(B$2:B440)-1)/3),"jjjjmmdd")</f>
        <v>19200526</v>
      </c>
      <c r="C440" s="35" t="str">
        <f>IF(MOD(ROWS(C$2:C440)-1,3)=2,"24.00",INDEX(Data,2,2+MOD(ROWS(C$2:C440)-1,3)))</f>
        <v>08.00</v>
      </c>
      <c r="D440" s="23">
        <f t="shared" ca="1" si="48"/>
        <v>745</v>
      </c>
      <c r="E440" s="40">
        <f t="shared" ca="1" si="43"/>
        <v>0</v>
      </c>
      <c r="F440" s="23" t="str">
        <f t="shared" ca="1" si="44"/>
        <v>—</v>
      </c>
      <c r="G440" s="40">
        <f t="shared" ca="1" si="45"/>
        <v>7</v>
      </c>
      <c r="H440" s="23" t="str">
        <f t="shared" ca="1" si="46"/>
        <v>—</v>
      </c>
      <c r="I440" s="40">
        <f t="shared" ca="1" si="47"/>
        <v>7</v>
      </c>
    </row>
    <row r="441" spans="1:9" x14ac:dyDescent="0.25">
      <c r="A441" s="17">
        <f t="shared" si="42"/>
        <v>81</v>
      </c>
      <c r="B441" t="str">
        <f ca="1">TEXT(DATE(YEAR(Invoer!$A$5),1,1)+INT((ROWS(B$2:B441)-1)/3),"jjjjmmdd")</f>
        <v>19200526</v>
      </c>
      <c r="C441" s="35" t="str">
        <f>IF(MOD(ROWS(C$2:C441)-1,3)=2,"24.00",INDEX(Data,2,2+MOD(ROWS(C$2:C441)-1,3)))</f>
        <v>14.00</v>
      </c>
      <c r="D441" s="23">
        <f t="shared" ca="1" si="48"/>
        <v>744.8</v>
      </c>
      <c r="E441" s="40">
        <f t="shared" ca="1" si="43"/>
        <v>0</v>
      </c>
      <c r="F441" s="23" t="str">
        <f t="shared" ca="1" si="44"/>
        <v>—</v>
      </c>
      <c r="G441" s="40">
        <f t="shared" ca="1" si="45"/>
        <v>7</v>
      </c>
      <c r="H441" s="23" t="str">
        <f t="shared" ca="1" si="46"/>
        <v>—</v>
      </c>
      <c r="I441" s="40">
        <f t="shared" ca="1" si="47"/>
        <v>7</v>
      </c>
    </row>
    <row r="442" spans="1:9" x14ac:dyDescent="0.25">
      <c r="A442" s="17">
        <f t="shared" si="42"/>
        <v>81</v>
      </c>
      <c r="B442" t="str">
        <f ca="1">TEXT(DATE(YEAR(Invoer!$A$5),1,1)+INT((ROWS(B$2:B442)-1)/3),"jjjjmmdd")</f>
        <v>19200526</v>
      </c>
      <c r="C442" s="35" t="str">
        <f>IF(MOD(ROWS(C$2:C442)-1,3)=2,"24.00",INDEX(Data,2,2+MOD(ROWS(C$2:C442)-1,3)))</f>
        <v>24.00</v>
      </c>
      <c r="D442" s="23" t="str">
        <f t="shared" ca="1" si="48"/>
        <v>—</v>
      </c>
      <c r="E442" s="40">
        <f t="shared" ca="1" si="43"/>
        <v>7</v>
      </c>
      <c r="F442" s="23">
        <f t="shared" ca="1" si="44"/>
        <v>25.5</v>
      </c>
      <c r="G442" s="40">
        <f t="shared" ca="1" si="45"/>
        <v>0</v>
      </c>
      <c r="H442" s="23">
        <f t="shared" ca="1" si="46"/>
        <v>27</v>
      </c>
      <c r="I442" s="40">
        <f t="shared" ca="1" si="47"/>
        <v>0</v>
      </c>
    </row>
    <row r="443" spans="1:9" x14ac:dyDescent="0.25">
      <c r="A443" s="17">
        <f t="shared" si="42"/>
        <v>81</v>
      </c>
      <c r="B443" t="str">
        <f ca="1">TEXT(DATE(YEAR(Invoer!$A$5),1,1)+INT((ROWS(B$2:B443)-1)/3),"jjjjmmdd")</f>
        <v>19200527</v>
      </c>
      <c r="C443" s="35" t="str">
        <f>IF(MOD(ROWS(C$2:C443)-1,3)=2,"24.00",INDEX(Data,2,2+MOD(ROWS(C$2:C443)-1,3)))</f>
        <v>08.00</v>
      </c>
      <c r="D443" s="23">
        <f t="shared" ca="1" si="48"/>
        <v>747</v>
      </c>
      <c r="E443" s="40">
        <f t="shared" ca="1" si="43"/>
        <v>0</v>
      </c>
      <c r="F443" s="23" t="str">
        <f t="shared" ca="1" si="44"/>
        <v>—</v>
      </c>
      <c r="G443" s="40">
        <f t="shared" ca="1" si="45"/>
        <v>7</v>
      </c>
      <c r="H443" s="23" t="str">
        <f t="shared" ca="1" si="46"/>
        <v>—</v>
      </c>
      <c r="I443" s="40">
        <f t="shared" ca="1" si="47"/>
        <v>7</v>
      </c>
    </row>
    <row r="444" spans="1:9" x14ac:dyDescent="0.25">
      <c r="A444" s="17">
        <f t="shared" si="42"/>
        <v>81</v>
      </c>
      <c r="B444" t="str">
        <f ca="1">TEXT(DATE(YEAR(Invoer!$A$5),1,1)+INT((ROWS(B$2:B444)-1)/3),"jjjjmmdd")</f>
        <v>19200527</v>
      </c>
      <c r="C444" s="35" t="str">
        <f>IF(MOD(ROWS(C$2:C444)-1,3)=2,"24.00",INDEX(Data,2,2+MOD(ROWS(C$2:C444)-1,3)))</f>
        <v>14.00</v>
      </c>
      <c r="D444" s="23">
        <f t="shared" ca="1" si="48"/>
        <v>746</v>
      </c>
      <c r="E444" s="40">
        <f t="shared" ca="1" si="43"/>
        <v>0</v>
      </c>
      <c r="F444" s="23" t="str">
        <f t="shared" ca="1" si="44"/>
        <v>—</v>
      </c>
      <c r="G444" s="40">
        <f t="shared" ca="1" si="45"/>
        <v>7</v>
      </c>
      <c r="H444" s="23" t="str">
        <f t="shared" ca="1" si="46"/>
        <v>—</v>
      </c>
      <c r="I444" s="40">
        <f t="shared" ca="1" si="47"/>
        <v>7</v>
      </c>
    </row>
    <row r="445" spans="1:9" x14ac:dyDescent="0.25">
      <c r="A445" s="17">
        <f t="shared" si="42"/>
        <v>81</v>
      </c>
      <c r="B445" t="str">
        <f ca="1">TEXT(DATE(YEAR(Invoer!$A$5),1,1)+INT((ROWS(B$2:B445)-1)/3),"jjjjmmdd")</f>
        <v>19200527</v>
      </c>
      <c r="C445" s="35" t="str">
        <f>IF(MOD(ROWS(C$2:C445)-1,3)=2,"24.00",INDEX(Data,2,2+MOD(ROWS(C$2:C445)-1,3)))</f>
        <v>24.00</v>
      </c>
      <c r="D445" s="23" t="str">
        <f t="shared" ca="1" si="48"/>
        <v>—</v>
      </c>
      <c r="E445" s="40">
        <f t="shared" ca="1" si="43"/>
        <v>7</v>
      </c>
      <c r="F445" s="23">
        <f t="shared" ca="1" si="44"/>
        <v>26.5</v>
      </c>
      <c r="G445" s="40">
        <f t="shared" ca="1" si="45"/>
        <v>0</v>
      </c>
      <c r="H445" s="23">
        <f t="shared" ca="1" si="46"/>
        <v>27</v>
      </c>
      <c r="I445" s="40">
        <f t="shared" ca="1" si="47"/>
        <v>0</v>
      </c>
    </row>
    <row r="446" spans="1:9" x14ac:dyDescent="0.25">
      <c r="A446" s="17">
        <f t="shared" si="42"/>
        <v>81</v>
      </c>
      <c r="B446" t="str">
        <f ca="1">TEXT(DATE(YEAR(Invoer!$A$5),1,1)+INT((ROWS(B$2:B446)-1)/3),"jjjjmmdd")</f>
        <v>19200528</v>
      </c>
      <c r="C446" s="35" t="str">
        <f>IF(MOD(ROWS(C$2:C446)-1,3)=2,"24.00",INDEX(Data,2,2+MOD(ROWS(C$2:C446)-1,3)))</f>
        <v>08.00</v>
      </c>
      <c r="D446" s="23">
        <f t="shared" ca="1" si="48"/>
        <v>746.8</v>
      </c>
      <c r="E446" s="40">
        <f t="shared" ca="1" si="43"/>
        <v>0</v>
      </c>
      <c r="F446" s="23" t="str">
        <f t="shared" ca="1" si="44"/>
        <v>—</v>
      </c>
      <c r="G446" s="40">
        <f t="shared" ca="1" si="45"/>
        <v>7</v>
      </c>
      <c r="H446" s="23" t="str">
        <f t="shared" ca="1" si="46"/>
        <v>—</v>
      </c>
      <c r="I446" s="40">
        <f t="shared" ca="1" si="47"/>
        <v>7</v>
      </c>
    </row>
    <row r="447" spans="1:9" x14ac:dyDescent="0.25">
      <c r="A447" s="17">
        <f t="shared" si="42"/>
        <v>81</v>
      </c>
      <c r="B447" t="str">
        <f ca="1">TEXT(DATE(YEAR(Invoer!$A$5),1,1)+INT((ROWS(B$2:B447)-1)/3),"jjjjmmdd")</f>
        <v>19200528</v>
      </c>
      <c r="C447" s="35" t="str">
        <f>IF(MOD(ROWS(C$2:C447)-1,3)=2,"24.00",INDEX(Data,2,2+MOD(ROWS(C$2:C447)-1,3)))</f>
        <v>14.00</v>
      </c>
      <c r="D447" s="23">
        <f t="shared" ca="1" si="48"/>
        <v>746.5</v>
      </c>
      <c r="E447" s="40">
        <f t="shared" ca="1" si="43"/>
        <v>0</v>
      </c>
      <c r="F447" s="23" t="str">
        <f t="shared" ca="1" si="44"/>
        <v>—</v>
      </c>
      <c r="G447" s="40">
        <f t="shared" ca="1" si="45"/>
        <v>7</v>
      </c>
      <c r="H447" s="23" t="str">
        <f t="shared" ca="1" si="46"/>
        <v>—</v>
      </c>
      <c r="I447" s="40">
        <f t="shared" ca="1" si="47"/>
        <v>7</v>
      </c>
    </row>
    <row r="448" spans="1:9" x14ac:dyDescent="0.25">
      <c r="A448" s="17">
        <f t="shared" si="42"/>
        <v>81</v>
      </c>
      <c r="B448" t="str">
        <f ca="1">TEXT(DATE(YEAR(Invoer!$A$5),1,1)+INT((ROWS(B$2:B448)-1)/3),"jjjjmmdd")</f>
        <v>19200528</v>
      </c>
      <c r="C448" s="35" t="str">
        <f>IF(MOD(ROWS(C$2:C448)-1,3)=2,"24.00",INDEX(Data,2,2+MOD(ROWS(C$2:C448)-1,3)))</f>
        <v>24.00</v>
      </c>
      <c r="D448" s="23" t="str">
        <f t="shared" ca="1" si="48"/>
        <v>—</v>
      </c>
      <c r="E448" s="40">
        <f t="shared" ca="1" si="43"/>
        <v>7</v>
      </c>
      <c r="F448" s="23">
        <f t="shared" ca="1" si="44"/>
        <v>26.3</v>
      </c>
      <c r="G448" s="40">
        <f t="shared" ca="1" si="45"/>
        <v>0</v>
      </c>
      <c r="H448" s="23">
        <f t="shared" ca="1" si="46"/>
        <v>28</v>
      </c>
      <c r="I448" s="40">
        <f t="shared" ca="1" si="47"/>
        <v>0</v>
      </c>
    </row>
    <row r="449" spans="1:9" x14ac:dyDescent="0.25">
      <c r="A449" s="17">
        <f t="shared" si="42"/>
        <v>81</v>
      </c>
      <c r="B449" t="str">
        <f ca="1">TEXT(DATE(YEAR(Invoer!$A$5),1,1)+INT((ROWS(B$2:B449)-1)/3),"jjjjmmdd")</f>
        <v>19200529</v>
      </c>
      <c r="C449" s="35" t="str">
        <f>IF(MOD(ROWS(C$2:C449)-1,3)=2,"24.00",INDEX(Data,2,2+MOD(ROWS(C$2:C449)-1,3)))</f>
        <v>08.00</v>
      </c>
      <c r="D449" s="23">
        <f t="shared" ca="1" si="48"/>
        <v>747</v>
      </c>
      <c r="E449" s="40">
        <f t="shared" ca="1" si="43"/>
        <v>0</v>
      </c>
      <c r="F449" s="23" t="str">
        <f t="shared" ca="1" si="44"/>
        <v>—</v>
      </c>
      <c r="G449" s="40">
        <f t="shared" ca="1" si="45"/>
        <v>7</v>
      </c>
      <c r="H449" s="23" t="str">
        <f t="shared" ca="1" si="46"/>
        <v>—</v>
      </c>
      <c r="I449" s="40">
        <f t="shared" ca="1" si="47"/>
        <v>7</v>
      </c>
    </row>
    <row r="450" spans="1:9" x14ac:dyDescent="0.25">
      <c r="A450" s="17">
        <f t="shared" ref="A450:A513" si="49">INDEX(Stations,2,1)</f>
        <v>81</v>
      </c>
      <c r="B450" t="str">
        <f ca="1">TEXT(DATE(YEAR(Invoer!$A$5),1,1)+INT((ROWS(B$2:B450)-1)/3),"jjjjmmdd")</f>
        <v>19200529</v>
      </c>
      <c r="C450" s="35" t="str">
        <f>IF(MOD(ROWS(C$2:C450)-1,3)=2,"24.00",INDEX(Data,2,2+MOD(ROWS(C$2:C450)-1,3)))</f>
        <v>14.00</v>
      </c>
      <c r="D450" s="23">
        <f t="shared" ca="1" si="48"/>
        <v>746</v>
      </c>
      <c r="E450" s="40">
        <f t="shared" ref="E450:E513" ca="1" si="50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 t="str">
        <f t="shared" ref="F450:F513" ca="1" si="51">IF(OR(ISBLANK(VLOOKUP(DATEVALUE(LEFT($B450,4)&amp;"-"&amp;MID($B450,5,2)&amp;"-"&amp;RIGHT($B450,2)),Data,MATCH(LEFT(VLOOKUP(F$1,Parameters,2,FALSE()),4)&amp;"*",OFFSET(Data,1,0,1),0),FALSE())),ISTEXT(VLOOKUP(DATEVALUE(LEFT($B450,4)&amp;"-"&amp;MID($B450,5,2)&amp;"-"&amp;RIGHT($B450,2)),Data,MATCH(LEFT(VLOOKUP(F$1,Parameters,2,FALSE()),4)&amp;"*",OFFSET(Data,1,0,1),0),FALSE())),NOT(EXACT($C450,"24.00"))),"—",VLOOKUP(DATEVALUE(LEFT($B450,4)&amp;"-"&amp;MID($B450,5,2)&amp;"-"&amp;RIGHT($B450,2)),Data,MATCH(LEFT(VLOOKUP(F$1,Parameters,2,FALSE()),4)&amp;"*",OFFSET(Data,1,0,1),0),FALSE()))</f>
        <v>—</v>
      </c>
      <c r="G450" s="40">
        <f t="shared" ref="G450:G513" ca="1" si="52">IF(OR(ISBLANK(VLOOKUP(DATEVALUE(LEFT($B450,4)&amp;"-"&amp;MID($B450,5,2)&amp;"-"&amp;RIGHT($B450,2)),Data,MATCH(LEFT(VLOOKUP(MID(G$1,2,LEN(G$1)-1),Parameters,2,FALSE()),4)&amp;"*",OFFSET(Data,1,0,1),0),FALSE())),ISTEXT(VLOOKUP(DATEVALUE(LEFT($B450,4)&amp;"-"&amp;MID($B450,5,2)&amp;"-"&amp;RIGHT($B450,2)),Data,MATCH(LEFT(VLOOKUP(MID(G$1,2,LEN(G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1,0,1),0),FALSE())))</f>
        <v>7</v>
      </c>
      <c r="H450" s="23" t="str">
        <f t="shared" ref="H450:H513" ca="1" si="53">IF(OR(ISBLANK(VLOOKUP(DATEVALUE(LEFT($B450,4)&amp;"-"&amp;MID($B450,5,2)&amp;"-"&amp;RIGHT($B450,2)),Data,MATCH(LEFT(VLOOKUP(H$1,Parameters,2,FALSE()),4)&amp;"*",OFFSET(Data,1,0,1),0),FALSE())),ISTEXT(VLOOKUP(DATEVALUE(LEFT($B450,4)&amp;"-"&amp;MID($B450,5,2)&amp;"-"&amp;RIGHT($B450,2)),Data,MATCH(LEFT(VLOOKUP(H$1,Parameters,2,FALSE()),4)&amp;"*",OFFSET(Data,1,0,1),0),FALSE())),NOT(EXACT($C450,"24.00"))),"—",VLOOKUP(DATEVALUE(LEFT($B450,4)&amp;"-"&amp;MID($B450,5,2)&amp;"-"&amp;RIGHT($B450,2)),Data,MATCH(LEFT(VLOOKUP(H$1,Parameters,2,FALSE()),4)&amp;"*",OFFSET(Data,1,0,1),0),FALSE()))</f>
        <v>—</v>
      </c>
      <c r="I450" s="40">
        <f t="shared" ref="I450:I513" ca="1" si="54">IF(OR(ISBLANK(VLOOKUP(DATEVALUE(LEFT($B450,4)&amp;"-"&amp;MID($B450,5,2)&amp;"-"&amp;RIGHT($B450,2)),Data,MATCH(LEFT(VLOOKUP(MID(I$1,2,LEN(I$1)-1),Parameters,2,FALSE()),4)&amp;"*",OFFSET(Data,1,0,1),0),FALSE())),ISTEXT(VLOOKUP(DATEVALUE(LEFT($B450,4)&amp;"-"&amp;MID($B450,5,2)&amp;"-"&amp;RIGHT($B450,2)),Data,MATCH(LEFT(VLOOKUP(MID(I$1,2,LEN(I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I$1,2,LEN(I$1)-1),Parameters,2,FALSE()),4)&amp;"*",OFFSET(Catalogus,1,0,1),0),FALSE())))</f>
        <v>7</v>
      </c>
    </row>
    <row r="451" spans="1:9" x14ac:dyDescent="0.25">
      <c r="A451" s="17">
        <f t="shared" si="49"/>
        <v>81</v>
      </c>
      <c r="B451" t="str">
        <f ca="1">TEXT(DATE(YEAR(Invoer!$A$5),1,1)+INT((ROWS(B$2:B451)-1)/3),"jjjjmmdd")</f>
        <v>19200529</v>
      </c>
      <c r="C451" s="35" t="str">
        <f>IF(MOD(ROWS(C$2:C451)-1,3)=2,"24.00",INDEX(Data,2,2+MOD(ROWS(C$2:C451)-1,3)))</f>
        <v>24.00</v>
      </c>
      <c r="D451" s="23" t="str">
        <f t="shared" ref="D451:D514" ca="1" si="55">IF(OR(ISBLANK(VLOOKUP(DATEVALUE(LEFT($B451,4)&amp;"-"&amp;MID($B451,5,2)&amp;"-"&amp;RIGHT($B451,2)),Data,MATCH(LEFT(VLOOKUP(D$1,Parameters,2,FALSE()),4)&amp;"*",OFFSET(Data,0,0,1),0)+MATCH($C451,OFFSET(Data,1,0,1),0)-2,FALSE())),ISTEXT(VLOOKUP(DATEVALUE(LEFT($B451,4)&amp;"-"&amp;MID($B451,5,2)&amp;"-"&amp;RIGHT($B451,2)),Data,MATCH(LEFT(VLOOKUP(D$1,Parameters,2,FALSE()),4)&amp;"*",OFFSET(Data,0,0,1),0)+MATCH($C451,OFFSET(Data,1,0,1),0)-2,FALSE())),EXACT(C451,"24.00")),"—",VLOOKUP(DATEVALUE(LEFT($B451,4)&amp;"-"&amp;MID($B451,5,2)&amp;"-"&amp;RIGHT($B451,2)),Data,MATCH(LEFT(VLOOKUP(D$1,Parameters,2,FALSE()),4)&amp;"*",OFFSET(Data,0,0,1),0)+MATCH($C451,OFFSET(Data,1,0,1),0)-2,FALSE()))</f>
        <v>—</v>
      </c>
      <c r="E451" s="40">
        <f t="shared" ca="1" si="50"/>
        <v>7</v>
      </c>
      <c r="F451" s="23">
        <f t="shared" ca="1" si="51"/>
        <v>26</v>
      </c>
      <c r="G451" s="40">
        <f t="shared" ca="1" si="52"/>
        <v>0</v>
      </c>
      <c r="H451" s="23">
        <f t="shared" ca="1" si="53"/>
        <v>28.5</v>
      </c>
      <c r="I451" s="40">
        <f t="shared" ca="1" si="54"/>
        <v>0</v>
      </c>
    </row>
    <row r="452" spans="1:9" x14ac:dyDescent="0.25">
      <c r="A452" s="17">
        <f t="shared" si="49"/>
        <v>81</v>
      </c>
      <c r="B452" t="str">
        <f ca="1">TEXT(DATE(YEAR(Invoer!$A$5),1,1)+INT((ROWS(B$2:B452)-1)/3),"jjjjmmdd")</f>
        <v>19200530</v>
      </c>
      <c r="C452" s="35" t="str">
        <f>IF(MOD(ROWS(C$2:C452)-1,3)=2,"24.00",INDEX(Data,2,2+MOD(ROWS(C$2:C452)-1,3)))</f>
        <v>08.00</v>
      </c>
      <c r="D452" s="23">
        <f t="shared" ca="1" si="55"/>
        <v>747</v>
      </c>
      <c r="E452" s="40">
        <f t="shared" ca="1" si="50"/>
        <v>0</v>
      </c>
      <c r="F452" s="23" t="str">
        <f t="shared" ca="1" si="51"/>
        <v>—</v>
      </c>
      <c r="G452" s="40">
        <f t="shared" ca="1" si="52"/>
        <v>7</v>
      </c>
      <c r="H452" s="23" t="str">
        <f t="shared" ca="1" si="53"/>
        <v>—</v>
      </c>
      <c r="I452" s="40">
        <f t="shared" ca="1" si="54"/>
        <v>7</v>
      </c>
    </row>
    <row r="453" spans="1:9" x14ac:dyDescent="0.25">
      <c r="A453" s="17">
        <f t="shared" si="49"/>
        <v>81</v>
      </c>
      <c r="B453" t="str">
        <f ca="1">TEXT(DATE(YEAR(Invoer!$A$5),1,1)+INT((ROWS(B$2:B453)-1)/3),"jjjjmmdd")</f>
        <v>19200530</v>
      </c>
      <c r="C453" s="35" t="str">
        <f>IF(MOD(ROWS(C$2:C453)-1,3)=2,"24.00",INDEX(Data,2,2+MOD(ROWS(C$2:C453)-1,3)))</f>
        <v>14.00</v>
      </c>
      <c r="D453" s="23">
        <f t="shared" ca="1" si="55"/>
        <v>746</v>
      </c>
      <c r="E453" s="40">
        <f t="shared" ca="1" si="50"/>
        <v>0</v>
      </c>
      <c r="F453" s="23" t="str">
        <f t="shared" ca="1" si="51"/>
        <v>—</v>
      </c>
      <c r="G453" s="40">
        <f t="shared" ca="1" si="52"/>
        <v>7</v>
      </c>
      <c r="H453" s="23" t="str">
        <f t="shared" ca="1" si="53"/>
        <v>—</v>
      </c>
      <c r="I453" s="40">
        <f t="shared" ca="1" si="54"/>
        <v>7</v>
      </c>
    </row>
    <row r="454" spans="1:9" x14ac:dyDescent="0.25">
      <c r="A454" s="17">
        <f t="shared" si="49"/>
        <v>81</v>
      </c>
      <c r="B454" t="str">
        <f ca="1">TEXT(DATE(YEAR(Invoer!$A$5),1,1)+INT((ROWS(B$2:B454)-1)/3),"jjjjmmdd")</f>
        <v>19200530</v>
      </c>
      <c r="C454" s="35" t="str">
        <f>IF(MOD(ROWS(C$2:C454)-1,3)=2,"24.00",INDEX(Data,2,2+MOD(ROWS(C$2:C454)-1,3)))</f>
        <v>24.00</v>
      </c>
      <c r="D454" s="23" t="str">
        <f t="shared" ca="1" si="55"/>
        <v>—</v>
      </c>
      <c r="E454" s="40">
        <f t="shared" ca="1" si="50"/>
        <v>7</v>
      </c>
      <c r="F454" s="23">
        <f t="shared" ca="1" si="51"/>
        <v>26</v>
      </c>
      <c r="G454" s="40">
        <f t="shared" ca="1" si="52"/>
        <v>0</v>
      </c>
      <c r="H454" s="23">
        <f t="shared" ca="1" si="53"/>
        <v>28</v>
      </c>
      <c r="I454" s="40">
        <f t="shared" ca="1" si="54"/>
        <v>0</v>
      </c>
    </row>
    <row r="455" spans="1:9" x14ac:dyDescent="0.25">
      <c r="A455" s="17">
        <f t="shared" si="49"/>
        <v>81</v>
      </c>
      <c r="B455" t="str">
        <f ca="1">TEXT(DATE(YEAR(Invoer!$A$5),1,1)+INT((ROWS(B$2:B455)-1)/3),"jjjjmmdd")</f>
        <v>19200531</v>
      </c>
      <c r="C455" s="35" t="str">
        <f>IF(MOD(ROWS(C$2:C455)-1,3)=2,"24.00",INDEX(Data,2,2+MOD(ROWS(C$2:C455)-1,3)))</f>
        <v>08.00</v>
      </c>
      <c r="D455" s="23">
        <f t="shared" ca="1" si="55"/>
        <v>747</v>
      </c>
      <c r="E455" s="40">
        <f t="shared" ca="1" si="50"/>
        <v>0</v>
      </c>
      <c r="F455" s="23" t="str">
        <f t="shared" ca="1" si="51"/>
        <v>—</v>
      </c>
      <c r="G455" s="40">
        <f t="shared" ca="1" si="52"/>
        <v>7</v>
      </c>
      <c r="H455" s="23" t="str">
        <f t="shared" ca="1" si="53"/>
        <v>—</v>
      </c>
      <c r="I455" s="40">
        <f t="shared" ca="1" si="54"/>
        <v>7</v>
      </c>
    </row>
    <row r="456" spans="1:9" x14ac:dyDescent="0.25">
      <c r="A456" s="17">
        <f t="shared" si="49"/>
        <v>81</v>
      </c>
      <c r="B456" t="str">
        <f ca="1">TEXT(DATE(YEAR(Invoer!$A$5),1,1)+INT((ROWS(B$2:B456)-1)/3),"jjjjmmdd")</f>
        <v>19200531</v>
      </c>
      <c r="C456" s="35" t="str">
        <f>IF(MOD(ROWS(C$2:C456)-1,3)=2,"24.00",INDEX(Data,2,2+MOD(ROWS(C$2:C456)-1,3)))</f>
        <v>14.00</v>
      </c>
      <c r="D456" s="23">
        <f t="shared" ca="1" si="55"/>
        <v>746.5</v>
      </c>
      <c r="E456" s="40">
        <f t="shared" ca="1" si="50"/>
        <v>0</v>
      </c>
      <c r="F456" s="23" t="str">
        <f t="shared" ca="1" si="51"/>
        <v>—</v>
      </c>
      <c r="G456" s="40">
        <f t="shared" ca="1" si="52"/>
        <v>7</v>
      </c>
      <c r="H456" s="23" t="str">
        <f t="shared" ca="1" si="53"/>
        <v>—</v>
      </c>
      <c r="I456" s="40">
        <f t="shared" ca="1" si="54"/>
        <v>7</v>
      </c>
    </row>
    <row r="457" spans="1:9" x14ac:dyDescent="0.25">
      <c r="A457" s="17">
        <f t="shared" si="49"/>
        <v>81</v>
      </c>
      <c r="B457" t="str">
        <f ca="1">TEXT(DATE(YEAR(Invoer!$A$5),1,1)+INT((ROWS(B$2:B457)-1)/3),"jjjjmmdd")</f>
        <v>19200531</v>
      </c>
      <c r="C457" s="35" t="str">
        <f>IF(MOD(ROWS(C$2:C457)-1,3)=2,"24.00",INDEX(Data,2,2+MOD(ROWS(C$2:C457)-1,3)))</f>
        <v>24.00</v>
      </c>
      <c r="D457" s="23" t="str">
        <f t="shared" ca="1" si="55"/>
        <v>—</v>
      </c>
      <c r="E457" s="40">
        <f t="shared" ca="1" si="50"/>
        <v>7</v>
      </c>
      <c r="F457" s="23">
        <f t="shared" ca="1" si="51"/>
        <v>26.3</v>
      </c>
      <c r="G457" s="40">
        <f t="shared" ca="1" si="52"/>
        <v>0</v>
      </c>
      <c r="H457" s="23">
        <f t="shared" ca="1" si="53"/>
        <v>29</v>
      </c>
      <c r="I457" s="40">
        <f t="shared" ca="1" si="54"/>
        <v>0</v>
      </c>
    </row>
    <row r="458" spans="1:9" x14ac:dyDescent="0.25">
      <c r="A458" s="17">
        <f t="shared" si="49"/>
        <v>81</v>
      </c>
      <c r="B458" t="str">
        <f ca="1">TEXT(DATE(YEAR(Invoer!$A$5),1,1)+INT((ROWS(B$2:B458)-1)/3),"jjjjmmdd")</f>
        <v>19200601</v>
      </c>
      <c r="C458" s="35" t="str">
        <f>IF(MOD(ROWS(C$2:C458)-1,3)=2,"24.00",INDEX(Data,2,2+MOD(ROWS(C$2:C458)-1,3)))</f>
        <v>08.00</v>
      </c>
      <c r="D458" s="23">
        <f t="shared" ca="1" si="55"/>
        <v>748</v>
      </c>
      <c r="E458" s="40">
        <f t="shared" ca="1" si="50"/>
        <v>0</v>
      </c>
      <c r="F458" s="23" t="str">
        <f t="shared" ca="1" si="51"/>
        <v>—</v>
      </c>
      <c r="G458" s="40">
        <f t="shared" ca="1" si="52"/>
        <v>7</v>
      </c>
      <c r="H458" s="23" t="str">
        <f t="shared" ca="1" si="53"/>
        <v>—</v>
      </c>
      <c r="I458" s="40">
        <f t="shared" ca="1" si="54"/>
        <v>7</v>
      </c>
    </row>
    <row r="459" spans="1:9" x14ac:dyDescent="0.25">
      <c r="A459" s="17">
        <f t="shared" si="49"/>
        <v>81</v>
      </c>
      <c r="B459" t="str">
        <f ca="1">TEXT(DATE(YEAR(Invoer!$A$5),1,1)+INT((ROWS(B$2:B459)-1)/3),"jjjjmmdd")</f>
        <v>19200601</v>
      </c>
      <c r="C459" s="35" t="str">
        <f>IF(MOD(ROWS(C$2:C459)-1,3)=2,"24.00",INDEX(Data,2,2+MOD(ROWS(C$2:C459)-1,3)))</f>
        <v>14.00</v>
      </c>
      <c r="D459" s="23">
        <f t="shared" ca="1" si="55"/>
        <v>747.5</v>
      </c>
      <c r="E459" s="40">
        <f t="shared" ca="1" si="50"/>
        <v>0</v>
      </c>
      <c r="F459" s="23" t="str">
        <f t="shared" ca="1" si="51"/>
        <v>—</v>
      </c>
      <c r="G459" s="40">
        <f t="shared" ca="1" si="52"/>
        <v>7</v>
      </c>
      <c r="H459" s="23" t="str">
        <f t="shared" ca="1" si="53"/>
        <v>—</v>
      </c>
      <c r="I459" s="40">
        <f t="shared" ca="1" si="54"/>
        <v>7</v>
      </c>
    </row>
    <row r="460" spans="1:9" x14ac:dyDescent="0.25">
      <c r="A460" s="17">
        <f t="shared" si="49"/>
        <v>81</v>
      </c>
      <c r="B460" t="str">
        <f ca="1">TEXT(DATE(YEAR(Invoer!$A$5),1,1)+INT((ROWS(B$2:B460)-1)/3),"jjjjmmdd")</f>
        <v>19200601</v>
      </c>
      <c r="C460" s="35" t="str">
        <f>IF(MOD(ROWS(C$2:C460)-1,3)=2,"24.00",INDEX(Data,2,2+MOD(ROWS(C$2:C460)-1,3)))</f>
        <v>24.00</v>
      </c>
      <c r="D460" s="23" t="str">
        <f t="shared" ca="1" si="55"/>
        <v>—</v>
      </c>
      <c r="E460" s="40">
        <f t="shared" ca="1" si="50"/>
        <v>7</v>
      </c>
      <c r="F460" s="23">
        <f t="shared" ca="1" si="51"/>
        <v>27</v>
      </c>
      <c r="G460" s="40">
        <f t="shared" ca="1" si="52"/>
        <v>0</v>
      </c>
      <c r="H460" s="23">
        <f t="shared" ca="1" si="53"/>
        <v>29</v>
      </c>
      <c r="I460" s="40">
        <f t="shared" ca="1" si="54"/>
        <v>0</v>
      </c>
    </row>
    <row r="461" spans="1:9" x14ac:dyDescent="0.25">
      <c r="A461" s="17">
        <f t="shared" si="49"/>
        <v>81</v>
      </c>
      <c r="B461" t="str">
        <f ca="1">TEXT(DATE(YEAR(Invoer!$A$5),1,1)+INT((ROWS(B$2:B461)-1)/3),"jjjjmmdd")</f>
        <v>19200602</v>
      </c>
      <c r="C461" s="35" t="str">
        <f>IF(MOD(ROWS(C$2:C461)-1,3)=2,"24.00",INDEX(Data,2,2+MOD(ROWS(C$2:C461)-1,3)))</f>
        <v>08.00</v>
      </c>
      <c r="D461" s="23">
        <f t="shared" ca="1" si="55"/>
        <v>748</v>
      </c>
      <c r="E461" s="40">
        <f t="shared" ca="1" si="50"/>
        <v>0</v>
      </c>
      <c r="F461" s="23" t="str">
        <f t="shared" ca="1" si="51"/>
        <v>—</v>
      </c>
      <c r="G461" s="40">
        <f t="shared" ca="1" si="52"/>
        <v>7</v>
      </c>
      <c r="H461" s="23" t="str">
        <f t="shared" ca="1" si="53"/>
        <v>—</v>
      </c>
      <c r="I461" s="40">
        <f t="shared" ca="1" si="54"/>
        <v>7</v>
      </c>
    </row>
    <row r="462" spans="1:9" x14ac:dyDescent="0.25">
      <c r="A462" s="17">
        <f t="shared" si="49"/>
        <v>81</v>
      </c>
      <c r="B462" t="str">
        <f ca="1">TEXT(DATE(YEAR(Invoer!$A$5),1,1)+INT((ROWS(B$2:B462)-1)/3),"jjjjmmdd")</f>
        <v>19200602</v>
      </c>
      <c r="C462" s="35" t="str">
        <f>IF(MOD(ROWS(C$2:C462)-1,3)=2,"24.00",INDEX(Data,2,2+MOD(ROWS(C$2:C462)-1,3)))</f>
        <v>14.00</v>
      </c>
      <c r="D462" s="23">
        <f t="shared" ca="1" si="55"/>
        <v>747.8</v>
      </c>
      <c r="E462" s="40">
        <f t="shared" ca="1" si="50"/>
        <v>0</v>
      </c>
      <c r="F462" s="23" t="str">
        <f t="shared" ca="1" si="51"/>
        <v>—</v>
      </c>
      <c r="G462" s="40">
        <f t="shared" ca="1" si="52"/>
        <v>7</v>
      </c>
      <c r="H462" s="23" t="str">
        <f t="shared" ca="1" si="53"/>
        <v>—</v>
      </c>
      <c r="I462" s="40">
        <f t="shared" ca="1" si="54"/>
        <v>7</v>
      </c>
    </row>
    <row r="463" spans="1:9" x14ac:dyDescent="0.25">
      <c r="A463" s="17">
        <f t="shared" si="49"/>
        <v>81</v>
      </c>
      <c r="B463" t="str">
        <f ca="1">TEXT(DATE(YEAR(Invoer!$A$5),1,1)+INT((ROWS(B$2:B463)-1)/3),"jjjjmmdd")</f>
        <v>19200602</v>
      </c>
      <c r="C463" s="35" t="str">
        <f>IF(MOD(ROWS(C$2:C463)-1,3)=2,"24.00",INDEX(Data,2,2+MOD(ROWS(C$2:C463)-1,3)))</f>
        <v>24.00</v>
      </c>
      <c r="D463" s="23" t="str">
        <f t="shared" ca="1" si="55"/>
        <v>—</v>
      </c>
      <c r="E463" s="40">
        <f t="shared" ca="1" si="50"/>
        <v>7</v>
      </c>
      <c r="F463" s="23">
        <f t="shared" ca="1" si="51"/>
        <v>27</v>
      </c>
      <c r="G463" s="40">
        <f t="shared" ca="1" si="52"/>
        <v>0</v>
      </c>
      <c r="H463" s="23">
        <f t="shared" ca="1" si="53"/>
        <v>29</v>
      </c>
      <c r="I463" s="40">
        <f t="shared" ca="1" si="54"/>
        <v>0</v>
      </c>
    </row>
    <row r="464" spans="1:9" x14ac:dyDescent="0.25">
      <c r="A464" s="17">
        <f t="shared" si="49"/>
        <v>81</v>
      </c>
      <c r="B464" t="str">
        <f ca="1">TEXT(DATE(YEAR(Invoer!$A$5),1,1)+INT((ROWS(B$2:B464)-1)/3),"jjjjmmdd")</f>
        <v>19200603</v>
      </c>
      <c r="C464" s="35" t="str">
        <f>IF(MOD(ROWS(C$2:C464)-1,3)=2,"24.00",INDEX(Data,2,2+MOD(ROWS(C$2:C464)-1,3)))</f>
        <v>08.00</v>
      </c>
      <c r="D464" s="23">
        <f t="shared" ca="1" si="55"/>
        <v>748.3</v>
      </c>
      <c r="E464" s="40">
        <f t="shared" ca="1" si="50"/>
        <v>0</v>
      </c>
      <c r="F464" s="23" t="str">
        <f t="shared" ca="1" si="51"/>
        <v>—</v>
      </c>
      <c r="G464" s="40">
        <f t="shared" ca="1" si="52"/>
        <v>7</v>
      </c>
      <c r="H464" s="23" t="str">
        <f t="shared" ca="1" si="53"/>
        <v>—</v>
      </c>
      <c r="I464" s="40">
        <f t="shared" ca="1" si="54"/>
        <v>7</v>
      </c>
    </row>
    <row r="465" spans="1:9" x14ac:dyDescent="0.25">
      <c r="A465" s="17">
        <f t="shared" si="49"/>
        <v>81</v>
      </c>
      <c r="B465" t="str">
        <f ca="1">TEXT(DATE(YEAR(Invoer!$A$5),1,1)+INT((ROWS(B$2:B465)-1)/3),"jjjjmmdd")</f>
        <v>19200603</v>
      </c>
      <c r="C465" s="35" t="str">
        <f>IF(MOD(ROWS(C$2:C465)-1,3)=2,"24.00",INDEX(Data,2,2+MOD(ROWS(C$2:C465)-1,3)))</f>
        <v>14.00</v>
      </c>
      <c r="D465" s="23">
        <f t="shared" ca="1" si="55"/>
        <v>748</v>
      </c>
      <c r="E465" s="40">
        <f t="shared" ca="1" si="50"/>
        <v>0</v>
      </c>
      <c r="F465" s="23" t="str">
        <f t="shared" ca="1" si="51"/>
        <v>—</v>
      </c>
      <c r="G465" s="40">
        <f t="shared" ca="1" si="52"/>
        <v>7</v>
      </c>
      <c r="H465" s="23" t="str">
        <f t="shared" ca="1" si="53"/>
        <v>—</v>
      </c>
      <c r="I465" s="40">
        <f t="shared" ca="1" si="54"/>
        <v>7</v>
      </c>
    </row>
    <row r="466" spans="1:9" x14ac:dyDescent="0.25">
      <c r="A466" s="17">
        <f t="shared" si="49"/>
        <v>81</v>
      </c>
      <c r="B466" t="str">
        <f ca="1">TEXT(DATE(YEAR(Invoer!$A$5),1,1)+INT((ROWS(B$2:B466)-1)/3),"jjjjmmdd")</f>
        <v>19200603</v>
      </c>
      <c r="C466" s="35" t="str">
        <f>IF(MOD(ROWS(C$2:C466)-1,3)=2,"24.00",INDEX(Data,2,2+MOD(ROWS(C$2:C466)-1,3)))</f>
        <v>24.00</v>
      </c>
      <c r="D466" s="23" t="str">
        <f t="shared" ca="1" si="55"/>
        <v>—</v>
      </c>
      <c r="E466" s="40">
        <f t="shared" ca="1" si="50"/>
        <v>7</v>
      </c>
      <c r="F466" s="23">
        <f t="shared" ca="1" si="51"/>
        <v>26.5</v>
      </c>
      <c r="G466" s="40">
        <f t="shared" ca="1" si="52"/>
        <v>0</v>
      </c>
      <c r="H466" s="23">
        <f t="shared" ca="1" si="53"/>
        <v>29.5</v>
      </c>
      <c r="I466" s="40">
        <f t="shared" ca="1" si="54"/>
        <v>0</v>
      </c>
    </row>
    <row r="467" spans="1:9" x14ac:dyDescent="0.25">
      <c r="A467" s="17">
        <f t="shared" si="49"/>
        <v>81</v>
      </c>
      <c r="B467" t="str">
        <f ca="1">TEXT(DATE(YEAR(Invoer!$A$5),1,1)+INT((ROWS(B$2:B467)-1)/3),"jjjjmmdd")</f>
        <v>19200604</v>
      </c>
      <c r="C467" s="35" t="str">
        <f>IF(MOD(ROWS(C$2:C467)-1,3)=2,"24.00",INDEX(Data,2,2+MOD(ROWS(C$2:C467)-1,3)))</f>
        <v>08.00</v>
      </c>
      <c r="D467" s="23">
        <f t="shared" ca="1" si="55"/>
        <v>748</v>
      </c>
      <c r="E467" s="40">
        <f t="shared" ca="1" si="50"/>
        <v>0</v>
      </c>
      <c r="F467" s="23" t="str">
        <f t="shared" ca="1" si="51"/>
        <v>—</v>
      </c>
      <c r="G467" s="40">
        <f t="shared" ca="1" si="52"/>
        <v>7</v>
      </c>
      <c r="H467" s="23" t="str">
        <f t="shared" ca="1" si="53"/>
        <v>—</v>
      </c>
      <c r="I467" s="40">
        <f t="shared" ca="1" si="54"/>
        <v>7</v>
      </c>
    </row>
    <row r="468" spans="1:9" x14ac:dyDescent="0.25">
      <c r="A468" s="17">
        <f t="shared" si="49"/>
        <v>81</v>
      </c>
      <c r="B468" t="str">
        <f ca="1">TEXT(DATE(YEAR(Invoer!$A$5),1,1)+INT((ROWS(B$2:B468)-1)/3),"jjjjmmdd")</f>
        <v>19200604</v>
      </c>
      <c r="C468" s="35" t="str">
        <f>IF(MOD(ROWS(C$2:C468)-1,3)=2,"24.00",INDEX(Data,2,2+MOD(ROWS(C$2:C468)-1,3)))</f>
        <v>14.00</v>
      </c>
      <c r="D468" s="23">
        <f t="shared" ca="1" si="55"/>
        <v>747.8</v>
      </c>
      <c r="E468" s="40">
        <f t="shared" ca="1" si="50"/>
        <v>0</v>
      </c>
      <c r="F468" s="23" t="str">
        <f t="shared" ca="1" si="51"/>
        <v>—</v>
      </c>
      <c r="G468" s="40">
        <f t="shared" ca="1" si="52"/>
        <v>7</v>
      </c>
      <c r="H468" s="23" t="str">
        <f t="shared" ca="1" si="53"/>
        <v>—</v>
      </c>
      <c r="I468" s="40">
        <f t="shared" ca="1" si="54"/>
        <v>7</v>
      </c>
    </row>
    <row r="469" spans="1:9" x14ac:dyDescent="0.25">
      <c r="A469" s="17">
        <f t="shared" si="49"/>
        <v>81</v>
      </c>
      <c r="B469" t="str">
        <f ca="1">TEXT(DATE(YEAR(Invoer!$A$5),1,1)+INT((ROWS(B$2:B469)-1)/3),"jjjjmmdd")</f>
        <v>19200604</v>
      </c>
      <c r="C469" s="35" t="str">
        <f>IF(MOD(ROWS(C$2:C469)-1,3)=2,"24.00",INDEX(Data,2,2+MOD(ROWS(C$2:C469)-1,3)))</f>
        <v>24.00</v>
      </c>
      <c r="D469" s="23" t="str">
        <f t="shared" ca="1" si="55"/>
        <v>—</v>
      </c>
      <c r="E469" s="40">
        <f t="shared" ca="1" si="50"/>
        <v>7</v>
      </c>
      <c r="F469" s="23">
        <f t="shared" ca="1" si="51"/>
        <v>26.5</v>
      </c>
      <c r="G469" s="40">
        <f t="shared" ca="1" si="52"/>
        <v>0</v>
      </c>
      <c r="H469" s="23">
        <f t="shared" ca="1" si="53"/>
        <v>28.8</v>
      </c>
      <c r="I469" s="40">
        <f t="shared" ca="1" si="54"/>
        <v>0</v>
      </c>
    </row>
    <row r="470" spans="1:9" x14ac:dyDescent="0.25">
      <c r="A470" s="17">
        <f t="shared" si="49"/>
        <v>81</v>
      </c>
      <c r="B470" t="str">
        <f ca="1">TEXT(DATE(YEAR(Invoer!$A$5),1,1)+INT((ROWS(B$2:B470)-1)/3),"jjjjmmdd")</f>
        <v>19200605</v>
      </c>
      <c r="C470" s="35" t="str">
        <f>IF(MOD(ROWS(C$2:C470)-1,3)=2,"24.00",INDEX(Data,2,2+MOD(ROWS(C$2:C470)-1,3)))</f>
        <v>08.00</v>
      </c>
      <c r="D470" s="23">
        <f t="shared" ca="1" si="55"/>
        <v>748.5</v>
      </c>
      <c r="E470" s="40">
        <f t="shared" ca="1" si="50"/>
        <v>0</v>
      </c>
      <c r="F470" s="23" t="str">
        <f t="shared" ca="1" si="51"/>
        <v>—</v>
      </c>
      <c r="G470" s="40">
        <f t="shared" ca="1" si="52"/>
        <v>7</v>
      </c>
      <c r="H470" s="23" t="str">
        <f t="shared" ca="1" si="53"/>
        <v>—</v>
      </c>
      <c r="I470" s="40">
        <f t="shared" ca="1" si="54"/>
        <v>7</v>
      </c>
    </row>
    <row r="471" spans="1:9" x14ac:dyDescent="0.25">
      <c r="A471" s="17">
        <f t="shared" si="49"/>
        <v>81</v>
      </c>
      <c r="B471" t="str">
        <f ca="1">TEXT(DATE(YEAR(Invoer!$A$5),1,1)+INT((ROWS(B$2:B471)-1)/3),"jjjjmmdd")</f>
        <v>19200605</v>
      </c>
      <c r="C471" s="35" t="str">
        <f>IF(MOD(ROWS(C$2:C471)-1,3)=2,"24.00",INDEX(Data,2,2+MOD(ROWS(C$2:C471)-1,3)))</f>
        <v>14.00</v>
      </c>
      <c r="D471" s="23">
        <f t="shared" ca="1" si="55"/>
        <v>748.2</v>
      </c>
      <c r="E471" s="40">
        <f t="shared" ca="1" si="50"/>
        <v>0</v>
      </c>
      <c r="F471" s="23" t="str">
        <f t="shared" ca="1" si="51"/>
        <v>—</v>
      </c>
      <c r="G471" s="40">
        <f t="shared" ca="1" si="52"/>
        <v>7</v>
      </c>
      <c r="H471" s="23" t="str">
        <f t="shared" ca="1" si="53"/>
        <v>—</v>
      </c>
      <c r="I471" s="40">
        <f t="shared" ca="1" si="54"/>
        <v>7</v>
      </c>
    </row>
    <row r="472" spans="1:9" x14ac:dyDescent="0.25">
      <c r="A472" s="17">
        <f t="shared" si="49"/>
        <v>81</v>
      </c>
      <c r="B472" t="str">
        <f ca="1">TEXT(DATE(YEAR(Invoer!$A$5),1,1)+INT((ROWS(B$2:B472)-1)/3),"jjjjmmdd")</f>
        <v>19200605</v>
      </c>
      <c r="C472" s="35" t="str">
        <f>IF(MOD(ROWS(C$2:C472)-1,3)=2,"24.00",INDEX(Data,2,2+MOD(ROWS(C$2:C472)-1,3)))</f>
        <v>24.00</v>
      </c>
      <c r="D472" s="23" t="str">
        <f t="shared" ca="1" si="55"/>
        <v>—</v>
      </c>
      <c r="E472" s="40">
        <f t="shared" ca="1" si="50"/>
        <v>7</v>
      </c>
      <c r="F472" s="23">
        <f t="shared" ca="1" si="51"/>
        <v>26</v>
      </c>
      <c r="G472" s="40">
        <f t="shared" ca="1" si="52"/>
        <v>0</v>
      </c>
      <c r="H472" s="23">
        <f t="shared" ca="1" si="53"/>
        <v>29</v>
      </c>
      <c r="I472" s="40">
        <f t="shared" ca="1" si="54"/>
        <v>0</v>
      </c>
    </row>
    <row r="473" spans="1:9" x14ac:dyDescent="0.25">
      <c r="A473" s="17">
        <f t="shared" si="49"/>
        <v>81</v>
      </c>
      <c r="B473" t="str">
        <f ca="1">TEXT(DATE(YEAR(Invoer!$A$5),1,1)+INT((ROWS(B$2:B473)-1)/3),"jjjjmmdd")</f>
        <v>19200606</v>
      </c>
      <c r="C473" s="35" t="str">
        <f>IF(MOD(ROWS(C$2:C473)-1,3)=2,"24.00",INDEX(Data,2,2+MOD(ROWS(C$2:C473)-1,3)))</f>
        <v>08.00</v>
      </c>
      <c r="D473" s="23">
        <f t="shared" ca="1" si="55"/>
        <v>748.4</v>
      </c>
      <c r="E473" s="40">
        <f t="shared" ca="1" si="50"/>
        <v>0</v>
      </c>
      <c r="F473" s="23" t="str">
        <f t="shared" ca="1" si="51"/>
        <v>—</v>
      </c>
      <c r="G473" s="40">
        <f t="shared" ca="1" si="52"/>
        <v>7</v>
      </c>
      <c r="H473" s="23" t="str">
        <f t="shared" ca="1" si="53"/>
        <v>—</v>
      </c>
      <c r="I473" s="40">
        <f t="shared" ca="1" si="54"/>
        <v>7</v>
      </c>
    </row>
    <row r="474" spans="1:9" x14ac:dyDescent="0.25">
      <c r="A474" s="17">
        <f t="shared" si="49"/>
        <v>81</v>
      </c>
      <c r="B474" t="str">
        <f ca="1">TEXT(DATE(YEAR(Invoer!$A$5),1,1)+INT((ROWS(B$2:B474)-1)/3),"jjjjmmdd")</f>
        <v>19200606</v>
      </c>
      <c r="C474" s="35" t="str">
        <f>IF(MOD(ROWS(C$2:C474)-1,3)=2,"24.00",INDEX(Data,2,2+MOD(ROWS(C$2:C474)-1,3)))</f>
        <v>14.00</v>
      </c>
      <c r="D474" s="23">
        <f t="shared" ca="1" si="55"/>
        <v>748.2</v>
      </c>
      <c r="E474" s="40">
        <f t="shared" ca="1" si="50"/>
        <v>0</v>
      </c>
      <c r="F474" s="23" t="str">
        <f t="shared" ca="1" si="51"/>
        <v>—</v>
      </c>
      <c r="G474" s="40">
        <f t="shared" ca="1" si="52"/>
        <v>7</v>
      </c>
      <c r="H474" s="23" t="str">
        <f t="shared" ca="1" si="53"/>
        <v>—</v>
      </c>
      <c r="I474" s="40">
        <f t="shared" ca="1" si="54"/>
        <v>7</v>
      </c>
    </row>
    <row r="475" spans="1:9" x14ac:dyDescent="0.25">
      <c r="A475" s="17">
        <f t="shared" si="49"/>
        <v>81</v>
      </c>
      <c r="B475" t="str">
        <f ca="1">TEXT(DATE(YEAR(Invoer!$A$5),1,1)+INT((ROWS(B$2:B475)-1)/3),"jjjjmmdd")</f>
        <v>19200606</v>
      </c>
      <c r="C475" s="35" t="str">
        <f>IF(MOD(ROWS(C$2:C475)-1,3)=2,"24.00",INDEX(Data,2,2+MOD(ROWS(C$2:C475)-1,3)))</f>
        <v>24.00</v>
      </c>
      <c r="D475" s="23" t="str">
        <f t="shared" ca="1" si="55"/>
        <v>—</v>
      </c>
      <c r="E475" s="40">
        <f t="shared" ca="1" si="50"/>
        <v>7</v>
      </c>
      <c r="F475" s="23">
        <f t="shared" ca="1" si="51"/>
        <v>26</v>
      </c>
      <c r="G475" s="40">
        <f t="shared" ca="1" si="52"/>
        <v>0</v>
      </c>
      <c r="H475" s="23">
        <f t="shared" ca="1" si="53"/>
        <v>29</v>
      </c>
      <c r="I475" s="40">
        <f t="shared" ca="1" si="54"/>
        <v>0</v>
      </c>
    </row>
    <row r="476" spans="1:9" x14ac:dyDescent="0.25">
      <c r="A476" s="17">
        <f t="shared" si="49"/>
        <v>81</v>
      </c>
      <c r="B476" t="str">
        <f ca="1">TEXT(DATE(YEAR(Invoer!$A$5),1,1)+INT((ROWS(B$2:B476)-1)/3),"jjjjmmdd")</f>
        <v>19200607</v>
      </c>
      <c r="C476" s="35" t="str">
        <f>IF(MOD(ROWS(C$2:C476)-1,3)=2,"24.00",INDEX(Data,2,2+MOD(ROWS(C$2:C476)-1,3)))</f>
        <v>08.00</v>
      </c>
      <c r="D476" s="23">
        <f t="shared" ca="1" si="55"/>
        <v>748.2</v>
      </c>
      <c r="E476" s="40">
        <f t="shared" ca="1" si="50"/>
        <v>0</v>
      </c>
      <c r="F476" s="23" t="str">
        <f t="shared" ca="1" si="51"/>
        <v>—</v>
      </c>
      <c r="G476" s="40">
        <f t="shared" ca="1" si="52"/>
        <v>7</v>
      </c>
      <c r="H476" s="23" t="str">
        <f t="shared" ca="1" si="53"/>
        <v>—</v>
      </c>
      <c r="I476" s="40">
        <f t="shared" ca="1" si="54"/>
        <v>7</v>
      </c>
    </row>
    <row r="477" spans="1:9" x14ac:dyDescent="0.25">
      <c r="A477" s="17">
        <f t="shared" si="49"/>
        <v>81</v>
      </c>
      <c r="B477" t="str">
        <f ca="1">TEXT(DATE(YEAR(Invoer!$A$5),1,1)+INT((ROWS(B$2:B477)-1)/3),"jjjjmmdd")</f>
        <v>19200607</v>
      </c>
      <c r="C477" s="35" t="str">
        <f>IF(MOD(ROWS(C$2:C477)-1,3)=2,"24.00",INDEX(Data,2,2+MOD(ROWS(C$2:C477)-1,3)))</f>
        <v>14.00</v>
      </c>
      <c r="D477" s="23">
        <f t="shared" ca="1" si="55"/>
        <v>748</v>
      </c>
      <c r="E477" s="40">
        <f t="shared" ca="1" si="50"/>
        <v>0</v>
      </c>
      <c r="F477" s="23" t="str">
        <f t="shared" ca="1" si="51"/>
        <v>—</v>
      </c>
      <c r="G477" s="40">
        <f t="shared" ca="1" si="52"/>
        <v>7</v>
      </c>
      <c r="H477" s="23" t="str">
        <f t="shared" ca="1" si="53"/>
        <v>—</v>
      </c>
      <c r="I477" s="40">
        <f t="shared" ca="1" si="54"/>
        <v>7</v>
      </c>
    </row>
    <row r="478" spans="1:9" x14ac:dyDescent="0.25">
      <c r="A478" s="17">
        <f t="shared" si="49"/>
        <v>81</v>
      </c>
      <c r="B478" t="str">
        <f ca="1">TEXT(DATE(YEAR(Invoer!$A$5),1,1)+INT((ROWS(B$2:B478)-1)/3),"jjjjmmdd")</f>
        <v>19200607</v>
      </c>
      <c r="C478" s="35" t="str">
        <f>IF(MOD(ROWS(C$2:C478)-1,3)=2,"24.00",INDEX(Data,2,2+MOD(ROWS(C$2:C478)-1,3)))</f>
        <v>24.00</v>
      </c>
      <c r="D478" s="23" t="str">
        <f t="shared" ca="1" si="55"/>
        <v>—</v>
      </c>
      <c r="E478" s="40">
        <f t="shared" ca="1" si="50"/>
        <v>7</v>
      </c>
      <c r="F478" s="23">
        <f t="shared" ca="1" si="51"/>
        <v>27</v>
      </c>
      <c r="G478" s="40">
        <f t="shared" ca="1" si="52"/>
        <v>0</v>
      </c>
      <c r="H478" s="23">
        <f t="shared" ca="1" si="53"/>
        <v>30</v>
      </c>
      <c r="I478" s="40">
        <f t="shared" ca="1" si="54"/>
        <v>0</v>
      </c>
    </row>
    <row r="479" spans="1:9" x14ac:dyDescent="0.25">
      <c r="A479" s="17">
        <f t="shared" si="49"/>
        <v>81</v>
      </c>
      <c r="B479" t="str">
        <f ca="1">TEXT(DATE(YEAR(Invoer!$A$5),1,1)+INT((ROWS(B$2:B479)-1)/3),"jjjjmmdd")</f>
        <v>19200608</v>
      </c>
      <c r="C479" s="35" t="str">
        <f>IF(MOD(ROWS(C$2:C479)-1,3)=2,"24.00",INDEX(Data,2,2+MOD(ROWS(C$2:C479)-1,3)))</f>
        <v>08.00</v>
      </c>
      <c r="D479" s="23">
        <f t="shared" ca="1" si="55"/>
        <v>748</v>
      </c>
      <c r="E479" s="40">
        <f t="shared" ca="1" si="50"/>
        <v>0</v>
      </c>
      <c r="F479" s="23" t="str">
        <f t="shared" ca="1" si="51"/>
        <v>—</v>
      </c>
      <c r="G479" s="40">
        <f t="shared" ca="1" si="52"/>
        <v>7</v>
      </c>
      <c r="H479" s="23" t="str">
        <f t="shared" ca="1" si="53"/>
        <v>—</v>
      </c>
      <c r="I479" s="40">
        <f t="shared" ca="1" si="54"/>
        <v>7</v>
      </c>
    </row>
    <row r="480" spans="1:9" x14ac:dyDescent="0.25">
      <c r="A480" s="17">
        <f t="shared" si="49"/>
        <v>81</v>
      </c>
      <c r="B480" t="str">
        <f ca="1">TEXT(DATE(YEAR(Invoer!$A$5),1,1)+INT((ROWS(B$2:B480)-1)/3),"jjjjmmdd")</f>
        <v>19200608</v>
      </c>
      <c r="C480" s="35" t="str">
        <f>IF(MOD(ROWS(C$2:C480)-1,3)=2,"24.00",INDEX(Data,2,2+MOD(ROWS(C$2:C480)-1,3)))</f>
        <v>14.00</v>
      </c>
      <c r="D480" s="23">
        <f t="shared" ca="1" si="55"/>
        <v>747.6</v>
      </c>
      <c r="E480" s="40">
        <f t="shared" ca="1" si="50"/>
        <v>0</v>
      </c>
      <c r="F480" s="23" t="str">
        <f t="shared" ca="1" si="51"/>
        <v>—</v>
      </c>
      <c r="G480" s="40">
        <f t="shared" ca="1" si="52"/>
        <v>7</v>
      </c>
      <c r="H480" s="23" t="str">
        <f t="shared" ca="1" si="53"/>
        <v>—</v>
      </c>
      <c r="I480" s="40">
        <f t="shared" ca="1" si="54"/>
        <v>7</v>
      </c>
    </row>
    <row r="481" spans="1:9" x14ac:dyDescent="0.25">
      <c r="A481" s="17">
        <f t="shared" si="49"/>
        <v>81</v>
      </c>
      <c r="B481" t="str">
        <f ca="1">TEXT(DATE(YEAR(Invoer!$A$5),1,1)+INT((ROWS(B$2:B481)-1)/3),"jjjjmmdd")</f>
        <v>19200608</v>
      </c>
      <c r="C481" s="35" t="str">
        <f>IF(MOD(ROWS(C$2:C481)-1,3)=2,"24.00",INDEX(Data,2,2+MOD(ROWS(C$2:C481)-1,3)))</f>
        <v>24.00</v>
      </c>
      <c r="D481" s="23" t="str">
        <f t="shared" ca="1" si="55"/>
        <v>—</v>
      </c>
      <c r="E481" s="40">
        <f t="shared" ca="1" si="50"/>
        <v>7</v>
      </c>
      <c r="F481" s="23">
        <f t="shared" ca="1" si="51"/>
        <v>26</v>
      </c>
      <c r="G481" s="40">
        <f t="shared" ca="1" si="52"/>
        <v>0</v>
      </c>
      <c r="H481" s="23">
        <f t="shared" ca="1" si="53"/>
        <v>27</v>
      </c>
      <c r="I481" s="40">
        <f t="shared" ca="1" si="54"/>
        <v>0</v>
      </c>
    </row>
    <row r="482" spans="1:9" x14ac:dyDescent="0.25">
      <c r="A482" s="17">
        <f t="shared" si="49"/>
        <v>81</v>
      </c>
      <c r="B482" t="str">
        <f ca="1">TEXT(DATE(YEAR(Invoer!$A$5),1,1)+INT((ROWS(B$2:B482)-1)/3),"jjjjmmdd")</f>
        <v>19200609</v>
      </c>
      <c r="C482" s="35" t="str">
        <f>IF(MOD(ROWS(C$2:C482)-1,3)=2,"24.00",INDEX(Data,2,2+MOD(ROWS(C$2:C482)-1,3)))</f>
        <v>08.00</v>
      </c>
      <c r="D482" s="23">
        <f t="shared" ca="1" si="55"/>
        <v>748</v>
      </c>
      <c r="E482" s="40">
        <f t="shared" ca="1" si="50"/>
        <v>0</v>
      </c>
      <c r="F482" s="23" t="str">
        <f t="shared" ca="1" si="51"/>
        <v>—</v>
      </c>
      <c r="G482" s="40">
        <f t="shared" ca="1" si="52"/>
        <v>7</v>
      </c>
      <c r="H482" s="23" t="str">
        <f t="shared" ca="1" si="53"/>
        <v>—</v>
      </c>
      <c r="I482" s="40">
        <f t="shared" ca="1" si="54"/>
        <v>7</v>
      </c>
    </row>
    <row r="483" spans="1:9" x14ac:dyDescent="0.25">
      <c r="A483" s="17">
        <f t="shared" si="49"/>
        <v>81</v>
      </c>
      <c r="B483" t="str">
        <f ca="1">TEXT(DATE(YEAR(Invoer!$A$5),1,1)+INT((ROWS(B$2:B483)-1)/3),"jjjjmmdd")</f>
        <v>19200609</v>
      </c>
      <c r="C483" s="35" t="str">
        <f>IF(MOD(ROWS(C$2:C483)-1,3)=2,"24.00",INDEX(Data,2,2+MOD(ROWS(C$2:C483)-1,3)))</f>
        <v>14.00</v>
      </c>
      <c r="D483" s="23">
        <f t="shared" ca="1" si="55"/>
        <v>747.5</v>
      </c>
      <c r="E483" s="40">
        <f t="shared" ca="1" si="50"/>
        <v>0</v>
      </c>
      <c r="F483" s="23" t="str">
        <f t="shared" ca="1" si="51"/>
        <v>—</v>
      </c>
      <c r="G483" s="40">
        <f t="shared" ca="1" si="52"/>
        <v>7</v>
      </c>
      <c r="H483" s="23" t="str">
        <f t="shared" ca="1" si="53"/>
        <v>—</v>
      </c>
      <c r="I483" s="40">
        <f t="shared" ca="1" si="54"/>
        <v>7</v>
      </c>
    </row>
    <row r="484" spans="1:9" x14ac:dyDescent="0.25">
      <c r="A484" s="17">
        <f t="shared" si="49"/>
        <v>81</v>
      </c>
      <c r="B484" t="str">
        <f ca="1">TEXT(DATE(YEAR(Invoer!$A$5),1,1)+INT((ROWS(B$2:B484)-1)/3),"jjjjmmdd")</f>
        <v>19200609</v>
      </c>
      <c r="C484" s="35" t="str">
        <f>IF(MOD(ROWS(C$2:C484)-1,3)=2,"24.00",INDEX(Data,2,2+MOD(ROWS(C$2:C484)-1,3)))</f>
        <v>24.00</v>
      </c>
      <c r="D484" s="23" t="str">
        <f t="shared" ca="1" si="55"/>
        <v>—</v>
      </c>
      <c r="E484" s="40">
        <f t="shared" ca="1" si="50"/>
        <v>7</v>
      </c>
      <c r="F484" s="23">
        <f t="shared" ca="1" si="51"/>
        <v>26</v>
      </c>
      <c r="G484" s="40">
        <f t="shared" ca="1" si="52"/>
        <v>0</v>
      </c>
      <c r="H484" s="23">
        <f t="shared" ca="1" si="53"/>
        <v>29</v>
      </c>
      <c r="I484" s="40">
        <f t="shared" ca="1" si="54"/>
        <v>0</v>
      </c>
    </row>
    <row r="485" spans="1:9" x14ac:dyDescent="0.25">
      <c r="A485" s="17">
        <f t="shared" si="49"/>
        <v>81</v>
      </c>
      <c r="B485" t="str">
        <f ca="1">TEXT(DATE(YEAR(Invoer!$A$5),1,1)+INT((ROWS(B$2:B485)-1)/3),"jjjjmmdd")</f>
        <v>19200610</v>
      </c>
      <c r="C485" s="35" t="str">
        <f>IF(MOD(ROWS(C$2:C485)-1,3)=2,"24.00",INDEX(Data,2,2+MOD(ROWS(C$2:C485)-1,3)))</f>
        <v>08.00</v>
      </c>
      <c r="D485" s="23">
        <f t="shared" ca="1" si="55"/>
        <v>748.5</v>
      </c>
      <c r="E485" s="40">
        <f t="shared" ca="1" si="50"/>
        <v>0</v>
      </c>
      <c r="F485" s="23" t="str">
        <f t="shared" ca="1" si="51"/>
        <v>—</v>
      </c>
      <c r="G485" s="40">
        <f t="shared" ca="1" si="52"/>
        <v>7</v>
      </c>
      <c r="H485" s="23" t="str">
        <f t="shared" ca="1" si="53"/>
        <v>—</v>
      </c>
      <c r="I485" s="40">
        <f t="shared" ca="1" si="54"/>
        <v>7</v>
      </c>
    </row>
    <row r="486" spans="1:9" x14ac:dyDescent="0.25">
      <c r="A486" s="17">
        <f t="shared" si="49"/>
        <v>81</v>
      </c>
      <c r="B486" t="str">
        <f ca="1">TEXT(DATE(YEAR(Invoer!$A$5),1,1)+INT((ROWS(B$2:B486)-1)/3),"jjjjmmdd")</f>
        <v>19200610</v>
      </c>
      <c r="C486" s="35" t="str">
        <f>IF(MOD(ROWS(C$2:C486)-1,3)=2,"24.00",INDEX(Data,2,2+MOD(ROWS(C$2:C486)-1,3)))</f>
        <v>14.00</v>
      </c>
      <c r="D486" s="23">
        <f t="shared" ca="1" si="55"/>
        <v>748</v>
      </c>
      <c r="E486" s="40">
        <f t="shared" ca="1" si="50"/>
        <v>0</v>
      </c>
      <c r="F486" s="23" t="str">
        <f t="shared" ca="1" si="51"/>
        <v>—</v>
      </c>
      <c r="G486" s="40">
        <f t="shared" ca="1" si="52"/>
        <v>7</v>
      </c>
      <c r="H486" s="23" t="str">
        <f t="shared" ca="1" si="53"/>
        <v>—</v>
      </c>
      <c r="I486" s="40">
        <f t="shared" ca="1" si="54"/>
        <v>7</v>
      </c>
    </row>
    <row r="487" spans="1:9" x14ac:dyDescent="0.25">
      <c r="A487" s="17">
        <f t="shared" si="49"/>
        <v>81</v>
      </c>
      <c r="B487" t="str">
        <f ca="1">TEXT(DATE(YEAR(Invoer!$A$5),1,1)+INT((ROWS(B$2:B487)-1)/3),"jjjjmmdd")</f>
        <v>19200610</v>
      </c>
      <c r="C487" s="35" t="str">
        <f>IF(MOD(ROWS(C$2:C487)-1,3)=2,"24.00",INDEX(Data,2,2+MOD(ROWS(C$2:C487)-1,3)))</f>
        <v>24.00</v>
      </c>
      <c r="D487" s="23" t="str">
        <f t="shared" ca="1" si="55"/>
        <v>—</v>
      </c>
      <c r="E487" s="40">
        <f t="shared" ca="1" si="50"/>
        <v>7</v>
      </c>
      <c r="F487" s="23">
        <f t="shared" ca="1" si="51"/>
        <v>26</v>
      </c>
      <c r="G487" s="40">
        <f t="shared" ca="1" si="52"/>
        <v>0</v>
      </c>
      <c r="H487" s="23">
        <f t="shared" ca="1" si="53"/>
        <v>29</v>
      </c>
      <c r="I487" s="40">
        <f t="shared" ca="1" si="54"/>
        <v>0</v>
      </c>
    </row>
    <row r="488" spans="1:9" x14ac:dyDescent="0.25">
      <c r="A488" s="17">
        <f t="shared" si="49"/>
        <v>81</v>
      </c>
      <c r="B488" t="str">
        <f ca="1">TEXT(DATE(YEAR(Invoer!$A$5),1,1)+INT((ROWS(B$2:B488)-1)/3),"jjjjmmdd")</f>
        <v>19200611</v>
      </c>
      <c r="C488" s="35" t="str">
        <f>IF(MOD(ROWS(C$2:C488)-1,3)=2,"24.00",INDEX(Data,2,2+MOD(ROWS(C$2:C488)-1,3)))</f>
        <v>08.00</v>
      </c>
      <c r="D488" s="23">
        <f t="shared" ca="1" si="55"/>
        <v>749</v>
      </c>
      <c r="E488" s="40">
        <f t="shared" ca="1" si="50"/>
        <v>0</v>
      </c>
      <c r="F488" s="23" t="str">
        <f t="shared" ca="1" si="51"/>
        <v>—</v>
      </c>
      <c r="G488" s="40">
        <f t="shared" ca="1" si="52"/>
        <v>7</v>
      </c>
      <c r="H488" s="23" t="str">
        <f t="shared" ca="1" si="53"/>
        <v>—</v>
      </c>
      <c r="I488" s="40">
        <f t="shared" ca="1" si="54"/>
        <v>7</v>
      </c>
    </row>
    <row r="489" spans="1:9" x14ac:dyDescent="0.25">
      <c r="A489" s="17">
        <f t="shared" si="49"/>
        <v>81</v>
      </c>
      <c r="B489" t="str">
        <f ca="1">TEXT(DATE(YEAR(Invoer!$A$5),1,1)+INT((ROWS(B$2:B489)-1)/3),"jjjjmmdd")</f>
        <v>19200611</v>
      </c>
      <c r="C489" s="35" t="str">
        <f>IF(MOD(ROWS(C$2:C489)-1,3)=2,"24.00",INDEX(Data,2,2+MOD(ROWS(C$2:C489)-1,3)))</f>
        <v>14.00</v>
      </c>
      <c r="D489" s="23">
        <f t="shared" ca="1" si="55"/>
        <v>748.7</v>
      </c>
      <c r="E489" s="40">
        <f t="shared" ca="1" si="50"/>
        <v>0</v>
      </c>
      <c r="F489" s="23" t="str">
        <f t="shared" ca="1" si="51"/>
        <v>—</v>
      </c>
      <c r="G489" s="40">
        <f t="shared" ca="1" si="52"/>
        <v>7</v>
      </c>
      <c r="H489" s="23" t="str">
        <f t="shared" ca="1" si="53"/>
        <v>—</v>
      </c>
      <c r="I489" s="40">
        <f t="shared" ca="1" si="54"/>
        <v>7</v>
      </c>
    </row>
    <row r="490" spans="1:9" x14ac:dyDescent="0.25">
      <c r="A490" s="17">
        <f t="shared" si="49"/>
        <v>81</v>
      </c>
      <c r="B490" t="str">
        <f ca="1">TEXT(DATE(YEAR(Invoer!$A$5),1,1)+INT((ROWS(B$2:B490)-1)/3),"jjjjmmdd")</f>
        <v>19200611</v>
      </c>
      <c r="C490" s="35" t="str">
        <f>IF(MOD(ROWS(C$2:C490)-1,3)=2,"24.00",INDEX(Data,2,2+MOD(ROWS(C$2:C490)-1,3)))</f>
        <v>24.00</v>
      </c>
      <c r="D490" s="23" t="str">
        <f t="shared" ca="1" si="55"/>
        <v>—</v>
      </c>
      <c r="E490" s="40">
        <f t="shared" ca="1" si="50"/>
        <v>7</v>
      </c>
      <c r="F490" s="23">
        <f t="shared" ca="1" si="51"/>
        <v>27</v>
      </c>
      <c r="G490" s="40">
        <f t="shared" ca="1" si="52"/>
        <v>0</v>
      </c>
      <c r="H490" s="23">
        <f t="shared" ca="1" si="53"/>
        <v>30</v>
      </c>
      <c r="I490" s="40">
        <f t="shared" ca="1" si="54"/>
        <v>0</v>
      </c>
    </row>
    <row r="491" spans="1:9" x14ac:dyDescent="0.25">
      <c r="A491" s="17">
        <f t="shared" si="49"/>
        <v>81</v>
      </c>
      <c r="B491" t="str">
        <f ca="1">TEXT(DATE(YEAR(Invoer!$A$5),1,1)+INT((ROWS(B$2:B491)-1)/3),"jjjjmmdd")</f>
        <v>19200612</v>
      </c>
      <c r="C491" s="35" t="str">
        <f>IF(MOD(ROWS(C$2:C491)-1,3)=2,"24.00",INDEX(Data,2,2+MOD(ROWS(C$2:C491)-1,3)))</f>
        <v>08.00</v>
      </c>
      <c r="D491" s="23">
        <f t="shared" ca="1" si="55"/>
        <v>748.5</v>
      </c>
      <c r="E491" s="40">
        <f t="shared" ca="1" si="50"/>
        <v>0</v>
      </c>
      <c r="F491" s="23" t="str">
        <f t="shared" ca="1" si="51"/>
        <v>—</v>
      </c>
      <c r="G491" s="40">
        <f t="shared" ca="1" si="52"/>
        <v>7</v>
      </c>
      <c r="H491" s="23" t="str">
        <f t="shared" ca="1" si="53"/>
        <v>—</v>
      </c>
      <c r="I491" s="40">
        <f t="shared" ca="1" si="54"/>
        <v>7</v>
      </c>
    </row>
    <row r="492" spans="1:9" x14ac:dyDescent="0.25">
      <c r="A492" s="17">
        <f t="shared" si="49"/>
        <v>81</v>
      </c>
      <c r="B492" t="str">
        <f ca="1">TEXT(DATE(YEAR(Invoer!$A$5),1,1)+INT((ROWS(B$2:B492)-1)/3),"jjjjmmdd")</f>
        <v>19200612</v>
      </c>
      <c r="C492" s="35" t="str">
        <f>IF(MOD(ROWS(C$2:C492)-1,3)=2,"24.00",INDEX(Data,2,2+MOD(ROWS(C$2:C492)-1,3)))</f>
        <v>14.00</v>
      </c>
      <c r="D492" s="23">
        <f t="shared" ca="1" si="55"/>
        <v>748.2</v>
      </c>
      <c r="E492" s="40">
        <f t="shared" ca="1" si="50"/>
        <v>0</v>
      </c>
      <c r="F492" s="23" t="str">
        <f t="shared" ca="1" si="51"/>
        <v>—</v>
      </c>
      <c r="G492" s="40">
        <f t="shared" ca="1" si="52"/>
        <v>7</v>
      </c>
      <c r="H492" s="23" t="str">
        <f t="shared" ca="1" si="53"/>
        <v>—</v>
      </c>
      <c r="I492" s="40">
        <f t="shared" ca="1" si="54"/>
        <v>7</v>
      </c>
    </row>
    <row r="493" spans="1:9" x14ac:dyDescent="0.25">
      <c r="A493" s="17">
        <f t="shared" si="49"/>
        <v>81</v>
      </c>
      <c r="B493" t="str">
        <f ca="1">TEXT(DATE(YEAR(Invoer!$A$5),1,1)+INT((ROWS(B$2:B493)-1)/3),"jjjjmmdd")</f>
        <v>19200612</v>
      </c>
      <c r="C493" s="35" t="str">
        <f>IF(MOD(ROWS(C$2:C493)-1,3)=2,"24.00",INDEX(Data,2,2+MOD(ROWS(C$2:C493)-1,3)))</f>
        <v>24.00</v>
      </c>
      <c r="D493" s="23" t="str">
        <f t="shared" ca="1" si="55"/>
        <v>—</v>
      </c>
      <c r="E493" s="40">
        <f t="shared" ca="1" si="50"/>
        <v>7</v>
      </c>
      <c r="F493" s="23">
        <f t="shared" ca="1" si="51"/>
        <v>27</v>
      </c>
      <c r="G493" s="40">
        <f t="shared" ca="1" si="52"/>
        <v>0</v>
      </c>
      <c r="H493" s="23">
        <f t="shared" ca="1" si="53"/>
        <v>29.5</v>
      </c>
      <c r="I493" s="40">
        <f t="shared" ca="1" si="54"/>
        <v>0</v>
      </c>
    </row>
    <row r="494" spans="1:9" x14ac:dyDescent="0.25">
      <c r="A494" s="17">
        <f t="shared" si="49"/>
        <v>81</v>
      </c>
      <c r="B494" t="str">
        <f ca="1">TEXT(DATE(YEAR(Invoer!$A$5),1,1)+INT((ROWS(B$2:B494)-1)/3),"jjjjmmdd")</f>
        <v>19200613</v>
      </c>
      <c r="C494" s="35" t="str">
        <f>IF(MOD(ROWS(C$2:C494)-1,3)=2,"24.00",INDEX(Data,2,2+MOD(ROWS(C$2:C494)-1,3)))</f>
        <v>08.00</v>
      </c>
      <c r="D494" s="23">
        <f t="shared" ca="1" si="55"/>
        <v>748.5</v>
      </c>
      <c r="E494" s="40">
        <f t="shared" ca="1" si="50"/>
        <v>0</v>
      </c>
      <c r="F494" s="23" t="str">
        <f t="shared" ca="1" si="51"/>
        <v>—</v>
      </c>
      <c r="G494" s="40">
        <f t="shared" ca="1" si="52"/>
        <v>7</v>
      </c>
      <c r="H494" s="23" t="str">
        <f t="shared" ca="1" si="53"/>
        <v>—</v>
      </c>
      <c r="I494" s="40">
        <f t="shared" ca="1" si="54"/>
        <v>7</v>
      </c>
    </row>
    <row r="495" spans="1:9" x14ac:dyDescent="0.25">
      <c r="A495" s="17">
        <f t="shared" si="49"/>
        <v>81</v>
      </c>
      <c r="B495" t="str">
        <f ca="1">TEXT(DATE(YEAR(Invoer!$A$5),1,1)+INT((ROWS(B$2:B495)-1)/3),"jjjjmmdd")</f>
        <v>19200613</v>
      </c>
      <c r="C495" s="35" t="str">
        <f>IF(MOD(ROWS(C$2:C495)-1,3)=2,"24.00",INDEX(Data,2,2+MOD(ROWS(C$2:C495)-1,3)))</f>
        <v>14.00</v>
      </c>
      <c r="D495" s="23">
        <f t="shared" ca="1" si="55"/>
        <v>748.3</v>
      </c>
      <c r="E495" s="40">
        <f t="shared" ca="1" si="50"/>
        <v>0</v>
      </c>
      <c r="F495" s="23" t="str">
        <f t="shared" ca="1" si="51"/>
        <v>—</v>
      </c>
      <c r="G495" s="40">
        <f t="shared" ca="1" si="52"/>
        <v>7</v>
      </c>
      <c r="H495" s="23" t="str">
        <f t="shared" ca="1" si="53"/>
        <v>—</v>
      </c>
      <c r="I495" s="40">
        <f t="shared" ca="1" si="54"/>
        <v>7</v>
      </c>
    </row>
    <row r="496" spans="1:9" x14ac:dyDescent="0.25">
      <c r="A496" s="17">
        <f t="shared" si="49"/>
        <v>81</v>
      </c>
      <c r="B496" t="str">
        <f ca="1">TEXT(DATE(YEAR(Invoer!$A$5),1,1)+INT((ROWS(B$2:B496)-1)/3),"jjjjmmdd")</f>
        <v>19200613</v>
      </c>
      <c r="C496" s="35" t="str">
        <f>IF(MOD(ROWS(C$2:C496)-1,3)=2,"24.00",INDEX(Data,2,2+MOD(ROWS(C$2:C496)-1,3)))</f>
        <v>24.00</v>
      </c>
      <c r="D496" s="23" t="str">
        <f t="shared" ca="1" si="55"/>
        <v>—</v>
      </c>
      <c r="E496" s="40">
        <f t="shared" ca="1" si="50"/>
        <v>7</v>
      </c>
      <c r="F496" s="23">
        <f t="shared" ca="1" si="51"/>
        <v>27</v>
      </c>
      <c r="G496" s="40">
        <f t="shared" ca="1" si="52"/>
        <v>0</v>
      </c>
      <c r="H496" s="23">
        <f t="shared" ca="1" si="53"/>
        <v>29.5</v>
      </c>
      <c r="I496" s="40">
        <f t="shared" ca="1" si="54"/>
        <v>0</v>
      </c>
    </row>
    <row r="497" spans="1:9" x14ac:dyDescent="0.25">
      <c r="A497" s="17">
        <f t="shared" si="49"/>
        <v>81</v>
      </c>
      <c r="B497" t="str">
        <f ca="1">TEXT(DATE(YEAR(Invoer!$A$5),1,1)+INT((ROWS(B$2:B497)-1)/3),"jjjjmmdd")</f>
        <v>19200614</v>
      </c>
      <c r="C497" s="35" t="str">
        <f>IF(MOD(ROWS(C$2:C497)-1,3)=2,"24.00",INDEX(Data,2,2+MOD(ROWS(C$2:C497)-1,3)))</f>
        <v>08.00</v>
      </c>
      <c r="D497" s="23">
        <f t="shared" ca="1" si="55"/>
        <v>748.7</v>
      </c>
      <c r="E497" s="40">
        <f t="shared" ca="1" si="50"/>
        <v>0</v>
      </c>
      <c r="F497" s="23" t="str">
        <f t="shared" ca="1" si="51"/>
        <v>—</v>
      </c>
      <c r="G497" s="40">
        <f t="shared" ca="1" si="52"/>
        <v>7</v>
      </c>
      <c r="H497" s="23" t="str">
        <f t="shared" ca="1" si="53"/>
        <v>—</v>
      </c>
      <c r="I497" s="40">
        <f t="shared" ca="1" si="54"/>
        <v>7</v>
      </c>
    </row>
    <row r="498" spans="1:9" x14ac:dyDescent="0.25">
      <c r="A498" s="17">
        <f t="shared" si="49"/>
        <v>81</v>
      </c>
      <c r="B498" t="str">
        <f ca="1">TEXT(DATE(YEAR(Invoer!$A$5),1,1)+INT((ROWS(B$2:B498)-1)/3),"jjjjmmdd")</f>
        <v>19200614</v>
      </c>
      <c r="C498" s="35" t="str">
        <f>IF(MOD(ROWS(C$2:C498)-1,3)=2,"24.00",INDEX(Data,2,2+MOD(ROWS(C$2:C498)-1,3)))</f>
        <v>14.00</v>
      </c>
      <c r="D498" s="23">
        <f t="shared" ca="1" si="55"/>
        <v>748.5</v>
      </c>
      <c r="E498" s="40">
        <f t="shared" ca="1" si="50"/>
        <v>0</v>
      </c>
      <c r="F498" s="23" t="str">
        <f t="shared" ca="1" si="51"/>
        <v>—</v>
      </c>
      <c r="G498" s="40">
        <f t="shared" ca="1" si="52"/>
        <v>7</v>
      </c>
      <c r="H498" s="23" t="str">
        <f t="shared" ca="1" si="53"/>
        <v>—</v>
      </c>
      <c r="I498" s="40">
        <f t="shared" ca="1" si="54"/>
        <v>7</v>
      </c>
    </row>
    <row r="499" spans="1:9" x14ac:dyDescent="0.25">
      <c r="A499" s="17">
        <f t="shared" si="49"/>
        <v>81</v>
      </c>
      <c r="B499" t="str">
        <f ca="1">TEXT(DATE(YEAR(Invoer!$A$5),1,1)+INT((ROWS(B$2:B499)-1)/3),"jjjjmmdd")</f>
        <v>19200614</v>
      </c>
      <c r="C499" s="35" t="str">
        <f>IF(MOD(ROWS(C$2:C499)-1,3)=2,"24.00",INDEX(Data,2,2+MOD(ROWS(C$2:C499)-1,3)))</f>
        <v>24.00</v>
      </c>
      <c r="D499" s="23" t="str">
        <f t="shared" ca="1" si="55"/>
        <v>—</v>
      </c>
      <c r="E499" s="40">
        <f t="shared" ca="1" si="50"/>
        <v>7</v>
      </c>
      <c r="F499" s="23">
        <f t="shared" ca="1" si="51"/>
        <v>27</v>
      </c>
      <c r="G499" s="40">
        <f t="shared" ca="1" si="52"/>
        <v>0</v>
      </c>
      <c r="H499" s="23">
        <f t="shared" ca="1" si="53"/>
        <v>29.5</v>
      </c>
      <c r="I499" s="40">
        <f t="shared" ca="1" si="54"/>
        <v>0</v>
      </c>
    </row>
    <row r="500" spans="1:9" x14ac:dyDescent="0.25">
      <c r="A500" s="17">
        <f t="shared" si="49"/>
        <v>81</v>
      </c>
      <c r="B500" t="str">
        <f ca="1">TEXT(DATE(YEAR(Invoer!$A$5),1,1)+INT((ROWS(B$2:B500)-1)/3),"jjjjmmdd")</f>
        <v>19200615</v>
      </c>
      <c r="C500" s="35" t="str">
        <f>IF(MOD(ROWS(C$2:C500)-1,3)=2,"24.00",INDEX(Data,2,2+MOD(ROWS(C$2:C500)-1,3)))</f>
        <v>08.00</v>
      </c>
      <c r="D500" s="23">
        <f t="shared" ca="1" si="55"/>
        <v>748.5</v>
      </c>
      <c r="E500" s="40">
        <f t="shared" ca="1" si="50"/>
        <v>0</v>
      </c>
      <c r="F500" s="23" t="str">
        <f t="shared" ca="1" si="51"/>
        <v>—</v>
      </c>
      <c r="G500" s="40">
        <f t="shared" ca="1" si="52"/>
        <v>7</v>
      </c>
      <c r="H500" s="23" t="str">
        <f t="shared" ca="1" si="53"/>
        <v>—</v>
      </c>
      <c r="I500" s="40">
        <f t="shared" ca="1" si="54"/>
        <v>7</v>
      </c>
    </row>
    <row r="501" spans="1:9" x14ac:dyDescent="0.25">
      <c r="A501" s="17">
        <f t="shared" si="49"/>
        <v>81</v>
      </c>
      <c r="B501" t="str">
        <f ca="1">TEXT(DATE(YEAR(Invoer!$A$5),1,1)+INT((ROWS(B$2:B501)-1)/3),"jjjjmmdd")</f>
        <v>19200615</v>
      </c>
      <c r="C501" s="35" t="str">
        <f>IF(MOD(ROWS(C$2:C501)-1,3)=2,"24.00",INDEX(Data,2,2+MOD(ROWS(C$2:C501)-1,3)))</f>
        <v>14.00</v>
      </c>
      <c r="D501" s="23">
        <f t="shared" ca="1" si="55"/>
        <v>748</v>
      </c>
      <c r="E501" s="40">
        <f t="shared" ca="1" si="50"/>
        <v>0</v>
      </c>
      <c r="F501" s="23" t="str">
        <f t="shared" ca="1" si="51"/>
        <v>—</v>
      </c>
      <c r="G501" s="40">
        <f t="shared" ca="1" si="52"/>
        <v>7</v>
      </c>
      <c r="H501" s="23" t="str">
        <f t="shared" ca="1" si="53"/>
        <v>—</v>
      </c>
      <c r="I501" s="40">
        <f t="shared" ca="1" si="54"/>
        <v>7</v>
      </c>
    </row>
    <row r="502" spans="1:9" x14ac:dyDescent="0.25">
      <c r="A502" s="17">
        <f t="shared" si="49"/>
        <v>81</v>
      </c>
      <c r="B502" t="str">
        <f ca="1">TEXT(DATE(YEAR(Invoer!$A$5),1,1)+INT((ROWS(B$2:B502)-1)/3),"jjjjmmdd")</f>
        <v>19200615</v>
      </c>
      <c r="C502" s="35" t="str">
        <f>IF(MOD(ROWS(C$2:C502)-1,3)=2,"24.00",INDEX(Data,2,2+MOD(ROWS(C$2:C502)-1,3)))</f>
        <v>24.00</v>
      </c>
      <c r="D502" s="23" t="str">
        <f t="shared" ca="1" si="55"/>
        <v>—</v>
      </c>
      <c r="E502" s="40">
        <f t="shared" ca="1" si="50"/>
        <v>7</v>
      </c>
      <c r="F502" s="23">
        <f t="shared" ca="1" si="51"/>
        <v>26</v>
      </c>
      <c r="G502" s="40">
        <f t="shared" ca="1" si="52"/>
        <v>0</v>
      </c>
      <c r="H502" s="23">
        <f t="shared" ca="1" si="53"/>
        <v>29</v>
      </c>
      <c r="I502" s="40">
        <f t="shared" ca="1" si="54"/>
        <v>0</v>
      </c>
    </row>
    <row r="503" spans="1:9" x14ac:dyDescent="0.25">
      <c r="A503" s="17">
        <f t="shared" si="49"/>
        <v>81</v>
      </c>
      <c r="B503" t="str">
        <f ca="1">TEXT(DATE(YEAR(Invoer!$A$5),1,1)+INT((ROWS(B$2:B503)-1)/3),"jjjjmmdd")</f>
        <v>19200616</v>
      </c>
      <c r="C503" s="35" t="str">
        <f>IF(MOD(ROWS(C$2:C503)-1,3)=2,"24.00",INDEX(Data,2,2+MOD(ROWS(C$2:C503)-1,3)))</f>
        <v>08.00</v>
      </c>
      <c r="D503" s="23">
        <f t="shared" ca="1" si="55"/>
        <v>748.6</v>
      </c>
      <c r="E503" s="40">
        <f t="shared" ca="1" si="50"/>
        <v>0</v>
      </c>
      <c r="F503" s="23" t="str">
        <f t="shared" ca="1" si="51"/>
        <v>—</v>
      </c>
      <c r="G503" s="40">
        <f t="shared" ca="1" si="52"/>
        <v>7</v>
      </c>
      <c r="H503" s="23" t="str">
        <f t="shared" ca="1" si="53"/>
        <v>—</v>
      </c>
      <c r="I503" s="40">
        <f t="shared" ca="1" si="54"/>
        <v>7</v>
      </c>
    </row>
    <row r="504" spans="1:9" x14ac:dyDescent="0.25">
      <c r="A504" s="17">
        <f t="shared" si="49"/>
        <v>81</v>
      </c>
      <c r="B504" t="str">
        <f ca="1">TEXT(DATE(YEAR(Invoer!$A$5),1,1)+INT((ROWS(B$2:B504)-1)/3),"jjjjmmdd")</f>
        <v>19200616</v>
      </c>
      <c r="C504" s="35" t="str">
        <f>IF(MOD(ROWS(C$2:C504)-1,3)=2,"24.00",INDEX(Data,2,2+MOD(ROWS(C$2:C504)-1,3)))</f>
        <v>14.00</v>
      </c>
      <c r="D504" s="23">
        <f t="shared" ca="1" si="55"/>
        <v>748</v>
      </c>
      <c r="E504" s="40">
        <f t="shared" ca="1" si="50"/>
        <v>0</v>
      </c>
      <c r="F504" s="23" t="str">
        <f t="shared" ca="1" si="51"/>
        <v>—</v>
      </c>
      <c r="G504" s="40">
        <f t="shared" ca="1" si="52"/>
        <v>7</v>
      </c>
      <c r="H504" s="23" t="str">
        <f t="shared" ca="1" si="53"/>
        <v>—</v>
      </c>
      <c r="I504" s="40">
        <f t="shared" ca="1" si="54"/>
        <v>7</v>
      </c>
    </row>
    <row r="505" spans="1:9" x14ac:dyDescent="0.25">
      <c r="A505" s="17">
        <f t="shared" si="49"/>
        <v>81</v>
      </c>
      <c r="B505" t="str">
        <f ca="1">TEXT(DATE(YEAR(Invoer!$A$5),1,1)+INT((ROWS(B$2:B505)-1)/3),"jjjjmmdd")</f>
        <v>19200616</v>
      </c>
      <c r="C505" s="35" t="str">
        <f>IF(MOD(ROWS(C$2:C505)-1,3)=2,"24.00",INDEX(Data,2,2+MOD(ROWS(C$2:C505)-1,3)))</f>
        <v>24.00</v>
      </c>
      <c r="D505" s="23" t="str">
        <f t="shared" ca="1" si="55"/>
        <v>—</v>
      </c>
      <c r="E505" s="40">
        <f t="shared" ca="1" si="50"/>
        <v>7</v>
      </c>
      <c r="F505" s="23">
        <f t="shared" ca="1" si="51"/>
        <v>27</v>
      </c>
      <c r="G505" s="40">
        <f t="shared" ca="1" si="52"/>
        <v>0</v>
      </c>
      <c r="H505" s="23">
        <f t="shared" ca="1" si="53"/>
        <v>29.3</v>
      </c>
      <c r="I505" s="40">
        <f t="shared" ca="1" si="54"/>
        <v>0</v>
      </c>
    </row>
    <row r="506" spans="1:9" x14ac:dyDescent="0.25">
      <c r="A506" s="17">
        <f t="shared" si="49"/>
        <v>81</v>
      </c>
      <c r="B506" t="str">
        <f ca="1">TEXT(DATE(YEAR(Invoer!$A$5),1,1)+INT((ROWS(B$2:B506)-1)/3),"jjjjmmdd")</f>
        <v>19200617</v>
      </c>
      <c r="C506" s="35" t="str">
        <f>IF(MOD(ROWS(C$2:C506)-1,3)=2,"24.00",INDEX(Data,2,2+MOD(ROWS(C$2:C506)-1,3)))</f>
        <v>08.00</v>
      </c>
      <c r="D506" s="23">
        <f t="shared" ca="1" si="55"/>
        <v>748.6</v>
      </c>
      <c r="E506" s="40">
        <f t="shared" ca="1" si="50"/>
        <v>0</v>
      </c>
      <c r="F506" s="23" t="str">
        <f t="shared" ca="1" si="51"/>
        <v>—</v>
      </c>
      <c r="G506" s="40">
        <f t="shared" ca="1" si="52"/>
        <v>7</v>
      </c>
      <c r="H506" s="23" t="str">
        <f t="shared" ca="1" si="53"/>
        <v>—</v>
      </c>
      <c r="I506" s="40">
        <f t="shared" ca="1" si="54"/>
        <v>7</v>
      </c>
    </row>
    <row r="507" spans="1:9" x14ac:dyDescent="0.25">
      <c r="A507" s="17">
        <f t="shared" si="49"/>
        <v>81</v>
      </c>
      <c r="B507" t="str">
        <f ca="1">TEXT(DATE(YEAR(Invoer!$A$5),1,1)+INT((ROWS(B$2:B507)-1)/3),"jjjjmmdd")</f>
        <v>19200617</v>
      </c>
      <c r="C507" s="35" t="str">
        <f>IF(MOD(ROWS(C$2:C507)-1,3)=2,"24.00",INDEX(Data,2,2+MOD(ROWS(C$2:C507)-1,3)))</f>
        <v>14.00</v>
      </c>
      <c r="D507" s="23">
        <f t="shared" ca="1" si="55"/>
        <v>748.5</v>
      </c>
      <c r="E507" s="40">
        <f t="shared" ca="1" si="50"/>
        <v>0</v>
      </c>
      <c r="F507" s="23" t="str">
        <f t="shared" ca="1" si="51"/>
        <v>—</v>
      </c>
      <c r="G507" s="40">
        <f t="shared" ca="1" si="52"/>
        <v>7</v>
      </c>
      <c r="H507" s="23" t="str">
        <f t="shared" ca="1" si="53"/>
        <v>—</v>
      </c>
      <c r="I507" s="40">
        <f t="shared" ca="1" si="54"/>
        <v>7</v>
      </c>
    </row>
    <row r="508" spans="1:9" x14ac:dyDescent="0.25">
      <c r="A508" s="17">
        <f t="shared" si="49"/>
        <v>81</v>
      </c>
      <c r="B508" t="str">
        <f ca="1">TEXT(DATE(YEAR(Invoer!$A$5),1,1)+INT((ROWS(B$2:B508)-1)/3),"jjjjmmdd")</f>
        <v>19200617</v>
      </c>
      <c r="C508" s="35" t="str">
        <f>IF(MOD(ROWS(C$2:C508)-1,3)=2,"24.00",INDEX(Data,2,2+MOD(ROWS(C$2:C508)-1,3)))</f>
        <v>24.00</v>
      </c>
      <c r="D508" s="23" t="str">
        <f t="shared" ca="1" si="55"/>
        <v>—</v>
      </c>
      <c r="E508" s="40">
        <f t="shared" ca="1" si="50"/>
        <v>7</v>
      </c>
      <c r="F508" s="23">
        <f t="shared" ca="1" si="51"/>
        <v>26</v>
      </c>
      <c r="G508" s="40">
        <f t="shared" ca="1" si="52"/>
        <v>0</v>
      </c>
      <c r="H508" s="23">
        <f t="shared" ca="1" si="53"/>
        <v>29.3</v>
      </c>
      <c r="I508" s="40">
        <f t="shared" ca="1" si="54"/>
        <v>0</v>
      </c>
    </row>
    <row r="509" spans="1:9" x14ac:dyDescent="0.25">
      <c r="A509" s="17">
        <f t="shared" si="49"/>
        <v>81</v>
      </c>
      <c r="B509" t="str">
        <f ca="1">TEXT(DATE(YEAR(Invoer!$A$5),1,1)+INT((ROWS(B$2:B509)-1)/3),"jjjjmmdd")</f>
        <v>19200618</v>
      </c>
      <c r="C509" s="35" t="str">
        <f>IF(MOD(ROWS(C$2:C509)-1,3)=2,"24.00",INDEX(Data,2,2+MOD(ROWS(C$2:C509)-1,3)))</f>
        <v>08.00</v>
      </c>
      <c r="D509" s="23">
        <f t="shared" ca="1" si="55"/>
        <v>748.9</v>
      </c>
      <c r="E509" s="40">
        <f t="shared" ca="1" si="50"/>
        <v>0</v>
      </c>
      <c r="F509" s="23" t="str">
        <f t="shared" ca="1" si="51"/>
        <v>—</v>
      </c>
      <c r="G509" s="40">
        <f t="shared" ca="1" si="52"/>
        <v>7</v>
      </c>
      <c r="H509" s="23" t="str">
        <f t="shared" ca="1" si="53"/>
        <v>—</v>
      </c>
      <c r="I509" s="40">
        <f t="shared" ca="1" si="54"/>
        <v>7</v>
      </c>
    </row>
    <row r="510" spans="1:9" x14ac:dyDescent="0.25">
      <c r="A510" s="17">
        <f t="shared" si="49"/>
        <v>81</v>
      </c>
      <c r="B510" t="str">
        <f ca="1">TEXT(DATE(YEAR(Invoer!$A$5),1,1)+INT((ROWS(B$2:B510)-1)/3),"jjjjmmdd")</f>
        <v>19200618</v>
      </c>
      <c r="C510" s="35" t="str">
        <f>IF(MOD(ROWS(C$2:C510)-1,3)=2,"24.00",INDEX(Data,2,2+MOD(ROWS(C$2:C510)-1,3)))</f>
        <v>14.00</v>
      </c>
      <c r="D510" s="23">
        <f t="shared" ca="1" si="55"/>
        <v>748.7</v>
      </c>
      <c r="E510" s="40">
        <f t="shared" ca="1" si="50"/>
        <v>0</v>
      </c>
      <c r="F510" s="23" t="str">
        <f t="shared" ca="1" si="51"/>
        <v>—</v>
      </c>
      <c r="G510" s="40">
        <f t="shared" ca="1" si="52"/>
        <v>7</v>
      </c>
      <c r="H510" s="23" t="str">
        <f t="shared" ca="1" si="53"/>
        <v>—</v>
      </c>
      <c r="I510" s="40">
        <f t="shared" ca="1" si="54"/>
        <v>7</v>
      </c>
    </row>
    <row r="511" spans="1:9" x14ac:dyDescent="0.25">
      <c r="A511" s="17">
        <f t="shared" si="49"/>
        <v>81</v>
      </c>
      <c r="B511" t="str">
        <f ca="1">TEXT(DATE(YEAR(Invoer!$A$5),1,1)+INT((ROWS(B$2:B511)-1)/3),"jjjjmmdd")</f>
        <v>19200618</v>
      </c>
      <c r="C511" s="35" t="str">
        <f>IF(MOD(ROWS(C$2:C511)-1,3)=2,"24.00",INDEX(Data,2,2+MOD(ROWS(C$2:C511)-1,3)))</f>
        <v>24.00</v>
      </c>
      <c r="D511" s="23" t="str">
        <f t="shared" ca="1" si="55"/>
        <v>—</v>
      </c>
      <c r="E511" s="40">
        <f t="shared" ca="1" si="50"/>
        <v>7</v>
      </c>
      <c r="F511" s="23">
        <f t="shared" ca="1" si="51"/>
        <v>27</v>
      </c>
      <c r="G511" s="40">
        <f t="shared" ca="1" si="52"/>
        <v>0</v>
      </c>
      <c r="H511" s="23">
        <f t="shared" ca="1" si="53"/>
        <v>29</v>
      </c>
      <c r="I511" s="40">
        <f t="shared" ca="1" si="54"/>
        <v>0</v>
      </c>
    </row>
    <row r="512" spans="1:9" x14ac:dyDescent="0.25">
      <c r="A512" s="17">
        <f t="shared" si="49"/>
        <v>81</v>
      </c>
      <c r="B512" t="str">
        <f ca="1">TEXT(DATE(YEAR(Invoer!$A$5),1,1)+INT((ROWS(B$2:B512)-1)/3),"jjjjmmdd")</f>
        <v>19200619</v>
      </c>
      <c r="C512" s="35" t="str">
        <f>IF(MOD(ROWS(C$2:C512)-1,3)=2,"24.00",INDEX(Data,2,2+MOD(ROWS(C$2:C512)-1,3)))</f>
        <v>08.00</v>
      </c>
      <c r="D512" s="23">
        <f t="shared" ca="1" si="55"/>
        <v>749</v>
      </c>
      <c r="E512" s="40">
        <f t="shared" ca="1" si="50"/>
        <v>0</v>
      </c>
      <c r="F512" s="23" t="str">
        <f t="shared" ca="1" si="51"/>
        <v>—</v>
      </c>
      <c r="G512" s="40">
        <f t="shared" ca="1" si="52"/>
        <v>7</v>
      </c>
      <c r="H512" s="23" t="str">
        <f t="shared" ca="1" si="53"/>
        <v>—</v>
      </c>
      <c r="I512" s="40">
        <f t="shared" ca="1" si="54"/>
        <v>7</v>
      </c>
    </row>
    <row r="513" spans="1:9" x14ac:dyDescent="0.25">
      <c r="A513" s="17">
        <f t="shared" si="49"/>
        <v>81</v>
      </c>
      <c r="B513" t="str">
        <f ca="1">TEXT(DATE(YEAR(Invoer!$A$5),1,1)+INT((ROWS(B$2:B513)-1)/3),"jjjjmmdd")</f>
        <v>19200619</v>
      </c>
      <c r="C513" s="35" t="str">
        <f>IF(MOD(ROWS(C$2:C513)-1,3)=2,"24.00",INDEX(Data,2,2+MOD(ROWS(C$2:C513)-1,3)))</f>
        <v>14.00</v>
      </c>
      <c r="D513" s="23">
        <f t="shared" ca="1" si="55"/>
        <v>748.7</v>
      </c>
      <c r="E513" s="40">
        <f t="shared" ca="1" si="50"/>
        <v>0</v>
      </c>
      <c r="F513" s="23" t="str">
        <f t="shared" ca="1" si="51"/>
        <v>—</v>
      </c>
      <c r="G513" s="40">
        <f t="shared" ca="1" si="52"/>
        <v>7</v>
      </c>
      <c r="H513" s="23" t="str">
        <f t="shared" ca="1" si="53"/>
        <v>—</v>
      </c>
      <c r="I513" s="40">
        <f t="shared" ca="1" si="54"/>
        <v>7</v>
      </c>
    </row>
    <row r="514" spans="1:9" x14ac:dyDescent="0.25">
      <c r="A514" s="17">
        <f t="shared" ref="A514:A577" si="56">INDEX(Stations,2,1)</f>
        <v>81</v>
      </c>
      <c r="B514" t="str">
        <f ca="1">TEXT(DATE(YEAR(Invoer!$A$5),1,1)+INT((ROWS(B$2:B514)-1)/3),"jjjjmmdd")</f>
        <v>19200619</v>
      </c>
      <c r="C514" s="35" t="str">
        <f>IF(MOD(ROWS(C$2:C514)-1,3)=2,"24.00",INDEX(Data,2,2+MOD(ROWS(C$2:C514)-1,3)))</f>
        <v>24.00</v>
      </c>
      <c r="D514" s="23" t="str">
        <f t="shared" ca="1" si="55"/>
        <v>—</v>
      </c>
      <c r="E514" s="40">
        <f t="shared" ref="E514:E577" ca="1" si="57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  <c r="F514" s="23">
        <f t="shared" ref="F514:F577" ca="1" si="58">IF(OR(ISBLANK(VLOOKUP(DATEVALUE(LEFT($B514,4)&amp;"-"&amp;MID($B514,5,2)&amp;"-"&amp;RIGHT($B514,2)),Data,MATCH(LEFT(VLOOKUP(F$1,Parameters,2,FALSE()),4)&amp;"*",OFFSET(Data,1,0,1),0),FALSE())),ISTEXT(VLOOKUP(DATEVALUE(LEFT($B514,4)&amp;"-"&amp;MID($B514,5,2)&amp;"-"&amp;RIGHT($B514,2)),Data,MATCH(LEFT(VLOOKUP(F$1,Parameters,2,FALSE()),4)&amp;"*",OFFSET(Data,1,0,1),0),FALSE())),NOT(EXACT($C514,"24.00"))),"—",VLOOKUP(DATEVALUE(LEFT($B514,4)&amp;"-"&amp;MID($B514,5,2)&amp;"-"&amp;RIGHT($B514,2)),Data,MATCH(LEFT(VLOOKUP(F$1,Parameters,2,FALSE()),4)&amp;"*",OFFSET(Data,1,0,1),0),FALSE()))</f>
        <v>26.5</v>
      </c>
      <c r="G514" s="40">
        <f t="shared" ref="G514:G577" ca="1" si="59">IF(OR(ISBLANK(VLOOKUP(DATEVALUE(LEFT($B514,4)&amp;"-"&amp;MID($B514,5,2)&amp;"-"&amp;RIGHT($B514,2)),Data,MATCH(LEFT(VLOOKUP(MID(G$1,2,LEN(G$1)-1),Parameters,2,FALSE()),4)&amp;"*",OFFSET(Data,1,0,1),0),FALSE())),ISTEXT(VLOOKUP(DATEVALUE(LEFT($B514,4)&amp;"-"&amp;MID($B514,5,2)&amp;"-"&amp;RIGHT($B514,2)),Data,MATCH(LEFT(VLOOKUP(MID(G$1,2,LEN(G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1,0,1),0),FALSE())))</f>
        <v>0</v>
      </c>
      <c r="H514" s="23">
        <f t="shared" ref="H514:H577" ca="1" si="60">IF(OR(ISBLANK(VLOOKUP(DATEVALUE(LEFT($B514,4)&amp;"-"&amp;MID($B514,5,2)&amp;"-"&amp;RIGHT($B514,2)),Data,MATCH(LEFT(VLOOKUP(H$1,Parameters,2,FALSE()),4)&amp;"*",OFFSET(Data,1,0,1),0),FALSE())),ISTEXT(VLOOKUP(DATEVALUE(LEFT($B514,4)&amp;"-"&amp;MID($B514,5,2)&amp;"-"&amp;RIGHT($B514,2)),Data,MATCH(LEFT(VLOOKUP(H$1,Parameters,2,FALSE()),4)&amp;"*",OFFSET(Data,1,0,1),0),FALSE())),NOT(EXACT($C514,"24.00"))),"—",VLOOKUP(DATEVALUE(LEFT($B514,4)&amp;"-"&amp;MID($B514,5,2)&amp;"-"&amp;RIGHT($B514,2)),Data,MATCH(LEFT(VLOOKUP(H$1,Parameters,2,FALSE()),4)&amp;"*",OFFSET(Data,1,0,1),0),FALSE()))</f>
        <v>28</v>
      </c>
      <c r="I514" s="40">
        <f t="shared" ref="I514:I577" ca="1" si="61">IF(OR(ISBLANK(VLOOKUP(DATEVALUE(LEFT($B514,4)&amp;"-"&amp;MID($B514,5,2)&amp;"-"&amp;RIGHT($B514,2)),Data,MATCH(LEFT(VLOOKUP(MID(I$1,2,LEN(I$1)-1),Parameters,2,FALSE()),4)&amp;"*",OFFSET(Data,1,0,1),0),FALSE())),ISTEXT(VLOOKUP(DATEVALUE(LEFT($B514,4)&amp;"-"&amp;MID($B514,5,2)&amp;"-"&amp;RIGHT($B514,2)),Data,MATCH(LEFT(VLOOKUP(MID(I$1,2,LEN(I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I$1,2,LEN(I$1)-1),Parameters,2,FALSE()),4)&amp;"*",OFFSET(Catalogus,1,0,1),0),FALSE())))</f>
        <v>0</v>
      </c>
    </row>
    <row r="515" spans="1:9" x14ac:dyDescent="0.25">
      <c r="A515" s="17">
        <f t="shared" si="56"/>
        <v>81</v>
      </c>
      <c r="B515" t="str">
        <f ca="1">TEXT(DATE(YEAR(Invoer!$A$5),1,1)+INT((ROWS(B$2:B515)-1)/3),"jjjjmmdd")</f>
        <v>19200620</v>
      </c>
      <c r="C515" s="35" t="str">
        <f>IF(MOD(ROWS(C$2:C515)-1,3)=2,"24.00",INDEX(Data,2,2+MOD(ROWS(C$2:C515)-1,3)))</f>
        <v>08.00</v>
      </c>
      <c r="D515" s="23">
        <f t="shared" ref="D515:D578" ca="1" si="62">IF(OR(ISBLANK(VLOOKUP(DATEVALUE(LEFT($B515,4)&amp;"-"&amp;MID($B515,5,2)&amp;"-"&amp;RIGHT($B515,2)),Data,MATCH(LEFT(VLOOKUP(D$1,Parameters,2,FALSE()),4)&amp;"*",OFFSET(Data,0,0,1),0)+MATCH($C515,OFFSET(Data,1,0,1),0)-2,FALSE())),ISTEXT(VLOOKUP(DATEVALUE(LEFT($B515,4)&amp;"-"&amp;MID($B515,5,2)&amp;"-"&amp;RIGHT($B515,2)),Data,MATCH(LEFT(VLOOKUP(D$1,Parameters,2,FALSE()),4)&amp;"*",OFFSET(Data,0,0,1),0)+MATCH($C515,OFFSET(Data,1,0,1),0)-2,FALSE())),EXACT(C515,"24.00")),"—",VLOOKUP(DATEVALUE(LEFT($B515,4)&amp;"-"&amp;MID($B515,5,2)&amp;"-"&amp;RIGHT($B515,2)),Data,MATCH(LEFT(VLOOKUP(D$1,Parameters,2,FALSE()),4)&amp;"*",OFFSET(Data,0,0,1),0)+MATCH($C515,OFFSET(Data,1,0,1),0)-2,FALSE()))</f>
        <v>749</v>
      </c>
      <c r="E515" s="40">
        <f t="shared" ca="1" si="57"/>
        <v>0</v>
      </c>
      <c r="F515" s="23" t="str">
        <f t="shared" ca="1" si="58"/>
        <v>—</v>
      </c>
      <c r="G515" s="40">
        <f t="shared" ca="1" si="59"/>
        <v>7</v>
      </c>
      <c r="H515" s="23" t="str">
        <f t="shared" ca="1" si="60"/>
        <v>—</v>
      </c>
      <c r="I515" s="40">
        <f t="shared" ca="1" si="61"/>
        <v>7</v>
      </c>
    </row>
    <row r="516" spans="1:9" x14ac:dyDescent="0.25">
      <c r="A516" s="17">
        <f t="shared" si="56"/>
        <v>81</v>
      </c>
      <c r="B516" t="str">
        <f ca="1">TEXT(DATE(YEAR(Invoer!$A$5),1,1)+INT((ROWS(B$2:B516)-1)/3),"jjjjmmdd")</f>
        <v>19200620</v>
      </c>
      <c r="C516" s="35" t="str">
        <f>IF(MOD(ROWS(C$2:C516)-1,3)=2,"24.00",INDEX(Data,2,2+MOD(ROWS(C$2:C516)-1,3)))</f>
        <v>14.00</v>
      </c>
      <c r="D516" s="23">
        <f t="shared" ca="1" si="62"/>
        <v>748.5</v>
      </c>
      <c r="E516" s="40">
        <f t="shared" ca="1" si="57"/>
        <v>0</v>
      </c>
      <c r="F516" s="23" t="str">
        <f t="shared" ca="1" si="58"/>
        <v>—</v>
      </c>
      <c r="G516" s="40">
        <f t="shared" ca="1" si="59"/>
        <v>7</v>
      </c>
      <c r="H516" s="23" t="str">
        <f t="shared" ca="1" si="60"/>
        <v>—</v>
      </c>
      <c r="I516" s="40">
        <f t="shared" ca="1" si="61"/>
        <v>7</v>
      </c>
    </row>
    <row r="517" spans="1:9" x14ac:dyDescent="0.25">
      <c r="A517" s="17">
        <f t="shared" si="56"/>
        <v>81</v>
      </c>
      <c r="B517" t="str">
        <f ca="1">TEXT(DATE(YEAR(Invoer!$A$5),1,1)+INT((ROWS(B$2:B517)-1)/3),"jjjjmmdd")</f>
        <v>19200620</v>
      </c>
      <c r="C517" s="35" t="str">
        <f>IF(MOD(ROWS(C$2:C517)-1,3)=2,"24.00",INDEX(Data,2,2+MOD(ROWS(C$2:C517)-1,3)))</f>
        <v>24.00</v>
      </c>
      <c r="D517" s="23" t="str">
        <f t="shared" ca="1" si="62"/>
        <v>—</v>
      </c>
      <c r="E517" s="40">
        <f t="shared" ca="1" si="57"/>
        <v>7</v>
      </c>
      <c r="F517" s="23">
        <f t="shared" ca="1" si="58"/>
        <v>26</v>
      </c>
      <c r="G517" s="40">
        <f t="shared" ca="1" si="59"/>
        <v>0</v>
      </c>
      <c r="H517" s="23">
        <f t="shared" ca="1" si="60"/>
        <v>28</v>
      </c>
      <c r="I517" s="40">
        <f t="shared" ca="1" si="61"/>
        <v>0</v>
      </c>
    </row>
    <row r="518" spans="1:9" x14ac:dyDescent="0.25">
      <c r="A518" s="17">
        <f t="shared" si="56"/>
        <v>81</v>
      </c>
      <c r="B518" t="str">
        <f ca="1">TEXT(DATE(YEAR(Invoer!$A$5),1,1)+INT((ROWS(B$2:B518)-1)/3),"jjjjmmdd")</f>
        <v>19200621</v>
      </c>
      <c r="C518" s="35" t="str">
        <f>IF(MOD(ROWS(C$2:C518)-1,3)=2,"24.00",INDEX(Data,2,2+MOD(ROWS(C$2:C518)-1,3)))</f>
        <v>08.00</v>
      </c>
      <c r="D518" s="23">
        <f t="shared" ca="1" si="62"/>
        <v>749</v>
      </c>
      <c r="E518" s="40">
        <f t="shared" ca="1" si="57"/>
        <v>0</v>
      </c>
      <c r="F518" s="23" t="str">
        <f t="shared" ca="1" si="58"/>
        <v>—</v>
      </c>
      <c r="G518" s="40">
        <f t="shared" ca="1" si="59"/>
        <v>7</v>
      </c>
      <c r="H518" s="23" t="str">
        <f t="shared" ca="1" si="60"/>
        <v>—</v>
      </c>
      <c r="I518" s="40">
        <f t="shared" ca="1" si="61"/>
        <v>7</v>
      </c>
    </row>
    <row r="519" spans="1:9" x14ac:dyDescent="0.25">
      <c r="A519" s="17">
        <f t="shared" si="56"/>
        <v>81</v>
      </c>
      <c r="B519" t="str">
        <f ca="1">TEXT(DATE(YEAR(Invoer!$A$5),1,1)+INT((ROWS(B$2:B519)-1)/3),"jjjjmmdd")</f>
        <v>19200621</v>
      </c>
      <c r="C519" s="35" t="str">
        <f>IF(MOD(ROWS(C$2:C519)-1,3)=2,"24.00",INDEX(Data,2,2+MOD(ROWS(C$2:C519)-1,3)))</f>
        <v>14.00</v>
      </c>
      <c r="D519" s="23">
        <f t="shared" ca="1" si="62"/>
        <v>748.5</v>
      </c>
      <c r="E519" s="40">
        <f t="shared" ca="1" si="57"/>
        <v>0</v>
      </c>
      <c r="F519" s="23" t="str">
        <f t="shared" ca="1" si="58"/>
        <v>—</v>
      </c>
      <c r="G519" s="40">
        <f t="shared" ca="1" si="59"/>
        <v>7</v>
      </c>
      <c r="H519" s="23" t="str">
        <f t="shared" ca="1" si="60"/>
        <v>—</v>
      </c>
      <c r="I519" s="40">
        <f t="shared" ca="1" si="61"/>
        <v>7</v>
      </c>
    </row>
    <row r="520" spans="1:9" x14ac:dyDescent="0.25">
      <c r="A520" s="17">
        <f t="shared" si="56"/>
        <v>81</v>
      </c>
      <c r="B520" t="str">
        <f ca="1">TEXT(DATE(YEAR(Invoer!$A$5),1,1)+INT((ROWS(B$2:B520)-1)/3),"jjjjmmdd")</f>
        <v>19200621</v>
      </c>
      <c r="C520" s="35" t="str">
        <f>IF(MOD(ROWS(C$2:C520)-1,3)=2,"24.00",INDEX(Data,2,2+MOD(ROWS(C$2:C520)-1,3)))</f>
        <v>24.00</v>
      </c>
      <c r="D520" s="23" t="str">
        <f t="shared" ca="1" si="62"/>
        <v>—</v>
      </c>
      <c r="E520" s="40">
        <f t="shared" ca="1" si="57"/>
        <v>7</v>
      </c>
      <c r="F520" s="23">
        <f t="shared" ca="1" si="58"/>
        <v>26</v>
      </c>
      <c r="G520" s="40">
        <f t="shared" ca="1" si="59"/>
        <v>0</v>
      </c>
      <c r="H520" s="23">
        <f t="shared" ca="1" si="60"/>
        <v>28.5</v>
      </c>
      <c r="I520" s="40">
        <f t="shared" ca="1" si="61"/>
        <v>0</v>
      </c>
    </row>
    <row r="521" spans="1:9" x14ac:dyDescent="0.25">
      <c r="A521" s="17">
        <f t="shared" si="56"/>
        <v>81</v>
      </c>
      <c r="B521" t="str">
        <f ca="1">TEXT(DATE(YEAR(Invoer!$A$5),1,1)+INT((ROWS(B$2:B521)-1)/3),"jjjjmmdd")</f>
        <v>19200622</v>
      </c>
      <c r="C521" s="35" t="str">
        <f>IF(MOD(ROWS(C$2:C521)-1,3)=2,"24.00",INDEX(Data,2,2+MOD(ROWS(C$2:C521)-1,3)))</f>
        <v>08.00</v>
      </c>
      <c r="D521" s="23">
        <f t="shared" ca="1" si="62"/>
        <v>749</v>
      </c>
      <c r="E521" s="40">
        <f t="shared" ca="1" si="57"/>
        <v>0</v>
      </c>
      <c r="F521" s="23" t="str">
        <f t="shared" ca="1" si="58"/>
        <v>—</v>
      </c>
      <c r="G521" s="40">
        <f t="shared" ca="1" si="59"/>
        <v>7</v>
      </c>
      <c r="H521" s="23" t="str">
        <f t="shared" ca="1" si="60"/>
        <v>—</v>
      </c>
      <c r="I521" s="40">
        <f t="shared" ca="1" si="61"/>
        <v>7</v>
      </c>
    </row>
    <row r="522" spans="1:9" x14ac:dyDescent="0.25">
      <c r="A522" s="17">
        <f t="shared" si="56"/>
        <v>81</v>
      </c>
      <c r="B522" t="str">
        <f ca="1">TEXT(DATE(YEAR(Invoer!$A$5),1,1)+INT((ROWS(B$2:B522)-1)/3),"jjjjmmdd")</f>
        <v>19200622</v>
      </c>
      <c r="C522" s="35" t="str">
        <f>IF(MOD(ROWS(C$2:C522)-1,3)=2,"24.00",INDEX(Data,2,2+MOD(ROWS(C$2:C522)-1,3)))</f>
        <v>14.00</v>
      </c>
      <c r="D522" s="23">
        <f t="shared" ca="1" si="62"/>
        <v>748.7</v>
      </c>
      <c r="E522" s="40">
        <f t="shared" ca="1" si="57"/>
        <v>0</v>
      </c>
      <c r="F522" s="23" t="str">
        <f t="shared" ca="1" si="58"/>
        <v>—</v>
      </c>
      <c r="G522" s="40">
        <f t="shared" ca="1" si="59"/>
        <v>7</v>
      </c>
      <c r="H522" s="23" t="str">
        <f t="shared" ca="1" si="60"/>
        <v>—</v>
      </c>
      <c r="I522" s="40">
        <f t="shared" ca="1" si="61"/>
        <v>7</v>
      </c>
    </row>
    <row r="523" spans="1:9" x14ac:dyDescent="0.25">
      <c r="A523" s="17">
        <f t="shared" si="56"/>
        <v>81</v>
      </c>
      <c r="B523" t="str">
        <f ca="1">TEXT(DATE(YEAR(Invoer!$A$5),1,1)+INT((ROWS(B$2:B523)-1)/3),"jjjjmmdd")</f>
        <v>19200622</v>
      </c>
      <c r="C523" s="35" t="str">
        <f>IF(MOD(ROWS(C$2:C523)-1,3)=2,"24.00",INDEX(Data,2,2+MOD(ROWS(C$2:C523)-1,3)))</f>
        <v>24.00</v>
      </c>
      <c r="D523" s="23" t="str">
        <f t="shared" ca="1" si="62"/>
        <v>—</v>
      </c>
      <c r="E523" s="40">
        <f t="shared" ca="1" si="57"/>
        <v>7</v>
      </c>
      <c r="F523" s="23">
        <f t="shared" ca="1" si="58"/>
        <v>26</v>
      </c>
      <c r="G523" s="40">
        <f t="shared" ca="1" si="59"/>
        <v>0</v>
      </c>
      <c r="H523" s="23">
        <f t="shared" ca="1" si="60"/>
        <v>28</v>
      </c>
      <c r="I523" s="40">
        <f t="shared" ca="1" si="61"/>
        <v>0</v>
      </c>
    </row>
    <row r="524" spans="1:9" x14ac:dyDescent="0.25">
      <c r="A524" s="17">
        <f t="shared" si="56"/>
        <v>81</v>
      </c>
      <c r="B524" t="str">
        <f ca="1">TEXT(DATE(YEAR(Invoer!$A$5),1,1)+INT((ROWS(B$2:B524)-1)/3),"jjjjmmdd")</f>
        <v>19200623</v>
      </c>
      <c r="C524" s="35" t="str">
        <f>IF(MOD(ROWS(C$2:C524)-1,3)=2,"24.00",INDEX(Data,2,2+MOD(ROWS(C$2:C524)-1,3)))</f>
        <v>08.00</v>
      </c>
      <c r="D524" s="23">
        <f t="shared" ca="1" si="62"/>
        <v>749</v>
      </c>
      <c r="E524" s="40">
        <f t="shared" ca="1" si="57"/>
        <v>0</v>
      </c>
      <c r="F524" s="23" t="str">
        <f t="shared" ca="1" si="58"/>
        <v>—</v>
      </c>
      <c r="G524" s="40">
        <f t="shared" ca="1" si="59"/>
        <v>7</v>
      </c>
      <c r="H524" s="23" t="str">
        <f t="shared" ca="1" si="60"/>
        <v>—</v>
      </c>
      <c r="I524" s="40">
        <f t="shared" ca="1" si="61"/>
        <v>7</v>
      </c>
    </row>
    <row r="525" spans="1:9" x14ac:dyDescent="0.25">
      <c r="A525" s="17">
        <f t="shared" si="56"/>
        <v>81</v>
      </c>
      <c r="B525" t="str">
        <f ca="1">TEXT(DATE(YEAR(Invoer!$A$5),1,1)+INT((ROWS(B$2:B525)-1)/3),"jjjjmmdd")</f>
        <v>19200623</v>
      </c>
      <c r="C525" s="35" t="str">
        <f>IF(MOD(ROWS(C$2:C525)-1,3)=2,"24.00",INDEX(Data,2,2+MOD(ROWS(C$2:C525)-1,3)))</f>
        <v>14.00</v>
      </c>
      <c r="D525" s="23">
        <f t="shared" ca="1" si="62"/>
        <v>748.6</v>
      </c>
      <c r="E525" s="40">
        <f t="shared" ca="1" si="57"/>
        <v>0</v>
      </c>
      <c r="F525" s="23" t="str">
        <f t="shared" ca="1" si="58"/>
        <v>—</v>
      </c>
      <c r="G525" s="40">
        <f t="shared" ca="1" si="59"/>
        <v>7</v>
      </c>
      <c r="H525" s="23" t="str">
        <f t="shared" ca="1" si="60"/>
        <v>—</v>
      </c>
      <c r="I525" s="40">
        <f t="shared" ca="1" si="61"/>
        <v>7</v>
      </c>
    </row>
    <row r="526" spans="1:9" x14ac:dyDescent="0.25">
      <c r="A526" s="17">
        <f t="shared" si="56"/>
        <v>81</v>
      </c>
      <c r="B526" t="str">
        <f ca="1">TEXT(DATE(YEAR(Invoer!$A$5),1,1)+INT((ROWS(B$2:B526)-1)/3),"jjjjmmdd")</f>
        <v>19200623</v>
      </c>
      <c r="C526" s="35" t="str">
        <f>IF(MOD(ROWS(C$2:C526)-1,3)=2,"24.00",INDEX(Data,2,2+MOD(ROWS(C$2:C526)-1,3)))</f>
        <v>24.00</v>
      </c>
      <c r="D526" s="23" t="str">
        <f t="shared" ca="1" si="62"/>
        <v>—</v>
      </c>
      <c r="E526" s="40">
        <f t="shared" ca="1" si="57"/>
        <v>7</v>
      </c>
      <c r="F526" s="23">
        <f t="shared" ca="1" si="58"/>
        <v>26</v>
      </c>
      <c r="G526" s="40">
        <f t="shared" ca="1" si="59"/>
        <v>0</v>
      </c>
      <c r="H526" s="23">
        <f t="shared" ca="1" si="60"/>
        <v>28</v>
      </c>
      <c r="I526" s="40">
        <f t="shared" ca="1" si="61"/>
        <v>0</v>
      </c>
    </row>
    <row r="527" spans="1:9" x14ac:dyDescent="0.25">
      <c r="A527" s="17">
        <f t="shared" si="56"/>
        <v>81</v>
      </c>
      <c r="B527" t="str">
        <f ca="1">TEXT(DATE(YEAR(Invoer!$A$5),1,1)+INT((ROWS(B$2:B527)-1)/3),"jjjjmmdd")</f>
        <v>19200624</v>
      </c>
      <c r="C527" s="35" t="str">
        <f>IF(MOD(ROWS(C$2:C527)-1,3)=2,"24.00",INDEX(Data,2,2+MOD(ROWS(C$2:C527)-1,3)))</f>
        <v>08.00</v>
      </c>
      <c r="D527" s="23">
        <f t="shared" ca="1" si="62"/>
        <v>749.2</v>
      </c>
      <c r="E527" s="40">
        <f t="shared" ca="1" si="57"/>
        <v>0</v>
      </c>
      <c r="F527" s="23" t="str">
        <f t="shared" ca="1" si="58"/>
        <v>—</v>
      </c>
      <c r="G527" s="40">
        <f t="shared" ca="1" si="59"/>
        <v>7</v>
      </c>
      <c r="H527" s="23" t="str">
        <f t="shared" ca="1" si="60"/>
        <v>—</v>
      </c>
      <c r="I527" s="40">
        <f t="shared" ca="1" si="61"/>
        <v>7</v>
      </c>
    </row>
    <row r="528" spans="1:9" x14ac:dyDescent="0.25">
      <c r="A528" s="17">
        <f t="shared" si="56"/>
        <v>81</v>
      </c>
      <c r="B528" t="str">
        <f ca="1">TEXT(DATE(YEAR(Invoer!$A$5),1,1)+INT((ROWS(B$2:B528)-1)/3),"jjjjmmdd")</f>
        <v>19200624</v>
      </c>
      <c r="C528" s="35" t="str">
        <f>IF(MOD(ROWS(C$2:C528)-1,3)=2,"24.00",INDEX(Data,2,2+MOD(ROWS(C$2:C528)-1,3)))</f>
        <v>14.00</v>
      </c>
      <c r="D528" s="23">
        <f t="shared" ca="1" si="62"/>
        <v>748.9</v>
      </c>
      <c r="E528" s="40">
        <f t="shared" ca="1" si="57"/>
        <v>0</v>
      </c>
      <c r="F528" s="23" t="str">
        <f t="shared" ca="1" si="58"/>
        <v>—</v>
      </c>
      <c r="G528" s="40">
        <f t="shared" ca="1" si="59"/>
        <v>7</v>
      </c>
      <c r="H528" s="23" t="str">
        <f t="shared" ca="1" si="60"/>
        <v>—</v>
      </c>
      <c r="I528" s="40">
        <f t="shared" ca="1" si="61"/>
        <v>7</v>
      </c>
    </row>
    <row r="529" spans="1:9" x14ac:dyDescent="0.25">
      <c r="A529" s="17">
        <f t="shared" si="56"/>
        <v>81</v>
      </c>
      <c r="B529" t="str">
        <f ca="1">TEXT(DATE(YEAR(Invoer!$A$5),1,1)+INT((ROWS(B$2:B529)-1)/3),"jjjjmmdd")</f>
        <v>19200624</v>
      </c>
      <c r="C529" s="35" t="str">
        <f>IF(MOD(ROWS(C$2:C529)-1,3)=2,"24.00",INDEX(Data,2,2+MOD(ROWS(C$2:C529)-1,3)))</f>
        <v>24.00</v>
      </c>
      <c r="D529" s="23" t="str">
        <f t="shared" ca="1" si="62"/>
        <v>—</v>
      </c>
      <c r="E529" s="40">
        <f t="shared" ca="1" si="57"/>
        <v>7</v>
      </c>
      <c r="F529" s="23">
        <f t="shared" ca="1" si="58"/>
        <v>25</v>
      </c>
      <c r="G529" s="40">
        <f t="shared" ca="1" si="59"/>
        <v>0</v>
      </c>
      <c r="H529" s="23">
        <f t="shared" ca="1" si="60"/>
        <v>28.8</v>
      </c>
      <c r="I529" s="40">
        <f t="shared" ca="1" si="61"/>
        <v>0</v>
      </c>
    </row>
    <row r="530" spans="1:9" x14ac:dyDescent="0.25">
      <c r="A530" s="17">
        <f t="shared" si="56"/>
        <v>81</v>
      </c>
      <c r="B530" t="str">
        <f ca="1">TEXT(DATE(YEAR(Invoer!$A$5),1,1)+INT((ROWS(B$2:B530)-1)/3),"jjjjmmdd")</f>
        <v>19200625</v>
      </c>
      <c r="C530" s="35" t="str">
        <f>IF(MOD(ROWS(C$2:C530)-1,3)=2,"24.00",INDEX(Data,2,2+MOD(ROWS(C$2:C530)-1,3)))</f>
        <v>08.00</v>
      </c>
      <c r="D530" s="23">
        <f t="shared" ca="1" si="62"/>
        <v>749.3</v>
      </c>
      <c r="E530" s="40">
        <f t="shared" ca="1" si="57"/>
        <v>0</v>
      </c>
      <c r="F530" s="23" t="str">
        <f t="shared" ca="1" si="58"/>
        <v>—</v>
      </c>
      <c r="G530" s="40">
        <f t="shared" ca="1" si="59"/>
        <v>7</v>
      </c>
      <c r="H530" s="23" t="str">
        <f t="shared" ca="1" si="60"/>
        <v>—</v>
      </c>
      <c r="I530" s="40">
        <f t="shared" ca="1" si="61"/>
        <v>7</v>
      </c>
    </row>
    <row r="531" spans="1:9" x14ac:dyDescent="0.25">
      <c r="A531" s="17">
        <f t="shared" si="56"/>
        <v>81</v>
      </c>
      <c r="B531" t="str">
        <f ca="1">TEXT(DATE(YEAR(Invoer!$A$5),1,1)+INT((ROWS(B$2:B531)-1)/3),"jjjjmmdd")</f>
        <v>19200625</v>
      </c>
      <c r="C531" s="35" t="str">
        <f>IF(MOD(ROWS(C$2:C531)-1,3)=2,"24.00",INDEX(Data,2,2+MOD(ROWS(C$2:C531)-1,3)))</f>
        <v>14.00</v>
      </c>
      <c r="D531" s="23">
        <f t="shared" ca="1" si="62"/>
        <v>749</v>
      </c>
      <c r="E531" s="40">
        <f t="shared" ca="1" si="57"/>
        <v>0</v>
      </c>
      <c r="F531" s="23" t="str">
        <f t="shared" ca="1" si="58"/>
        <v>—</v>
      </c>
      <c r="G531" s="40">
        <f t="shared" ca="1" si="59"/>
        <v>7</v>
      </c>
      <c r="H531" s="23" t="str">
        <f t="shared" ca="1" si="60"/>
        <v>—</v>
      </c>
      <c r="I531" s="40">
        <f t="shared" ca="1" si="61"/>
        <v>7</v>
      </c>
    </row>
    <row r="532" spans="1:9" x14ac:dyDescent="0.25">
      <c r="A532" s="17">
        <f t="shared" si="56"/>
        <v>81</v>
      </c>
      <c r="B532" t="str">
        <f ca="1">TEXT(DATE(YEAR(Invoer!$A$5),1,1)+INT((ROWS(B$2:B532)-1)/3),"jjjjmmdd")</f>
        <v>19200625</v>
      </c>
      <c r="C532" s="35" t="str">
        <f>IF(MOD(ROWS(C$2:C532)-1,3)=2,"24.00",INDEX(Data,2,2+MOD(ROWS(C$2:C532)-1,3)))</f>
        <v>24.00</v>
      </c>
      <c r="D532" s="23" t="str">
        <f t="shared" ca="1" si="62"/>
        <v>—</v>
      </c>
      <c r="E532" s="40">
        <f t="shared" ca="1" si="57"/>
        <v>7</v>
      </c>
      <c r="F532" s="23">
        <f t="shared" ca="1" si="58"/>
        <v>26</v>
      </c>
      <c r="G532" s="40">
        <f t="shared" ca="1" si="59"/>
        <v>0</v>
      </c>
      <c r="H532" s="23">
        <f t="shared" ca="1" si="60"/>
        <v>28.5</v>
      </c>
      <c r="I532" s="40">
        <f t="shared" ca="1" si="61"/>
        <v>0</v>
      </c>
    </row>
    <row r="533" spans="1:9" x14ac:dyDescent="0.25">
      <c r="A533" s="17">
        <f t="shared" si="56"/>
        <v>81</v>
      </c>
      <c r="B533" t="str">
        <f ca="1">TEXT(DATE(YEAR(Invoer!$A$5),1,1)+INT((ROWS(B$2:B533)-1)/3),"jjjjmmdd")</f>
        <v>19200626</v>
      </c>
      <c r="C533" s="35" t="str">
        <f>IF(MOD(ROWS(C$2:C533)-1,3)=2,"24.00",INDEX(Data,2,2+MOD(ROWS(C$2:C533)-1,3)))</f>
        <v>08.00</v>
      </c>
      <c r="D533" s="23">
        <f t="shared" ca="1" si="62"/>
        <v>749.2</v>
      </c>
      <c r="E533" s="40">
        <f t="shared" ca="1" si="57"/>
        <v>0</v>
      </c>
      <c r="F533" s="23" t="str">
        <f t="shared" ca="1" si="58"/>
        <v>—</v>
      </c>
      <c r="G533" s="40">
        <f t="shared" ca="1" si="59"/>
        <v>7</v>
      </c>
      <c r="H533" s="23" t="str">
        <f t="shared" ca="1" si="60"/>
        <v>—</v>
      </c>
      <c r="I533" s="40">
        <f t="shared" ca="1" si="61"/>
        <v>7</v>
      </c>
    </row>
    <row r="534" spans="1:9" x14ac:dyDescent="0.25">
      <c r="A534" s="17">
        <f t="shared" si="56"/>
        <v>81</v>
      </c>
      <c r="B534" t="str">
        <f ca="1">TEXT(DATE(YEAR(Invoer!$A$5),1,1)+INT((ROWS(B$2:B534)-1)/3),"jjjjmmdd")</f>
        <v>19200626</v>
      </c>
      <c r="C534" s="35" t="str">
        <f>IF(MOD(ROWS(C$2:C534)-1,3)=2,"24.00",INDEX(Data,2,2+MOD(ROWS(C$2:C534)-1,3)))</f>
        <v>14.00</v>
      </c>
      <c r="D534" s="23">
        <f t="shared" ca="1" si="62"/>
        <v>749</v>
      </c>
      <c r="E534" s="40">
        <f t="shared" ca="1" si="57"/>
        <v>0</v>
      </c>
      <c r="F534" s="23" t="str">
        <f t="shared" ca="1" si="58"/>
        <v>—</v>
      </c>
      <c r="G534" s="40">
        <f t="shared" ca="1" si="59"/>
        <v>7</v>
      </c>
      <c r="H534" s="23" t="str">
        <f t="shared" ca="1" si="60"/>
        <v>—</v>
      </c>
      <c r="I534" s="40">
        <f t="shared" ca="1" si="61"/>
        <v>7</v>
      </c>
    </row>
    <row r="535" spans="1:9" x14ac:dyDescent="0.25">
      <c r="A535" s="17">
        <f t="shared" si="56"/>
        <v>81</v>
      </c>
      <c r="B535" t="str">
        <f ca="1">TEXT(DATE(YEAR(Invoer!$A$5),1,1)+INT((ROWS(B$2:B535)-1)/3),"jjjjmmdd")</f>
        <v>19200626</v>
      </c>
      <c r="C535" s="35" t="str">
        <f>IF(MOD(ROWS(C$2:C535)-1,3)=2,"24.00",INDEX(Data,2,2+MOD(ROWS(C$2:C535)-1,3)))</f>
        <v>24.00</v>
      </c>
      <c r="D535" s="23" t="str">
        <f t="shared" ca="1" si="62"/>
        <v>—</v>
      </c>
      <c r="E535" s="40">
        <f t="shared" ca="1" si="57"/>
        <v>7</v>
      </c>
      <c r="F535" s="23">
        <f t="shared" ca="1" si="58"/>
        <v>26</v>
      </c>
      <c r="G535" s="40">
        <f t="shared" ca="1" si="59"/>
        <v>0</v>
      </c>
      <c r="H535" s="23">
        <f t="shared" ca="1" si="60"/>
        <v>28</v>
      </c>
      <c r="I535" s="40">
        <f t="shared" ca="1" si="61"/>
        <v>0</v>
      </c>
    </row>
    <row r="536" spans="1:9" x14ac:dyDescent="0.25">
      <c r="A536" s="17">
        <f t="shared" si="56"/>
        <v>81</v>
      </c>
      <c r="B536" t="str">
        <f ca="1">TEXT(DATE(YEAR(Invoer!$A$5),1,1)+INT((ROWS(B$2:B536)-1)/3),"jjjjmmdd")</f>
        <v>19200627</v>
      </c>
      <c r="C536" s="35" t="str">
        <f>IF(MOD(ROWS(C$2:C536)-1,3)=2,"24.00",INDEX(Data,2,2+MOD(ROWS(C$2:C536)-1,3)))</f>
        <v>08.00</v>
      </c>
      <c r="D536" s="23">
        <f t="shared" ca="1" si="62"/>
        <v>749</v>
      </c>
      <c r="E536" s="40">
        <f t="shared" ca="1" si="57"/>
        <v>0</v>
      </c>
      <c r="F536" s="23" t="str">
        <f t="shared" ca="1" si="58"/>
        <v>—</v>
      </c>
      <c r="G536" s="40">
        <f t="shared" ca="1" si="59"/>
        <v>7</v>
      </c>
      <c r="H536" s="23" t="str">
        <f t="shared" ca="1" si="60"/>
        <v>—</v>
      </c>
      <c r="I536" s="40">
        <f t="shared" ca="1" si="61"/>
        <v>7</v>
      </c>
    </row>
    <row r="537" spans="1:9" x14ac:dyDescent="0.25">
      <c r="A537" s="17">
        <f t="shared" si="56"/>
        <v>81</v>
      </c>
      <c r="B537" t="str">
        <f ca="1">TEXT(DATE(YEAR(Invoer!$A$5),1,1)+INT((ROWS(B$2:B537)-1)/3),"jjjjmmdd")</f>
        <v>19200627</v>
      </c>
      <c r="C537" s="35" t="str">
        <f>IF(MOD(ROWS(C$2:C537)-1,3)=2,"24.00",INDEX(Data,2,2+MOD(ROWS(C$2:C537)-1,3)))</f>
        <v>14.00</v>
      </c>
      <c r="D537" s="23">
        <f t="shared" ca="1" si="62"/>
        <v>748.7</v>
      </c>
      <c r="E537" s="40">
        <f t="shared" ca="1" si="57"/>
        <v>0</v>
      </c>
      <c r="F537" s="23" t="str">
        <f t="shared" ca="1" si="58"/>
        <v>—</v>
      </c>
      <c r="G537" s="40">
        <f t="shared" ca="1" si="59"/>
        <v>7</v>
      </c>
      <c r="H537" s="23" t="str">
        <f t="shared" ca="1" si="60"/>
        <v>—</v>
      </c>
      <c r="I537" s="40">
        <f t="shared" ca="1" si="61"/>
        <v>7</v>
      </c>
    </row>
    <row r="538" spans="1:9" x14ac:dyDescent="0.25">
      <c r="A538" s="17">
        <f t="shared" si="56"/>
        <v>81</v>
      </c>
      <c r="B538" t="str">
        <f ca="1">TEXT(DATE(YEAR(Invoer!$A$5),1,1)+INT((ROWS(B$2:B538)-1)/3),"jjjjmmdd")</f>
        <v>19200627</v>
      </c>
      <c r="C538" s="35" t="str">
        <f>IF(MOD(ROWS(C$2:C538)-1,3)=2,"24.00",INDEX(Data,2,2+MOD(ROWS(C$2:C538)-1,3)))</f>
        <v>24.00</v>
      </c>
      <c r="D538" s="23" t="str">
        <f t="shared" ca="1" si="62"/>
        <v>—</v>
      </c>
      <c r="E538" s="40">
        <f t="shared" ca="1" si="57"/>
        <v>7</v>
      </c>
      <c r="F538" s="23">
        <f t="shared" ca="1" si="58"/>
        <v>25</v>
      </c>
      <c r="G538" s="40">
        <f t="shared" ca="1" si="59"/>
        <v>0</v>
      </c>
      <c r="H538" s="23">
        <f t="shared" ca="1" si="60"/>
        <v>28</v>
      </c>
      <c r="I538" s="40">
        <f t="shared" ca="1" si="61"/>
        <v>0</v>
      </c>
    </row>
    <row r="539" spans="1:9" x14ac:dyDescent="0.25">
      <c r="A539" s="17">
        <f t="shared" si="56"/>
        <v>81</v>
      </c>
      <c r="B539" t="str">
        <f ca="1">TEXT(DATE(YEAR(Invoer!$A$5),1,1)+INT((ROWS(B$2:B539)-1)/3),"jjjjmmdd")</f>
        <v>19200628</v>
      </c>
      <c r="C539" s="35" t="str">
        <f>IF(MOD(ROWS(C$2:C539)-1,3)=2,"24.00",INDEX(Data,2,2+MOD(ROWS(C$2:C539)-1,3)))</f>
        <v>08.00</v>
      </c>
      <c r="D539" s="23">
        <f t="shared" ca="1" si="62"/>
        <v>748.6</v>
      </c>
      <c r="E539" s="40">
        <f t="shared" ca="1" si="57"/>
        <v>0</v>
      </c>
      <c r="F539" s="23" t="str">
        <f t="shared" ca="1" si="58"/>
        <v>—</v>
      </c>
      <c r="G539" s="40">
        <f t="shared" ca="1" si="59"/>
        <v>7</v>
      </c>
      <c r="H539" s="23" t="str">
        <f t="shared" ca="1" si="60"/>
        <v>—</v>
      </c>
      <c r="I539" s="40">
        <f t="shared" ca="1" si="61"/>
        <v>7</v>
      </c>
    </row>
    <row r="540" spans="1:9" x14ac:dyDescent="0.25">
      <c r="A540" s="17">
        <f t="shared" si="56"/>
        <v>81</v>
      </c>
      <c r="B540" t="str">
        <f ca="1">TEXT(DATE(YEAR(Invoer!$A$5),1,1)+INT((ROWS(B$2:B540)-1)/3),"jjjjmmdd")</f>
        <v>19200628</v>
      </c>
      <c r="C540" s="35" t="str">
        <f>IF(MOD(ROWS(C$2:C540)-1,3)=2,"24.00",INDEX(Data,2,2+MOD(ROWS(C$2:C540)-1,3)))</f>
        <v>14.00</v>
      </c>
      <c r="D540" s="23">
        <f t="shared" ca="1" si="62"/>
        <v>748.1</v>
      </c>
      <c r="E540" s="40">
        <f t="shared" ca="1" si="57"/>
        <v>0</v>
      </c>
      <c r="F540" s="23" t="str">
        <f t="shared" ca="1" si="58"/>
        <v>—</v>
      </c>
      <c r="G540" s="40">
        <f t="shared" ca="1" si="59"/>
        <v>7</v>
      </c>
      <c r="H540" s="23" t="str">
        <f t="shared" ca="1" si="60"/>
        <v>—</v>
      </c>
      <c r="I540" s="40">
        <f t="shared" ca="1" si="61"/>
        <v>7</v>
      </c>
    </row>
    <row r="541" spans="1:9" x14ac:dyDescent="0.25">
      <c r="A541" s="17">
        <f t="shared" si="56"/>
        <v>81</v>
      </c>
      <c r="B541" t="str">
        <f ca="1">TEXT(DATE(YEAR(Invoer!$A$5),1,1)+INT((ROWS(B$2:B541)-1)/3),"jjjjmmdd")</f>
        <v>19200628</v>
      </c>
      <c r="C541" s="35" t="str">
        <f>IF(MOD(ROWS(C$2:C541)-1,3)=2,"24.00",INDEX(Data,2,2+MOD(ROWS(C$2:C541)-1,3)))</f>
        <v>24.00</v>
      </c>
      <c r="D541" s="23" t="str">
        <f t="shared" ca="1" si="62"/>
        <v>—</v>
      </c>
      <c r="E541" s="40">
        <f t="shared" ca="1" si="57"/>
        <v>7</v>
      </c>
      <c r="F541" s="23">
        <f t="shared" ca="1" si="58"/>
        <v>26</v>
      </c>
      <c r="G541" s="40">
        <f t="shared" ca="1" si="59"/>
        <v>0</v>
      </c>
      <c r="H541" s="23">
        <f t="shared" ca="1" si="60"/>
        <v>28</v>
      </c>
      <c r="I541" s="40">
        <f t="shared" ca="1" si="61"/>
        <v>0</v>
      </c>
    </row>
    <row r="542" spans="1:9" x14ac:dyDescent="0.25">
      <c r="A542" s="17">
        <f t="shared" si="56"/>
        <v>81</v>
      </c>
      <c r="B542" t="str">
        <f ca="1">TEXT(DATE(YEAR(Invoer!$A$5),1,1)+INT((ROWS(B$2:B542)-1)/3),"jjjjmmdd")</f>
        <v>19200629</v>
      </c>
      <c r="C542" s="35" t="str">
        <f>IF(MOD(ROWS(C$2:C542)-1,3)=2,"24.00",INDEX(Data,2,2+MOD(ROWS(C$2:C542)-1,3)))</f>
        <v>08.00</v>
      </c>
      <c r="D542" s="23">
        <f t="shared" ca="1" si="62"/>
        <v>749</v>
      </c>
      <c r="E542" s="40">
        <f t="shared" ca="1" si="57"/>
        <v>0</v>
      </c>
      <c r="F542" s="23" t="str">
        <f t="shared" ca="1" si="58"/>
        <v>—</v>
      </c>
      <c r="G542" s="40">
        <f t="shared" ca="1" si="59"/>
        <v>7</v>
      </c>
      <c r="H542" s="23" t="str">
        <f t="shared" ca="1" si="60"/>
        <v>—</v>
      </c>
      <c r="I542" s="40">
        <f t="shared" ca="1" si="61"/>
        <v>7</v>
      </c>
    </row>
    <row r="543" spans="1:9" x14ac:dyDescent="0.25">
      <c r="A543" s="17">
        <f t="shared" si="56"/>
        <v>81</v>
      </c>
      <c r="B543" t="str">
        <f ca="1">TEXT(DATE(YEAR(Invoer!$A$5),1,1)+INT((ROWS(B$2:B543)-1)/3),"jjjjmmdd")</f>
        <v>19200629</v>
      </c>
      <c r="C543" s="35" t="str">
        <f>IF(MOD(ROWS(C$2:C543)-1,3)=2,"24.00",INDEX(Data,2,2+MOD(ROWS(C$2:C543)-1,3)))</f>
        <v>14.00</v>
      </c>
      <c r="D543" s="23">
        <f t="shared" ca="1" si="62"/>
        <v>748.5</v>
      </c>
      <c r="E543" s="40">
        <f t="shared" ca="1" si="57"/>
        <v>0</v>
      </c>
      <c r="F543" s="23" t="str">
        <f t="shared" ca="1" si="58"/>
        <v>—</v>
      </c>
      <c r="G543" s="40">
        <f t="shared" ca="1" si="59"/>
        <v>7</v>
      </c>
      <c r="H543" s="23" t="str">
        <f t="shared" ca="1" si="60"/>
        <v>—</v>
      </c>
      <c r="I543" s="40">
        <f t="shared" ca="1" si="61"/>
        <v>7</v>
      </c>
    </row>
    <row r="544" spans="1:9" x14ac:dyDescent="0.25">
      <c r="A544" s="17">
        <f t="shared" si="56"/>
        <v>81</v>
      </c>
      <c r="B544" t="str">
        <f ca="1">TEXT(DATE(YEAR(Invoer!$A$5),1,1)+INT((ROWS(B$2:B544)-1)/3),"jjjjmmdd")</f>
        <v>19200629</v>
      </c>
      <c r="C544" s="35" t="str">
        <f>IF(MOD(ROWS(C$2:C544)-1,3)=2,"24.00",INDEX(Data,2,2+MOD(ROWS(C$2:C544)-1,3)))</f>
        <v>24.00</v>
      </c>
      <c r="D544" s="23" t="str">
        <f t="shared" ca="1" si="62"/>
        <v>—</v>
      </c>
      <c r="E544" s="40">
        <f t="shared" ca="1" si="57"/>
        <v>7</v>
      </c>
      <c r="F544" s="23">
        <f t="shared" ca="1" si="58"/>
        <v>26</v>
      </c>
      <c r="G544" s="40">
        <f t="shared" ca="1" si="59"/>
        <v>0</v>
      </c>
      <c r="H544" s="23">
        <f t="shared" ca="1" si="60"/>
        <v>28.8</v>
      </c>
      <c r="I544" s="40">
        <f t="shared" ca="1" si="61"/>
        <v>0</v>
      </c>
    </row>
    <row r="545" spans="1:9" x14ac:dyDescent="0.25">
      <c r="A545" s="17">
        <f t="shared" si="56"/>
        <v>81</v>
      </c>
      <c r="B545" t="str">
        <f ca="1">TEXT(DATE(YEAR(Invoer!$A$5),1,1)+INT((ROWS(B$2:B545)-1)/3),"jjjjmmdd")</f>
        <v>19200630</v>
      </c>
      <c r="C545" s="35" t="str">
        <f>IF(MOD(ROWS(C$2:C545)-1,3)=2,"24.00",INDEX(Data,2,2+MOD(ROWS(C$2:C545)-1,3)))</f>
        <v>08.00</v>
      </c>
      <c r="D545" s="23">
        <f t="shared" ca="1" si="62"/>
        <v>750</v>
      </c>
      <c r="E545" s="40">
        <f t="shared" ca="1" si="57"/>
        <v>0</v>
      </c>
      <c r="F545" s="23" t="str">
        <f t="shared" ca="1" si="58"/>
        <v>—</v>
      </c>
      <c r="G545" s="40">
        <f t="shared" ca="1" si="59"/>
        <v>7</v>
      </c>
      <c r="H545" s="23" t="str">
        <f t="shared" ca="1" si="60"/>
        <v>—</v>
      </c>
      <c r="I545" s="40">
        <f t="shared" ca="1" si="61"/>
        <v>7</v>
      </c>
    </row>
    <row r="546" spans="1:9" x14ac:dyDescent="0.25">
      <c r="A546" s="17">
        <f t="shared" si="56"/>
        <v>81</v>
      </c>
      <c r="B546" t="str">
        <f ca="1">TEXT(DATE(YEAR(Invoer!$A$5),1,1)+INT((ROWS(B$2:B546)-1)/3),"jjjjmmdd")</f>
        <v>19200630</v>
      </c>
      <c r="C546" s="35" t="str">
        <f>IF(MOD(ROWS(C$2:C546)-1,3)=2,"24.00",INDEX(Data,2,2+MOD(ROWS(C$2:C546)-1,3)))</f>
        <v>14.00</v>
      </c>
      <c r="D546" s="23">
        <f t="shared" ca="1" si="62"/>
        <v>749.6</v>
      </c>
      <c r="E546" s="40">
        <f t="shared" ca="1" si="57"/>
        <v>0</v>
      </c>
      <c r="F546" s="23" t="str">
        <f t="shared" ca="1" si="58"/>
        <v>—</v>
      </c>
      <c r="G546" s="40">
        <f t="shared" ca="1" si="59"/>
        <v>7</v>
      </c>
      <c r="H546" s="23" t="str">
        <f t="shared" ca="1" si="60"/>
        <v>—</v>
      </c>
      <c r="I546" s="40">
        <f t="shared" ca="1" si="61"/>
        <v>7</v>
      </c>
    </row>
    <row r="547" spans="1:9" x14ac:dyDescent="0.25">
      <c r="A547" s="17">
        <f t="shared" si="56"/>
        <v>81</v>
      </c>
      <c r="B547" t="str">
        <f ca="1">TEXT(DATE(YEAR(Invoer!$A$5),1,1)+INT((ROWS(B$2:B547)-1)/3),"jjjjmmdd")</f>
        <v>19200630</v>
      </c>
      <c r="C547" s="35" t="str">
        <f>IF(MOD(ROWS(C$2:C547)-1,3)=2,"24.00",INDEX(Data,2,2+MOD(ROWS(C$2:C547)-1,3)))</f>
        <v>24.00</v>
      </c>
      <c r="D547" s="23" t="str">
        <f t="shared" ca="1" si="62"/>
        <v>—</v>
      </c>
      <c r="E547" s="40">
        <f t="shared" ca="1" si="57"/>
        <v>7</v>
      </c>
      <c r="F547" s="23">
        <f t="shared" ca="1" si="58"/>
        <v>26</v>
      </c>
      <c r="G547" s="40">
        <f t="shared" ca="1" si="59"/>
        <v>0</v>
      </c>
      <c r="H547" s="23">
        <f t="shared" ca="1" si="60"/>
        <v>29</v>
      </c>
      <c r="I547" s="40">
        <f t="shared" ca="1" si="61"/>
        <v>0</v>
      </c>
    </row>
    <row r="548" spans="1:9" x14ac:dyDescent="0.25">
      <c r="A548" s="17">
        <f t="shared" si="56"/>
        <v>81</v>
      </c>
      <c r="B548" t="str">
        <f ca="1">TEXT(DATE(YEAR(Invoer!$A$5),1,1)+INT((ROWS(B$2:B548)-1)/3),"jjjjmmdd")</f>
        <v>19200701</v>
      </c>
      <c r="C548" s="35" t="str">
        <f>IF(MOD(ROWS(C$2:C548)-1,3)=2,"24.00",INDEX(Data,2,2+MOD(ROWS(C$2:C548)-1,3)))</f>
        <v>08.00</v>
      </c>
      <c r="D548" s="23">
        <f t="shared" ca="1" si="62"/>
        <v>751</v>
      </c>
      <c r="E548" s="40">
        <f t="shared" ca="1" si="57"/>
        <v>0</v>
      </c>
      <c r="F548" s="23" t="str">
        <f t="shared" ca="1" si="58"/>
        <v>—</v>
      </c>
      <c r="G548" s="40">
        <f t="shared" ca="1" si="59"/>
        <v>7</v>
      </c>
      <c r="H548" s="23" t="str">
        <f t="shared" ca="1" si="60"/>
        <v>—</v>
      </c>
      <c r="I548" s="40">
        <f t="shared" ca="1" si="61"/>
        <v>7</v>
      </c>
    </row>
    <row r="549" spans="1:9" x14ac:dyDescent="0.25">
      <c r="A549" s="17">
        <f t="shared" si="56"/>
        <v>81</v>
      </c>
      <c r="B549" t="str">
        <f ca="1">TEXT(DATE(YEAR(Invoer!$A$5),1,1)+INT((ROWS(B$2:B549)-1)/3),"jjjjmmdd")</f>
        <v>19200701</v>
      </c>
      <c r="C549" s="35" t="str">
        <f>IF(MOD(ROWS(C$2:C549)-1,3)=2,"24.00",INDEX(Data,2,2+MOD(ROWS(C$2:C549)-1,3)))</f>
        <v>14.00</v>
      </c>
      <c r="D549" s="23">
        <f t="shared" ca="1" si="62"/>
        <v>750.6</v>
      </c>
      <c r="E549" s="40">
        <f t="shared" ca="1" si="57"/>
        <v>0</v>
      </c>
      <c r="F549" s="23" t="str">
        <f t="shared" ca="1" si="58"/>
        <v>—</v>
      </c>
      <c r="G549" s="40">
        <f t="shared" ca="1" si="59"/>
        <v>7</v>
      </c>
      <c r="H549" s="23" t="str">
        <f t="shared" ca="1" si="60"/>
        <v>—</v>
      </c>
      <c r="I549" s="40">
        <f t="shared" ca="1" si="61"/>
        <v>7</v>
      </c>
    </row>
    <row r="550" spans="1:9" x14ac:dyDescent="0.25">
      <c r="A550" s="17">
        <f t="shared" si="56"/>
        <v>81</v>
      </c>
      <c r="B550" t="str">
        <f ca="1">TEXT(DATE(YEAR(Invoer!$A$5),1,1)+INT((ROWS(B$2:B550)-1)/3),"jjjjmmdd")</f>
        <v>19200701</v>
      </c>
      <c r="C550" s="35" t="str">
        <f>IF(MOD(ROWS(C$2:C550)-1,3)=2,"24.00",INDEX(Data,2,2+MOD(ROWS(C$2:C550)-1,3)))</f>
        <v>24.00</v>
      </c>
      <c r="D550" s="23" t="str">
        <f t="shared" ca="1" si="62"/>
        <v>—</v>
      </c>
      <c r="E550" s="40">
        <f t="shared" ca="1" si="57"/>
        <v>7</v>
      </c>
      <c r="F550" s="23">
        <f t="shared" ca="1" si="58"/>
        <v>26</v>
      </c>
      <c r="G550" s="40">
        <f t="shared" ca="1" si="59"/>
        <v>0</v>
      </c>
      <c r="H550" s="23">
        <f t="shared" ca="1" si="60"/>
        <v>29</v>
      </c>
      <c r="I550" s="40">
        <f t="shared" ca="1" si="61"/>
        <v>0</v>
      </c>
    </row>
    <row r="551" spans="1:9" x14ac:dyDescent="0.25">
      <c r="A551" s="17">
        <f t="shared" si="56"/>
        <v>81</v>
      </c>
      <c r="B551" t="str">
        <f ca="1">TEXT(DATE(YEAR(Invoer!$A$5),1,1)+INT((ROWS(B$2:B551)-1)/3),"jjjjmmdd")</f>
        <v>19200702</v>
      </c>
      <c r="C551" s="35" t="str">
        <f>IF(MOD(ROWS(C$2:C551)-1,3)=2,"24.00",INDEX(Data,2,2+MOD(ROWS(C$2:C551)-1,3)))</f>
        <v>08.00</v>
      </c>
      <c r="D551" s="23">
        <f t="shared" ca="1" si="62"/>
        <v>750.5</v>
      </c>
      <c r="E551" s="40">
        <f t="shared" ca="1" si="57"/>
        <v>0</v>
      </c>
      <c r="F551" s="23" t="str">
        <f t="shared" ca="1" si="58"/>
        <v>—</v>
      </c>
      <c r="G551" s="40">
        <f t="shared" ca="1" si="59"/>
        <v>7</v>
      </c>
      <c r="H551" s="23" t="str">
        <f t="shared" ca="1" si="60"/>
        <v>—</v>
      </c>
      <c r="I551" s="40">
        <f t="shared" ca="1" si="61"/>
        <v>7</v>
      </c>
    </row>
    <row r="552" spans="1:9" x14ac:dyDescent="0.25">
      <c r="A552" s="17">
        <f t="shared" si="56"/>
        <v>81</v>
      </c>
      <c r="B552" t="str">
        <f ca="1">TEXT(DATE(YEAR(Invoer!$A$5),1,1)+INT((ROWS(B$2:B552)-1)/3),"jjjjmmdd")</f>
        <v>19200702</v>
      </c>
      <c r="C552" s="35" t="str">
        <f>IF(MOD(ROWS(C$2:C552)-1,3)=2,"24.00",INDEX(Data,2,2+MOD(ROWS(C$2:C552)-1,3)))</f>
        <v>14.00</v>
      </c>
      <c r="D552" s="23">
        <f t="shared" ca="1" si="62"/>
        <v>750</v>
      </c>
      <c r="E552" s="40">
        <f t="shared" ca="1" si="57"/>
        <v>0</v>
      </c>
      <c r="F552" s="23" t="str">
        <f t="shared" ca="1" si="58"/>
        <v>—</v>
      </c>
      <c r="G552" s="40">
        <f t="shared" ca="1" si="59"/>
        <v>7</v>
      </c>
      <c r="H552" s="23" t="str">
        <f t="shared" ca="1" si="60"/>
        <v>—</v>
      </c>
      <c r="I552" s="40">
        <f t="shared" ca="1" si="61"/>
        <v>7</v>
      </c>
    </row>
    <row r="553" spans="1:9" x14ac:dyDescent="0.25">
      <c r="A553" s="17">
        <f t="shared" si="56"/>
        <v>81</v>
      </c>
      <c r="B553" t="str">
        <f ca="1">TEXT(DATE(YEAR(Invoer!$A$5),1,1)+INT((ROWS(B$2:B553)-1)/3),"jjjjmmdd")</f>
        <v>19200702</v>
      </c>
      <c r="C553" s="35" t="str">
        <f>IF(MOD(ROWS(C$2:C553)-1,3)=2,"24.00",INDEX(Data,2,2+MOD(ROWS(C$2:C553)-1,3)))</f>
        <v>24.00</v>
      </c>
      <c r="D553" s="23" t="str">
        <f t="shared" ca="1" si="62"/>
        <v>—</v>
      </c>
      <c r="E553" s="40">
        <f t="shared" ca="1" si="57"/>
        <v>7</v>
      </c>
      <c r="F553" s="23">
        <f t="shared" ca="1" si="58"/>
        <v>26</v>
      </c>
      <c r="G553" s="40">
        <f t="shared" ca="1" si="59"/>
        <v>0</v>
      </c>
      <c r="H553" s="23">
        <f t="shared" ca="1" si="60"/>
        <v>29</v>
      </c>
      <c r="I553" s="40">
        <f t="shared" ca="1" si="61"/>
        <v>0</v>
      </c>
    </row>
    <row r="554" spans="1:9" x14ac:dyDescent="0.25">
      <c r="A554" s="17">
        <f t="shared" si="56"/>
        <v>81</v>
      </c>
      <c r="B554" t="str">
        <f ca="1">TEXT(DATE(YEAR(Invoer!$A$5),1,1)+INT((ROWS(B$2:B554)-1)/3),"jjjjmmdd")</f>
        <v>19200703</v>
      </c>
      <c r="C554" s="35" t="str">
        <f>IF(MOD(ROWS(C$2:C554)-1,3)=2,"24.00",INDEX(Data,2,2+MOD(ROWS(C$2:C554)-1,3)))</f>
        <v>08.00</v>
      </c>
      <c r="D554" s="23">
        <f t="shared" ca="1" si="62"/>
        <v>749.5</v>
      </c>
      <c r="E554" s="40">
        <f t="shared" ca="1" si="57"/>
        <v>0</v>
      </c>
      <c r="F554" s="23" t="str">
        <f t="shared" ca="1" si="58"/>
        <v>—</v>
      </c>
      <c r="G554" s="40">
        <f t="shared" ca="1" si="59"/>
        <v>7</v>
      </c>
      <c r="H554" s="23" t="str">
        <f t="shared" ca="1" si="60"/>
        <v>—</v>
      </c>
      <c r="I554" s="40">
        <f t="shared" ca="1" si="61"/>
        <v>7</v>
      </c>
    </row>
    <row r="555" spans="1:9" x14ac:dyDescent="0.25">
      <c r="A555" s="17">
        <f t="shared" si="56"/>
        <v>81</v>
      </c>
      <c r="B555" t="str">
        <f ca="1">TEXT(DATE(YEAR(Invoer!$A$5),1,1)+INT((ROWS(B$2:B555)-1)/3),"jjjjmmdd")</f>
        <v>19200703</v>
      </c>
      <c r="C555" s="35" t="str">
        <f>IF(MOD(ROWS(C$2:C555)-1,3)=2,"24.00",INDEX(Data,2,2+MOD(ROWS(C$2:C555)-1,3)))</f>
        <v>14.00</v>
      </c>
      <c r="D555" s="23">
        <f t="shared" ca="1" si="62"/>
        <v>749</v>
      </c>
      <c r="E555" s="40">
        <f t="shared" ca="1" si="57"/>
        <v>0</v>
      </c>
      <c r="F555" s="23" t="str">
        <f t="shared" ca="1" si="58"/>
        <v>—</v>
      </c>
      <c r="G555" s="40">
        <f t="shared" ca="1" si="59"/>
        <v>7</v>
      </c>
      <c r="H555" s="23" t="str">
        <f t="shared" ca="1" si="60"/>
        <v>—</v>
      </c>
      <c r="I555" s="40">
        <f t="shared" ca="1" si="61"/>
        <v>7</v>
      </c>
    </row>
    <row r="556" spans="1:9" x14ac:dyDescent="0.25">
      <c r="A556" s="17">
        <f t="shared" si="56"/>
        <v>81</v>
      </c>
      <c r="B556" t="str">
        <f ca="1">TEXT(DATE(YEAR(Invoer!$A$5),1,1)+INT((ROWS(B$2:B556)-1)/3),"jjjjmmdd")</f>
        <v>19200703</v>
      </c>
      <c r="C556" s="35" t="str">
        <f>IF(MOD(ROWS(C$2:C556)-1,3)=2,"24.00",INDEX(Data,2,2+MOD(ROWS(C$2:C556)-1,3)))</f>
        <v>24.00</v>
      </c>
      <c r="D556" s="23" t="str">
        <f t="shared" ca="1" si="62"/>
        <v>—</v>
      </c>
      <c r="E556" s="40">
        <f t="shared" ca="1" si="57"/>
        <v>7</v>
      </c>
      <c r="F556" s="23">
        <f t="shared" ca="1" si="58"/>
        <v>26.5</v>
      </c>
      <c r="G556" s="40">
        <f t="shared" ca="1" si="59"/>
        <v>0</v>
      </c>
      <c r="H556" s="23">
        <f t="shared" ca="1" si="60"/>
        <v>28</v>
      </c>
      <c r="I556" s="40">
        <f t="shared" ca="1" si="61"/>
        <v>0</v>
      </c>
    </row>
    <row r="557" spans="1:9" x14ac:dyDescent="0.25">
      <c r="A557" s="17">
        <f t="shared" si="56"/>
        <v>81</v>
      </c>
      <c r="B557" t="str">
        <f ca="1">TEXT(DATE(YEAR(Invoer!$A$5),1,1)+INT((ROWS(B$2:B557)-1)/3),"jjjjmmdd")</f>
        <v>19200704</v>
      </c>
      <c r="C557" s="35" t="str">
        <f>IF(MOD(ROWS(C$2:C557)-1,3)=2,"24.00",INDEX(Data,2,2+MOD(ROWS(C$2:C557)-1,3)))</f>
        <v>08.00</v>
      </c>
      <c r="D557" s="23">
        <f t="shared" ca="1" si="62"/>
        <v>750</v>
      </c>
      <c r="E557" s="40">
        <f t="shared" ca="1" si="57"/>
        <v>0</v>
      </c>
      <c r="F557" s="23" t="str">
        <f t="shared" ca="1" si="58"/>
        <v>—</v>
      </c>
      <c r="G557" s="40">
        <f t="shared" ca="1" si="59"/>
        <v>7</v>
      </c>
      <c r="H557" s="23" t="str">
        <f t="shared" ca="1" si="60"/>
        <v>—</v>
      </c>
      <c r="I557" s="40">
        <f t="shared" ca="1" si="61"/>
        <v>7</v>
      </c>
    </row>
    <row r="558" spans="1:9" x14ac:dyDescent="0.25">
      <c r="A558" s="17">
        <f t="shared" si="56"/>
        <v>81</v>
      </c>
      <c r="B558" t="str">
        <f ca="1">TEXT(DATE(YEAR(Invoer!$A$5),1,1)+INT((ROWS(B$2:B558)-1)/3),"jjjjmmdd")</f>
        <v>19200704</v>
      </c>
      <c r="C558" s="35" t="str">
        <f>IF(MOD(ROWS(C$2:C558)-1,3)=2,"24.00",INDEX(Data,2,2+MOD(ROWS(C$2:C558)-1,3)))</f>
        <v>14.00</v>
      </c>
      <c r="D558" s="23">
        <f t="shared" ca="1" si="62"/>
        <v>749.6</v>
      </c>
      <c r="E558" s="40">
        <f t="shared" ca="1" si="57"/>
        <v>0</v>
      </c>
      <c r="F558" s="23" t="str">
        <f t="shared" ca="1" si="58"/>
        <v>—</v>
      </c>
      <c r="G558" s="40">
        <f t="shared" ca="1" si="59"/>
        <v>7</v>
      </c>
      <c r="H558" s="23" t="str">
        <f t="shared" ca="1" si="60"/>
        <v>—</v>
      </c>
      <c r="I558" s="40">
        <f t="shared" ca="1" si="61"/>
        <v>7</v>
      </c>
    </row>
    <row r="559" spans="1:9" x14ac:dyDescent="0.25">
      <c r="A559" s="17">
        <f t="shared" si="56"/>
        <v>81</v>
      </c>
      <c r="B559" t="str">
        <f ca="1">TEXT(DATE(YEAR(Invoer!$A$5),1,1)+INT((ROWS(B$2:B559)-1)/3),"jjjjmmdd")</f>
        <v>19200704</v>
      </c>
      <c r="C559" s="35" t="str">
        <f>IF(MOD(ROWS(C$2:C559)-1,3)=2,"24.00",INDEX(Data,2,2+MOD(ROWS(C$2:C559)-1,3)))</f>
        <v>24.00</v>
      </c>
      <c r="D559" s="23" t="str">
        <f t="shared" ca="1" si="62"/>
        <v>—</v>
      </c>
      <c r="E559" s="40">
        <f t="shared" ca="1" si="57"/>
        <v>7</v>
      </c>
      <c r="F559" s="23">
        <f t="shared" ca="1" si="58"/>
        <v>26</v>
      </c>
      <c r="G559" s="40">
        <f t="shared" ca="1" si="59"/>
        <v>0</v>
      </c>
      <c r="H559" s="23">
        <f t="shared" ca="1" si="60"/>
        <v>28</v>
      </c>
      <c r="I559" s="40">
        <f t="shared" ca="1" si="61"/>
        <v>0</v>
      </c>
    </row>
    <row r="560" spans="1:9" x14ac:dyDescent="0.25">
      <c r="A560" s="17">
        <f t="shared" si="56"/>
        <v>81</v>
      </c>
      <c r="B560" t="str">
        <f ca="1">TEXT(DATE(YEAR(Invoer!$A$5),1,1)+INT((ROWS(B$2:B560)-1)/3),"jjjjmmdd")</f>
        <v>19200705</v>
      </c>
      <c r="C560" s="35" t="str">
        <f>IF(MOD(ROWS(C$2:C560)-1,3)=2,"24.00",INDEX(Data,2,2+MOD(ROWS(C$2:C560)-1,3)))</f>
        <v>08.00</v>
      </c>
      <c r="D560" s="23">
        <f t="shared" ca="1" si="62"/>
        <v>750</v>
      </c>
      <c r="E560" s="40">
        <f t="shared" ca="1" si="57"/>
        <v>0</v>
      </c>
      <c r="F560" s="23" t="str">
        <f t="shared" ca="1" si="58"/>
        <v>—</v>
      </c>
      <c r="G560" s="40">
        <f t="shared" ca="1" si="59"/>
        <v>7</v>
      </c>
      <c r="H560" s="23" t="str">
        <f t="shared" ca="1" si="60"/>
        <v>—</v>
      </c>
      <c r="I560" s="40">
        <f t="shared" ca="1" si="61"/>
        <v>7</v>
      </c>
    </row>
    <row r="561" spans="1:9" x14ac:dyDescent="0.25">
      <c r="A561" s="17">
        <f t="shared" si="56"/>
        <v>81</v>
      </c>
      <c r="B561" t="str">
        <f ca="1">TEXT(DATE(YEAR(Invoer!$A$5),1,1)+INT((ROWS(B$2:B561)-1)/3),"jjjjmmdd")</f>
        <v>19200705</v>
      </c>
      <c r="C561" s="35" t="str">
        <f>IF(MOD(ROWS(C$2:C561)-1,3)=2,"24.00",INDEX(Data,2,2+MOD(ROWS(C$2:C561)-1,3)))</f>
        <v>14.00</v>
      </c>
      <c r="D561" s="23">
        <f t="shared" ca="1" si="62"/>
        <v>749.7</v>
      </c>
      <c r="E561" s="40">
        <f t="shared" ca="1" si="57"/>
        <v>0</v>
      </c>
      <c r="F561" s="23" t="str">
        <f t="shared" ca="1" si="58"/>
        <v>—</v>
      </c>
      <c r="G561" s="40">
        <f t="shared" ca="1" si="59"/>
        <v>7</v>
      </c>
      <c r="H561" s="23" t="str">
        <f t="shared" ca="1" si="60"/>
        <v>—</v>
      </c>
      <c r="I561" s="40">
        <f t="shared" ca="1" si="61"/>
        <v>7</v>
      </c>
    </row>
    <row r="562" spans="1:9" x14ac:dyDescent="0.25">
      <c r="A562" s="17">
        <f t="shared" si="56"/>
        <v>81</v>
      </c>
      <c r="B562" t="str">
        <f ca="1">TEXT(DATE(YEAR(Invoer!$A$5),1,1)+INT((ROWS(B$2:B562)-1)/3),"jjjjmmdd")</f>
        <v>19200705</v>
      </c>
      <c r="C562" s="35" t="str">
        <f>IF(MOD(ROWS(C$2:C562)-1,3)=2,"24.00",INDEX(Data,2,2+MOD(ROWS(C$2:C562)-1,3)))</f>
        <v>24.00</v>
      </c>
      <c r="D562" s="23" t="str">
        <f t="shared" ca="1" si="62"/>
        <v>—</v>
      </c>
      <c r="E562" s="40">
        <f t="shared" ca="1" si="57"/>
        <v>7</v>
      </c>
      <c r="F562" s="23">
        <f t="shared" ca="1" si="58"/>
        <v>25.5</v>
      </c>
      <c r="G562" s="40">
        <f t="shared" ca="1" si="59"/>
        <v>0</v>
      </c>
      <c r="H562" s="23">
        <f t="shared" ca="1" si="60"/>
        <v>28</v>
      </c>
      <c r="I562" s="40">
        <f t="shared" ca="1" si="61"/>
        <v>0</v>
      </c>
    </row>
    <row r="563" spans="1:9" x14ac:dyDescent="0.25">
      <c r="A563" s="17">
        <f t="shared" si="56"/>
        <v>81</v>
      </c>
      <c r="B563" t="str">
        <f ca="1">TEXT(DATE(YEAR(Invoer!$A$5),1,1)+INT((ROWS(B$2:B563)-1)/3),"jjjjmmdd")</f>
        <v>19200706</v>
      </c>
      <c r="C563" s="35" t="str">
        <f>IF(MOD(ROWS(C$2:C563)-1,3)=2,"24.00",INDEX(Data,2,2+MOD(ROWS(C$2:C563)-1,3)))</f>
        <v>08.00</v>
      </c>
      <c r="D563" s="23">
        <f t="shared" ca="1" si="62"/>
        <v>749.5</v>
      </c>
      <c r="E563" s="40">
        <f t="shared" ca="1" si="57"/>
        <v>0</v>
      </c>
      <c r="F563" s="23" t="str">
        <f t="shared" ca="1" si="58"/>
        <v>—</v>
      </c>
      <c r="G563" s="40">
        <f t="shared" ca="1" si="59"/>
        <v>7</v>
      </c>
      <c r="H563" s="23" t="str">
        <f t="shared" ca="1" si="60"/>
        <v>—</v>
      </c>
      <c r="I563" s="40">
        <f t="shared" ca="1" si="61"/>
        <v>7</v>
      </c>
    </row>
    <row r="564" spans="1:9" x14ac:dyDescent="0.25">
      <c r="A564" s="17">
        <f t="shared" si="56"/>
        <v>81</v>
      </c>
      <c r="B564" t="str">
        <f ca="1">TEXT(DATE(YEAR(Invoer!$A$5),1,1)+INT((ROWS(B$2:B564)-1)/3),"jjjjmmdd")</f>
        <v>19200706</v>
      </c>
      <c r="C564" s="35" t="str">
        <f>IF(MOD(ROWS(C$2:C564)-1,3)=2,"24.00",INDEX(Data,2,2+MOD(ROWS(C$2:C564)-1,3)))</f>
        <v>14.00</v>
      </c>
      <c r="D564" s="23">
        <f t="shared" ca="1" si="62"/>
        <v>749</v>
      </c>
      <c r="E564" s="40">
        <f t="shared" ca="1" si="57"/>
        <v>0</v>
      </c>
      <c r="F564" s="23" t="str">
        <f t="shared" ca="1" si="58"/>
        <v>—</v>
      </c>
      <c r="G564" s="40">
        <f t="shared" ca="1" si="59"/>
        <v>7</v>
      </c>
      <c r="H564" s="23" t="str">
        <f t="shared" ca="1" si="60"/>
        <v>—</v>
      </c>
      <c r="I564" s="40">
        <f t="shared" ca="1" si="61"/>
        <v>7</v>
      </c>
    </row>
    <row r="565" spans="1:9" x14ac:dyDescent="0.25">
      <c r="A565" s="17">
        <f t="shared" si="56"/>
        <v>81</v>
      </c>
      <c r="B565" t="str">
        <f ca="1">TEXT(DATE(YEAR(Invoer!$A$5),1,1)+INT((ROWS(B$2:B565)-1)/3),"jjjjmmdd")</f>
        <v>19200706</v>
      </c>
      <c r="C565" s="35" t="str">
        <f>IF(MOD(ROWS(C$2:C565)-1,3)=2,"24.00",INDEX(Data,2,2+MOD(ROWS(C$2:C565)-1,3)))</f>
        <v>24.00</v>
      </c>
      <c r="D565" s="23" t="str">
        <f t="shared" ca="1" si="62"/>
        <v>—</v>
      </c>
      <c r="E565" s="40">
        <f t="shared" ca="1" si="57"/>
        <v>7</v>
      </c>
      <c r="F565" s="23">
        <f t="shared" ca="1" si="58"/>
        <v>25</v>
      </c>
      <c r="G565" s="40">
        <f t="shared" ca="1" si="59"/>
        <v>0</v>
      </c>
      <c r="H565" s="23">
        <f t="shared" ca="1" si="60"/>
        <v>26</v>
      </c>
      <c r="I565" s="40">
        <f t="shared" ca="1" si="61"/>
        <v>0</v>
      </c>
    </row>
    <row r="566" spans="1:9" x14ac:dyDescent="0.25">
      <c r="A566" s="17">
        <f t="shared" si="56"/>
        <v>81</v>
      </c>
      <c r="B566" t="str">
        <f ca="1">TEXT(DATE(YEAR(Invoer!$A$5),1,1)+INT((ROWS(B$2:B566)-1)/3),"jjjjmmdd")</f>
        <v>19200707</v>
      </c>
      <c r="C566" s="35" t="str">
        <f>IF(MOD(ROWS(C$2:C566)-1,3)=2,"24.00",INDEX(Data,2,2+MOD(ROWS(C$2:C566)-1,3)))</f>
        <v>08.00</v>
      </c>
      <c r="D566" s="23">
        <f t="shared" ca="1" si="62"/>
        <v>749.5</v>
      </c>
      <c r="E566" s="40">
        <f t="shared" ca="1" si="57"/>
        <v>0</v>
      </c>
      <c r="F566" s="23" t="str">
        <f t="shared" ca="1" si="58"/>
        <v>—</v>
      </c>
      <c r="G566" s="40">
        <f t="shared" ca="1" si="59"/>
        <v>7</v>
      </c>
      <c r="H566" s="23" t="str">
        <f t="shared" ca="1" si="60"/>
        <v>—</v>
      </c>
      <c r="I566" s="40">
        <f t="shared" ca="1" si="61"/>
        <v>7</v>
      </c>
    </row>
    <row r="567" spans="1:9" x14ac:dyDescent="0.25">
      <c r="A567" s="17">
        <f t="shared" si="56"/>
        <v>81</v>
      </c>
      <c r="B567" t="str">
        <f ca="1">TEXT(DATE(YEAR(Invoer!$A$5),1,1)+INT((ROWS(B$2:B567)-1)/3),"jjjjmmdd")</f>
        <v>19200707</v>
      </c>
      <c r="C567" s="35" t="str">
        <f>IF(MOD(ROWS(C$2:C567)-1,3)=2,"24.00",INDEX(Data,2,2+MOD(ROWS(C$2:C567)-1,3)))</f>
        <v>14.00</v>
      </c>
      <c r="D567" s="23">
        <f t="shared" ca="1" si="62"/>
        <v>749</v>
      </c>
      <c r="E567" s="40">
        <f t="shared" ca="1" si="57"/>
        <v>0</v>
      </c>
      <c r="F567" s="23" t="str">
        <f t="shared" ca="1" si="58"/>
        <v>—</v>
      </c>
      <c r="G567" s="40">
        <f t="shared" ca="1" si="59"/>
        <v>7</v>
      </c>
      <c r="H567" s="23" t="str">
        <f t="shared" ca="1" si="60"/>
        <v>—</v>
      </c>
      <c r="I567" s="40">
        <f t="shared" ca="1" si="61"/>
        <v>7</v>
      </c>
    </row>
    <row r="568" spans="1:9" x14ac:dyDescent="0.25">
      <c r="A568" s="17">
        <f t="shared" si="56"/>
        <v>81</v>
      </c>
      <c r="B568" t="str">
        <f ca="1">TEXT(DATE(YEAR(Invoer!$A$5),1,1)+INT((ROWS(B$2:B568)-1)/3),"jjjjmmdd")</f>
        <v>19200707</v>
      </c>
      <c r="C568" s="35" t="str">
        <f>IF(MOD(ROWS(C$2:C568)-1,3)=2,"24.00",INDEX(Data,2,2+MOD(ROWS(C$2:C568)-1,3)))</f>
        <v>24.00</v>
      </c>
      <c r="D568" s="23" t="str">
        <f t="shared" ca="1" si="62"/>
        <v>—</v>
      </c>
      <c r="E568" s="40">
        <f t="shared" ca="1" si="57"/>
        <v>7</v>
      </c>
      <c r="F568" s="23">
        <f t="shared" ca="1" si="58"/>
        <v>26</v>
      </c>
      <c r="G568" s="40">
        <f t="shared" ca="1" si="59"/>
        <v>0</v>
      </c>
      <c r="H568" s="23">
        <f t="shared" ca="1" si="60"/>
        <v>28</v>
      </c>
      <c r="I568" s="40">
        <f t="shared" ca="1" si="61"/>
        <v>0</v>
      </c>
    </row>
    <row r="569" spans="1:9" x14ac:dyDescent="0.25">
      <c r="A569" s="17">
        <f t="shared" si="56"/>
        <v>81</v>
      </c>
      <c r="B569" t="str">
        <f ca="1">TEXT(DATE(YEAR(Invoer!$A$5),1,1)+INT((ROWS(B$2:B569)-1)/3),"jjjjmmdd")</f>
        <v>19200708</v>
      </c>
      <c r="C569" s="35" t="str">
        <f>IF(MOD(ROWS(C$2:C569)-1,3)=2,"24.00",INDEX(Data,2,2+MOD(ROWS(C$2:C569)-1,3)))</f>
        <v>08.00</v>
      </c>
      <c r="D569" s="23">
        <f t="shared" ca="1" si="62"/>
        <v>749</v>
      </c>
      <c r="E569" s="40">
        <f t="shared" ca="1" si="57"/>
        <v>0</v>
      </c>
      <c r="F569" s="23" t="str">
        <f t="shared" ca="1" si="58"/>
        <v>—</v>
      </c>
      <c r="G569" s="40">
        <f t="shared" ca="1" si="59"/>
        <v>7</v>
      </c>
      <c r="H569" s="23" t="str">
        <f t="shared" ca="1" si="60"/>
        <v>—</v>
      </c>
      <c r="I569" s="40">
        <f t="shared" ca="1" si="61"/>
        <v>7</v>
      </c>
    </row>
    <row r="570" spans="1:9" x14ac:dyDescent="0.25">
      <c r="A570" s="17">
        <f t="shared" si="56"/>
        <v>81</v>
      </c>
      <c r="B570" t="str">
        <f ca="1">TEXT(DATE(YEAR(Invoer!$A$5),1,1)+INT((ROWS(B$2:B570)-1)/3),"jjjjmmdd")</f>
        <v>19200708</v>
      </c>
      <c r="C570" s="35" t="str">
        <f>IF(MOD(ROWS(C$2:C570)-1,3)=2,"24.00",INDEX(Data,2,2+MOD(ROWS(C$2:C570)-1,3)))</f>
        <v>14.00</v>
      </c>
      <c r="D570" s="23">
        <f t="shared" ca="1" si="62"/>
        <v>748.5</v>
      </c>
      <c r="E570" s="40">
        <f t="shared" ca="1" si="57"/>
        <v>0</v>
      </c>
      <c r="F570" s="23" t="str">
        <f t="shared" ca="1" si="58"/>
        <v>—</v>
      </c>
      <c r="G570" s="40">
        <f t="shared" ca="1" si="59"/>
        <v>7</v>
      </c>
      <c r="H570" s="23" t="str">
        <f t="shared" ca="1" si="60"/>
        <v>—</v>
      </c>
      <c r="I570" s="40">
        <f t="shared" ca="1" si="61"/>
        <v>7</v>
      </c>
    </row>
    <row r="571" spans="1:9" x14ac:dyDescent="0.25">
      <c r="A571" s="17">
        <f t="shared" si="56"/>
        <v>81</v>
      </c>
      <c r="B571" t="str">
        <f ca="1">TEXT(DATE(YEAR(Invoer!$A$5),1,1)+INT((ROWS(B$2:B571)-1)/3),"jjjjmmdd")</f>
        <v>19200708</v>
      </c>
      <c r="C571" s="35" t="str">
        <f>IF(MOD(ROWS(C$2:C571)-1,3)=2,"24.00",INDEX(Data,2,2+MOD(ROWS(C$2:C571)-1,3)))</f>
        <v>24.00</v>
      </c>
      <c r="D571" s="23" t="str">
        <f t="shared" ca="1" si="62"/>
        <v>—</v>
      </c>
      <c r="E571" s="40">
        <f t="shared" ca="1" si="57"/>
        <v>7</v>
      </c>
      <c r="F571" s="23">
        <f t="shared" ca="1" si="58"/>
        <v>25</v>
      </c>
      <c r="G571" s="40">
        <f t="shared" ca="1" si="59"/>
        <v>0</v>
      </c>
      <c r="H571" s="23">
        <f t="shared" ca="1" si="60"/>
        <v>27</v>
      </c>
      <c r="I571" s="40">
        <f t="shared" ca="1" si="61"/>
        <v>0</v>
      </c>
    </row>
    <row r="572" spans="1:9" x14ac:dyDescent="0.25">
      <c r="A572" s="17">
        <f t="shared" si="56"/>
        <v>81</v>
      </c>
      <c r="B572" t="str">
        <f ca="1">TEXT(DATE(YEAR(Invoer!$A$5),1,1)+INT((ROWS(B$2:B572)-1)/3),"jjjjmmdd")</f>
        <v>19200709</v>
      </c>
      <c r="C572" s="35" t="str">
        <f>IF(MOD(ROWS(C$2:C572)-1,3)=2,"24.00",INDEX(Data,2,2+MOD(ROWS(C$2:C572)-1,3)))</f>
        <v>08.00</v>
      </c>
      <c r="D572" s="23">
        <f t="shared" ca="1" si="62"/>
        <v>749.5</v>
      </c>
      <c r="E572" s="40">
        <f t="shared" ca="1" si="57"/>
        <v>0</v>
      </c>
      <c r="F572" s="23" t="str">
        <f t="shared" ca="1" si="58"/>
        <v>—</v>
      </c>
      <c r="G572" s="40">
        <f t="shared" ca="1" si="59"/>
        <v>7</v>
      </c>
      <c r="H572" s="23" t="str">
        <f t="shared" ca="1" si="60"/>
        <v>—</v>
      </c>
      <c r="I572" s="40">
        <f t="shared" ca="1" si="61"/>
        <v>7</v>
      </c>
    </row>
    <row r="573" spans="1:9" x14ac:dyDescent="0.25">
      <c r="A573" s="17">
        <f t="shared" si="56"/>
        <v>81</v>
      </c>
      <c r="B573" t="str">
        <f ca="1">TEXT(DATE(YEAR(Invoer!$A$5),1,1)+INT((ROWS(B$2:B573)-1)/3),"jjjjmmdd")</f>
        <v>19200709</v>
      </c>
      <c r="C573" s="35" t="str">
        <f>IF(MOD(ROWS(C$2:C573)-1,3)=2,"24.00",INDEX(Data,2,2+MOD(ROWS(C$2:C573)-1,3)))</f>
        <v>14.00</v>
      </c>
      <c r="D573" s="23">
        <f t="shared" ca="1" si="62"/>
        <v>749</v>
      </c>
      <c r="E573" s="40">
        <f t="shared" ca="1" si="57"/>
        <v>0</v>
      </c>
      <c r="F573" s="23" t="str">
        <f t="shared" ca="1" si="58"/>
        <v>—</v>
      </c>
      <c r="G573" s="40">
        <f t="shared" ca="1" si="59"/>
        <v>7</v>
      </c>
      <c r="H573" s="23" t="str">
        <f t="shared" ca="1" si="60"/>
        <v>—</v>
      </c>
      <c r="I573" s="40">
        <f t="shared" ca="1" si="61"/>
        <v>7</v>
      </c>
    </row>
    <row r="574" spans="1:9" x14ac:dyDescent="0.25">
      <c r="A574" s="17">
        <f t="shared" si="56"/>
        <v>81</v>
      </c>
      <c r="B574" t="str">
        <f ca="1">TEXT(DATE(YEAR(Invoer!$A$5),1,1)+INT((ROWS(B$2:B574)-1)/3),"jjjjmmdd")</f>
        <v>19200709</v>
      </c>
      <c r="C574" s="35" t="str">
        <f>IF(MOD(ROWS(C$2:C574)-1,3)=2,"24.00",INDEX(Data,2,2+MOD(ROWS(C$2:C574)-1,3)))</f>
        <v>24.00</v>
      </c>
      <c r="D574" s="23" t="str">
        <f t="shared" ca="1" si="62"/>
        <v>—</v>
      </c>
      <c r="E574" s="40">
        <f t="shared" ca="1" si="57"/>
        <v>7</v>
      </c>
      <c r="F574" s="23">
        <f t="shared" ca="1" si="58"/>
        <v>26</v>
      </c>
      <c r="G574" s="40">
        <f t="shared" ca="1" si="59"/>
        <v>0</v>
      </c>
      <c r="H574" s="23">
        <f t="shared" ca="1" si="60"/>
        <v>28.8</v>
      </c>
      <c r="I574" s="40">
        <f t="shared" ca="1" si="61"/>
        <v>0</v>
      </c>
    </row>
    <row r="575" spans="1:9" x14ac:dyDescent="0.25">
      <c r="A575" s="17">
        <f t="shared" si="56"/>
        <v>81</v>
      </c>
      <c r="B575" t="str">
        <f ca="1">TEXT(DATE(YEAR(Invoer!$A$5),1,1)+INT((ROWS(B$2:B575)-1)/3),"jjjjmmdd")</f>
        <v>19200710</v>
      </c>
      <c r="C575" s="35" t="str">
        <f>IF(MOD(ROWS(C$2:C575)-1,3)=2,"24.00",INDEX(Data,2,2+MOD(ROWS(C$2:C575)-1,3)))</f>
        <v>08.00</v>
      </c>
      <c r="D575" s="23">
        <f t="shared" ca="1" si="62"/>
        <v>749</v>
      </c>
      <c r="E575" s="40">
        <f t="shared" ca="1" si="57"/>
        <v>0</v>
      </c>
      <c r="F575" s="23" t="str">
        <f t="shared" ca="1" si="58"/>
        <v>—</v>
      </c>
      <c r="G575" s="40">
        <f t="shared" ca="1" si="59"/>
        <v>7</v>
      </c>
      <c r="H575" s="23" t="str">
        <f t="shared" ca="1" si="60"/>
        <v>—</v>
      </c>
      <c r="I575" s="40">
        <f t="shared" ca="1" si="61"/>
        <v>7</v>
      </c>
    </row>
    <row r="576" spans="1:9" x14ac:dyDescent="0.25">
      <c r="A576" s="17">
        <f t="shared" si="56"/>
        <v>81</v>
      </c>
      <c r="B576" t="str">
        <f ca="1">TEXT(DATE(YEAR(Invoer!$A$5),1,1)+INT((ROWS(B$2:B576)-1)/3),"jjjjmmdd")</f>
        <v>19200710</v>
      </c>
      <c r="C576" s="35" t="str">
        <f>IF(MOD(ROWS(C$2:C576)-1,3)=2,"24.00",INDEX(Data,2,2+MOD(ROWS(C$2:C576)-1,3)))</f>
        <v>14.00</v>
      </c>
      <c r="D576" s="23">
        <f t="shared" ca="1" si="62"/>
        <v>748.6</v>
      </c>
      <c r="E576" s="40">
        <f t="shared" ca="1" si="57"/>
        <v>0</v>
      </c>
      <c r="F576" s="23" t="str">
        <f t="shared" ca="1" si="58"/>
        <v>—</v>
      </c>
      <c r="G576" s="40">
        <f t="shared" ca="1" si="59"/>
        <v>7</v>
      </c>
      <c r="H576" s="23" t="str">
        <f t="shared" ca="1" si="60"/>
        <v>—</v>
      </c>
      <c r="I576" s="40">
        <f t="shared" ca="1" si="61"/>
        <v>7</v>
      </c>
    </row>
    <row r="577" spans="1:9" x14ac:dyDescent="0.25">
      <c r="A577" s="17">
        <f t="shared" si="56"/>
        <v>81</v>
      </c>
      <c r="B577" t="str">
        <f ca="1">TEXT(DATE(YEAR(Invoer!$A$5),1,1)+INT((ROWS(B$2:B577)-1)/3),"jjjjmmdd")</f>
        <v>19200710</v>
      </c>
      <c r="C577" s="35" t="str">
        <f>IF(MOD(ROWS(C$2:C577)-1,3)=2,"24.00",INDEX(Data,2,2+MOD(ROWS(C$2:C577)-1,3)))</f>
        <v>24.00</v>
      </c>
      <c r="D577" s="23" t="str">
        <f t="shared" ca="1" si="62"/>
        <v>—</v>
      </c>
      <c r="E577" s="40">
        <f t="shared" ca="1" si="57"/>
        <v>7</v>
      </c>
      <c r="F577" s="23">
        <f t="shared" ca="1" si="58"/>
        <v>25.8</v>
      </c>
      <c r="G577" s="40">
        <f t="shared" ca="1" si="59"/>
        <v>0</v>
      </c>
      <c r="H577" s="23">
        <f t="shared" ca="1" si="60"/>
        <v>28</v>
      </c>
      <c r="I577" s="40">
        <f t="shared" ca="1" si="61"/>
        <v>0</v>
      </c>
    </row>
    <row r="578" spans="1:9" x14ac:dyDescent="0.25">
      <c r="A578" s="17">
        <f t="shared" ref="A578:A641" si="63">INDEX(Stations,2,1)</f>
        <v>81</v>
      </c>
      <c r="B578" t="str">
        <f ca="1">TEXT(DATE(YEAR(Invoer!$A$5),1,1)+INT((ROWS(B$2:B578)-1)/3),"jjjjmmdd")</f>
        <v>19200711</v>
      </c>
      <c r="C578" s="35" t="str">
        <f>IF(MOD(ROWS(C$2:C578)-1,3)=2,"24.00",INDEX(Data,2,2+MOD(ROWS(C$2:C578)-1,3)))</f>
        <v>08.00</v>
      </c>
      <c r="D578" s="23">
        <f t="shared" ca="1" si="62"/>
        <v>749</v>
      </c>
      <c r="E578" s="40">
        <f t="shared" ref="E578:E641" ca="1" si="64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 t="str">
        <f t="shared" ref="F578:F641" ca="1" si="65">IF(OR(ISBLANK(VLOOKUP(DATEVALUE(LEFT($B578,4)&amp;"-"&amp;MID($B578,5,2)&amp;"-"&amp;RIGHT($B578,2)),Data,MATCH(LEFT(VLOOKUP(F$1,Parameters,2,FALSE()),4)&amp;"*",OFFSET(Data,1,0,1),0),FALSE())),ISTEXT(VLOOKUP(DATEVALUE(LEFT($B578,4)&amp;"-"&amp;MID($B578,5,2)&amp;"-"&amp;RIGHT($B578,2)),Data,MATCH(LEFT(VLOOKUP(F$1,Parameters,2,FALSE()),4)&amp;"*",OFFSET(Data,1,0,1),0),FALSE())),NOT(EXACT($C578,"24.00"))),"—",VLOOKUP(DATEVALUE(LEFT($B578,4)&amp;"-"&amp;MID($B578,5,2)&amp;"-"&amp;RIGHT($B578,2)),Data,MATCH(LEFT(VLOOKUP(F$1,Parameters,2,FALSE()),4)&amp;"*",OFFSET(Data,1,0,1),0),FALSE()))</f>
        <v>—</v>
      </c>
      <c r="G578" s="40">
        <f t="shared" ref="G578:G641" ca="1" si="66">IF(OR(ISBLANK(VLOOKUP(DATEVALUE(LEFT($B578,4)&amp;"-"&amp;MID($B578,5,2)&amp;"-"&amp;RIGHT($B578,2)),Data,MATCH(LEFT(VLOOKUP(MID(G$1,2,LEN(G$1)-1),Parameters,2,FALSE()),4)&amp;"*",OFFSET(Data,1,0,1),0),FALSE())),ISTEXT(VLOOKUP(DATEVALUE(LEFT($B578,4)&amp;"-"&amp;MID($B578,5,2)&amp;"-"&amp;RIGHT($B578,2)),Data,MATCH(LEFT(VLOOKUP(MID(G$1,2,LEN(G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1,0,1),0),FALSE())))</f>
        <v>7</v>
      </c>
      <c r="H578" s="23" t="str">
        <f t="shared" ref="H578:H641" ca="1" si="67">IF(OR(ISBLANK(VLOOKUP(DATEVALUE(LEFT($B578,4)&amp;"-"&amp;MID($B578,5,2)&amp;"-"&amp;RIGHT($B578,2)),Data,MATCH(LEFT(VLOOKUP(H$1,Parameters,2,FALSE()),4)&amp;"*",OFFSET(Data,1,0,1),0),FALSE())),ISTEXT(VLOOKUP(DATEVALUE(LEFT($B578,4)&amp;"-"&amp;MID($B578,5,2)&amp;"-"&amp;RIGHT($B578,2)),Data,MATCH(LEFT(VLOOKUP(H$1,Parameters,2,FALSE()),4)&amp;"*",OFFSET(Data,1,0,1),0),FALSE())),NOT(EXACT($C578,"24.00"))),"—",VLOOKUP(DATEVALUE(LEFT($B578,4)&amp;"-"&amp;MID($B578,5,2)&amp;"-"&amp;RIGHT($B578,2)),Data,MATCH(LEFT(VLOOKUP(H$1,Parameters,2,FALSE()),4)&amp;"*",OFFSET(Data,1,0,1),0),FALSE()))</f>
        <v>—</v>
      </c>
      <c r="I578" s="40">
        <f t="shared" ref="I578:I641" ca="1" si="68">IF(OR(ISBLANK(VLOOKUP(DATEVALUE(LEFT($B578,4)&amp;"-"&amp;MID($B578,5,2)&amp;"-"&amp;RIGHT($B578,2)),Data,MATCH(LEFT(VLOOKUP(MID(I$1,2,LEN(I$1)-1),Parameters,2,FALSE()),4)&amp;"*",OFFSET(Data,1,0,1),0),FALSE())),ISTEXT(VLOOKUP(DATEVALUE(LEFT($B578,4)&amp;"-"&amp;MID($B578,5,2)&amp;"-"&amp;RIGHT($B578,2)),Data,MATCH(LEFT(VLOOKUP(MID(I$1,2,LEN(I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I$1,2,LEN(I$1)-1),Parameters,2,FALSE()),4)&amp;"*",OFFSET(Catalogus,1,0,1),0),FALSE())))</f>
        <v>7</v>
      </c>
    </row>
    <row r="579" spans="1:9" x14ac:dyDescent="0.25">
      <c r="A579" s="17">
        <f t="shared" si="63"/>
        <v>81</v>
      </c>
      <c r="B579" t="str">
        <f ca="1">TEXT(DATE(YEAR(Invoer!$A$5),1,1)+INT((ROWS(B$2:B579)-1)/3),"jjjjmmdd")</f>
        <v>19200711</v>
      </c>
      <c r="C579" s="35" t="str">
        <f>IF(MOD(ROWS(C$2:C579)-1,3)=2,"24.00",INDEX(Data,2,2+MOD(ROWS(C$2:C579)-1,3)))</f>
        <v>14.00</v>
      </c>
      <c r="D579" s="23">
        <f t="shared" ref="D579:D642" ca="1" si="69">IF(OR(ISBLANK(VLOOKUP(DATEVALUE(LEFT($B579,4)&amp;"-"&amp;MID($B579,5,2)&amp;"-"&amp;RIGHT($B579,2)),Data,MATCH(LEFT(VLOOKUP(D$1,Parameters,2,FALSE()),4)&amp;"*",OFFSET(Data,0,0,1),0)+MATCH($C579,OFFSET(Data,1,0,1),0)-2,FALSE())),ISTEXT(VLOOKUP(DATEVALUE(LEFT($B579,4)&amp;"-"&amp;MID($B579,5,2)&amp;"-"&amp;RIGHT($B579,2)),Data,MATCH(LEFT(VLOOKUP(D$1,Parameters,2,FALSE()),4)&amp;"*",OFFSET(Data,0,0,1),0)+MATCH($C579,OFFSET(Data,1,0,1),0)-2,FALSE())),EXACT(C579,"24.00")),"—",VLOOKUP(DATEVALUE(LEFT($B579,4)&amp;"-"&amp;MID($B579,5,2)&amp;"-"&amp;RIGHT($B579,2)),Data,MATCH(LEFT(VLOOKUP(D$1,Parameters,2,FALSE()),4)&amp;"*",OFFSET(Data,0,0,1),0)+MATCH($C579,OFFSET(Data,1,0,1),0)-2,FALSE()))</f>
        <v>748</v>
      </c>
      <c r="E579" s="40">
        <f t="shared" ca="1" si="64"/>
        <v>0</v>
      </c>
      <c r="F579" s="23" t="str">
        <f t="shared" ca="1" si="65"/>
        <v>—</v>
      </c>
      <c r="G579" s="40">
        <f t="shared" ca="1" si="66"/>
        <v>7</v>
      </c>
      <c r="H579" s="23" t="str">
        <f t="shared" ca="1" si="67"/>
        <v>—</v>
      </c>
      <c r="I579" s="40">
        <f t="shared" ca="1" si="68"/>
        <v>7</v>
      </c>
    </row>
    <row r="580" spans="1:9" x14ac:dyDescent="0.25">
      <c r="A580" s="17">
        <f t="shared" si="63"/>
        <v>81</v>
      </c>
      <c r="B580" t="str">
        <f ca="1">TEXT(DATE(YEAR(Invoer!$A$5),1,1)+INT((ROWS(B$2:B580)-1)/3),"jjjjmmdd")</f>
        <v>19200711</v>
      </c>
      <c r="C580" s="35" t="str">
        <f>IF(MOD(ROWS(C$2:C580)-1,3)=2,"24.00",INDEX(Data,2,2+MOD(ROWS(C$2:C580)-1,3)))</f>
        <v>24.00</v>
      </c>
      <c r="D580" s="23" t="str">
        <f t="shared" ca="1" si="69"/>
        <v>—</v>
      </c>
      <c r="E580" s="40">
        <f t="shared" ca="1" si="64"/>
        <v>7</v>
      </c>
      <c r="F580" s="23">
        <f t="shared" ca="1" si="65"/>
        <v>25</v>
      </c>
      <c r="G580" s="40">
        <f t="shared" ca="1" si="66"/>
        <v>0</v>
      </c>
      <c r="H580" s="23">
        <f t="shared" ca="1" si="67"/>
        <v>28</v>
      </c>
      <c r="I580" s="40">
        <f t="shared" ca="1" si="68"/>
        <v>0</v>
      </c>
    </row>
    <row r="581" spans="1:9" x14ac:dyDescent="0.25">
      <c r="A581" s="17">
        <f t="shared" si="63"/>
        <v>81</v>
      </c>
      <c r="B581" t="str">
        <f ca="1">TEXT(DATE(YEAR(Invoer!$A$5),1,1)+INT((ROWS(B$2:B581)-1)/3),"jjjjmmdd")</f>
        <v>19200712</v>
      </c>
      <c r="C581" s="35" t="str">
        <f>IF(MOD(ROWS(C$2:C581)-1,3)=2,"24.00",INDEX(Data,2,2+MOD(ROWS(C$2:C581)-1,3)))</f>
        <v>08.00</v>
      </c>
      <c r="D581" s="23">
        <f t="shared" ca="1" si="69"/>
        <v>750.7</v>
      </c>
      <c r="E581" s="40">
        <f t="shared" ca="1" si="64"/>
        <v>0</v>
      </c>
      <c r="F581" s="23" t="str">
        <f t="shared" ca="1" si="65"/>
        <v>—</v>
      </c>
      <c r="G581" s="40">
        <f t="shared" ca="1" si="66"/>
        <v>7</v>
      </c>
      <c r="H581" s="23" t="str">
        <f t="shared" ca="1" si="67"/>
        <v>—</v>
      </c>
      <c r="I581" s="40">
        <f t="shared" ca="1" si="68"/>
        <v>7</v>
      </c>
    </row>
    <row r="582" spans="1:9" x14ac:dyDescent="0.25">
      <c r="A582" s="17">
        <f t="shared" si="63"/>
        <v>81</v>
      </c>
      <c r="B582" t="str">
        <f ca="1">TEXT(DATE(YEAR(Invoer!$A$5),1,1)+INT((ROWS(B$2:B582)-1)/3),"jjjjmmdd")</f>
        <v>19200712</v>
      </c>
      <c r="C582" s="35" t="str">
        <f>IF(MOD(ROWS(C$2:C582)-1,3)=2,"24.00",INDEX(Data,2,2+MOD(ROWS(C$2:C582)-1,3)))</f>
        <v>14.00</v>
      </c>
      <c r="D582" s="23">
        <f t="shared" ca="1" si="69"/>
        <v>750</v>
      </c>
      <c r="E582" s="40">
        <f t="shared" ca="1" si="64"/>
        <v>0</v>
      </c>
      <c r="F582" s="23" t="str">
        <f t="shared" ca="1" si="65"/>
        <v>—</v>
      </c>
      <c r="G582" s="40">
        <f t="shared" ca="1" si="66"/>
        <v>7</v>
      </c>
      <c r="H582" s="23" t="str">
        <f t="shared" ca="1" si="67"/>
        <v>—</v>
      </c>
      <c r="I582" s="40">
        <f t="shared" ca="1" si="68"/>
        <v>7</v>
      </c>
    </row>
    <row r="583" spans="1:9" x14ac:dyDescent="0.25">
      <c r="A583" s="17">
        <f t="shared" si="63"/>
        <v>81</v>
      </c>
      <c r="B583" t="str">
        <f ca="1">TEXT(DATE(YEAR(Invoer!$A$5),1,1)+INT((ROWS(B$2:B583)-1)/3),"jjjjmmdd")</f>
        <v>19200712</v>
      </c>
      <c r="C583" s="35" t="str">
        <f>IF(MOD(ROWS(C$2:C583)-1,3)=2,"24.00",INDEX(Data,2,2+MOD(ROWS(C$2:C583)-1,3)))</f>
        <v>24.00</v>
      </c>
      <c r="D583" s="23" t="str">
        <f t="shared" ca="1" si="69"/>
        <v>—</v>
      </c>
      <c r="E583" s="40">
        <f t="shared" ca="1" si="64"/>
        <v>7</v>
      </c>
      <c r="F583" s="23">
        <f t="shared" ca="1" si="65"/>
        <v>26</v>
      </c>
      <c r="G583" s="40">
        <f t="shared" ca="1" si="66"/>
        <v>0</v>
      </c>
      <c r="H583" s="23">
        <f t="shared" ca="1" si="67"/>
        <v>29</v>
      </c>
      <c r="I583" s="40">
        <f t="shared" ca="1" si="68"/>
        <v>0</v>
      </c>
    </row>
    <row r="584" spans="1:9" x14ac:dyDescent="0.25">
      <c r="A584" s="17">
        <f t="shared" si="63"/>
        <v>81</v>
      </c>
      <c r="B584" t="str">
        <f ca="1">TEXT(DATE(YEAR(Invoer!$A$5),1,1)+INT((ROWS(B$2:B584)-1)/3),"jjjjmmdd")</f>
        <v>19200713</v>
      </c>
      <c r="C584" s="35" t="str">
        <f>IF(MOD(ROWS(C$2:C584)-1,3)=2,"24.00",INDEX(Data,2,2+MOD(ROWS(C$2:C584)-1,3)))</f>
        <v>08.00</v>
      </c>
      <c r="D584" s="23">
        <f t="shared" ca="1" si="69"/>
        <v>749.6</v>
      </c>
      <c r="E584" s="40">
        <f t="shared" ca="1" si="64"/>
        <v>0</v>
      </c>
      <c r="F584" s="23" t="str">
        <f t="shared" ca="1" si="65"/>
        <v>—</v>
      </c>
      <c r="G584" s="40">
        <f t="shared" ca="1" si="66"/>
        <v>7</v>
      </c>
      <c r="H584" s="23" t="str">
        <f t="shared" ca="1" si="67"/>
        <v>—</v>
      </c>
      <c r="I584" s="40">
        <f t="shared" ca="1" si="68"/>
        <v>7</v>
      </c>
    </row>
    <row r="585" spans="1:9" x14ac:dyDescent="0.25">
      <c r="A585" s="17">
        <f t="shared" si="63"/>
        <v>81</v>
      </c>
      <c r="B585" t="str">
        <f ca="1">TEXT(DATE(YEAR(Invoer!$A$5),1,1)+INT((ROWS(B$2:B585)-1)/3),"jjjjmmdd")</f>
        <v>19200713</v>
      </c>
      <c r="C585" s="35" t="str">
        <f>IF(MOD(ROWS(C$2:C585)-1,3)=2,"24.00",INDEX(Data,2,2+MOD(ROWS(C$2:C585)-1,3)))</f>
        <v>14.00</v>
      </c>
      <c r="D585" s="23">
        <f t="shared" ca="1" si="69"/>
        <v>749</v>
      </c>
      <c r="E585" s="40">
        <f t="shared" ca="1" si="64"/>
        <v>0</v>
      </c>
      <c r="F585" s="23" t="str">
        <f t="shared" ca="1" si="65"/>
        <v>—</v>
      </c>
      <c r="G585" s="40">
        <f t="shared" ca="1" si="66"/>
        <v>7</v>
      </c>
      <c r="H585" s="23" t="str">
        <f t="shared" ca="1" si="67"/>
        <v>—</v>
      </c>
      <c r="I585" s="40">
        <f t="shared" ca="1" si="68"/>
        <v>7</v>
      </c>
    </row>
    <row r="586" spans="1:9" x14ac:dyDescent="0.25">
      <c r="A586" s="17">
        <f t="shared" si="63"/>
        <v>81</v>
      </c>
      <c r="B586" t="str">
        <f ca="1">TEXT(DATE(YEAR(Invoer!$A$5),1,1)+INT((ROWS(B$2:B586)-1)/3),"jjjjmmdd")</f>
        <v>19200713</v>
      </c>
      <c r="C586" s="35" t="str">
        <f>IF(MOD(ROWS(C$2:C586)-1,3)=2,"24.00",INDEX(Data,2,2+MOD(ROWS(C$2:C586)-1,3)))</f>
        <v>24.00</v>
      </c>
      <c r="D586" s="23" t="str">
        <f t="shared" ca="1" si="69"/>
        <v>—</v>
      </c>
      <c r="E586" s="40">
        <f t="shared" ca="1" si="64"/>
        <v>7</v>
      </c>
      <c r="F586" s="23">
        <f t="shared" ca="1" si="65"/>
        <v>26</v>
      </c>
      <c r="G586" s="40">
        <f t="shared" ca="1" si="66"/>
        <v>0</v>
      </c>
      <c r="H586" s="23">
        <f t="shared" ca="1" si="67"/>
        <v>28</v>
      </c>
      <c r="I586" s="40">
        <f t="shared" ca="1" si="68"/>
        <v>0</v>
      </c>
    </row>
    <row r="587" spans="1:9" x14ac:dyDescent="0.25">
      <c r="A587" s="17">
        <f t="shared" si="63"/>
        <v>81</v>
      </c>
      <c r="B587" t="str">
        <f ca="1">TEXT(DATE(YEAR(Invoer!$A$5),1,1)+INT((ROWS(B$2:B587)-1)/3),"jjjjmmdd")</f>
        <v>19200714</v>
      </c>
      <c r="C587" s="35" t="str">
        <f>IF(MOD(ROWS(C$2:C587)-1,3)=2,"24.00",INDEX(Data,2,2+MOD(ROWS(C$2:C587)-1,3)))</f>
        <v>08.00</v>
      </c>
      <c r="D587" s="23">
        <f t="shared" ca="1" si="69"/>
        <v>749</v>
      </c>
      <c r="E587" s="40">
        <f t="shared" ca="1" si="64"/>
        <v>0</v>
      </c>
      <c r="F587" s="23" t="str">
        <f t="shared" ca="1" si="65"/>
        <v>—</v>
      </c>
      <c r="G587" s="40">
        <f t="shared" ca="1" si="66"/>
        <v>7</v>
      </c>
      <c r="H587" s="23" t="str">
        <f t="shared" ca="1" si="67"/>
        <v>—</v>
      </c>
      <c r="I587" s="40">
        <f t="shared" ca="1" si="68"/>
        <v>7</v>
      </c>
    </row>
    <row r="588" spans="1:9" x14ac:dyDescent="0.25">
      <c r="A588" s="17">
        <f t="shared" si="63"/>
        <v>81</v>
      </c>
      <c r="B588" t="str">
        <f ca="1">TEXT(DATE(YEAR(Invoer!$A$5),1,1)+INT((ROWS(B$2:B588)-1)/3),"jjjjmmdd")</f>
        <v>19200714</v>
      </c>
      <c r="C588" s="35" t="str">
        <f>IF(MOD(ROWS(C$2:C588)-1,3)=2,"24.00",INDEX(Data,2,2+MOD(ROWS(C$2:C588)-1,3)))</f>
        <v>14.00</v>
      </c>
      <c r="D588" s="23">
        <f t="shared" ca="1" si="69"/>
        <v>748.5</v>
      </c>
      <c r="E588" s="40">
        <f t="shared" ca="1" si="64"/>
        <v>0</v>
      </c>
      <c r="F588" s="23" t="str">
        <f t="shared" ca="1" si="65"/>
        <v>—</v>
      </c>
      <c r="G588" s="40">
        <f t="shared" ca="1" si="66"/>
        <v>7</v>
      </c>
      <c r="H588" s="23" t="str">
        <f t="shared" ca="1" si="67"/>
        <v>—</v>
      </c>
      <c r="I588" s="40">
        <f t="shared" ca="1" si="68"/>
        <v>7</v>
      </c>
    </row>
    <row r="589" spans="1:9" x14ac:dyDescent="0.25">
      <c r="A589" s="17">
        <f t="shared" si="63"/>
        <v>81</v>
      </c>
      <c r="B589" t="str">
        <f ca="1">TEXT(DATE(YEAR(Invoer!$A$5),1,1)+INT((ROWS(B$2:B589)-1)/3),"jjjjmmdd")</f>
        <v>19200714</v>
      </c>
      <c r="C589" s="35" t="str">
        <f>IF(MOD(ROWS(C$2:C589)-1,3)=2,"24.00",INDEX(Data,2,2+MOD(ROWS(C$2:C589)-1,3)))</f>
        <v>24.00</v>
      </c>
      <c r="D589" s="23" t="str">
        <f t="shared" ca="1" si="69"/>
        <v>—</v>
      </c>
      <c r="E589" s="40">
        <f t="shared" ca="1" si="64"/>
        <v>7</v>
      </c>
      <c r="F589" s="23">
        <f t="shared" ca="1" si="65"/>
        <v>25</v>
      </c>
      <c r="G589" s="40">
        <f t="shared" ca="1" si="66"/>
        <v>0</v>
      </c>
      <c r="H589" s="23">
        <f t="shared" ca="1" si="67"/>
        <v>28</v>
      </c>
      <c r="I589" s="40">
        <f t="shared" ca="1" si="68"/>
        <v>0</v>
      </c>
    </row>
    <row r="590" spans="1:9" x14ac:dyDescent="0.25">
      <c r="A590" s="17">
        <f t="shared" si="63"/>
        <v>81</v>
      </c>
      <c r="B590" t="str">
        <f ca="1">TEXT(DATE(YEAR(Invoer!$A$5),1,1)+INT((ROWS(B$2:B590)-1)/3),"jjjjmmdd")</f>
        <v>19200715</v>
      </c>
      <c r="C590" s="35" t="str">
        <f>IF(MOD(ROWS(C$2:C590)-1,3)=2,"24.00",INDEX(Data,2,2+MOD(ROWS(C$2:C590)-1,3)))</f>
        <v>08.00</v>
      </c>
      <c r="D590" s="23">
        <f t="shared" ca="1" si="69"/>
        <v>750.3</v>
      </c>
      <c r="E590" s="40">
        <f t="shared" ca="1" si="64"/>
        <v>0</v>
      </c>
      <c r="F590" s="23" t="str">
        <f t="shared" ca="1" si="65"/>
        <v>—</v>
      </c>
      <c r="G590" s="40">
        <f t="shared" ca="1" si="66"/>
        <v>7</v>
      </c>
      <c r="H590" s="23" t="str">
        <f t="shared" ca="1" si="67"/>
        <v>—</v>
      </c>
      <c r="I590" s="40">
        <f t="shared" ca="1" si="68"/>
        <v>7</v>
      </c>
    </row>
    <row r="591" spans="1:9" x14ac:dyDescent="0.25">
      <c r="A591" s="17">
        <f t="shared" si="63"/>
        <v>81</v>
      </c>
      <c r="B591" t="str">
        <f ca="1">TEXT(DATE(YEAR(Invoer!$A$5),1,1)+INT((ROWS(B$2:B591)-1)/3),"jjjjmmdd")</f>
        <v>19200715</v>
      </c>
      <c r="C591" s="35" t="str">
        <f>IF(MOD(ROWS(C$2:C591)-1,3)=2,"24.00",INDEX(Data,2,2+MOD(ROWS(C$2:C591)-1,3)))</f>
        <v>14.00</v>
      </c>
      <c r="D591" s="23">
        <f t="shared" ca="1" si="69"/>
        <v>750</v>
      </c>
      <c r="E591" s="40">
        <f t="shared" ca="1" si="64"/>
        <v>0</v>
      </c>
      <c r="F591" s="23" t="str">
        <f t="shared" ca="1" si="65"/>
        <v>—</v>
      </c>
      <c r="G591" s="40">
        <f t="shared" ca="1" si="66"/>
        <v>7</v>
      </c>
      <c r="H591" s="23" t="str">
        <f t="shared" ca="1" si="67"/>
        <v>—</v>
      </c>
      <c r="I591" s="40">
        <f t="shared" ca="1" si="68"/>
        <v>7</v>
      </c>
    </row>
    <row r="592" spans="1:9" x14ac:dyDescent="0.25">
      <c r="A592" s="17">
        <f t="shared" si="63"/>
        <v>81</v>
      </c>
      <c r="B592" t="str">
        <f ca="1">TEXT(DATE(YEAR(Invoer!$A$5),1,1)+INT((ROWS(B$2:B592)-1)/3),"jjjjmmdd")</f>
        <v>19200715</v>
      </c>
      <c r="C592" s="35" t="str">
        <f>IF(MOD(ROWS(C$2:C592)-1,3)=2,"24.00",INDEX(Data,2,2+MOD(ROWS(C$2:C592)-1,3)))</f>
        <v>24.00</v>
      </c>
      <c r="D592" s="23" t="str">
        <f t="shared" ca="1" si="69"/>
        <v>—</v>
      </c>
      <c r="E592" s="40">
        <f t="shared" ca="1" si="64"/>
        <v>7</v>
      </c>
      <c r="F592" s="23">
        <f t="shared" ca="1" si="65"/>
        <v>26</v>
      </c>
      <c r="G592" s="40">
        <f t="shared" ca="1" si="66"/>
        <v>0</v>
      </c>
      <c r="H592" s="23">
        <f t="shared" ca="1" si="67"/>
        <v>28.8</v>
      </c>
      <c r="I592" s="40">
        <f t="shared" ca="1" si="68"/>
        <v>0</v>
      </c>
    </row>
    <row r="593" spans="1:9" x14ac:dyDescent="0.25">
      <c r="A593" s="17">
        <f t="shared" si="63"/>
        <v>81</v>
      </c>
      <c r="B593" t="str">
        <f ca="1">TEXT(DATE(YEAR(Invoer!$A$5),1,1)+INT((ROWS(B$2:B593)-1)/3),"jjjjmmdd")</f>
        <v>19200716</v>
      </c>
      <c r="C593" s="35" t="str">
        <f>IF(MOD(ROWS(C$2:C593)-1,3)=2,"24.00",INDEX(Data,2,2+MOD(ROWS(C$2:C593)-1,3)))</f>
        <v>08.00</v>
      </c>
      <c r="D593" s="23">
        <f t="shared" ca="1" si="69"/>
        <v>750</v>
      </c>
      <c r="E593" s="40">
        <f t="shared" ca="1" si="64"/>
        <v>0</v>
      </c>
      <c r="F593" s="23" t="str">
        <f t="shared" ca="1" si="65"/>
        <v>—</v>
      </c>
      <c r="G593" s="40">
        <f t="shared" ca="1" si="66"/>
        <v>7</v>
      </c>
      <c r="H593" s="23" t="str">
        <f t="shared" ca="1" si="67"/>
        <v>—</v>
      </c>
      <c r="I593" s="40">
        <f t="shared" ca="1" si="68"/>
        <v>7</v>
      </c>
    </row>
    <row r="594" spans="1:9" x14ac:dyDescent="0.25">
      <c r="A594" s="17">
        <f t="shared" si="63"/>
        <v>81</v>
      </c>
      <c r="B594" t="str">
        <f ca="1">TEXT(DATE(YEAR(Invoer!$A$5),1,1)+INT((ROWS(B$2:B594)-1)/3),"jjjjmmdd")</f>
        <v>19200716</v>
      </c>
      <c r="C594" s="35" t="str">
        <f>IF(MOD(ROWS(C$2:C594)-1,3)=2,"24.00",INDEX(Data,2,2+MOD(ROWS(C$2:C594)-1,3)))</f>
        <v>14.00</v>
      </c>
      <c r="D594" s="23">
        <f t="shared" ca="1" si="69"/>
        <v>749.5</v>
      </c>
      <c r="E594" s="40">
        <f t="shared" ca="1" si="64"/>
        <v>0</v>
      </c>
      <c r="F594" s="23" t="str">
        <f t="shared" ca="1" si="65"/>
        <v>—</v>
      </c>
      <c r="G594" s="40">
        <f t="shared" ca="1" si="66"/>
        <v>7</v>
      </c>
      <c r="H594" s="23" t="str">
        <f t="shared" ca="1" si="67"/>
        <v>—</v>
      </c>
      <c r="I594" s="40">
        <f t="shared" ca="1" si="68"/>
        <v>7</v>
      </c>
    </row>
    <row r="595" spans="1:9" x14ac:dyDescent="0.25">
      <c r="A595" s="17">
        <f t="shared" si="63"/>
        <v>81</v>
      </c>
      <c r="B595" t="str">
        <f ca="1">TEXT(DATE(YEAR(Invoer!$A$5),1,1)+INT((ROWS(B$2:B595)-1)/3),"jjjjmmdd")</f>
        <v>19200716</v>
      </c>
      <c r="C595" s="35" t="str">
        <f>IF(MOD(ROWS(C$2:C595)-1,3)=2,"24.00",INDEX(Data,2,2+MOD(ROWS(C$2:C595)-1,3)))</f>
        <v>24.00</v>
      </c>
      <c r="D595" s="23" t="str">
        <f t="shared" ca="1" si="69"/>
        <v>—</v>
      </c>
      <c r="E595" s="40">
        <f t="shared" ca="1" si="64"/>
        <v>7</v>
      </c>
      <c r="F595" s="23">
        <f t="shared" ca="1" si="65"/>
        <v>26</v>
      </c>
      <c r="G595" s="40">
        <f t="shared" ca="1" si="66"/>
        <v>0</v>
      </c>
      <c r="H595" s="23">
        <f t="shared" ca="1" si="67"/>
        <v>28.3</v>
      </c>
      <c r="I595" s="40">
        <f t="shared" ca="1" si="68"/>
        <v>0</v>
      </c>
    </row>
    <row r="596" spans="1:9" x14ac:dyDescent="0.25">
      <c r="A596" s="17">
        <f t="shared" si="63"/>
        <v>81</v>
      </c>
      <c r="B596" t="str">
        <f ca="1">TEXT(DATE(YEAR(Invoer!$A$5),1,1)+INT((ROWS(B$2:B596)-1)/3),"jjjjmmdd")</f>
        <v>19200717</v>
      </c>
      <c r="C596" s="35" t="str">
        <f>IF(MOD(ROWS(C$2:C596)-1,3)=2,"24.00",INDEX(Data,2,2+MOD(ROWS(C$2:C596)-1,3)))</f>
        <v>08.00</v>
      </c>
      <c r="D596" s="23">
        <f t="shared" ca="1" si="69"/>
        <v>750</v>
      </c>
      <c r="E596" s="40">
        <f t="shared" ca="1" si="64"/>
        <v>0</v>
      </c>
      <c r="F596" s="23" t="str">
        <f t="shared" ca="1" si="65"/>
        <v>—</v>
      </c>
      <c r="G596" s="40">
        <f t="shared" ca="1" si="66"/>
        <v>7</v>
      </c>
      <c r="H596" s="23" t="str">
        <f t="shared" ca="1" si="67"/>
        <v>—</v>
      </c>
      <c r="I596" s="40">
        <f t="shared" ca="1" si="68"/>
        <v>7</v>
      </c>
    </row>
    <row r="597" spans="1:9" x14ac:dyDescent="0.25">
      <c r="A597" s="17">
        <f t="shared" si="63"/>
        <v>81</v>
      </c>
      <c r="B597" t="str">
        <f ca="1">TEXT(DATE(YEAR(Invoer!$A$5),1,1)+INT((ROWS(B$2:B597)-1)/3),"jjjjmmdd")</f>
        <v>19200717</v>
      </c>
      <c r="C597" s="35" t="str">
        <f>IF(MOD(ROWS(C$2:C597)-1,3)=2,"24.00",INDEX(Data,2,2+MOD(ROWS(C$2:C597)-1,3)))</f>
        <v>14.00</v>
      </c>
      <c r="D597" s="23">
        <f t="shared" ca="1" si="69"/>
        <v>749.7</v>
      </c>
      <c r="E597" s="40">
        <f t="shared" ca="1" si="64"/>
        <v>0</v>
      </c>
      <c r="F597" s="23" t="str">
        <f t="shared" ca="1" si="65"/>
        <v>—</v>
      </c>
      <c r="G597" s="40">
        <f t="shared" ca="1" si="66"/>
        <v>7</v>
      </c>
      <c r="H597" s="23" t="str">
        <f t="shared" ca="1" si="67"/>
        <v>—</v>
      </c>
      <c r="I597" s="40">
        <f t="shared" ca="1" si="68"/>
        <v>7</v>
      </c>
    </row>
    <row r="598" spans="1:9" x14ac:dyDescent="0.25">
      <c r="A598" s="17">
        <f t="shared" si="63"/>
        <v>81</v>
      </c>
      <c r="B598" t="str">
        <f ca="1">TEXT(DATE(YEAR(Invoer!$A$5),1,1)+INT((ROWS(B$2:B598)-1)/3),"jjjjmmdd")</f>
        <v>19200717</v>
      </c>
      <c r="C598" s="35" t="str">
        <f>IF(MOD(ROWS(C$2:C598)-1,3)=2,"24.00",INDEX(Data,2,2+MOD(ROWS(C$2:C598)-1,3)))</f>
        <v>24.00</v>
      </c>
      <c r="D598" s="23" t="str">
        <f t="shared" ca="1" si="69"/>
        <v>—</v>
      </c>
      <c r="E598" s="40">
        <f t="shared" ca="1" si="64"/>
        <v>7</v>
      </c>
      <c r="F598" s="23">
        <f t="shared" ca="1" si="65"/>
        <v>26</v>
      </c>
      <c r="G598" s="40">
        <f t="shared" ca="1" si="66"/>
        <v>0</v>
      </c>
      <c r="H598" s="23">
        <f t="shared" ca="1" si="67"/>
        <v>29</v>
      </c>
      <c r="I598" s="40">
        <f t="shared" ca="1" si="68"/>
        <v>0</v>
      </c>
    </row>
    <row r="599" spans="1:9" x14ac:dyDescent="0.25">
      <c r="A599" s="17">
        <f t="shared" si="63"/>
        <v>81</v>
      </c>
      <c r="B599" t="str">
        <f ca="1">TEXT(DATE(YEAR(Invoer!$A$5),1,1)+INT((ROWS(B$2:B599)-1)/3),"jjjjmmdd")</f>
        <v>19200718</v>
      </c>
      <c r="C599" s="35" t="str">
        <f>IF(MOD(ROWS(C$2:C599)-1,3)=2,"24.00",INDEX(Data,2,2+MOD(ROWS(C$2:C599)-1,3)))</f>
        <v>08.00</v>
      </c>
      <c r="D599" s="23">
        <f t="shared" ca="1" si="69"/>
        <v>750</v>
      </c>
      <c r="E599" s="40">
        <f t="shared" ca="1" si="64"/>
        <v>0</v>
      </c>
      <c r="F599" s="23" t="str">
        <f t="shared" ca="1" si="65"/>
        <v>—</v>
      </c>
      <c r="G599" s="40">
        <f t="shared" ca="1" si="66"/>
        <v>7</v>
      </c>
      <c r="H599" s="23" t="str">
        <f t="shared" ca="1" si="67"/>
        <v>—</v>
      </c>
      <c r="I599" s="40">
        <f t="shared" ca="1" si="68"/>
        <v>7</v>
      </c>
    </row>
    <row r="600" spans="1:9" x14ac:dyDescent="0.25">
      <c r="A600" s="17">
        <f t="shared" si="63"/>
        <v>81</v>
      </c>
      <c r="B600" t="str">
        <f ca="1">TEXT(DATE(YEAR(Invoer!$A$5),1,1)+INT((ROWS(B$2:B600)-1)/3),"jjjjmmdd")</f>
        <v>19200718</v>
      </c>
      <c r="C600" s="35" t="str">
        <f>IF(MOD(ROWS(C$2:C600)-1,3)=2,"24.00",INDEX(Data,2,2+MOD(ROWS(C$2:C600)-1,3)))</f>
        <v>14.00</v>
      </c>
      <c r="D600" s="23">
        <f t="shared" ca="1" si="69"/>
        <v>749.6</v>
      </c>
      <c r="E600" s="40">
        <f t="shared" ca="1" si="64"/>
        <v>0</v>
      </c>
      <c r="F600" s="23" t="str">
        <f t="shared" ca="1" si="65"/>
        <v>—</v>
      </c>
      <c r="G600" s="40">
        <f t="shared" ca="1" si="66"/>
        <v>7</v>
      </c>
      <c r="H600" s="23" t="str">
        <f t="shared" ca="1" si="67"/>
        <v>—</v>
      </c>
      <c r="I600" s="40">
        <f t="shared" ca="1" si="68"/>
        <v>7</v>
      </c>
    </row>
    <row r="601" spans="1:9" x14ac:dyDescent="0.25">
      <c r="A601" s="17">
        <f t="shared" si="63"/>
        <v>81</v>
      </c>
      <c r="B601" t="str">
        <f ca="1">TEXT(DATE(YEAR(Invoer!$A$5),1,1)+INT((ROWS(B$2:B601)-1)/3),"jjjjmmdd")</f>
        <v>19200718</v>
      </c>
      <c r="C601" s="35" t="str">
        <f>IF(MOD(ROWS(C$2:C601)-1,3)=2,"24.00",INDEX(Data,2,2+MOD(ROWS(C$2:C601)-1,3)))</f>
        <v>24.00</v>
      </c>
      <c r="D601" s="23" t="str">
        <f t="shared" ca="1" si="69"/>
        <v>—</v>
      </c>
      <c r="E601" s="40">
        <f t="shared" ca="1" si="64"/>
        <v>7</v>
      </c>
      <c r="F601" s="23">
        <f t="shared" ca="1" si="65"/>
        <v>25</v>
      </c>
      <c r="G601" s="40">
        <f t="shared" ca="1" si="66"/>
        <v>0</v>
      </c>
      <c r="H601" s="23">
        <f t="shared" ca="1" si="67"/>
        <v>28</v>
      </c>
      <c r="I601" s="40">
        <f t="shared" ca="1" si="68"/>
        <v>0</v>
      </c>
    </row>
    <row r="602" spans="1:9" x14ac:dyDescent="0.25">
      <c r="A602" s="17">
        <f t="shared" si="63"/>
        <v>81</v>
      </c>
      <c r="B602" t="str">
        <f ca="1">TEXT(DATE(YEAR(Invoer!$A$5),1,1)+INT((ROWS(B$2:B602)-1)/3),"jjjjmmdd")</f>
        <v>19200719</v>
      </c>
      <c r="C602" s="35" t="str">
        <f>IF(MOD(ROWS(C$2:C602)-1,3)=2,"24.00",INDEX(Data,2,2+MOD(ROWS(C$2:C602)-1,3)))</f>
        <v>08.00</v>
      </c>
      <c r="D602" s="23">
        <f t="shared" ca="1" si="69"/>
        <v>750</v>
      </c>
      <c r="E602" s="40">
        <f t="shared" ca="1" si="64"/>
        <v>0</v>
      </c>
      <c r="F602" s="23" t="str">
        <f t="shared" ca="1" si="65"/>
        <v>—</v>
      </c>
      <c r="G602" s="40">
        <f t="shared" ca="1" si="66"/>
        <v>7</v>
      </c>
      <c r="H602" s="23" t="str">
        <f t="shared" ca="1" si="67"/>
        <v>—</v>
      </c>
      <c r="I602" s="40">
        <f t="shared" ca="1" si="68"/>
        <v>7</v>
      </c>
    </row>
    <row r="603" spans="1:9" x14ac:dyDescent="0.25">
      <c r="A603" s="17">
        <f t="shared" si="63"/>
        <v>81</v>
      </c>
      <c r="B603" t="str">
        <f ca="1">TEXT(DATE(YEAR(Invoer!$A$5),1,1)+INT((ROWS(B$2:B603)-1)/3),"jjjjmmdd")</f>
        <v>19200719</v>
      </c>
      <c r="C603" s="35" t="str">
        <f>IF(MOD(ROWS(C$2:C603)-1,3)=2,"24.00",INDEX(Data,2,2+MOD(ROWS(C$2:C603)-1,3)))</f>
        <v>14.00</v>
      </c>
      <c r="D603" s="23">
        <f t="shared" ca="1" si="69"/>
        <v>749.7</v>
      </c>
      <c r="E603" s="40">
        <f t="shared" ca="1" si="64"/>
        <v>0</v>
      </c>
      <c r="F603" s="23" t="str">
        <f t="shared" ca="1" si="65"/>
        <v>—</v>
      </c>
      <c r="G603" s="40">
        <f t="shared" ca="1" si="66"/>
        <v>7</v>
      </c>
      <c r="H603" s="23" t="str">
        <f t="shared" ca="1" si="67"/>
        <v>—</v>
      </c>
      <c r="I603" s="40">
        <f t="shared" ca="1" si="68"/>
        <v>7</v>
      </c>
    </row>
    <row r="604" spans="1:9" x14ac:dyDescent="0.25">
      <c r="A604" s="17">
        <f t="shared" si="63"/>
        <v>81</v>
      </c>
      <c r="B604" t="str">
        <f ca="1">TEXT(DATE(YEAR(Invoer!$A$5),1,1)+INT((ROWS(B$2:B604)-1)/3),"jjjjmmdd")</f>
        <v>19200719</v>
      </c>
      <c r="C604" s="35" t="str">
        <f>IF(MOD(ROWS(C$2:C604)-1,3)=2,"24.00",INDEX(Data,2,2+MOD(ROWS(C$2:C604)-1,3)))</f>
        <v>24.00</v>
      </c>
      <c r="D604" s="23" t="str">
        <f t="shared" ca="1" si="69"/>
        <v>—</v>
      </c>
      <c r="E604" s="40">
        <f t="shared" ca="1" si="64"/>
        <v>7</v>
      </c>
      <c r="F604" s="23">
        <f t="shared" ca="1" si="65"/>
        <v>25</v>
      </c>
      <c r="G604" s="40">
        <f t="shared" ca="1" si="66"/>
        <v>0</v>
      </c>
      <c r="H604" s="23">
        <f t="shared" ca="1" si="67"/>
        <v>28.5</v>
      </c>
      <c r="I604" s="40">
        <f t="shared" ca="1" si="68"/>
        <v>0</v>
      </c>
    </row>
    <row r="605" spans="1:9" x14ac:dyDescent="0.25">
      <c r="A605" s="17">
        <f t="shared" si="63"/>
        <v>81</v>
      </c>
      <c r="B605" t="str">
        <f ca="1">TEXT(DATE(YEAR(Invoer!$A$5),1,1)+INT((ROWS(B$2:B605)-1)/3),"jjjjmmdd")</f>
        <v>19200720</v>
      </c>
      <c r="C605" s="35" t="str">
        <f>IF(MOD(ROWS(C$2:C605)-1,3)=2,"24.00",INDEX(Data,2,2+MOD(ROWS(C$2:C605)-1,3)))</f>
        <v>08.00</v>
      </c>
      <c r="D605" s="23">
        <f t="shared" ca="1" si="69"/>
        <v>750.3</v>
      </c>
      <c r="E605" s="40">
        <f t="shared" ca="1" si="64"/>
        <v>0</v>
      </c>
      <c r="F605" s="23" t="str">
        <f t="shared" ca="1" si="65"/>
        <v>—</v>
      </c>
      <c r="G605" s="40">
        <f t="shared" ca="1" si="66"/>
        <v>7</v>
      </c>
      <c r="H605" s="23" t="str">
        <f t="shared" ca="1" si="67"/>
        <v>—</v>
      </c>
      <c r="I605" s="40">
        <f t="shared" ca="1" si="68"/>
        <v>7</v>
      </c>
    </row>
    <row r="606" spans="1:9" x14ac:dyDescent="0.25">
      <c r="A606" s="17">
        <f t="shared" si="63"/>
        <v>81</v>
      </c>
      <c r="B606" t="str">
        <f ca="1">TEXT(DATE(YEAR(Invoer!$A$5),1,1)+INT((ROWS(B$2:B606)-1)/3),"jjjjmmdd")</f>
        <v>19200720</v>
      </c>
      <c r="C606" s="35" t="str">
        <f>IF(MOD(ROWS(C$2:C606)-1,3)=2,"24.00",INDEX(Data,2,2+MOD(ROWS(C$2:C606)-1,3)))</f>
        <v>14.00</v>
      </c>
      <c r="D606" s="23">
        <f t="shared" ca="1" si="69"/>
        <v>750</v>
      </c>
      <c r="E606" s="40">
        <f t="shared" ca="1" si="64"/>
        <v>0</v>
      </c>
      <c r="F606" s="23" t="str">
        <f t="shared" ca="1" si="65"/>
        <v>—</v>
      </c>
      <c r="G606" s="40">
        <f t="shared" ca="1" si="66"/>
        <v>7</v>
      </c>
      <c r="H606" s="23" t="str">
        <f t="shared" ca="1" si="67"/>
        <v>—</v>
      </c>
      <c r="I606" s="40">
        <f t="shared" ca="1" si="68"/>
        <v>7</v>
      </c>
    </row>
    <row r="607" spans="1:9" x14ac:dyDescent="0.25">
      <c r="A607" s="17">
        <f t="shared" si="63"/>
        <v>81</v>
      </c>
      <c r="B607" t="str">
        <f ca="1">TEXT(DATE(YEAR(Invoer!$A$5),1,1)+INT((ROWS(B$2:B607)-1)/3),"jjjjmmdd")</f>
        <v>19200720</v>
      </c>
      <c r="C607" s="35" t="str">
        <f>IF(MOD(ROWS(C$2:C607)-1,3)=2,"24.00",INDEX(Data,2,2+MOD(ROWS(C$2:C607)-1,3)))</f>
        <v>24.00</v>
      </c>
      <c r="D607" s="23" t="str">
        <f t="shared" ca="1" si="69"/>
        <v>—</v>
      </c>
      <c r="E607" s="40">
        <f t="shared" ca="1" si="64"/>
        <v>7</v>
      </c>
      <c r="F607" s="23">
        <f t="shared" ca="1" si="65"/>
        <v>26</v>
      </c>
      <c r="G607" s="40">
        <f t="shared" ca="1" si="66"/>
        <v>0</v>
      </c>
      <c r="H607" s="23">
        <f t="shared" ca="1" si="67"/>
        <v>28</v>
      </c>
      <c r="I607" s="40">
        <f t="shared" ca="1" si="68"/>
        <v>0</v>
      </c>
    </row>
    <row r="608" spans="1:9" x14ac:dyDescent="0.25">
      <c r="A608" s="17">
        <f t="shared" si="63"/>
        <v>81</v>
      </c>
      <c r="B608" t="str">
        <f ca="1">TEXT(DATE(YEAR(Invoer!$A$5),1,1)+INT((ROWS(B$2:B608)-1)/3),"jjjjmmdd")</f>
        <v>19200721</v>
      </c>
      <c r="C608" s="35" t="str">
        <f>IF(MOD(ROWS(C$2:C608)-1,3)=2,"24.00",INDEX(Data,2,2+MOD(ROWS(C$2:C608)-1,3)))</f>
        <v>08.00</v>
      </c>
      <c r="D608" s="23">
        <f t="shared" ca="1" si="69"/>
        <v>751</v>
      </c>
      <c r="E608" s="40">
        <f t="shared" ca="1" si="64"/>
        <v>0</v>
      </c>
      <c r="F608" s="23" t="str">
        <f t="shared" ca="1" si="65"/>
        <v>—</v>
      </c>
      <c r="G608" s="40">
        <f t="shared" ca="1" si="66"/>
        <v>7</v>
      </c>
      <c r="H608" s="23" t="str">
        <f t="shared" ca="1" si="67"/>
        <v>—</v>
      </c>
      <c r="I608" s="40">
        <f t="shared" ca="1" si="68"/>
        <v>7</v>
      </c>
    </row>
    <row r="609" spans="1:9" x14ac:dyDescent="0.25">
      <c r="A609" s="17">
        <f t="shared" si="63"/>
        <v>81</v>
      </c>
      <c r="B609" t="str">
        <f ca="1">TEXT(DATE(YEAR(Invoer!$A$5),1,1)+INT((ROWS(B$2:B609)-1)/3),"jjjjmmdd")</f>
        <v>19200721</v>
      </c>
      <c r="C609" s="35" t="str">
        <f>IF(MOD(ROWS(C$2:C609)-1,3)=2,"24.00",INDEX(Data,2,2+MOD(ROWS(C$2:C609)-1,3)))</f>
        <v>14.00</v>
      </c>
      <c r="D609" s="23">
        <f t="shared" ca="1" si="69"/>
        <v>750.7</v>
      </c>
      <c r="E609" s="40">
        <f t="shared" ca="1" si="64"/>
        <v>0</v>
      </c>
      <c r="F609" s="23" t="str">
        <f t="shared" ca="1" si="65"/>
        <v>—</v>
      </c>
      <c r="G609" s="40">
        <f t="shared" ca="1" si="66"/>
        <v>7</v>
      </c>
      <c r="H609" s="23" t="str">
        <f t="shared" ca="1" si="67"/>
        <v>—</v>
      </c>
      <c r="I609" s="40">
        <f t="shared" ca="1" si="68"/>
        <v>7</v>
      </c>
    </row>
    <row r="610" spans="1:9" x14ac:dyDescent="0.25">
      <c r="A610" s="17">
        <f t="shared" si="63"/>
        <v>81</v>
      </c>
      <c r="B610" t="str">
        <f ca="1">TEXT(DATE(YEAR(Invoer!$A$5),1,1)+INT((ROWS(B$2:B610)-1)/3),"jjjjmmdd")</f>
        <v>19200721</v>
      </c>
      <c r="C610" s="35" t="str">
        <f>IF(MOD(ROWS(C$2:C610)-1,3)=2,"24.00",INDEX(Data,2,2+MOD(ROWS(C$2:C610)-1,3)))</f>
        <v>24.00</v>
      </c>
      <c r="D610" s="23" t="str">
        <f t="shared" ca="1" si="69"/>
        <v>—</v>
      </c>
      <c r="E610" s="40">
        <f t="shared" ca="1" si="64"/>
        <v>7</v>
      </c>
      <c r="F610" s="23">
        <f t="shared" ca="1" si="65"/>
        <v>25</v>
      </c>
      <c r="G610" s="40">
        <f t="shared" ca="1" si="66"/>
        <v>0</v>
      </c>
      <c r="H610" s="23">
        <f t="shared" ca="1" si="67"/>
        <v>28.3</v>
      </c>
      <c r="I610" s="40">
        <f t="shared" ca="1" si="68"/>
        <v>0</v>
      </c>
    </row>
    <row r="611" spans="1:9" x14ac:dyDescent="0.25">
      <c r="A611" s="17">
        <f t="shared" si="63"/>
        <v>81</v>
      </c>
      <c r="B611" t="str">
        <f ca="1">TEXT(DATE(YEAR(Invoer!$A$5),1,1)+INT((ROWS(B$2:B611)-1)/3),"jjjjmmdd")</f>
        <v>19200722</v>
      </c>
      <c r="C611" s="35" t="str">
        <f>IF(MOD(ROWS(C$2:C611)-1,3)=2,"24.00",INDEX(Data,2,2+MOD(ROWS(C$2:C611)-1,3)))</f>
        <v>08.00</v>
      </c>
      <c r="D611" s="23">
        <f t="shared" ca="1" si="69"/>
        <v>750.7</v>
      </c>
      <c r="E611" s="40">
        <f t="shared" ca="1" si="64"/>
        <v>0</v>
      </c>
      <c r="F611" s="23" t="str">
        <f t="shared" ca="1" si="65"/>
        <v>—</v>
      </c>
      <c r="G611" s="40">
        <f t="shared" ca="1" si="66"/>
        <v>7</v>
      </c>
      <c r="H611" s="23" t="str">
        <f t="shared" ca="1" si="67"/>
        <v>—</v>
      </c>
      <c r="I611" s="40">
        <f t="shared" ca="1" si="68"/>
        <v>7</v>
      </c>
    </row>
    <row r="612" spans="1:9" x14ac:dyDescent="0.25">
      <c r="A612" s="17">
        <f t="shared" si="63"/>
        <v>81</v>
      </c>
      <c r="B612" t="str">
        <f ca="1">TEXT(DATE(YEAR(Invoer!$A$5),1,1)+INT((ROWS(B$2:B612)-1)/3),"jjjjmmdd")</f>
        <v>19200722</v>
      </c>
      <c r="C612" s="35" t="str">
        <f>IF(MOD(ROWS(C$2:C612)-1,3)=2,"24.00",INDEX(Data,2,2+MOD(ROWS(C$2:C612)-1,3)))</f>
        <v>14.00</v>
      </c>
      <c r="D612" s="23">
        <f t="shared" ca="1" si="69"/>
        <v>750</v>
      </c>
      <c r="E612" s="40">
        <f t="shared" ca="1" si="64"/>
        <v>0</v>
      </c>
      <c r="F612" s="23" t="str">
        <f t="shared" ca="1" si="65"/>
        <v>—</v>
      </c>
      <c r="G612" s="40">
        <f t="shared" ca="1" si="66"/>
        <v>7</v>
      </c>
      <c r="H612" s="23" t="str">
        <f t="shared" ca="1" si="67"/>
        <v>—</v>
      </c>
      <c r="I612" s="40">
        <f t="shared" ca="1" si="68"/>
        <v>7</v>
      </c>
    </row>
    <row r="613" spans="1:9" x14ac:dyDescent="0.25">
      <c r="A613" s="17">
        <f t="shared" si="63"/>
        <v>81</v>
      </c>
      <c r="B613" t="str">
        <f ca="1">TEXT(DATE(YEAR(Invoer!$A$5),1,1)+INT((ROWS(B$2:B613)-1)/3),"jjjjmmdd")</f>
        <v>19200722</v>
      </c>
      <c r="C613" s="35" t="str">
        <f>IF(MOD(ROWS(C$2:C613)-1,3)=2,"24.00",INDEX(Data,2,2+MOD(ROWS(C$2:C613)-1,3)))</f>
        <v>24.00</v>
      </c>
      <c r="D613" s="23" t="str">
        <f t="shared" ca="1" si="69"/>
        <v>—</v>
      </c>
      <c r="E613" s="40">
        <f t="shared" ca="1" si="64"/>
        <v>7</v>
      </c>
      <c r="F613" s="23">
        <f t="shared" ca="1" si="65"/>
        <v>26</v>
      </c>
      <c r="G613" s="40">
        <f t="shared" ca="1" si="66"/>
        <v>0</v>
      </c>
      <c r="H613" s="23">
        <f t="shared" ca="1" si="67"/>
        <v>28.5</v>
      </c>
      <c r="I613" s="40">
        <f t="shared" ca="1" si="68"/>
        <v>0</v>
      </c>
    </row>
    <row r="614" spans="1:9" x14ac:dyDescent="0.25">
      <c r="A614" s="17">
        <f t="shared" si="63"/>
        <v>81</v>
      </c>
      <c r="B614" t="str">
        <f ca="1">TEXT(DATE(YEAR(Invoer!$A$5),1,1)+INT((ROWS(B$2:B614)-1)/3),"jjjjmmdd")</f>
        <v>19200723</v>
      </c>
      <c r="C614" s="35" t="str">
        <f>IF(MOD(ROWS(C$2:C614)-1,3)=2,"24.00",INDEX(Data,2,2+MOD(ROWS(C$2:C614)-1,3)))</f>
        <v>08.00</v>
      </c>
      <c r="D614" s="23">
        <f t="shared" ca="1" si="69"/>
        <v>751</v>
      </c>
      <c r="E614" s="40">
        <f t="shared" ca="1" si="64"/>
        <v>0</v>
      </c>
      <c r="F614" s="23" t="str">
        <f t="shared" ca="1" si="65"/>
        <v>—</v>
      </c>
      <c r="G614" s="40">
        <f t="shared" ca="1" si="66"/>
        <v>7</v>
      </c>
      <c r="H614" s="23" t="str">
        <f t="shared" ca="1" si="67"/>
        <v>—</v>
      </c>
      <c r="I614" s="40">
        <f t="shared" ca="1" si="68"/>
        <v>7</v>
      </c>
    </row>
    <row r="615" spans="1:9" x14ac:dyDescent="0.25">
      <c r="A615" s="17">
        <f t="shared" si="63"/>
        <v>81</v>
      </c>
      <c r="B615" t="str">
        <f ca="1">TEXT(DATE(YEAR(Invoer!$A$5),1,1)+INT((ROWS(B$2:B615)-1)/3),"jjjjmmdd")</f>
        <v>19200723</v>
      </c>
      <c r="C615" s="35" t="str">
        <f>IF(MOD(ROWS(C$2:C615)-1,3)=2,"24.00",INDEX(Data,2,2+MOD(ROWS(C$2:C615)-1,3)))</f>
        <v>14.00</v>
      </c>
      <c r="D615" s="23">
        <f t="shared" ca="1" si="69"/>
        <v>750.5</v>
      </c>
      <c r="E615" s="40">
        <f t="shared" ca="1" si="64"/>
        <v>0</v>
      </c>
      <c r="F615" s="23" t="str">
        <f t="shared" ca="1" si="65"/>
        <v>—</v>
      </c>
      <c r="G615" s="40">
        <f t="shared" ca="1" si="66"/>
        <v>7</v>
      </c>
      <c r="H615" s="23" t="str">
        <f t="shared" ca="1" si="67"/>
        <v>—</v>
      </c>
      <c r="I615" s="40">
        <f t="shared" ca="1" si="68"/>
        <v>7</v>
      </c>
    </row>
    <row r="616" spans="1:9" x14ac:dyDescent="0.25">
      <c r="A616" s="17">
        <f t="shared" si="63"/>
        <v>81</v>
      </c>
      <c r="B616" t="str">
        <f ca="1">TEXT(DATE(YEAR(Invoer!$A$5),1,1)+INT((ROWS(B$2:B616)-1)/3),"jjjjmmdd")</f>
        <v>19200723</v>
      </c>
      <c r="C616" s="35" t="str">
        <f>IF(MOD(ROWS(C$2:C616)-1,3)=2,"24.00",INDEX(Data,2,2+MOD(ROWS(C$2:C616)-1,3)))</f>
        <v>24.00</v>
      </c>
      <c r="D616" s="23" t="str">
        <f t="shared" ca="1" si="69"/>
        <v>—</v>
      </c>
      <c r="E616" s="40">
        <f t="shared" ca="1" si="64"/>
        <v>7</v>
      </c>
      <c r="F616" s="23">
        <f t="shared" ca="1" si="65"/>
        <v>27</v>
      </c>
      <c r="G616" s="40">
        <f t="shared" ca="1" si="66"/>
        <v>0</v>
      </c>
      <c r="H616" s="23">
        <f t="shared" ca="1" si="67"/>
        <v>29.5</v>
      </c>
      <c r="I616" s="40">
        <f t="shared" ca="1" si="68"/>
        <v>0</v>
      </c>
    </row>
    <row r="617" spans="1:9" x14ac:dyDescent="0.25">
      <c r="A617" s="17">
        <f t="shared" si="63"/>
        <v>81</v>
      </c>
      <c r="B617" t="str">
        <f ca="1">TEXT(DATE(YEAR(Invoer!$A$5),1,1)+INT((ROWS(B$2:B617)-1)/3),"jjjjmmdd")</f>
        <v>19200724</v>
      </c>
      <c r="C617" s="35" t="str">
        <f>IF(MOD(ROWS(C$2:C617)-1,3)=2,"24.00",INDEX(Data,2,2+MOD(ROWS(C$2:C617)-1,3)))</f>
        <v>08.00</v>
      </c>
      <c r="D617" s="23">
        <f t="shared" ca="1" si="69"/>
        <v>750.5</v>
      </c>
      <c r="E617" s="40">
        <f t="shared" ca="1" si="64"/>
        <v>0</v>
      </c>
      <c r="F617" s="23" t="str">
        <f t="shared" ca="1" si="65"/>
        <v>—</v>
      </c>
      <c r="G617" s="40">
        <f t="shared" ca="1" si="66"/>
        <v>7</v>
      </c>
      <c r="H617" s="23" t="str">
        <f t="shared" ca="1" si="67"/>
        <v>—</v>
      </c>
      <c r="I617" s="40">
        <f t="shared" ca="1" si="68"/>
        <v>7</v>
      </c>
    </row>
    <row r="618" spans="1:9" x14ac:dyDescent="0.25">
      <c r="A618" s="17">
        <f t="shared" si="63"/>
        <v>81</v>
      </c>
      <c r="B618" t="str">
        <f ca="1">TEXT(DATE(YEAR(Invoer!$A$5),1,1)+INT((ROWS(B$2:B618)-1)/3),"jjjjmmdd")</f>
        <v>19200724</v>
      </c>
      <c r="C618" s="35" t="str">
        <f>IF(MOD(ROWS(C$2:C618)-1,3)=2,"24.00",INDEX(Data,2,2+MOD(ROWS(C$2:C618)-1,3)))</f>
        <v>14.00</v>
      </c>
      <c r="D618" s="23">
        <f t="shared" ca="1" si="69"/>
        <v>750</v>
      </c>
      <c r="E618" s="40">
        <f t="shared" ca="1" si="64"/>
        <v>0</v>
      </c>
      <c r="F618" s="23" t="str">
        <f t="shared" ca="1" si="65"/>
        <v>—</v>
      </c>
      <c r="G618" s="40">
        <f t="shared" ca="1" si="66"/>
        <v>7</v>
      </c>
      <c r="H618" s="23" t="str">
        <f t="shared" ca="1" si="67"/>
        <v>—</v>
      </c>
      <c r="I618" s="40">
        <f t="shared" ca="1" si="68"/>
        <v>7</v>
      </c>
    </row>
    <row r="619" spans="1:9" x14ac:dyDescent="0.25">
      <c r="A619" s="17">
        <f t="shared" si="63"/>
        <v>81</v>
      </c>
      <c r="B619" t="str">
        <f ca="1">TEXT(DATE(YEAR(Invoer!$A$5),1,1)+INT((ROWS(B$2:B619)-1)/3),"jjjjmmdd")</f>
        <v>19200724</v>
      </c>
      <c r="C619" s="35" t="str">
        <f>IF(MOD(ROWS(C$2:C619)-1,3)=2,"24.00",INDEX(Data,2,2+MOD(ROWS(C$2:C619)-1,3)))</f>
        <v>24.00</v>
      </c>
      <c r="D619" s="23" t="str">
        <f t="shared" ca="1" si="69"/>
        <v>—</v>
      </c>
      <c r="E619" s="40">
        <f t="shared" ca="1" si="64"/>
        <v>7</v>
      </c>
      <c r="F619" s="23">
        <f t="shared" ca="1" si="65"/>
        <v>26</v>
      </c>
      <c r="G619" s="40">
        <f t="shared" ca="1" si="66"/>
        <v>0</v>
      </c>
      <c r="H619" s="23">
        <f t="shared" ca="1" si="67"/>
        <v>29</v>
      </c>
      <c r="I619" s="40">
        <f t="shared" ca="1" si="68"/>
        <v>0</v>
      </c>
    </row>
    <row r="620" spans="1:9" x14ac:dyDescent="0.25">
      <c r="A620" s="17">
        <f t="shared" si="63"/>
        <v>81</v>
      </c>
      <c r="B620" t="str">
        <f ca="1">TEXT(DATE(YEAR(Invoer!$A$5),1,1)+INT((ROWS(B$2:B620)-1)/3),"jjjjmmdd")</f>
        <v>19200725</v>
      </c>
      <c r="C620" s="35" t="str">
        <f>IF(MOD(ROWS(C$2:C620)-1,3)=2,"24.00",INDEX(Data,2,2+MOD(ROWS(C$2:C620)-1,3)))</f>
        <v>08.00</v>
      </c>
      <c r="D620" s="23">
        <f t="shared" ca="1" si="69"/>
        <v>750</v>
      </c>
      <c r="E620" s="40">
        <f t="shared" ca="1" si="64"/>
        <v>0</v>
      </c>
      <c r="F620" s="23" t="str">
        <f t="shared" ca="1" si="65"/>
        <v>—</v>
      </c>
      <c r="G620" s="40">
        <f t="shared" ca="1" si="66"/>
        <v>7</v>
      </c>
      <c r="H620" s="23" t="str">
        <f t="shared" ca="1" si="67"/>
        <v>—</v>
      </c>
      <c r="I620" s="40">
        <f t="shared" ca="1" si="68"/>
        <v>7</v>
      </c>
    </row>
    <row r="621" spans="1:9" x14ac:dyDescent="0.25">
      <c r="A621" s="17">
        <f t="shared" si="63"/>
        <v>81</v>
      </c>
      <c r="B621" t="str">
        <f ca="1">TEXT(DATE(YEAR(Invoer!$A$5),1,1)+INT((ROWS(B$2:B621)-1)/3),"jjjjmmdd")</f>
        <v>19200725</v>
      </c>
      <c r="C621" s="35" t="str">
        <f>IF(MOD(ROWS(C$2:C621)-1,3)=2,"24.00",INDEX(Data,2,2+MOD(ROWS(C$2:C621)-1,3)))</f>
        <v>14.00</v>
      </c>
      <c r="D621" s="23">
        <f t="shared" ca="1" si="69"/>
        <v>749.5</v>
      </c>
      <c r="E621" s="40">
        <f t="shared" ca="1" si="64"/>
        <v>0</v>
      </c>
      <c r="F621" s="23" t="str">
        <f t="shared" ca="1" si="65"/>
        <v>—</v>
      </c>
      <c r="G621" s="40">
        <f t="shared" ca="1" si="66"/>
        <v>7</v>
      </c>
      <c r="H621" s="23" t="str">
        <f t="shared" ca="1" si="67"/>
        <v>—</v>
      </c>
      <c r="I621" s="40">
        <f t="shared" ca="1" si="68"/>
        <v>7</v>
      </c>
    </row>
    <row r="622" spans="1:9" x14ac:dyDescent="0.25">
      <c r="A622" s="17">
        <f t="shared" si="63"/>
        <v>81</v>
      </c>
      <c r="B622" t="str">
        <f ca="1">TEXT(DATE(YEAR(Invoer!$A$5),1,1)+INT((ROWS(B$2:B622)-1)/3),"jjjjmmdd")</f>
        <v>19200725</v>
      </c>
      <c r="C622" s="35" t="str">
        <f>IF(MOD(ROWS(C$2:C622)-1,3)=2,"24.00",INDEX(Data,2,2+MOD(ROWS(C$2:C622)-1,3)))</f>
        <v>24.00</v>
      </c>
      <c r="D622" s="23" t="str">
        <f t="shared" ca="1" si="69"/>
        <v>—</v>
      </c>
      <c r="E622" s="40">
        <f t="shared" ca="1" si="64"/>
        <v>7</v>
      </c>
      <c r="F622" s="23">
        <f t="shared" ca="1" si="65"/>
        <v>27</v>
      </c>
      <c r="G622" s="40">
        <f t="shared" ca="1" si="66"/>
        <v>0</v>
      </c>
      <c r="H622" s="23">
        <f t="shared" ca="1" si="67"/>
        <v>30</v>
      </c>
      <c r="I622" s="40">
        <f t="shared" ca="1" si="68"/>
        <v>0</v>
      </c>
    </row>
    <row r="623" spans="1:9" x14ac:dyDescent="0.25">
      <c r="A623" s="17">
        <f t="shared" si="63"/>
        <v>81</v>
      </c>
      <c r="B623" t="str">
        <f ca="1">TEXT(DATE(YEAR(Invoer!$A$5),1,1)+INT((ROWS(B$2:B623)-1)/3),"jjjjmmdd")</f>
        <v>19200726</v>
      </c>
      <c r="C623" s="35" t="str">
        <f>IF(MOD(ROWS(C$2:C623)-1,3)=2,"24.00",INDEX(Data,2,2+MOD(ROWS(C$2:C623)-1,3)))</f>
        <v>08.00</v>
      </c>
      <c r="D623" s="23">
        <f t="shared" ca="1" si="69"/>
        <v>749</v>
      </c>
      <c r="E623" s="40">
        <f t="shared" ca="1" si="64"/>
        <v>0</v>
      </c>
      <c r="F623" s="23" t="str">
        <f t="shared" ca="1" si="65"/>
        <v>—</v>
      </c>
      <c r="G623" s="40">
        <f t="shared" ca="1" si="66"/>
        <v>7</v>
      </c>
      <c r="H623" s="23" t="str">
        <f t="shared" ca="1" si="67"/>
        <v>—</v>
      </c>
      <c r="I623" s="40">
        <f t="shared" ca="1" si="68"/>
        <v>7</v>
      </c>
    </row>
    <row r="624" spans="1:9" x14ac:dyDescent="0.25">
      <c r="A624" s="17">
        <f t="shared" si="63"/>
        <v>81</v>
      </c>
      <c r="B624" t="str">
        <f ca="1">TEXT(DATE(YEAR(Invoer!$A$5),1,1)+INT((ROWS(B$2:B624)-1)/3),"jjjjmmdd")</f>
        <v>19200726</v>
      </c>
      <c r="C624" s="35" t="str">
        <f>IF(MOD(ROWS(C$2:C624)-1,3)=2,"24.00",INDEX(Data,2,2+MOD(ROWS(C$2:C624)-1,3)))</f>
        <v>14.00</v>
      </c>
      <c r="D624" s="23">
        <f t="shared" ca="1" si="69"/>
        <v>748.5</v>
      </c>
      <c r="E624" s="40">
        <f t="shared" ca="1" si="64"/>
        <v>0</v>
      </c>
      <c r="F624" s="23" t="str">
        <f t="shared" ca="1" si="65"/>
        <v>—</v>
      </c>
      <c r="G624" s="40">
        <f t="shared" ca="1" si="66"/>
        <v>7</v>
      </c>
      <c r="H624" s="23" t="str">
        <f t="shared" ca="1" si="67"/>
        <v>—</v>
      </c>
      <c r="I624" s="40">
        <f t="shared" ca="1" si="68"/>
        <v>7</v>
      </c>
    </row>
    <row r="625" spans="1:9" x14ac:dyDescent="0.25">
      <c r="A625" s="17">
        <f t="shared" si="63"/>
        <v>81</v>
      </c>
      <c r="B625" t="str">
        <f ca="1">TEXT(DATE(YEAR(Invoer!$A$5),1,1)+INT((ROWS(B$2:B625)-1)/3),"jjjjmmdd")</f>
        <v>19200726</v>
      </c>
      <c r="C625" s="35" t="str">
        <f>IF(MOD(ROWS(C$2:C625)-1,3)=2,"24.00",INDEX(Data,2,2+MOD(ROWS(C$2:C625)-1,3)))</f>
        <v>24.00</v>
      </c>
      <c r="D625" s="23" t="str">
        <f t="shared" ca="1" si="69"/>
        <v>—</v>
      </c>
      <c r="E625" s="40">
        <f t="shared" ca="1" si="64"/>
        <v>7</v>
      </c>
      <c r="F625" s="23">
        <f t="shared" ca="1" si="65"/>
        <v>27</v>
      </c>
      <c r="G625" s="40">
        <f t="shared" ca="1" si="66"/>
        <v>0</v>
      </c>
      <c r="H625" s="23">
        <f t="shared" ca="1" si="67"/>
        <v>30</v>
      </c>
      <c r="I625" s="40">
        <f t="shared" ca="1" si="68"/>
        <v>0</v>
      </c>
    </row>
    <row r="626" spans="1:9" x14ac:dyDescent="0.25">
      <c r="A626" s="17">
        <f t="shared" si="63"/>
        <v>81</v>
      </c>
      <c r="B626" t="str">
        <f ca="1">TEXT(DATE(YEAR(Invoer!$A$5),1,1)+INT((ROWS(B$2:B626)-1)/3),"jjjjmmdd")</f>
        <v>19200727</v>
      </c>
      <c r="C626" s="35" t="str">
        <f>IF(MOD(ROWS(C$2:C626)-1,3)=2,"24.00",INDEX(Data,2,2+MOD(ROWS(C$2:C626)-1,3)))</f>
        <v>08.00</v>
      </c>
      <c r="D626" s="23">
        <f t="shared" ca="1" si="69"/>
        <v>749</v>
      </c>
      <c r="E626" s="40">
        <f t="shared" ca="1" si="64"/>
        <v>0</v>
      </c>
      <c r="F626" s="23" t="str">
        <f t="shared" ca="1" si="65"/>
        <v>—</v>
      </c>
      <c r="G626" s="40">
        <f t="shared" ca="1" si="66"/>
        <v>7</v>
      </c>
      <c r="H626" s="23" t="str">
        <f t="shared" ca="1" si="67"/>
        <v>—</v>
      </c>
      <c r="I626" s="40">
        <f t="shared" ca="1" si="68"/>
        <v>7</v>
      </c>
    </row>
    <row r="627" spans="1:9" x14ac:dyDescent="0.25">
      <c r="A627" s="17">
        <f t="shared" si="63"/>
        <v>81</v>
      </c>
      <c r="B627" t="str">
        <f ca="1">TEXT(DATE(YEAR(Invoer!$A$5),1,1)+INT((ROWS(B$2:B627)-1)/3),"jjjjmmdd")</f>
        <v>19200727</v>
      </c>
      <c r="C627" s="35" t="str">
        <f>IF(MOD(ROWS(C$2:C627)-1,3)=2,"24.00",INDEX(Data,2,2+MOD(ROWS(C$2:C627)-1,3)))</f>
        <v>14.00</v>
      </c>
      <c r="D627" s="23">
        <f t="shared" ca="1" si="69"/>
        <v>748.5</v>
      </c>
      <c r="E627" s="40">
        <f t="shared" ca="1" si="64"/>
        <v>0</v>
      </c>
      <c r="F627" s="23" t="str">
        <f t="shared" ca="1" si="65"/>
        <v>—</v>
      </c>
      <c r="G627" s="40">
        <f t="shared" ca="1" si="66"/>
        <v>7</v>
      </c>
      <c r="H627" s="23" t="str">
        <f t="shared" ca="1" si="67"/>
        <v>—</v>
      </c>
      <c r="I627" s="40">
        <f t="shared" ca="1" si="68"/>
        <v>7</v>
      </c>
    </row>
    <row r="628" spans="1:9" x14ac:dyDescent="0.25">
      <c r="A628" s="17">
        <f t="shared" si="63"/>
        <v>81</v>
      </c>
      <c r="B628" t="str">
        <f ca="1">TEXT(DATE(YEAR(Invoer!$A$5),1,1)+INT((ROWS(B$2:B628)-1)/3),"jjjjmmdd")</f>
        <v>19200727</v>
      </c>
      <c r="C628" s="35" t="str">
        <f>IF(MOD(ROWS(C$2:C628)-1,3)=2,"24.00",INDEX(Data,2,2+MOD(ROWS(C$2:C628)-1,3)))</f>
        <v>24.00</v>
      </c>
      <c r="D628" s="23" t="str">
        <f t="shared" ca="1" si="69"/>
        <v>—</v>
      </c>
      <c r="E628" s="40">
        <f t="shared" ca="1" si="64"/>
        <v>7</v>
      </c>
      <c r="F628" s="23">
        <f t="shared" ca="1" si="65"/>
        <v>27</v>
      </c>
      <c r="G628" s="40">
        <f t="shared" ca="1" si="66"/>
        <v>0</v>
      </c>
      <c r="H628" s="23">
        <f t="shared" ca="1" si="67"/>
        <v>29</v>
      </c>
      <c r="I628" s="40">
        <f t="shared" ca="1" si="68"/>
        <v>0</v>
      </c>
    </row>
    <row r="629" spans="1:9" x14ac:dyDescent="0.25">
      <c r="A629" s="17">
        <f t="shared" si="63"/>
        <v>81</v>
      </c>
      <c r="B629" t="str">
        <f ca="1">TEXT(DATE(YEAR(Invoer!$A$5),1,1)+INT((ROWS(B$2:B629)-1)/3),"jjjjmmdd")</f>
        <v>19200728</v>
      </c>
      <c r="C629" s="35" t="str">
        <f>IF(MOD(ROWS(C$2:C629)-1,3)=2,"24.00",INDEX(Data,2,2+MOD(ROWS(C$2:C629)-1,3)))</f>
        <v>08.00</v>
      </c>
      <c r="D629" s="23">
        <f t="shared" ca="1" si="69"/>
        <v>750</v>
      </c>
      <c r="E629" s="40">
        <f t="shared" ca="1" si="64"/>
        <v>0</v>
      </c>
      <c r="F629" s="23" t="str">
        <f t="shared" ca="1" si="65"/>
        <v>—</v>
      </c>
      <c r="G629" s="40">
        <f t="shared" ca="1" si="66"/>
        <v>7</v>
      </c>
      <c r="H629" s="23" t="str">
        <f t="shared" ca="1" si="67"/>
        <v>—</v>
      </c>
      <c r="I629" s="40">
        <f t="shared" ca="1" si="68"/>
        <v>7</v>
      </c>
    </row>
    <row r="630" spans="1:9" x14ac:dyDescent="0.25">
      <c r="A630" s="17">
        <f t="shared" si="63"/>
        <v>81</v>
      </c>
      <c r="B630" t="str">
        <f ca="1">TEXT(DATE(YEAR(Invoer!$A$5),1,1)+INT((ROWS(B$2:B630)-1)/3),"jjjjmmdd")</f>
        <v>19200728</v>
      </c>
      <c r="C630" s="35" t="str">
        <f>IF(MOD(ROWS(C$2:C630)-1,3)=2,"24.00",INDEX(Data,2,2+MOD(ROWS(C$2:C630)-1,3)))</f>
        <v>14.00</v>
      </c>
      <c r="D630" s="23">
        <f t="shared" ca="1" si="69"/>
        <v>749.5</v>
      </c>
      <c r="E630" s="40">
        <f t="shared" ca="1" si="64"/>
        <v>0</v>
      </c>
      <c r="F630" s="23" t="str">
        <f t="shared" ca="1" si="65"/>
        <v>—</v>
      </c>
      <c r="G630" s="40">
        <f t="shared" ca="1" si="66"/>
        <v>7</v>
      </c>
      <c r="H630" s="23" t="str">
        <f t="shared" ca="1" si="67"/>
        <v>—</v>
      </c>
      <c r="I630" s="40">
        <f t="shared" ca="1" si="68"/>
        <v>7</v>
      </c>
    </row>
    <row r="631" spans="1:9" x14ac:dyDescent="0.25">
      <c r="A631" s="17">
        <f t="shared" si="63"/>
        <v>81</v>
      </c>
      <c r="B631" t="str">
        <f ca="1">TEXT(DATE(YEAR(Invoer!$A$5),1,1)+INT((ROWS(B$2:B631)-1)/3),"jjjjmmdd")</f>
        <v>19200728</v>
      </c>
      <c r="C631" s="35" t="str">
        <f>IF(MOD(ROWS(C$2:C631)-1,3)=2,"24.00",INDEX(Data,2,2+MOD(ROWS(C$2:C631)-1,3)))</f>
        <v>24.00</v>
      </c>
      <c r="D631" s="23" t="str">
        <f t="shared" ca="1" si="69"/>
        <v>—</v>
      </c>
      <c r="E631" s="40">
        <f t="shared" ca="1" si="64"/>
        <v>7</v>
      </c>
      <c r="F631" s="23">
        <f t="shared" ca="1" si="65"/>
        <v>26</v>
      </c>
      <c r="G631" s="40">
        <f t="shared" ca="1" si="66"/>
        <v>0</v>
      </c>
      <c r="H631" s="23">
        <f t="shared" ca="1" si="67"/>
        <v>29</v>
      </c>
      <c r="I631" s="40">
        <f t="shared" ca="1" si="68"/>
        <v>0</v>
      </c>
    </row>
    <row r="632" spans="1:9" x14ac:dyDescent="0.25">
      <c r="A632" s="17">
        <f t="shared" si="63"/>
        <v>81</v>
      </c>
      <c r="B632" t="str">
        <f ca="1">TEXT(DATE(YEAR(Invoer!$A$5),1,1)+INT((ROWS(B$2:B632)-1)/3),"jjjjmmdd")</f>
        <v>19200729</v>
      </c>
      <c r="C632" s="35" t="str">
        <f>IF(MOD(ROWS(C$2:C632)-1,3)=2,"24.00",INDEX(Data,2,2+MOD(ROWS(C$2:C632)-1,3)))</f>
        <v>08.00</v>
      </c>
      <c r="D632" s="23">
        <f t="shared" ca="1" si="69"/>
        <v>750</v>
      </c>
      <c r="E632" s="40">
        <f t="shared" ca="1" si="64"/>
        <v>0</v>
      </c>
      <c r="F632" s="23" t="str">
        <f t="shared" ca="1" si="65"/>
        <v>—</v>
      </c>
      <c r="G632" s="40">
        <f t="shared" ca="1" si="66"/>
        <v>7</v>
      </c>
      <c r="H632" s="23" t="str">
        <f t="shared" ca="1" si="67"/>
        <v>—</v>
      </c>
      <c r="I632" s="40">
        <f t="shared" ca="1" si="68"/>
        <v>7</v>
      </c>
    </row>
    <row r="633" spans="1:9" x14ac:dyDescent="0.25">
      <c r="A633" s="17">
        <f t="shared" si="63"/>
        <v>81</v>
      </c>
      <c r="B633" t="str">
        <f ca="1">TEXT(DATE(YEAR(Invoer!$A$5),1,1)+INT((ROWS(B$2:B633)-1)/3),"jjjjmmdd")</f>
        <v>19200729</v>
      </c>
      <c r="C633" s="35" t="str">
        <f>IF(MOD(ROWS(C$2:C633)-1,3)=2,"24.00",INDEX(Data,2,2+MOD(ROWS(C$2:C633)-1,3)))</f>
        <v>14.00</v>
      </c>
      <c r="D633" s="23">
        <f t="shared" ca="1" si="69"/>
        <v>749.5</v>
      </c>
      <c r="E633" s="40">
        <f t="shared" ca="1" si="64"/>
        <v>0</v>
      </c>
      <c r="F633" s="23" t="str">
        <f t="shared" ca="1" si="65"/>
        <v>—</v>
      </c>
      <c r="G633" s="40">
        <f t="shared" ca="1" si="66"/>
        <v>7</v>
      </c>
      <c r="H633" s="23" t="str">
        <f t="shared" ca="1" si="67"/>
        <v>—</v>
      </c>
      <c r="I633" s="40">
        <f t="shared" ca="1" si="68"/>
        <v>7</v>
      </c>
    </row>
    <row r="634" spans="1:9" x14ac:dyDescent="0.25">
      <c r="A634" s="17">
        <f t="shared" si="63"/>
        <v>81</v>
      </c>
      <c r="B634" t="str">
        <f ca="1">TEXT(DATE(YEAR(Invoer!$A$5),1,1)+INT((ROWS(B$2:B634)-1)/3),"jjjjmmdd")</f>
        <v>19200729</v>
      </c>
      <c r="C634" s="35" t="str">
        <f>IF(MOD(ROWS(C$2:C634)-1,3)=2,"24.00",INDEX(Data,2,2+MOD(ROWS(C$2:C634)-1,3)))</f>
        <v>24.00</v>
      </c>
      <c r="D634" s="23" t="str">
        <f t="shared" ca="1" si="69"/>
        <v>—</v>
      </c>
      <c r="E634" s="40">
        <f t="shared" ca="1" si="64"/>
        <v>7</v>
      </c>
      <c r="F634" s="23">
        <f t="shared" ca="1" si="65"/>
        <v>26</v>
      </c>
      <c r="G634" s="40">
        <f t="shared" ca="1" si="66"/>
        <v>0</v>
      </c>
      <c r="H634" s="23">
        <f t="shared" ca="1" si="67"/>
        <v>29</v>
      </c>
      <c r="I634" s="40">
        <f t="shared" ca="1" si="68"/>
        <v>0</v>
      </c>
    </row>
    <row r="635" spans="1:9" x14ac:dyDescent="0.25">
      <c r="A635" s="17">
        <f t="shared" si="63"/>
        <v>81</v>
      </c>
      <c r="B635" t="str">
        <f ca="1">TEXT(DATE(YEAR(Invoer!$A$5),1,1)+INT((ROWS(B$2:B635)-1)/3),"jjjjmmdd")</f>
        <v>19200730</v>
      </c>
      <c r="C635" s="35" t="str">
        <f>IF(MOD(ROWS(C$2:C635)-1,3)=2,"24.00",INDEX(Data,2,2+MOD(ROWS(C$2:C635)-1,3)))</f>
        <v>08.00</v>
      </c>
      <c r="D635" s="23">
        <f t="shared" ca="1" si="69"/>
        <v>750</v>
      </c>
      <c r="E635" s="40">
        <f t="shared" ca="1" si="64"/>
        <v>0</v>
      </c>
      <c r="F635" s="23" t="str">
        <f t="shared" ca="1" si="65"/>
        <v>—</v>
      </c>
      <c r="G635" s="40">
        <f t="shared" ca="1" si="66"/>
        <v>7</v>
      </c>
      <c r="H635" s="23" t="str">
        <f t="shared" ca="1" si="67"/>
        <v>—</v>
      </c>
      <c r="I635" s="40">
        <f t="shared" ca="1" si="68"/>
        <v>7</v>
      </c>
    </row>
    <row r="636" spans="1:9" x14ac:dyDescent="0.25">
      <c r="A636" s="17">
        <f t="shared" si="63"/>
        <v>81</v>
      </c>
      <c r="B636" t="str">
        <f ca="1">TEXT(DATE(YEAR(Invoer!$A$5),1,1)+INT((ROWS(B$2:B636)-1)/3),"jjjjmmdd")</f>
        <v>19200730</v>
      </c>
      <c r="C636" s="35" t="str">
        <f>IF(MOD(ROWS(C$2:C636)-1,3)=2,"24.00",INDEX(Data,2,2+MOD(ROWS(C$2:C636)-1,3)))</f>
        <v>14.00</v>
      </c>
      <c r="D636" s="23">
        <f t="shared" ca="1" si="69"/>
        <v>749.7</v>
      </c>
      <c r="E636" s="40">
        <f t="shared" ca="1" si="64"/>
        <v>0</v>
      </c>
      <c r="F636" s="23" t="str">
        <f t="shared" ca="1" si="65"/>
        <v>—</v>
      </c>
      <c r="G636" s="40">
        <f t="shared" ca="1" si="66"/>
        <v>7</v>
      </c>
      <c r="H636" s="23" t="str">
        <f t="shared" ca="1" si="67"/>
        <v>—</v>
      </c>
      <c r="I636" s="40">
        <f t="shared" ca="1" si="68"/>
        <v>7</v>
      </c>
    </row>
    <row r="637" spans="1:9" x14ac:dyDescent="0.25">
      <c r="A637" s="17">
        <f t="shared" si="63"/>
        <v>81</v>
      </c>
      <c r="B637" t="str">
        <f ca="1">TEXT(DATE(YEAR(Invoer!$A$5),1,1)+INT((ROWS(B$2:B637)-1)/3),"jjjjmmdd")</f>
        <v>19200730</v>
      </c>
      <c r="C637" s="35" t="str">
        <f>IF(MOD(ROWS(C$2:C637)-1,3)=2,"24.00",INDEX(Data,2,2+MOD(ROWS(C$2:C637)-1,3)))</f>
        <v>24.00</v>
      </c>
      <c r="D637" s="23" t="str">
        <f t="shared" ca="1" si="69"/>
        <v>—</v>
      </c>
      <c r="E637" s="40">
        <f t="shared" ca="1" si="64"/>
        <v>7</v>
      </c>
      <c r="F637" s="23">
        <f t="shared" ca="1" si="65"/>
        <v>27</v>
      </c>
      <c r="G637" s="40">
        <f t="shared" ca="1" si="66"/>
        <v>0</v>
      </c>
      <c r="H637" s="23">
        <f t="shared" ca="1" si="67"/>
        <v>29</v>
      </c>
      <c r="I637" s="40">
        <f t="shared" ca="1" si="68"/>
        <v>0</v>
      </c>
    </row>
    <row r="638" spans="1:9" x14ac:dyDescent="0.25">
      <c r="A638" s="17">
        <f t="shared" si="63"/>
        <v>81</v>
      </c>
      <c r="B638" t="str">
        <f ca="1">TEXT(DATE(YEAR(Invoer!$A$5),1,1)+INT((ROWS(B$2:B638)-1)/3),"jjjjmmdd")</f>
        <v>19200731</v>
      </c>
      <c r="C638" s="35" t="str">
        <f>IF(MOD(ROWS(C$2:C638)-1,3)=2,"24.00",INDEX(Data,2,2+MOD(ROWS(C$2:C638)-1,3)))</f>
        <v>08.00</v>
      </c>
      <c r="D638" s="23">
        <f t="shared" ca="1" si="69"/>
        <v>749</v>
      </c>
      <c r="E638" s="40">
        <f t="shared" ca="1" si="64"/>
        <v>0</v>
      </c>
      <c r="F638" s="23" t="str">
        <f t="shared" ca="1" si="65"/>
        <v>—</v>
      </c>
      <c r="G638" s="40">
        <f t="shared" ca="1" si="66"/>
        <v>7</v>
      </c>
      <c r="H638" s="23" t="str">
        <f t="shared" ca="1" si="67"/>
        <v>—</v>
      </c>
      <c r="I638" s="40">
        <f t="shared" ca="1" si="68"/>
        <v>7</v>
      </c>
    </row>
    <row r="639" spans="1:9" x14ac:dyDescent="0.25">
      <c r="A639" s="17">
        <f t="shared" si="63"/>
        <v>81</v>
      </c>
      <c r="B639" t="str">
        <f ca="1">TEXT(DATE(YEAR(Invoer!$A$5),1,1)+INT((ROWS(B$2:B639)-1)/3),"jjjjmmdd")</f>
        <v>19200731</v>
      </c>
      <c r="C639" s="35" t="str">
        <f>IF(MOD(ROWS(C$2:C639)-1,3)=2,"24.00",INDEX(Data,2,2+MOD(ROWS(C$2:C639)-1,3)))</f>
        <v>14.00</v>
      </c>
      <c r="D639" s="23">
        <f t="shared" ca="1" si="69"/>
        <v>748.5</v>
      </c>
      <c r="E639" s="40">
        <f t="shared" ca="1" si="64"/>
        <v>0</v>
      </c>
      <c r="F639" s="23" t="str">
        <f t="shared" ca="1" si="65"/>
        <v>—</v>
      </c>
      <c r="G639" s="40">
        <f t="shared" ca="1" si="66"/>
        <v>7</v>
      </c>
      <c r="H639" s="23" t="str">
        <f t="shared" ca="1" si="67"/>
        <v>—</v>
      </c>
      <c r="I639" s="40">
        <f t="shared" ca="1" si="68"/>
        <v>7</v>
      </c>
    </row>
    <row r="640" spans="1:9" x14ac:dyDescent="0.25">
      <c r="A640" s="17">
        <f t="shared" si="63"/>
        <v>81</v>
      </c>
      <c r="B640" t="str">
        <f ca="1">TEXT(DATE(YEAR(Invoer!$A$5),1,1)+INT((ROWS(B$2:B640)-1)/3),"jjjjmmdd")</f>
        <v>19200731</v>
      </c>
      <c r="C640" s="35" t="str">
        <f>IF(MOD(ROWS(C$2:C640)-1,3)=2,"24.00",INDEX(Data,2,2+MOD(ROWS(C$2:C640)-1,3)))</f>
        <v>24.00</v>
      </c>
      <c r="D640" s="23" t="str">
        <f t="shared" ca="1" si="69"/>
        <v>—</v>
      </c>
      <c r="E640" s="40">
        <f t="shared" ca="1" si="64"/>
        <v>7</v>
      </c>
      <c r="F640" s="23">
        <f t="shared" ca="1" si="65"/>
        <v>27</v>
      </c>
      <c r="G640" s="40">
        <f t="shared" ca="1" si="66"/>
        <v>0</v>
      </c>
      <c r="H640" s="23">
        <f t="shared" ca="1" si="67"/>
        <v>29.3</v>
      </c>
      <c r="I640" s="40">
        <f t="shared" ca="1" si="68"/>
        <v>0</v>
      </c>
    </row>
    <row r="641" spans="1:9" x14ac:dyDescent="0.25">
      <c r="A641" s="17">
        <f t="shared" si="63"/>
        <v>81</v>
      </c>
      <c r="B641" t="str">
        <f ca="1">TEXT(DATE(YEAR(Invoer!$A$5),1,1)+INT((ROWS(B$2:B641)-1)/3),"jjjjmmdd")</f>
        <v>19200801</v>
      </c>
      <c r="C641" s="35" t="str">
        <f>IF(MOD(ROWS(C$2:C641)-1,3)=2,"24.00",INDEX(Data,2,2+MOD(ROWS(C$2:C641)-1,3)))</f>
        <v>08.00</v>
      </c>
      <c r="D641" s="23">
        <f t="shared" ca="1" si="69"/>
        <v>749</v>
      </c>
      <c r="E641" s="40">
        <f t="shared" ca="1" si="64"/>
        <v>0</v>
      </c>
      <c r="F641" s="23" t="str">
        <f t="shared" ca="1" si="65"/>
        <v>—</v>
      </c>
      <c r="G641" s="40">
        <f t="shared" ca="1" si="66"/>
        <v>7</v>
      </c>
      <c r="H641" s="23" t="str">
        <f t="shared" ca="1" si="67"/>
        <v>—</v>
      </c>
      <c r="I641" s="40">
        <f t="shared" ca="1" si="68"/>
        <v>7</v>
      </c>
    </row>
    <row r="642" spans="1:9" x14ac:dyDescent="0.25">
      <c r="A642" s="17">
        <f t="shared" ref="A642:A705" si="70">INDEX(Stations,2,1)</f>
        <v>81</v>
      </c>
      <c r="B642" t="str">
        <f ca="1">TEXT(DATE(YEAR(Invoer!$A$5),1,1)+INT((ROWS(B$2:B642)-1)/3),"jjjjmmdd")</f>
        <v>19200801</v>
      </c>
      <c r="C642" s="35" t="str">
        <f>IF(MOD(ROWS(C$2:C642)-1,3)=2,"24.00",INDEX(Data,2,2+MOD(ROWS(C$2:C642)-1,3)))</f>
        <v>14.00</v>
      </c>
      <c r="D642" s="23">
        <f t="shared" ca="1" si="69"/>
        <v>748.7</v>
      </c>
      <c r="E642" s="40">
        <f t="shared" ref="E642:E705" ca="1" si="71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 t="str">
        <f t="shared" ref="F642:F705" ca="1" si="72">IF(OR(ISBLANK(VLOOKUP(DATEVALUE(LEFT($B642,4)&amp;"-"&amp;MID($B642,5,2)&amp;"-"&amp;RIGHT($B642,2)),Data,MATCH(LEFT(VLOOKUP(F$1,Parameters,2,FALSE()),4)&amp;"*",OFFSET(Data,1,0,1),0),FALSE())),ISTEXT(VLOOKUP(DATEVALUE(LEFT($B642,4)&amp;"-"&amp;MID($B642,5,2)&amp;"-"&amp;RIGHT($B642,2)),Data,MATCH(LEFT(VLOOKUP(F$1,Parameters,2,FALSE()),4)&amp;"*",OFFSET(Data,1,0,1),0),FALSE())),NOT(EXACT($C642,"24.00"))),"—",VLOOKUP(DATEVALUE(LEFT($B642,4)&amp;"-"&amp;MID($B642,5,2)&amp;"-"&amp;RIGHT($B642,2)),Data,MATCH(LEFT(VLOOKUP(F$1,Parameters,2,FALSE()),4)&amp;"*",OFFSET(Data,1,0,1),0),FALSE()))</f>
        <v>—</v>
      </c>
      <c r="G642" s="40">
        <f t="shared" ref="G642:G705" ca="1" si="73">IF(OR(ISBLANK(VLOOKUP(DATEVALUE(LEFT($B642,4)&amp;"-"&amp;MID($B642,5,2)&amp;"-"&amp;RIGHT($B642,2)),Data,MATCH(LEFT(VLOOKUP(MID(G$1,2,LEN(G$1)-1),Parameters,2,FALSE()),4)&amp;"*",OFFSET(Data,1,0,1),0),FALSE())),ISTEXT(VLOOKUP(DATEVALUE(LEFT($B642,4)&amp;"-"&amp;MID($B642,5,2)&amp;"-"&amp;RIGHT($B642,2)),Data,MATCH(LEFT(VLOOKUP(MID(G$1,2,LEN(G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1,0,1),0),FALSE())))</f>
        <v>7</v>
      </c>
      <c r="H642" s="23" t="str">
        <f t="shared" ref="H642:H705" ca="1" si="74">IF(OR(ISBLANK(VLOOKUP(DATEVALUE(LEFT($B642,4)&amp;"-"&amp;MID($B642,5,2)&amp;"-"&amp;RIGHT($B642,2)),Data,MATCH(LEFT(VLOOKUP(H$1,Parameters,2,FALSE()),4)&amp;"*",OFFSET(Data,1,0,1),0),FALSE())),ISTEXT(VLOOKUP(DATEVALUE(LEFT($B642,4)&amp;"-"&amp;MID($B642,5,2)&amp;"-"&amp;RIGHT($B642,2)),Data,MATCH(LEFT(VLOOKUP(H$1,Parameters,2,FALSE()),4)&amp;"*",OFFSET(Data,1,0,1),0),FALSE())),NOT(EXACT($C642,"24.00"))),"—",VLOOKUP(DATEVALUE(LEFT($B642,4)&amp;"-"&amp;MID($B642,5,2)&amp;"-"&amp;RIGHT($B642,2)),Data,MATCH(LEFT(VLOOKUP(H$1,Parameters,2,FALSE()),4)&amp;"*",OFFSET(Data,1,0,1),0),FALSE()))</f>
        <v>—</v>
      </c>
      <c r="I642" s="40">
        <f t="shared" ref="I642:I705" ca="1" si="75">IF(OR(ISBLANK(VLOOKUP(DATEVALUE(LEFT($B642,4)&amp;"-"&amp;MID($B642,5,2)&amp;"-"&amp;RIGHT($B642,2)),Data,MATCH(LEFT(VLOOKUP(MID(I$1,2,LEN(I$1)-1),Parameters,2,FALSE()),4)&amp;"*",OFFSET(Data,1,0,1),0),FALSE())),ISTEXT(VLOOKUP(DATEVALUE(LEFT($B642,4)&amp;"-"&amp;MID($B642,5,2)&amp;"-"&amp;RIGHT($B642,2)),Data,MATCH(LEFT(VLOOKUP(MID(I$1,2,LEN(I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I$1,2,LEN(I$1)-1),Parameters,2,FALSE()),4)&amp;"*",OFFSET(Catalogus,1,0,1),0),FALSE())))</f>
        <v>7</v>
      </c>
    </row>
    <row r="643" spans="1:9" x14ac:dyDescent="0.25">
      <c r="A643" s="17">
        <f t="shared" si="70"/>
        <v>81</v>
      </c>
      <c r="B643" t="str">
        <f ca="1">TEXT(DATE(YEAR(Invoer!$A$5),1,1)+INT((ROWS(B$2:B643)-1)/3),"jjjjmmdd")</f>
        <v>19200801</v>
      </c>
      <c r="C643" s="35" t="str">
        <f>IF(MOD(ROWS(C$2:C643)-1,3)=2,"24.00",INDEX(Data,2,2+MOD(ROWS(C$2:C643)-1,3)))</f>
        <v>24.00</v>
      </c>
      <c r="D643" s="23" t="str">
        <f t="shared" ref="D643:D706" ca="1" si="76">IF(OR(ISBLANK(VLOOKUP(DATEVALUE(LEFT($B643,4)&amp;"-"&amp;MID($B643,5,2)&amp;"-"&amp;RIGHT($B643,2)),Data,MATCH(LEFT(VLOOKUP(D$1,Parameters,2,FALSE()),4)&amp;"*",OFFSET(Data,0,0,1),0)+MATCH($C643,OFFSET(Data,1,0,1),0)-2,FALSE())),ISTEXT(VLOOKUP(DATEVALUE(LEFT($B643,4)&amp;"-"&amp;MID($B643,5,2)&amp;"-"&amp;RIGHT($B643,2)),Data,MATCH(LEFT(VLOOKUP(D$1,Parameters,2,FALSE()),4)&amp;"*",OFFSET(Data,0,0,1),0)+MATCH($C643,OFFSET(Data,1,0,1),0)-2,FALSE())),EXACT(C643,"24.00")),"—",VLOOKUP(DATEVALUE(LEFT($B643,4)&amp;"-"&amp;MID($B643,5,2)&amp;"-"&amp;RIGHT($B643,2)),Data,MATCH(LEFT(VLOOKUP(D$1,Parameters,2,FALSE()),4)&amp;"*",OFFSET(Data,0,0,1),0)+MATCH($C643,OFFSET(Data,1,0,1),0)-2,FALSE()))</f>
        <v>—</v>
      </c>
      <c r="E643" s="40">
        <f t="shared" ca="1" si="71"/>
        <v>7</v>
      </c>
      <c r="F643" s="23">
        <f t="shared" ca="1" si="72"/>
        <v>27</v>
      </c>
      <c r="G643" s="40">
        <f t="shared" ca="1" si="73"/>
        <v>0</v>
      </c>
      <c r="H643" s="23">
        <f t="shared" ca="1" si="74"/>
        <v>30</v>
      </c>
      <c r="I643" s="40">
        <f t="shared" ca="1" si="75"/>
        <v>0</v>
      </c>
    </row>
    <row r="644" spans="1:9" x14ac:dyDescent="0.25">
      <c r="A644" s="17">
        <f t="shared" si="70"/>
        <v>81</v>
      </c>
      <c r="B644" t="str">
        <f ca="1">TEXT(DATE(YEAR(Invoer!$A$5),1,1)+INT((ROWS(B$2:B644)-1)/3),"jjjjmmdd")</f>
        <v>19200802</v>
      </c>
      <c r="C644" s="35" t="str">
        <f>IF(MOD(ROWS(C$2:C644)-1,3)=2,"24.00",INDEX(Data,2,2+MOD(ROWS(C$2:C644)-1,3)))</f>
        <v>08.00</v>
      </c>
      <c r="D644" s="23">
        <f t="shared" ca="1" si="76"/>
        <v>749.6</v>
      </c>
      <c r="E644" s="40">
        <f t="shared" ca="1" si="71"/>
        <v>0</v>
      </c>
      <c r="F644" s="23" t="str">
        <f t="shared" ca="1" si="72"/>
        <v>—</v>
      </c>
      <c r="G644" s="40">
        <f t="shared" ca="1" si="73"/>
        <v>7</v>
      </c>
      <c r="H644" s="23" t="str">
        <f t="shared" ca="1" si="74"/>
        <v>—</v>
      </c>
      <c r="I644" s="40">
        <f t="shared" ca="1" si="75"/>
        <v>7</v>
      </c>
    </row>
    <row r="645" spans="1:9" x14ac:dyDescent="0.25">
      <c r="A645" s="17">
        <f t="shared" si="70"/>
        <v>81</v>
      </c>
      <c r="B645" t="str">
        <f ca="1">TEXT(DATE(YEAR(Invoer!$A$5),1,1)+INT((ROWS(B$2:B645)-1)/3),"jjjjmmdd")</f>
        <v>19200802</v>
      </c>
      <c r="C645" s="35" t="str">
        <f>IF(MOD(ROWS(C$2:C645)-1,3)=2,"24.00",INDEX(Data,2,2+MOD(ROWS(C$2:C645)-1,3)))</f>
        <v>14.00</v>
      </c>
      <c r="D645" s="23">
        <f t="shared" ca="1" si="76"/>
        <v>749</v>
      </c>
      <c r="E645" s="40">
        <f t="shared" ca="1" si="71"/>
        <v>0</v>
      </c>
      <c r="F645" s="23" t="str">
        <f t="shared" ca="1" si="72"/>
        <v>—</v>
      </c>
      <c r="G645" s="40">
        <f t="shared" ca="1" si="73"/>
        <v>7</v>
      </c>
      <c r="H645" s="23" t="str">
        <f t="shared" ca="1" si="74"/>
        <v>—</v>
      </c>
      <c r="I645" s="40">
        <f t="shared" ca="1" si="75"/>
        <v>7</v>
      </c>
    </row>
    <row r="646" spans="1:9" x14ac:dyDescent="0.25">
      <c r="A646" s="17">
        <f t="shared" si="70"/>
        <v>81</v>
      </c>
      <c r="B646" t="str">
        <f ca="1">TEXT(DATE(YEAR(Invoer!$A$5),1,1)+INT((ROWS(B$2:B646)-1)/3),"jjjjmmdd")</f>
        <v>19200802</v>
      </c>
      <c r="C646" s="35" t="str">
        <f>IF(MOD(ROWS(C$2:C646)-1,3)=2,"24.00",INDEX(Data,2,2+MOD(ROWS(C$2:C646)-1,3)))</f>
        <v>24.00</v>
      </c>
      <c r="D646" s="23" t="str">
        <f t="shared" ca="1" si="76"/>
        <v>—</v>
      </c>
      <c r="E646" s="40">
        <f t="shared" ca="1" si="71"/>
        <v>7</v>
      </c>
      <c r="F646" s="23">
        <f t="shared" ca="1" si="72"/>
        <v>27</v>
      </c>
      <c r="G646" s="40">
        <f t="shared" ca="1" si="73"/>
        <v>0</v>
      </c>
      <c r="H646" s="23">
        <f t="shared" ca="1" si="74"/>
        <v>30</v>
      </c>
      <c r="I646" s="40">
        <f t="shared" ca="1" si="75"/>
        <v>0</v>
      </c>
    </row>
    <row r="647" spans="1:9" x14ac:dyDescent="0.25">
      <c r="A647" s="17">
        <f t="shared" si="70"/>
        <v>81</v>
      </c>
      <c r="B647" t="str">
        <f ca="1">TEXT(DATE(YEAR(Invoer!$A$5),1,1)+INT((ROWS(B$2:B647)-1)/3),"jjjjmmdd")</f>
        <v>19200803</v>
      </c>
      <c r="C647" s="35" t="str">
        <f>IF(MOD(ROWS(C$2:C647)-1,3)=2,"24.00",INDEX(Data,2,2+MOD(ROWS(C$2:C647)-1,3)))</f>
        <v>08.00</v>
      </c>
      <c r="D647" s="23">
        <f t="shared" ca="1" si="76"/>
        <v>749.5</v>
      </c>
      <c r="E647" s="40">
        <f t="shared" ca="1" si="71"/>
        <v>0</v>
      </c>
      <c r="F647" s="23" t="str">
        <f t="shared" ca="1" si="72"/>
        <v>—</v>
      </c>
      <c r="G647" s="40">
        <f t="shared" ca="1" si="73"/>
        <v>7</v>
      </c>
      <c r="H647" s="23" t="str">
        <f t="shared" ca="1" si="74"/>
        <v>—</v>
      </c>
      <c r="I647" s="40">
        <f t="shared" ca="1" si="75"/>
        <v>7</v>
      </c>
    </row>
    <row r="648" spans="1:9" x14ac:dyDescent="0.25">
      <c r="A648" s="17">
        <f t="shared" si="70"/>
        <v>81</v>
      </c>
      <c r="B648" t="str">
        <f ca="1">TEXT(DATE(YEAR(Invoer!$A$5),1,1)+INT((ROWS(B$2:B648)-1)/3),"jjjjmmdd")</f>
        <v>19200803</v>
      </c>
      <c r="C648" s="35" t="str">
        <f>IF(MOD(ROWS(C$2:C648)-1,3)=2,"24.00",INDEX(Data,2,2+MOD(ROWS(C$2:C648)-1,3)))</f>
        <v>14.00</v>
      </c>
      <c r="D648" s="23">
        <f t="shared" ca="1" si="76"/>
        <v>749</v>
      </c>
      <c r="E648" s="40">
        <f t="shared" ca="1" si="71"/>
        <v>0</v>
      </c>
      <c r="F648" s="23" t="str">
        <f t="shared" ca="1" si="72"/>
        <v>—</v>
      </c>
      <c r="G648" s="40">
        <f t="shared" ca="1" si="73"/>
        <v>7</v>
      </c>
      <c r="H648" s="23" t="str">
        <f t="shared" ca="1" si="74"/>
        <v>—</v>
      </c>
      <c r="I648" s="40">
        <f t="shared" ca="1" si="75"/>
        <v>7</v>
      </c>
    </row>
    <row r="649" spans="1:9" x14ac:dyDescent="0.25">
      <c r="A649" s="17">
        <f t="shared" si="70"/>
        <v>81</v>
      </c>
      <c r="B649" t="str">
        <f ca="1">TEXT(DATE(YEAR(Invoer!$A$5),1,1)+INT((ROWS(B$2:B649)-1)/3),"jjjjmmdd")</f>
        <v>19200803</v>
      </c>
      <c r="C649" s="35" t="str">
        <f>IF(MOD(ROWS(C$2:C649)-1,3)=2,"24.00",INDEX(Data,2,2+MOD(ROWS(C$2:C649)-1,3)))</f>
        <v>24.00</v>
      </c>
      <c r="D649" s="23" t="str">
        <f t="shared" ca="1" si="76"/>
        <v>—</v>
      </c>
      <c r="E649" s="40">
        <f t="shared" ca="1" si="71"/>
        <v>7</v>
      </c>
      <c r="F649" s="23">
        <f t="shared" ca="1" si="72"/>
        <v>26</v>
      </c>
      <c r="G649" s="40">
        <f t="shared" ca="1" si="73"/>
        <v>0</v>
      </c>
      <c r="H649" s="23">
        <f t="shared" ca="1" si="74"/>
        <v>29</v>
      </c>
      <c r="I649" s="40">
        <f t="shared" ca="1" si="75"/>
        <v>0</v>
      </c>
    </row>
    <row r="650" spans="1:9" x14ac:dyDescent="0.25">
      <c r="A650" s="17">
        <f t="shared" si="70"/>
        <v>81</v>
      </c>
      <c r="B650" t="str">
        <f ca="1">TEXT(DATE(YEAR(Invoer!$A$5),1,1)+INT((ROWS(B$2:B650)-1)/3),"jjjjmmdd")</f>
        <v>19200804</v>
      </c>
      <c r="C650" s="35" t="str">
        <f>IF(MOD(ROWS(C$2:C650)-1,3)=2,"24.00",INDEX(Data,2,2+MOD(ROWS(C$2:C650)-1,3)))</f>
        <v>08.00</v>
      </c>
      <c r="D650" s="23">
        <f t="shared" ca="1" si="76"/>
        <v>749</v>
      </c>
      <c r="E650" s="40">
        <f t="shared" ca="1" si="71"/>
        <v>0</v>
      </c>
      <c r="F650" s="23" t="str">
        <f t="shared" ca="1" si="72"/>
        <v>—</v>
      </c>
      <c r="G650" s="40">
        <f t="shared" ca="1" si="73"/>
        <v>7</v>
      </c>
      <c r="H650" s="23" t="str">
        <f t="shared" ca="1" si="74"/>
        <v>—</v>
      </c>
      <c r="I650" s="40">
        <f t="shared" ca="1" si="75"/>
        <v>7</v>
      </c>
    </row>
    <row r="651" spans="1:9" x14ac:dyDescent="0.25">
      <c r="A651" s="17">
        <f t="shared" si="70"/>
        <v>81</v>
      </c>
      <c r="B651" t="str">
        <f ca="1">TEXT(DATE(YEAR(Invoer!$A$5),1,1)+INT((ROWS(B$2:B651)-1)/3),"jjjjmmdd")</f>
        <v>19200804</v>
      </c>
      <c r="C651" s="35" t="str">
        <f>IF(MOD(ROWS(C$2:C651)-1,3)=2,"24.00",INDEX(Data,2,2+MOD(ROWS(C$2:C651)-1,3)))</f>
        <v>14.00</v>
      </c>
      <c r="D651" s="23">
        <f t="shared" ca="1" si="76"/>
        <v>748.5</v>
      </c>
      <c r="E651" s="40">
        <f t="shared" ca="1" si="71"/>
        <v>0</v>
      </c>
      <c r="F651" s="23" t="str">
        <f t="shared" ca="1" si="72"/>
        <v>—</v>
      </c>
      <c r="G651" s="40">
        <f t="shared" ca="1" si="73"/>
        <v>7</v>
      </c>
      <c r="H651" s="23" t="str">
        <f t="shared" ca="1" si="74"/>
        <v>—</v>
      </c>
      <c r="I651" s="40">
        <f t="shared" ca="1" si="75"/>
        <v>7</v>
      </c>
    </row>
    <row r="652" spans="1:9" x14ac:dyDescent="0.25">
      <c r="A652" s="17">
        <f t="shared" si="70"/>
        <v>81</v>
      </c>
      <c r="B652" t="str">
        <f ca="1">TEXT(DATE(YEAR(Invoer!$A$5),1,1)+INT((ROWS(B$2:B652)-1)/3),"jjjjmmdd")</f>
        <v>19200804</v>
      </c>
      <c r="C652" s="35" t="str">
        <f>IF(MOD(ROWS(C$2:C652)-1,3)=2,"24.00",INDEX(Data,2,2+MOD(ROWS(C$2:C652)-1,3)))</f>
        <v>24.00</v>
      </c>
      <c r="D652" s="23" t="str">
        <f t="shared" ca="1" si="76"/>
        <v>—</v>
      </c>
      <c r="E652" s="40">
        <f t="shared" ca="1" si="71"/>
        <v>7</v>
      </c>
      <c r="F652" s="23">
        <f t="shared" ca="1" si="72"/>
        <v>26</v>
      </c>
      <c r="G652" s="40">
        <f t="shared" ca="1" si="73"/>
        <v>0</v>
      </c>
      <c r="H652" s="23">
        <f t="shared" ca="1" si="74"/>
        <v>28.5</v>
      </c>
      <c r="I652" s="40">
        <f t="shared" ca="1" si="75"/>
        <v>0</v>
      </c>
    </row>
    <row r="653" spans="1:9" x14ac:dyDescent="0.25">
      <c r="A653" s="17">
        <f t="shared" si="70"/>
        <v>81</v>
      </c>
      <c r="B653" t="str">
        <f ca="1">TEXT(DATE(YEAR(Invoer!$A$5),1,1)+INT((ROWS(B$2:B653)-1)/3),"jjjjmmdd")</f>
        <v>19200805</v>
      </c>
      <c r="C653" s="35" t="str">
        <f>IF(MOD(ROWS(C$2:C653)-1,3)=2,"24.00",INDEX(Data,2,2+MOD(ROWS(C$2:C653)-1,3)))</f>
        <v>08.00</v>
      </c>
      <c r="D653" s="23">
        <f t="shared" ca="1" si="76"/>
        <v>749</v>
      </c>
      <c r="E653" s="40">
        <f t="shared" ca="1" si="71"/>
        <v>0</v>
      </c>
      <c r="F653" s="23" t="str">
        <f t="shared" ca="1" si="72"/>
        <v>—</v>
      </c>
      <c r="G653" s="40">
        <f t="shared" ca="1" si="73"/>
        <v>7</v>
      </c>
      <c r="H653" s="23" t="str">
        <f t="shared" ca="1" si="74"/>
        <v>—</v>
      </c>
      <c r="I653" s="40">
        <f t="shared" ca="1" si="75"/>
        <v>7</v>
      </c>
    </row>
    <row r="654" spans="1:9" x14ac:dyDescent="0.25">
      <c r="A654" s="17">
        <f t="shared" si="70"/>
        <v>81</v>
      </c>
      <c r="B654" t="str">
        <f ca="1">TEXT(DATE(YEAR(Invoer!$A$5),1,1)+INT((ROWS(B$2:B654)-1)/3),"jjjjmmdd")</f>
        <v>19200805</v>
      </c>
      <c r="C654" s="35" t="str">
        <f>IF(MOD(ROWS(C$2:C654)-1,3)=2,"24.00",INDEX(Data,2,2+MOD(ROWS(C$2:C654)-1,3)))</f>
        <v>14.00</v>
      </c>
      <c r="D654" s="23">
        <f t="shared" ca="1" si="76"/>
        <v>748.5</v>
      </c>
      <c r="E654" s="40">
        <f t="shared" ca="1" si="71"/>
        <v>0</v>
      </c>
      <c r="F654" s="23" t="str">
        <f t="shared" ca="1" si="72"/>
        <v>—</v>
      </c>
      <c r="G654" s="40">
        <f t="shared" ca="1" si="73"/>
        <v>7</v>
      </c>
      <c r="H654" s="23" t="str">
        <f t="shared" ca="1" si="74"/>
        <v>—</v>
      </c>
      <c r="I654" s="40">
        <f t="shared" ca="1" si="75"/>
        <v>7</v>
      </c>
    </row>
    <row r="655" spans="1:9" x14ac:dyDescent="0.25">
      <c r="A655" s="17">
        <f t="shared" si="70"/>
        <v>81</v>
      </c>
      <c r="B655" t="str">
        <f ca="1">TEXT(DATE(YEAR(Invoer!$A$5),1,1)+INT((ROWS(B$2:B655)-1)/3),"jjjjmmdd")</f>
        <v>19200805</v>
      </c>
      <c r="C655" s="35" t="str">
        <f>IF(MOD(ROWS(C$2:C655)-1,3)=2,"24.00",INDEX(Data,2,2+MOD(ROWS(C$2:C655)-1,3)))</f>
        <v>24.00</v>
      </c>
      <c r="D655" s="23" t="str">
        <f t="shared" ca="1" si="76"/>
        <v>—</v>
      </c>
      <c r="E655" s="40">
        <f t="shared" ca="1" si="71"/>
        <v>7</v>
      </c>
      <c r="F655" s="23">
        <f t="shared" ca="1" si="72"/>
        <v>26</v>
      </c>
      <c r="G655" s="40">
        <f t="shared" ca="1" si="73"/>
        <v>0</v>
      </c>
      <c r="H655" s="23">
        <f t="shared" ca="1" si="74"/>
        <v>29</v>
      </c>
      <c r="I655" s="40">
        <f t="shared" ca="1" si="75"/>
        <v>0</v>
      </c>
    </row>
    <row r="656" spans="1:9" x14ac:dyDescent="0.25">
      <c r="A656" s="17">
        <f t="shared" si="70"/>
        <v>81</v>
      </c>
      <c r="B656" t="str">
        <f ca="1">TEXT(DATE(YEAR(Invoer!$A$5),1,1)+INT((ROWS(B$2:B656)-1)/3),"jjjjmmdd")</f>
        <v>19200806</v>
      </c>
      <c r="C656" s="35" t="str">
        <f>IF(MOD(ROWS(C$2:C656)-1,3)=2,"24.00",INDEX(Data,2,2+MOD(ROWS(C$2:C656)-1,3)))</f>
        <v>08.00</v>
      </c>
      <c r="D656" s="23">
        <f t="shared" ca="1" si="76"/>
        <v>748.5</v>
      </c>
      <c r="E656" s="40">
        <f t="shared" ca="1" si="71"/>
        <v>0</v>
      </c>
      <c r="F656" s="23" t="str">
        <f t="shared" ca="1" si="72"/>
        <v>—</v>
      </c>
      <c r="G656" s="40">
        <f t="shared" ca="1" si="73"/>
        <v>7</v>
      </c>
      <c r="H656" s="23" t="str">
        <f t="shared" ca="1" si="74"/>
        <v>—</v>
      </c>
      <c r="I656" s="40">
        <f t="shared" ca="1" si="75"/>
        <v>7</v>
      </c>
    </row>
    <row r="657" spans="1:9" x14ac:dyDescent="0.25">
      <c r="A657" s="17">
        <f t="shared" si="70"/>
        <v>81</v>
      </c>
      <c r="B657" t="str">
        <f ca="1">TEXT(DATE(YEAR(Invoer!$A$5),1,1)+INT((ROWS(B$2:B657)-1)/3),"jjjjmmdd")</f>
        <v>19200806</v>
      </c>
      <c r="C657" s="35" t="str">
        <f>IF(MOD(ROWS(C$2:C657)-1,3)=2,"24.00",INDEX(Data,2,2+MOD(ROWS(C$2:C657)-1,3)))</f>
        <v>14.00</v>
      </c>
      <c r="D657" s="23">
        <f t="shared" ca="1" si="76"/>
        <v>748</v>
      </c>
      <c r="E657" s="40">
        <f t="shared" ca="1" si="71"/>
        <v>0</v>
      </c>
      <c r="F657" s="23" t="str">
        <f t="shared" ca="1" si="72"/>
        <v>—</v>
      </c>
      <c r="G657" s="40">
        <f t="shared" ca="1" si="73"/>
        <v>7</v>
      </c>
      <c r="H657" s="23" t="str">
        <f t="shared" ca="1" si="74"/>
        <v>—</v>
      </c>
      <c r="I657" s="40">
        <f t="shared" ca="1" si="75"/>
        <v>7</v>
      </c>
    </row>
    <row r="658" spans="1:9" x14ac:dyDescent="0.25">
      <c r="A658" s="17">
        <f t="shared" si="70"/>
        <v>81</v>
      </c>
      <c r="B658" t="str">
        <f ca="1">TEXT(DATE(YEAR(Invoer!$A$5),1,1)+INT((ROWS(B$2:B658)-1)/3),"jjjjmmdd")</f>
        <v>19200806</v>
      </c>
      <c r="C658" s="35" t="str">
        <f>IF(MOD(ROWS(C$2:C658)-1,3)=2,"24.00",INDEX(Data,2,2+MOD(ROWS(C$2:C658)-1,3)))</f>
        <v>24.00</v>
      </c>
      <c r="D658" s="23" t="str">
        <f t="shared" ca="1" si="76"/>
        <v>—</v>
      </c>
      <c r="E658" s="40">
        <f t="shared" ca="1" si="71"/>
        <v>7</v>
      </c>
      <c r="F658" s="23">
        <f t="shared" ca="1" si="72"/>
        <v>28</v>
      </c>
      <c r="G658" s="40">
        <f t="shared" ca="1" si="73"/>
        <v>0</v>
      </c>
      <c r="H658" s="23">
        <f t="shared" ca="1" si="74"/>
        <v>28.8</v>
      </c>
      <c r="I658" s="40">
        <f t="shared" ca="1" si="75"/>
        <v>0</v>
      </c>
    </row>
    <row r="659" spans="1:9" x14ac:dyDescent="0.25">
      <c r="A659" s="17">
        <f t="shared" si="70"/>
        <v>81</v>
      </c>
      <c r="B659" t="str">
        <f ca="1">TEXT(DATE(YEAR(Invoer!$A$5),1,1)+INT((ROWS(B$2:B659)-1)/3),"jjjjmmdd")</f>
        <v>19200807</v>
      </c>
      <c r="C659" s="35" t="str">
        <f>IF(MOD(ROWS(C$2:C659)-1,3)=2,"24.00",INDEX(Data,2,2+MOD(ROWS(C$2:C659)-1,3)))</f>
        <v>08.00</v>
      </c>
      <c r="D659" s="23">
        <f t="shared" ca="1" si="76"/>
        <v>748.2</v>
      </c>
      <c r="E659" s="40">
        <f t="shared" ca="1" si="71"/>
        <v>0</v>
      </c>
      <c r="F659" s="23" t="str">
        <f t="shared" ca="1" si="72"/>
        <v>—</v>
      </c>
      <c r="G659" s="40">
        <f t="shared" ca="1" si="73"/>
        <v>7</v>
      </c>
      <c r="H659" s="23" t="str">
        <f t="shared" ca="1" si="74"/>
        <v>—</v>
      </c>
      <c r="I659" s="40">
        <f t="shared" ca="1" si="75"/>
        <v>7</v>
      </c>
    </row>
    <row r="660" spans="1:9" x14ac:dyDescent="0.25">
      <c r="A660" s="17">
        <f t="shared" si="70"/>
        <v>81</v>
      </c>
      <c r="B660" t="str">
        <f ca="1">TEXT(DATE(YEAR(Invoer!$A$5),1,1)+INT((ROWS(B$2:B660)-1)/3),"jjjjmmdd")</f>
        <v>19200807</v>
      </c>
      <c r="C660" s="35" t="str">
        <f>IF(MOD(ROWS(C$2:C660)-1,3)=2,"24.00",INDEX(Data,2,2+MOD(ROWS(C$2:C660)-1,3)))</f>
        <v>14.00</v>
      </c>
      <c r="D660" s="23">
        <f t="shared" ca="1" si="76"/>
        <v>748</v>
      </c>
      <c r="E660" s="40">
        <f t="shared" ca="1" si="71"/>
        <v>0</v>
      </c>
      <c r="F660" s="23" t="str">
        <f t="shared" ca="1" si="72"/>
        <v>—</v>
      </c>
      <c r="G660" s="40">
        <f t="shared" ca="1" si="73"/>
        <v>7</v>
      </c>
      <c r="H660" s="23" t="str">
        <f t="shared" ca="1" si="74"/>
        <v>—</v>
      </c>
      <c r="I660" s="40">
        <f t="shared" ca="1" si="75"/>
        <v>7</v>
      </c>
    </row>
    <row r="661" spans="1:9" x14ac:dyDescent="0.25">
      <c r="A661" s="17">
        <f t="shared" si="70"/>
        <v>81</v>
      </c>
      <c r="B661" t="str">
        <f ca="1">TEXT(DATE(YEAR(Invoer!$A$5),1,1)+INT((ROWS(B$2:B661)-1)/3),"jjjjmmdd")</f>
        <v>19200807</v>
      </c>
      <c r="C661" s="35" t="str">
        <f>IF(MOD(ROWS(C$2:C661)-1,3)=2,"24.00",INDEX(Data,2,2+MOD(ROWS(C$2:C661)-1,3)))</f>
        <v>24.00</v>
      </c>
      <c r="D661" s="23" t="str">
        <f t="shared" ca="1" si="76"/>
        <v>—</v>
      </c>
      <c r="E661" s="40">
        <f t="shared" ca="1" si="71"/>
        <v>7</v>
      </c>
      <c r="F661" s="23">
        <f t="shared" ca="1" si="72"/>
        <v>27.5</v>
      </c>
      <c r="G661" s="40">
        <f t="shared" ca="1" si="73"/>
        <v>0</v>
      </c>
      <c r="H661" s="23">
        <f t="shared" ca="1" si="74"/>
        <v>28.5</v>
      </c>
      <c r="I661" s="40">
        <f t="shared" ca="1" si="75"/>
        <v>0</v>
      </c>
    </row>
    <row r="662" spans="1:9" x14ac:dyDescent="0.25">
      <c r="A662" s="17">
        <f t="shared" si="70"/>
        <v>81</v>
      </c>
      <c r="B662" t="str">
        <f ca="1">TEXT(DATE(YEAR(Invoer!$A$5),1,1)+INT((ROWS(B$2:B662)-1)/3),"jjjjmmdd")</f>
        <v>19200808</v>
      </c>
      <c r="C662" s="35" t="str">
        <f>IF(MOD(ROWS(C$2:C662)-1,3)=2,"24.00",INDEX(Data,2,2+MOD(ROWS(C$2:C662)-1,3)))</f>
        <v>08.00</v>
      </c>
      <c r="D662" s="23">
        <f t="shared" ca="1" si="76"/>
        <v>748.3</v>
      </c>
      <c r="E662" s="40">
        <f t="shared" ca="1" si="71"/>
        <v>0</v>
      </c>
      <c r="F662" s="23" t="str">
        <f t="shared" ca="1" si="72"/>
        <v>—</v>
      </c>
      <c r="G662" s="40">
        <f t="shared" ca="1" si="73"/>
        <v>7</v>
      </c>
      <c r="H662" s="23" t="str">
        <f t="shared" ca="1" si="74"/>
        <v>—</v>
      </c>
      <c r="I662" s="40">
        <f t="shared" ca="1" si="75"/>
        <v>7</v>
      </c>
    </row>
    <row r="663" spans="1:9" x14ac:dyDescent="0.25">
      <c r="A663" s="17">
        <f t="shared" si="70"/>
        <v>81</v>
      </c>
      <c r="B663" t="str">
        <f ca="1">TEXT(DATE(YEAR(Invoer!$A$5),1,1)+INT((ROWS(B$2:B663)-1)/3),"jjjjmmdd")</f>
        <v>19200808</v>
      </c>
      <c r="C663" s="35" t="str">
        <f>IF(MOD(ROWS(C$2:C663)-1,3)=2,"24.00",INDEX(Data,2,2+MOD(ROWS(C$2:C663)-1,3)))</f>
        <v>14.00</v>
      </c>
      <c r="D663" s="23">
        <f t="shared" ca="1" si="76"/>
        <v>748</v>
      </c>
      <c r="E663" s="40">
        <f t="shared" ca="1" si="71"/>
        <v>0</v>
      </c>
      <c r="F663" s="23" t="str">
        <f t="shared" ca="1" si="72"/>
        <v>—</v>
      </c>
      <c r="G663" s="40">
        <f t="shared" ca="1" si="73"/>
        <v>7</v>
      </c>
      <c r="H663" s="23" t="str">
        <f t="shared" ca="1" si="74"/>
        <v>—</v>
      </c>
      <c r="I663" s="40">
        <f t="shared" ca="1" si="75"/>
        <v>7</v>
      </c>
    </row>
    <row r="664" spans="1:9" x14ac:dyDescent="0.25">
      <c r="A664" s="17">
        <f t="shared" si="70"/>
        <v>81</v>
      </c>
      <c r="B664" t="str">
        <f ca="1">TEXT(DATE(YEAR(Invoer!$A$5),1,1)+INT((ROWS(B$2:B664)-1)/3),"jjjjmmdd")</f>
        <v>19200808</v>
      </c>
      <c r="C664" s="35" t="str">
        <f>IF(MOD(ROWS(C$2:C664)-1,3)=2,"24.00",INDEX(Data,2,2+MOD(ROWS(C$2:C664)-1,3)))</f>
        <v>24.00</v>
      </c>
      <c r="D664" s="23" t="str">
        <f t="shared" ca="1" si="76"/>
        <v>—</v>
      </c>
      <c r="E664" s="40">
        <f t="shared" ca="1" si="71"/>
        <v>7</v>
      </c>
      <c r="F664" s="23">
        <f t="shared" ca="1" si="72"/>
        <v>26.5</v>
      </c>
      <c r="G664" s="40">
        <f t="shared" ca="1" si="73"/>
        <v>0</v>
      </c>
      <c r="H664" s="23">
        <f t="shared" ca="1" si="74"/>
        <v>28.3</v>
      </c>
      <c r="I664" s="40">
        <f t="shared" ca="1" si="75"/>
        <v>0</v>
      </c>
    </row>
    <row r="665" spans="1:9" x14ac:dyDescent="0.25">
      <c r="A665" s="17">
        <f t="shared" si="70"/>
        <v>81</v>
      </c>
      <c r="B665" t="str">
        <f ca="1">TEXT(DATE(YEAR(Invoer!$A$5),1,1)+INT((ROWS(B$2:B665)-1)/3),"jjjjmmdd")</f>
        <v>19200809</v>
      </c>
      <c r="C665" s="35" t="str">
        <f>IF(MOD(ROWS(C$2:C665)-1,3)=2,"24.00",INDEX(Data,2,2+MOD(ROWS(C$2:C665)-1,3)))</f>
        <v>08.00</v>
      </c>
      <c r="D665" s="23">
        <f t="shared" ca="1" si="76"/>
        <v>748.5</v>
      </c>
      <c r="E665" s="40">
        <f t="shared" ca="1" si="71"/>
        <v>0</v>
      </c>
      <c r="F665" s="23" t="str">
        <f t="shared" ca="1" si="72"/>
        <v>—</v>
      </c>
      <c r="G665" s="40">
        <f t="shared" ca="1" si="73"/>
        <v>7</v>
      </c>
      <c r="H665" s="23" t="str">
        <f t="shared" ca="1" si="74"/>
        <v>—</v>
      </c>
      <c r="I665" s="40">
        <f t="shared" ca="1" si="75"/>
        <v>7</v>
      </c>
    </row>
    <row r="666" spans="1:9" x14ac:dyDescent="0.25">
      <c r="A666" s="17">
        <f t="shared" si="70"/>
        <v>81</v>
      </c>
      <c r="B666" t="str">
        <f ca="1">TEXT(DATE(YEAR(Invoer!$A$5),1,1)+INT((ROWS(B$2:B666)-1)/3),"jjjjmmdd")</f>
        <v>19200809</v>
      </c>
      <c r="C666" s="35" t="str">
        <f>IF(MOD(ROWS(C$2:C666)-1,3)=2,"24.00",INDEX(Data,2,2+MOD(ROWS(C$2:C666)-1,3)))</f>
        <v>14.00</v>
      </c>
      <c r="D666" s="23">
        <f t="shared" ca="1" si="76"/>
        <v>748.3</v>
      </c>
      <c r="E666" s="40">
        <f t="shared" ca="1" si="71"/>
        <v>0</v>
      </c>
      <c r="F666" s="23" t="str">
        <f t="shared" ca="1" si="72"/>
        <v>—</v>
      </c>
      <c r="G666" s="40">
        <f t="shared" ca="1" si="73"/>
        <v>7</v>
      </c>
      <c r="H666" s="23" t="str">
        <f t="shared" ca="1" si="74"/>
        <v>—</v>
      </c>
      <c r="I666" s="40">
        <f t="shared" ca="1" si="75"/>
        <v>7</v>
      </c>
    </row>
    <row r="667" spans="1:9" x14ac:dyDescent="0.25">
      <c r="A667" s="17">
        <f t="shared" si="70"/>
        <v>81</v>
      </c>
      <c r="B667" t="str">
        <f ca="1">TEXT(DATE(YEAR(Invoer!$A$5),1,1)+INT((ROWS(B$2:B667)-1)/3),"jjjjmmdd")</f>
        <v>19200809</v>
      </c>
      <c r="C667" s="35" t="str">
        <f>IF(MOD(ROWS(C$2:C667)-1,3)=2,"24.00",INDEX(Data,2,2+MOD(ROWS(C$2:C667)-1,3)))</f>
        <v>24.00</v>
      </c>
      <c r="D667" s="23" t="str">
        <f t="shared" ca="1" si="76"/>
        <v>—</v>
      </c>
      <c r="E667" s="40">
        <f t="shared" ca="1" si="71"/>
        <v>7</v>
      </c>
      <c r="F667" s="23">
        <f t="shared" ca="1" si="72"/>
        <v>26</v>
      </c>
      <c r="G667" s="40">
        <f t="shared" ca="1" si="73"/>
        <v>0</v>
      </c>
      <c r="H667" s="23">
        <f t="shared" ca="1" si="74"/>
        <v>28</v>
      </c>
      <c r="I667" s="40">
        <f t="shared" ca="1" si="75"/>
        <v>0</v>
      </c>
    </row>
    <row r="668" spans="1:9" x14ac:dyDescent="0.25">
      <c r="A668" s="17">
        <f t="shared" si="70"/>
        <v>81</v>
      </c>
      <c r="B668" t="str">
        <f ca="1">TEXT(DATE(YEAR(Invoer!$A$5),1,1)+INT((ROWS(B$2:B668)-1)/3),"jjjjmmdd")</f>
        <v>19200810</v>
      </c>
      <c r="C668" s="35" t="str">
        <f>IF(MOD(ROWS(C$2:C668)-1,3)=2,"24.00",INDEX(Data,2,2+MOD(ROWS(C$2:C668)-1,3)))</f>
        <v>08.00</v>
      </c>
      <c r="D668" s="23">
        <f t="shared" ca="1" si="76"/>
        <v>748.3</v>
      </c>
      <c r="E668" s="40">
        <f t="shared" ca="1" si="71"/>
        <v>0</v>
      </c>
      <c r="F668" s="23" t="str">
        <f t="shared" ca="1" si="72"/>
        <v>—</v>
      </c>
      <c r="G668" s="40">
        <f t="shared" ca="1" si="73"/>
        <v>7</v>
      </c>
      <c r="H668" s="23" t="str">
        <f t="shared" ca="1" si="74"/>
        <v>—</v>
      </c>
      <c r="I668" s="40">
        <f t="shared" ca="1" si="75"/>
        <v>7</v>
      </c>
    </row>
    <row r="669" spans="1:9" x14ac:dyDescent="0.25">
      <c r="A669" s="17">
        <f t="shared" si="70"/>
        <v>81</v>
      </c>
      <c r="B669" t="str">
        <f ca="1">TEXT(DATE(YEAR(Invoer!$A$5),1,1)+INT((ROWS(B$2:B669)-1)/3),"jjjjmmdd")</f>
        <v>19200810</v>
      </c>
      <c r="C669" s="35" t="str">
        <f>IF(MOD(ROWS(C$2:C669)-1,3)=2,"24.00",INDEX(Data,2,2+MOD(ROWS(C$2:C669)-1,3)))</f>
        <v>14.00</v>
      </c>
      <c r="D669" s="23">
        <f t="shared" ca="1" si="76"/>
        <v>748</v>
      </c>
      <c r="E669" s="40">
        <f t="shared" ca="1" si="71"/>
        <v>0</v>
      </c>
      <c r="F669" s="23" t="str">
        <f t="shared" ca="1" si="72"/>
        <v>—</v>
      </c>
      <c r="G669" s="40">
        <f t="shared" ca="1" si="73"/>
        <v>7</v>
      </c>
      <c r="H669" s="23" t="str">
        <f t="shared" ca="1" si="74"/>
        <v>—</v>
      </c>
      <c r="I669" s="40">
        <f t="shared" ca="1" si="75"/>
        <v>7</v>
      </c>
    </row>
    <row r="670" spans="1:9" x14ac:dyDescent="0.25">
      <c r="A670" s="17">
        <f t="shared" si="70"/>
        <v>81</v>
      </c>
      <c r="B670" t="str">
        <f ca="1">TEXT(DATE(YEAR(Invoer!$A$5),1,1)+INT((ROWS(B$2:B670)-1)/3),"jjjjmmdd")</f>
        <v>19200810</v>
      </c>
      <c r="C670" s="35" t="str">
        <f>IF(MOD(ROWS(C$2:C670)-1,3)=2,"24.00",INDEX(Data,2,2+MOD(ROWS(C$2:C670)-1,3)))</f>
        <v>24.00</v>
      </c>
      <c r="D670" s="23" t="str">
        <f t="shared" ca="1" si="76"/>
        <v>—</v>
      </c>
      <c r="E670" s="40">
        <f t="shared" ca="1" si="71"/>
        <v>7</v>
      </c>
      <c r="F670" s="23">
        <f t="shared" ca="1" si="72"/>
        <v>26.5</v>
      </c>
      <c r="G670" s="40">
        <f t="shared" ca="1" si="73"/>
        <v>0</v>
      </c>
      <c r="H670" s="23">
        <f t="shared" ca="1" si="74"/>
        <v>29</v>
      </c>
      <c r="I670" s="40">
        <f t="shared" ca="1" si="75"/>
        <v>0</v>
      </c>
    </row>
    <row r="671" spans="1:9" x14ac:dyDescent="0.25">
      <c r="A671" s="17">
        <f t="shared" si="70"/>
        <v>81</v>
      </c>
      <c r="B671" t="str">
        <f ca="1">TEXT(DATE(YEAR(Invoer!$A$5),1,1)+INT((ROWS(B$2:B671)-1)/3),"jjjjmmdd")</f>
        <v>19200811</v>
      </c>
      <c r="C671" s="35" t="str">
        <f>IF(MOD(ROWS(C$2:C671)-1,3)=2,"24.00",INDEX(Data,2,2+MOD(ROWS(C$2:C671)-1,3)))</f>
        <v>08.00</v>
      </c>
      <c r="D671" s="23">
        <f t="shared" ca="1" si="76"/>
        <v>747.6</v>
      </c>
      <c r="E671" s="40">
        <f t="shared" ca="1" si="71"/>
        <v>0</v>
      </c>
      <c r="F671" s="23" t="str">
        <f t="shared" ca="1" si="72"/>
        <v>—</v>
      </c>
      <c r="G671" s="40">
        <f t="shared" ca="1" si="73"/>
        <v>7</v>
      </c>
      <c r="H671" s="23" t="str">
        <f t="shared" ca="1" si="74"/>
        <v>—</v>
      </c>
      <c r="I671" s="40">
        <f t="shared" ca="1" si="75"/>
        <v>7</v>
      </c>
    </row>
    <row r="672" spans="1:9" x14ac:dyDescent="0.25">
      <c r="A672" s="17">
        <f t="shared" si="70"/>
        <v>81</v>
      </c>
      <c r="B672" t="str">
        <f ca="1">TEXT(DATE(YEAR(Invoer!$A$5),1,1)+INT((ROWS(B$2:B672)-1)/3),"jjjjmmdd")</f>
        <v>19200811</v>
      </c>
      <c r="C672" s="35" t="str">
        <f>IF(MOD(ROWS(C$2:C672)-1,3)=2,"24.00",INDEX(Data,2,2+MOD(ROWS(C$2:C672)-1,3)))</f>
        <v>14.00</v>
      </c>
      <c r="D672" s="23">
        <f t="shared" ca="1" si="76"/>
        <v>747</v>
      </c>
      <c r="E672" s="40">
        <f t="shared" ca="1" si="71"/>
        <v>0</v>
      </c>
      <c r="F672" s="23" t="str">
        <f t="shared" ca="1" si="72"/>
        <v>—</v>
      </c>
      <c r="G672" s="40">
        <f t="shared" ca="1" si="73"/>
        <v>7</v>
      </c>
      <c r="H672" s="23" t="str">
        <f t="shared" ca="1" si="74"/>
        <v>—</v>
      </c>
      <c r="I672" s="40">
        <f t="shared" ca="1" si="75"/>
        <v>7</v>
      </c>
    </row>
    <row r="673" spans="1:9" x14ac:dyDescent="0.25">
      <c r="A673" s="17">
        <f t="shared" si="70"/>
        <v>81</v>
      </c>
      <c r="B673" t="str">
        <f ca="1">TEXT(DATE(YEAR(Invoer!$A$5),1,1)+INT((ROWS(B$2:B673)-1)/3),"jjjjmmdd")</f>
        <v>19200811</v>
      </c>
      <c r="C673" s="35" t="str">
        <f>IF(MOD(ROWS(C$2:C673)-1,3)=2,"24.00",INDEX(Data,2,2+MOD(ROWS(C$2:C673)-1,3)))</f>
        <v>24.00</v>
      </c>
      <c r="D673" s="23" t="str">
        <f t="shared" ca="1" si="76"/>
        <v>—</v>
      </c>
      <c r="E673" s="40">
        <f t="shared" ca="1" si="71"/>
        <v>7</v>
      </c>
      <c r="F673" s="23">
        <f t="shared" ca="1" si="72"/>
        <v>28</v>
      </c>
      <c r="G673" s="40">
        <f t="shared" ca="1" si="73"/>
        <v>0</v>
      </c>
      <c r="H673" s="23">
        <f t="shared" ca="1" si="74"/>
        <v>30</v>
      </c>
      <c r="I673" s="40">
        <f t="shared" ca="1" si="75"/>
        <v>0</v>
      </c>
    </row>
    <row r="674" spans="1:9" x14ac:dyDescent="0.25">
      <c r="A674" s="17">
        <f t="shared" si="70"/>
        <v>81</v>
      </c>
      <c r="B674" t="str">
        <f ca="1">TEXT(DATE(YEAR(Invoer!$A$5),1,1)+INT((ROWS(B$2:B674)-1)/3),"jjjjmmdd")</f>
        <v>19200812</v>
      </c>
      <c r="C674" s="35" t="str">
        <f>IF(MOD(ROWS(C$2:C674)-1,3)=2,"24.00",INDEX(Data,2,2+MOD(ROWS(C$2:C674)-1,3)))</f>
        <v>08.00</v>
      </c>
      <c r="D674" s="23">
        <f t="shared" ca="1" si="76"/>
        <v>746.4</v>
      </c>
      <c r="E674" s="40">
        <f t="shared" ca="1" si="71"/>
        <v>0</v>
      </c>
      <c r="F674" s="23" t="str">
        <f t="shared" ca="1" si="72"/>
        <v>—</v>
      </c>
      <c r="G674" s="40">
        <f t="shared" ca="1" si="73"/>
        <v>7</v>
      </c>
      <c r="H674" s="23" t="str">
        <f t="shared" ca="1" si="74"/>
        <v>—</v>
      </c>
      <c r="I674" s="40">
        <f t="shared" ca="1" si="75"/>
        <v>7</v>
      </c>
    </row>
    <row r="675" spans="1:9" x14ac:dyDescent="0.25">
      <c r="A675" s="17">
        <f t="shared" si="70"/>
        <v>81</v>
      </c>
      <c r="B675" t="str">
        <f ca="1">TEXT(DATE(YEAR(Invoer!$A$5),1,1)+INT((ROWS(B$2:B675)-1)/3),"jjjjmmdd")</f>
        <v>19200812</v>
      </c>
      <c r="C675" s="35" t="str">
        <f>IF(MOD(ROWS(C$2:C675)-1,3)=2,"24.00",INDEX(Data,2,2+MOD(ROWS(C$2:C675)-1,3)))</f>
        <v>14.00</v>
      </c>
      <c r="D675" s="23">
        <f t="shared" ca="1" si="76"/>
        <v>746</v>
      </c>
      <c r="E675" s="40">
        <f t="shared" ca="1" si="71"/>
        <v>0</v>
      </c>
      <c r="F675" s="23" t="str">
        <f t="shared" ca="1" si="72"/>
        <v>—</v>
      </c>
      <c r="G675" s="40">
        <f t="shared" ca="1" si="73"/>
        <v>7</v>
      </c>
      <c r="H675" s="23" t="str">
        <f t="shared" ca="1" si="74"/>
        <v>—</v>
      </c>
      <c r="I675" s="40">
        <f t="shared" ca="1" si="75"/>
        <v>7</v>
      </c>
    </row>
    <row r="676" spans="1:9" x14ac:dyDescent="0.25">
      <c r="A676" s="17">
        <f t="shared" si="70"/>
        <v>81</v>
      </c>
      <c r="B676" t="str">
        <f ca="1">TEXT(DATE(YEAR(Invoer!$A$5),1,1)+INT((ROWS(B$2:B676)-1)/3),"jjjjmmdd")</f>
        <v>19200812</v>
      </c>
      <c r="C676" s="35" t="str">
        <f>IF(MOD(ROWS(C$2:C676)-1,3)=2,"24.00",INDEX(Data,2,2+MOD(ROWS(C$2:C676)-1,3)))</f>
        <v>24.00</v>
      </c>
      <c r="D676" s="23" t="str">
        <f t="shared" ca="1" si="76"/>
        <v>—</v>
      </c>
      <c r="E676" s="40">
        <f t="shared" ca="1" si="71"/>
        <v>7</v>
      </c>
      <c r="F676" s="23">
        <f t="shared" ca="1" si="72"/>
        <v>28</v>
      </c>
      <c r="G676" s="40">
        <f t="shared" ca="1" si="73"/>
        <v>0</v>
      </c>
      <c r="H676" s="23">
        <f t="shared" ca="1" si="74"/>
        <v>29</v>
      </c>
      <c r="I676" s="40">
        <f t="shared" ca="1" si="75"/>
        <v>0</v>
      </c>
    </row>
    <row r="677" spans="1:9" x14ac:dyDescent="0.25">
      <c r="A677" s="17">
        <f t="shared" si="70"/>
        <v>81</v>
      </c>
      <c r="B677" t="str">
        <f ca="1">TEXT(DATE(YEAR(Invoer!$A$5),1,1)+INT((ROWS(B$2:B677)-1)/3),"jjjjmmdd")</f>
        <v>19200813</v>
      </c>
      <c r="C677" s="35" t="str">
        <f>IF(MOD(ROWS(C$2:C677)-1,3)=2,"24.00",INDEX(Data,2,2+MOD(ROWS(C$2:C677)-1,3)))</f>
        <v>08.00</v>
      </c>
      <c r="D677" s="23">
        <f t="shared" ca="1" si="76"/>
        <v>749.6</v>
      </c>
      <c r="E677" s="40">
        <f t="shared" ca="1" si="71"/>
        <v>0</v>
      </c>
      <c r="F677" s="23" t="str">
        <f t="shared" ca="1" si="72"/>
        <v>—</v>
      </c>
      <c r="G677" s="40">
        <f t="shared" ca="1" si="73"/>
        <v>7</v>
      </c>
      <c r="H677" s="23" t="str">
        <f t="shared" ca="1" si="74"/>
        <v>—</v>
      </c>
      <c r="I677" s="40">
        <f t="shared" ca="1" si="75"/>
        <v>7</v>
      </c>
    </row>
    <row r="678" spans="1:9" x14ac:dyDescent="0.25">
      <c r="A678" s="17">
        <f t="shared" si="70"/>
        <v>81</v>
      </c>
      <c r="B678" t="str">
        <f ca="1">TEXT(DATE(YEAR(Invoer!$A$5),1,1)+INT((ROWS(B$2:B678)-1)/3),"jjjjmmdd")</f>
        <v>19200813</v>
      </c>
      <c r="C678" s="35" t="str">
        <f>IF(MOD(ROWS(C$2:C678)-1,3)=2,"24.00",INDEX(Data,2,2+MOD(ROWS(C$2:C678)-1,3)))</f>
        <v>14.00</v>
      </c>
      <c r="D678" s="23">
        <f t="shared" ca="1" si="76"/>
        <v>748</v>
      </c>
      <c r="E678" s="40">
        <f t="shared" ca="1" si="71"/>
        <v>0</v>
      </c>
      <c r="F678" s="23" t="str">
        <f t="shared" ca="1" si="72"/>
        <v>—</v>
      </c>
      <c r="G678" s="40">
        <f t="shared" ca="1" si="73"/>
        <v>7</v>
      </c>
      <c r="H678" s="23" t="str">
        <f t="shared" ca="1" si="74"/>
        <v>—</v>
      </c>
      <c r="I678" s="40">
        <f t="shared" ca="1" si="75"/>
        <v>7</v>
      </c>
    </row>
    <row r="679" spans="1:9" x14ac:dyDescent="0.25">
      <c r="A679" s="17">
        <f t="shared" si="70"/>
        <v>81</v>
      </c>
      <c r="B679" t="str">
        <f ca="1">TEXT(DATE(YEAR(Invoer!$A$5),1,1)+INT((ROWS(B$2:B679)-1)/3),"jjjjmmdd")</f>
        <v>19200813</v>
      </c>
      <c r="C679" s="35" t="str">
        <f>IF(MOD(ROWS(C$2:C679)-1,3)=2,"24.00",INDEX(Data,2,2+MOD(ROWS(C$2:C679)-1,3)))</f>
        <v>24.00</v>
      </c>
      <c r="D679" s="23" t="str">
        <f t="shared" ca="1" si="76"/>
        <v>—</v>
      </c>
      <c r="E679" s="40">
        <f t="shared" ca="1" si="71"/>
        <v>7</v>
      </c>
      <c r="F679" s="23">
        <f t="shared" ca="1" si="72"/>
        <v>27</v>
      </c>
      <c r="G679" s="40">
        <f t="shared" ca="1" si="73"/>
        <v>0</v>
      </c>
      <c r="H679" s="23">
        <f t="shared" ca="1" si="74"/>
        <v>30</v>
      </c>
      <c r="I679" s="40">
        <f t="shared" ca="1" si="75"/>
        <v>0</v>
      </c>
    </row>
    <row r="680" spans="1:9" x14ac:dyDescent="0.25">
      <c r="A680" s="17">
        <f t="shared" si="70"/>
        <v>81</v>
      </c>
      <c r="B680" t="str">
        <f ca="1">TEXT(DATE(YEAR(Invoer!$A$5),1,1)+INT((ROWS(B$2:B680)-1)/3),"jjjjmmdd")</f>
        <v>19200814</v>
      </c>
      <c r="C680" s="35" t="str">
        <f>IF(MOD(ROWS(C$2:C680)-1,3)=2,"24.00",INDEX(Data,2,2+MOD(ROWS(C$2:C680)-1,3)))</f>
        <v>08.00</v>
      </c>
      <c r="D680" s="23">
        <f t="shared" ca="1" si="76"/>
        <v>748.5</v>
      </c>
      <c r="E680" s="40">
        <f t="shared" ca="1" si="71"/>
        <v>0</v>
      </c>
      <c r="F680" s="23" t="str">
        <f t="shared" ca="1" si="72"/>
        <v>—</v>
      </c>
      <c r="G680" s="40">
        <f t="shared" ca="1" si="73"/>
        <v>7</v>
      </c>
      <c r="H680" s="23" t="str">
        <f t="shared" ca="1" si="74"/>
        <v>—</v>
      </c>
      <c r="I680" s="40">
        <f t="shared" ca="1" si="75"/>
        <v>7</v>
      </c>
    </row>
    <row r="681" spans="1:9" x14ac:dyDescent="0.25">
      <c r="A681" s="17">
        <f t="shared" si="70"/>
        <v>81</v>
      </c>
      <c r="B681" t="str">
        <f ca="1">TEXT(DATE(YEAR(Invoer!$A$5),1,1)+INT((ROWS(B$2:B681)-1)/3),"jjjjmmdd")</f>
        <v>19200814</v>
      </c>
      <c r="C681" s="35" t="str">
        <f>IF(MOD(ROWS(C$2:C681)-1,3)=2,"24.00",INDEX(Data,2,2+MOD(ROWS(C$2:C681)-1,3)))</f>
        <v>14.00</v>
      </c>
      <c r="D681" s="23">
        <f t="shared" ca="1" si="76"/>
        <v>748</v>
      </c>
      <c r="E681" s="40">
        <f t="shared" ca="1" si="71"/>
        <v>0</v>
      </c>
      <c r="F681" s="23" t="str">
        <f t="shared" ca="1" si="72"/>
        <v>—</v>
      </c>
      <c r="G681" s="40">
        <f t="shared" ca="1" si="73"/>
        <v>7</v>
      </c>
      <c r="H681" s="23" t="str">
        <f t="shared" ca="1" si="74"/>
        <v>—</v>
      </c>
      <c r="I681" s="40">
        <f t="shared" ca="1" si="75"/>
        <v>7</v>
      </c>
    </row>
    <row r="682" spans="1:9" x14ac:dyDescent="0.25">
      <c r="A682" s="17">
        <f t="shared" si="70"/>
        <v>81</v>
      </c>
      <c r="B682" t="str">
        <f ca="1">TEXT(DATE(YEAR(Invoer!$A$5),1,1)+INT((ROWS(B$2:B682)-1)/3),"jjjjmmdd")</f>
        <v>19200814</v>
      </c>
      <c r="C682" s="35" t="str">
        <f>IF(MOD(ROWS(C$2:C682)-1,3)=2,"24.00",INDEX(Data,2,2+MOD(ROWS(C$2:C682)-1,3)))</f>
        <v>24.00</v>
      </c>
      <c r="D682" s="23" t="str">
        <f t="shared" ca="1" si="76"/>
        <v>—</v>
      </c>
      <c r="E682" s="40">
        <f t="shared" ca="1" si="71"/>
        <v>7</v>
      </c>
      <c r="F682" s="23">
        <f t="shared" ca="1" si="72"/>
        <v>27</v>
      </c>
      <c r="G682" s="40">
        <f t="shared" ca="1" si="73"/>
        <v>0</v>
      </c>
      <c r="H682" s="23">
        <f t="shared" ca="1" si="74"/>
        <v>30</v>
      </c>
      <c r="I682" s="40">
        <f t="shared" ca="1" si="75"/>
        <v>0</v>
      </c>
    </row>
    <row r="683" spans="1:9" x14ac:dyDescent="0.25">
      <c r="A683" s="17">
        <f t="shared" si="70"/>
        <v>81</v>
      </c>
      <c r="B683" t="str">
        <f ca="1">TEXT(DATE(YEAR(Invoer!$A$5),1,1)+INT((ROWS(B$2:B683)-1)/3),"jjjjmmdd")</f>
        <v>19200815</v>
      </c>
      <c r="C683" s="35" t="str">
        <f>IF(MOD(ROWS(C$2:C683)-1,3)=2,"24.00",INDEX(Data,2,2+MOD(ROWS(C$2:C683)-1,3)))</f>
        <v>08.00</v>
      </c>
      <c r="D683" s="23">
        <f t="shared" ca="1" si="76"/>
        <v>748</v>
      </c>
      <c r="E683" s="40">
        <f t="shared" ca="1" si="71"/>
        <v>0</v>
      </c>
      <c r="F683" s="23" t="str">
        <f t="shared" ca="1" si="72"/>
        <v>—</v>
      </c>
      <c r="G683" s="40">
        <f t="shared" ca="1" si="73"/>
        <v>7</v>
      </c>
      <c r="H683" s="23" t="str">
        <f t="shared" ca="1" si="74"/>
        <v>—</v>
      </c>
      <c r="I683" s="40">
        <f t="shared" ca="1" si="75"/>
        <v>7</v>
      </c>
    </row>
    <row r="684" spans="1:9" x14ac:dyDescent="0.25">
      <c r="A684" s="17">
        <f t="shared" si="70"/>
        <v>81</v>
      </c>
      <c r="B684" t="str">
        <f ca="1">TEXT(DATE(YEAR(Invoer!$A$5),1,1)+INT((ROWS(B$2:B684)-1)/3),"jjjjmmdd")</f>
        <v>19200815</v>
      </c>
      <c r="C684" s="35" t="str">
        <f>IF(MOD(ROWS(C$2:C684)-1,3)=2,"24.00",INDEX(Data,2,2+MOD(ROWS(C$2:C684)-1,3)))</f>
        <v>14.00</v>
      </c>
      <c r="D684" s="23">
        <f t="shared" ca="1" si="76"/>
        <v>747.5</v>
      </c>
      <c r="E684" s="40">
        <f t="shared" ca="1" si="71"/>
        <v>0</v>
      </c>
      <c r="F684" s="23" t="str">
        <f t="shared" ca="1" si="72"/>
        <v>—</v>
      </c>
      <c r="G684" s="40">
        <f t="shared" ca="1" si="73"/>
        <v>7</v>
      </c>
      <c r="H684" s="23" t="str">
        <f t="shared" ca="1" si="74"/>
        <v>—</v>
      </c>
      <c r="I684" s="40">
        <f t="shared" ca="1" si="75"/>
        <v>7</v>
      </c>
    </row>
    <row r="685" spans="1:9" x14ac:dyDescent="0.25">
      <c r="A685" s="17">
        <f t="shared" si="70"/>
        <v>81</v>
      </c>
      <c r="B685" t="str">
        <f ca="1">TEXT(DATE(YEAR(Invoer!$A$5),1,1)+INT((ROWS(B$2:B685)-1)/3),"jjjjmmdd")</f>
        <v>19200815</v>
      </c>
      <c r="C685" s="35" t="str">
        <f>IF(MOD(ROWS(C$2:C685)-1,3)=2,"24.00",INDEX(Data,2,2+MOD(ROWS(C$2:C685)-1,3)))</f>
        <v>24.00</v>
      </c>
      <c r="D685" s="23" t="str">
        <f t="shared" ca="1" si="76"/>
        <v>—</v>
      </c>
      <c r="E685" s="40">
        <f t="shared" ca="1" si="71"/>
        <v>7</v>
      </c>
      <c r="F685" s="23">
        <f t="shared" ca="1" si="72"/>
        <v>27</v>
      </c>
      <c r="G685" s="40">
        <f t="shared" ca="1" si="73"/>
        <v>0</v>
      </c>
      <c r="H685" s="23">
        <f t="shared" ca="1" si="74"/>
        <v>30</v>
      </c>
      <c r="I685" s="40">
        <f t="shared" ca="1" si="75"/>
        <v>0</v>
      </c>
    </row>
    <row r="686" spans="1:9" x14ac:dyDescent="0.25">
      <c r="A686" s="17">
        <f t="shared" si="70"/>
        <v>81</v>
      </c>
      <c r="B686" t="str">
        <f ca="1">TEXT(DATE(YEAR(Invoer!$A$5),1,1)+INT((ROWS(B$2:B686)-1)/3),"jjjjmmdd")</f>
        <v>19200816</v>
      </c>
      <c r="C686" s="35" t="str">
        <f>IF(MOD(ROWS(C$2:C686)-1,3)=2,"24.00",INDEX(Data,2,2+MOD(ROWS(C$2:C686)-1,3)))</f>
        <v>08.00</v>
      </c>
      <c r="D686" s="23">
        <f t="shared" ca="1" si="76"/>
        <v>747.5</v>
      </c>
      <c r="E686" s="40">
        <f t="shared" ca="1" si="71"/>
        <v>0</v>
      </c>
      <c r="F686" s="23" t="str">
        <f t="shared" ca="1" si="72"/>
        <v>—</v>
      </c>
      <c r="G686" s="40">
        <f t="shared" ca="1" si="73"/>
        <v>7</v>
      </c>
      <c r="H686" s="23" t="str">
        <f t="shared" ca="1" si="74"/>
        <v>—</v>
      </c>
      <c r="I686" s="40">
        <f t="shared" ca="1" si="75"/>
        <v>7</v>
      </c>
    </row>
    <row r="687" spans="1:9" x14ac:dyDescent="0.25">
      <c r="A687" s="17">
        <f t="shared" si="70"/>
        <v>81</v>
      </c>
      <c r="B687" t="str">
        <f ca="1">TEXT(DATE(YEAR(Invoer!$A$5),1,1)+INT((ROWS(B$2:B687)-1)/3),"jjjjmmdd")</f>
        <v>19200816</v>
      </c>
      <c r="C687" s="35" t="str">
        <f>IF(MOD(ROWS(C$2:C687)-1,3)=2,"24.00",INDEX(Data,2,2+MOD(ROWS(C$2:C687)-1,3)))</f>
        <v>14.00</v>
      </c>
      <c r="D687" s="23">
        <f t="shared" ca="1" si="76"/>
        <v>747</v>
      </c>
      <c r="E687" s="40">
        <f t="shared" ca="1" si="71"/>
        <v>0</v>
      </c>
      <c r="F687" s="23" t="str">
        <f t="shared" ca="1" si="72"/>
        <v>—</v>
      </c>
      <c r="G687" s="40">
        <f t="shared" ca="1" si="73"/>
        <v>7</v>
      </c>
      <c r="H687" s="23" t="str">
        <f t="shared" ca="1" si="74"/>
        <v>—</v>
      </c>
      <c r="I687" s="40">
        <f t="shared" ca="1" si="75"/>
        <v>7</v>
      </c>
    </row>
    <row r="688" spans="1:9" x14ac:dyDescent="0.25">
      <c r="A688" s="17">
        <f t="shared" si="70"/>
        <v>81</v>
      </c>
      <c r="B688" t="str">
        <f ca="1">TEXT(DATE(YEAR(Invoer!$A$5),1,1)+INT((ROWS(B$2:B688)-1)/3),"jjjjmmdd")</f>
        <v>19200816</v>
      </c>
      <c r="C688" s="35" t="str">
        <f>IF(MOD(ROWS(C$2:C688)-1,3)=2,"24.00",INDEX(Data,2,2+MOD(ROWS(C$2:C688)-1,3)))</f>
        <v>24.00</v>
      </c>
      <c r="D688" s="23" t="str">
        <f t="shared" ca="1" si="76"/>
        <v>—</v>
      </c>
      <c r="E688" s="40">
        <f t="shared" ca="1" si="71"/>
        <v>7</v>
      </c>
      <c r="F688" s="23">
        <f t="shared" ca="1" si="72"/>
        <v>27</v>
      </c>
      <c r="G688" s="40">
        <f t="shared" ca="1" si="73"/>
        <v>0</v>
      </c>
      <c r="H688" s="23">
        <f t="shared" ca="1" si="74"/>
        <v>29</v>
      </c>
      <c r="I688" s="40">
        <f t="shared" ca="1" si="75"/>
        <v>0</v>
      </c>
    </row>
    <row r="689" spans="1:9" x14ac:dyDescent="0.25">
      <c r="A689" s="17">
        <f t="shared" si="70"/>
        <v>81</v>
      </c>
      <c r="B689" t="str">
        <f ca="1">TEXT(DATE(YEAR(Invoer!$A$5),1,1)+INT((ROWS(B$2:B689)-1)/3),"jjjjmmdd")</f>
        <v>19200817</v>
      </c>
      <c r="C689" s="35" t="str">
        <f>IF(MOD(ROWS(C$2:C689)-1,3)=2,"24.00",INDEX(Data,2,2+MOD(ROWS(C$2:C689)-1,3)))</f>
        <v>08.00</v>
      </c>
      <c r="D689" s="23">
        <f t="shared" ca="1" si="76"/>
        <v>749.6</v>
      </c>
      <c r="E689" s="40">
        <f t="shared" ca="1" si="71"/>
        <v>0</v>
      </c>
      <c r="F689" s="23" t="str">
        <f t="shared" ca="1" si="72"/>
        <v>—</v>
      </c>
      <c r="G689" s="40">
        <f t="shared" ca="1" si="73"/>
        <v>7</v>
      </c>
      <c r="H689" s="23" t="str">
        <f t="shared" ca="1" si="74"/>
        <v>—</v>
      </c>
      <c r="I689" s="40">
        <f t="shared" ca="1" si="75"/>
        <v>7</v>
      </c>
    </row>
    <row r="690" spans="1:9" x14ac:dyDescent="0.25">
      <c r="A690" s="17">
        <f t="shared" si="70"/>
        <v>81</v>
      </c>
      <c r="B690" t="str">
        <f ca="1">TEXT(DATE(YEAR(Invoer!$A$5),1,1)+INT((ROWS(B$2:B690)-1)/3),"jjjjmmdd")</f>
        <v>19200817</v>
      </c>
      <c r="C690" s="35" t="str">
        <f>IF(MOD(ROWS(C$2:C690)-1,3)=2,"24.00",INDEX(Data,2,2+MOD(ROWS(C$2:C690)-1,3)))</f>
        <v>14.00</v>
      </c>
      <c r="D690" s="23">
        <f t="shared" ca="1" si="76"/>
        <v>748</v>
      </c>
      <c r="E690" s="40">
        <f t="shared" ca="1" si="71"/>
        <v>0</v>
      </c>
      <c r="F690" s="23" t="str">
        <f t="shared" ca="1" si="72"/>
        <v>—</v>
      </c>
      <c r="G690" s="40">
        <f t="shared" ca="1" si="73"/>
        <v>7</v>
      </c>
      <c r="H690" s="23" t="str">
        <f t="shared" ca="1" si="74"/>
        <v>—</v>
      </c>
      <c r="I690" s="40">
        <f t="shared" ca="1" si="75"/>
        <v>7</v>
      </c>
    </row>
    <row r="691" spans="1:9" x14ac:dyDescent="0.25">
      <c r="A691" s="17">
        <f t="shared" si="70"/>
        <v>81</v>
      </c>
      <c r="B691" t="str">
        <f ca="1">TEXT(DATE(YEAR(Invoer!$A$5),1,1)+INT((ROWS(B$2:B691)-1)/3),"jjjjmmdd")</f>
        <v>19200817</v>
      </c>
      <c r="C691" s="35" t="str">
        <f>IF(MOD(ROWS(C$2:C691)-1,3)=2,"24.00",INDEX(Data,2,2+MOD(ROWS(C$2:C691)-1,3)))</f>
        <v>24.00</v>
      </c>
      <c r="D691" s="23" t="str">
        <f t="shared" ca="1" si="76"/>
        <v>—</v>
      </c>
      <c r="E691" s="40">
        <f t="shared" ca="1" si="71"/>
        <v>7</v>
      </c>
      <c r="F691" s="23">
        <f t="shared" ca="1" si="72"/>
        <v>28</v>
      </c>
      <c r="G691" s="40">
        <f t="shared" ca="1" si="73"/>
        <v>0</v>
      </c>
      <c r="H691" s="23">
        <f t="shared" ca="1" si="74"/>
        <v>30.3</v>
      </c>
      <c r="I691" s="40">
        <f t="shared" ca="1" si="75"/>
        <v>0</v>
      </c>
    </row>
    <row r="692" spans="1:9" x14ac:dyDescent="0.25">
      <c r="A692" s="17">
        <f t="shared" si="70"/>
        <v>81</v>
      </c>
      <c r="B692" t="str">
        <f ca="1">TEXT(DATE(YEAR(Invoer!$A$5),1,1)+INT((ROWS(B$2:B692)-1)/3),"jjjjmmdd")</f>
        <v>19200818</v>
      </c>
      <c r="C692" s="35" t="str">
        <f>IF(MOD(ROWS(C$2:C692)-1,3)=2,"24.00",INDEX(Data,2,2+MOD(ROWS(C$2:C692)-1,3)))</f>
        <v>08.00</v>
      </c>
      <c r="D692" s="23">
        <f t="shared" ca="1" si="76"/>
        <v>749.2</v>
      </c>
      <c r="E692" s="40">
        <f t="shared" ca="1" si="71"/>
        <v>0</v>
      </c>
      <c r="F692" s="23" t="str">
        <f t="shared" ca="1" si="72"/>
        <v>—</v>
      </c>
      <c r="G692" s="40">
        <f t="shared" ca="1" si="73"/>
        <v>7</v>
      </c>
      <c r="H692" s="23" t="str">
        <f t="shared" ca="1" si="74"/>
        <v>—</v>
      </c>
      <c r="I692" s="40">
        <f t="shared" ca="1" si="75"/>
        <v>7</v>
      </c>
    </row>
    <row r="693" spans="1:9" x14ac:dyDescent="0.25">
      <c r="A693" s="17">
        <f t="shared" si="70"/>
        <v>81</v>
      </c>
      <c r="B693" t="str">
        <f ca="1">TEXT(DATE(YEAR(Invoer!$A$5),1,1)+INT((ROWS(B$2:B693)-1)/3),"jjjjmmdd")</f>
        <v>19200818</v>
      </c>
      <c r="C693" s="35" t="str">
        <f>IF(MOD(ROWS(C$2:C693)-1,3)=2,"24.00",INDEX(Data,2,2+MOD(ROWS(C$2:C693)-1,3)))</f>
        <v>14.00</v>
      </c>
      <c r="D693" s="23">
        <f t="shared" ca="1" si="76"/>
        <v>748</v>
      </c>
      <c r="E693" s="40">
        <f t="shared" ca="1" si="71"/>
        <v>0</v>
      </c>
      <c r="F693" s="23" t="str">
        <f t="shared" ca="1" si="72"/>
        <v>—</v>
      </c>
      <c r="G693" s="40">
        <f t="shared" ca="1" si="73"/>
        <v>7</v>
      </c>
      <c r="H693" s="23" t="str">
        <f t="shared" ca="1" si="74"/>
        <v>—</v>
      </c>
      <c r="I693" s="40">
        <f t="shared" ca="1" si="75"/>
        <v>7</v>
      </c>
    </row>
    <row r="694" spans="1:9" x14ac:dyDescent="0.25">
      <c r="A694" s="17">
        <f t="shared" si="70"/>
        <v>81</v>
      </c>
      <c r="B694" t="str">
        <f ca="1">TEXT(DATE(YEAR(Invoer!$A$5),1,1)+INT((ROWS(B$2:B694)-1)/3),"jjjjmmdd")</f>
        <v>19200818</v>
      </c>
      <c r="C694" s="35" t="str">
        <f>IF(MOD(ROWS(C$2:C694)-1,3)=2,"24.00",INDEX(Data,2,2+MOD(ROWS(C$2:C694)-1,3)))</f>
        <v>24.00</v>
      </c>
      <c r="D694" s="23" t="str">
        <f t="shared" ca="1" si="76"/>
        <v>—</v>
      </c>
      <c r="E694" s="40">
        <f t="shared" ca="1" si="71"/>
        <v>7</v>
      </c>
      <c r="F694" s="23">
        <f t="shared" ca="1" si="72"/>
        <v>29</v>
      </c>
      <c r="G694" s="40">
        <f t="shared" ca="1" si="73"/>
        <v>0</v>
      </c>
      <c r="H694" s="23">
        <f t="shared" ca="1" si="74"/>
        <v>30.3</v>
      </c>
      <c r="I694" s="40">
        <f t="shared" ca="1" si="75"/>
        <v>0</v>
      </c>
    </row>
    <row r="695" spans="1:9" x14ac:dyDescent="0.25">
      <c r="A695" s="17">
        <f t="shared" si="70"/>
        <v>81</v>
      </c>
      <c r="B695" t="str">
        <f ca="1">TEXT(DATE(YEAR(Invoer!$A$5),1,1)+INT((ROWS(B$2:B695)-1)/3),"jjjjmmdd")</f>
        <v>19200819</v>
      </c>
      <c r="C695" s="35" t="str">
        <f>IF(MOD(ROWS(C$2:C695)-1,3)=2,"24.00",INDEX(Data,2,2+MOD(ROWS(C$2:C695)-1,3)))</f>
        <v>08.00</v>
      </c>
      <c r="D695" s="23">
        <f t="shared" ca="1" si="76"/>
        <v>750</v>
      </c>
      <c r="E695" s="40">
        <f t="shared" ca="1" si="71"/>
        <v>0</v>
      </c>
      <c r="F695" s="23" t="str">
        <f t="shared" ca="1" si="72"/>
        <v>—</v>
      </c>
      <c r="G695" s="40">
        <f t="shared" ca="1" si="73"/>
        <v>7</v>
      </c>
      <c r="H695" s="23" t="str">
        <f t="shared" ca="1" si="74"/>
        <v>—</v>
      </c>
      <c r="I695" s="40">
        <f t="shared" ca="1" si="75"/>
        <v>7</v>
      </c>
    </row>
    <row r="696" spans="1:9" x14ac:dyDescent="0.25">
      <c r="A696" s="17">
        <f t="shared" si="70"/>
        <v>81</v>
      </c>
      <c r="B696" t="str">
        <f ca="1">TEXT(DATE(YEAR(Invoer!$A$5),1,1)+INT((ROWS(B$2:B696)-1)/3),"jjjjmmdd")</f>
        <v>19200819</v>
      </c>
      <c r="C696" s="35" t="str">
        <f>IF(MOD(ROWS(C$2:C696)-1,3)=2,"24.00",INDEX(Data,2,2+MOD(ROWS(C$2:C696)-1,3)))</f>
        <v>14.00</v>
      </c>
      <c r="D696" s="23">
        <f t="shared" ca="1" si="76"/>
        <v>749.6</v>
      </c>
      <c r="E696" s="40">
        <f t="shared" ca="1" si="71"/>
        <v>0</v>
      </c>
      <c r="F696" s="23" t="str">
        <f t="shared" ca="1" si="72"/>
        <v>—</v>
      </c>
      <c r="G696" s="40">
        <f t="shared" ca="1" si="73"/>
        <v>7</v>
      </c>
      <c r="H696" s="23" t="str">
        <f t="shared" ca="1" si="74"/>
        <v>—</v>
      </c>
      <c r="I696" s="40">
        <f t="shared" ca="1" si="75"/>
        <v>7</v>
      </c>
    </row>
    <row r="697" spans="1:9" x14ac:dyDescent="0.25">
      <c r="A697" s="17">
        <f t="shared" si="70"/>
        <v>81</v>
      </c>
      <c r="B697" t="str">
        <f ca="1">TEXT(DATE(YEAR(Invoer!$A$5),1,1)+INT((ROWS(B$2:B697)-1)/3),"jjjjmmdd")</f>
        <v>19200819</v>
      </c>
      <c r="C697" s="35" t="str">
        <f>IF(MOD(ROWS(C$2:C697)-1,3)=2,"24.00",INDEX(Data,2,2+MOD(ROWS(C$2:C697)-1,3)))</f>
        <v>24.00</v>
      </c>
      <c r="D697" s="23" t="str">
        <f t="shared" ca="1" si="76"/>
        <v>—</v>
      </c>
      <c r="E697" s="40">
        <f t="shared" ca="1" si="71"/>
        <v>7</v>
      </c>
      <c r="F697" s="23">
        <f t="shared" ca="1" si="72"/>
        <v>29</v>
      </c>
      <c r="G697" s="40">
        <f t="shared" ca="1" si="73"/>
        <v>0</v>
      </c>
      <c r="H697" s="23">
        <f t="shared" ca="1" si="74"/>
        <v>31</v>
      </c>
      <c r="I697" s="40">
        <f t="shared" ca="1" si="75"/>
        <v>0</v>
      </c>
    </row>
    <row r="698" spans="1:9" x14ac:dyDescent="0.25">
      <c r="A698" s="17">
        <f t="shared" si="70"/>
        <v>81</v>
      </c>
      <c r="B698" t="str">
        <f ca="1">TEXT(DATE(YEAR(Invoer!$A$5),1,1)+INT((ROWS(B$2:B698)-1)/3),"jjjjmmdd")</f>
        <v>19200820</v>
      </c>
      <c r="C698" s="35" t="str">
        <f>IF(MOD(ROWS(C$2:C698)-1,3)=2,"24.00",INDEX(Data,2,2+MOD(ROWS(C$2:C698)-1,3)))</f>
        <v>08.00</v>
      </c>
      <c r="D698" s="23">
        <f t="shared" ca="1" si="76"/>
        <v>749.6</v>
      </c>
      <c r="E698" s="40">
        <f t="shared" ca="1" si="71"/>
        <v>0</v>
      </c>
      <c r="F698" s="23" t="str">
        <f t="shared" ca="1" si="72"/>
        <v>—</v>
      </c>
      <c r="G698" s="40">
        <f t="shared" ca="1" si="73"/>
        <v>7</v>
      </c>
      <c r="H698" s="23" t="str">
        <f t="shared" ca="1" si="74"/>
        <v>—</v>
      </c>
      <c r="I698" s="40">
        <f t="shared" ca="1" si="75"/>
        <v>7</v>
      </c>
    </row>
    <row r="699" spans="1:9" x14ac:dyDescent="0.25">
      <c r="A699" s="17">
        <f t="shared" si="70"/>
        <v>81</v>
      </c>
      <c r="B699" t="str">
        <f ca="1">TEXT(DATE(YEAR(Invoer!$A$5),1,1)+INT((ROWS(B$2:B699)-1)/3),"jjjjmmdd")</f>
        <v>19200820</v>
      </c>
      <c r="C699" s="35" t="str">
        <f>IF(MOD(ROWS(C$2:C699)-1,3)=2,"24.00",INDEX(Data,2,2+MOD(ROWS(C$2:C699)-1,3)))</f>
        <v>14.00</v>
      </c>
      <c r="D699" s="23">
        <f t="shared" ca="1" si="76"/>
        <v>748</v>
      </c>
      <c r="E699" s="40">
        <f t="shared" ca="1" si="71"/>
        <v>0</v>
      </c>
      <c r="F699" s="23" t="str">
        <f t="shared" ca="1" si="72"/>
        <v>—</v>
      </c>
      <c r="G699" s="40">
        <f t="shared" ca="1" si="73"/>
        <v>7</v>
      </c>
      <c r="H699" s="23" t="str">
        <f t="shared" ca="1" si="74"/>
        <v>—</v>
      </c>
      <c r="I699" s="40">
        <f t="shared" ca="1" si="75"/>
        <v>7</v>
      </c>
    </row>
    <row r="700" spans="1:9" x14ac:dyDescent="0.25">
      <c r="A700" s="17">
        <f t="shared" si="70"/>
        <v>81</v>
      </c>
      <c r="B700" t="str">
        <f ca="1">TEXT(DATE(YEAR(Invoer!$A$5),1,1)+INT((ROWS(B$2:B700)-1)/3),"jjjjmmdd")</f>
        <v>19200820</v>
      </c>
      <c r="C700" s="35" t="str">
        <f>IF(MOD(ROWS(C$2:C700)-1,3)=2,"24.00",INDEX(Data,2,2+MOD(ROWS(C$2:C700)-1,3)))</f>
        <v>24.00</v>
      </c>
      <c r="D700" s="23" t="str">
        <f t="shared" ca="1" si="76"/>
        <v>—</v>
      </c>
      <c r="E700" s="40">
        <f t="shared" ca="1" si="71"/>
        <v>7</v>
      </c>
      <c r="F700" s="23">
        <f t="shared" ca="1" si="72"/>
        <v>28</v>
      </c>
      <c r="G700" s="40">
        <f t="shared" ca="1" si="73"/>
        <v>0</v>
      </c>
      <c r="H700" s="23">
        <f t="shared" ca="1" si="74"/>
        <v>29.3</v>
      </c>
      <c r="I700" s="40">
        <f t="shared" ca="1" si="75"/>
        <v>0</v>
      </c>
    </row>
    <row r="701" spans="1:9" x14ac:dyDescent="0.25">
      <c r="A701" s="17">
        <f t="shared" si="70"/>
        <v>81</v>
      </c>
      <c r="B701" t="str">
        <f ca="1">TEXT(DATE(YEAR(Invoer!$A$5),1,1)+INT((ROWS(B$2:B701)-1)/3),"jjjjmmdd")</f>
        <v>19200821</v>
      </c>
      <c r="C701" s="35" t="str">
        <f>IF(MOD(ROWS(C$2:C701)-1,3)=2,"24.00",INDEX(Data,2,2+MOD(ROWS(C$2:C701)-1,3)))</f>
        <v>08.00</v>
      </c>
      <c r="D701" s="23">
        <f t="shared" ca="1" si="76"/>
        <v>747.2</v>
      </c>
      <c r="E701" s="40">
        <f t="shared" ca="1" si="71"/>
        <v>0</v>
      </c>
      <c r="F701" s="23" t="str">
        <f t="shared" ca="1" si="72"/>
        <v>—</v>
      </c>
      <c r="G701" s="40">
        <f t="shared" ca="1" si="73"/>
        <v>7</v>
      </c>
      <c r="H701" s="23" t="str">
        <f t="shared" ca="1" si="74"/>
        <v>—</v>
      </c>
      <c r="I701" s="40">
        <f t="shared" ca="1" si="75"/>
        <v>7</v>
      </c>
    </row>
    <row r="702" spans="1:9" x14ac:dyDescent="0.25">
      <c r="A702" s="17">
        <f t="shared" si="70"/>
        <v>81</v>
      </c>
      <c r="B702" t="str">
        <f ca="1">TEXT(DATE(YEAR(Invoer!$A$5),1,1)+INT((ROWS(B$2:B702)-1)/3),"jjjjmmdd")</f>
        <v>19200821</v>
      </c>
      <c r="C702" s="35" t="str">
        <f>IF(MOD(ROWS(C$2:C702)-1,3)=2,"24.00",INDEX(Data,2,2+MOD(ROWS(C$2:C702)-1,3)))</f>
        <v>14.00</v>
      </c>
      <c r="D702" s="23">
        <f t="shared" ca="1" si="76"/>
        <v>747</v>
      </c>
      <c r="E702" s="40">
        <f t="shared" ca="1" si="71"/>
        <v>0</v>
      </c>
      <c r="F702" s="23" t="str">
        <f t="shared" ca="1" si="72"/>
        <v>—</v>
      </c>
      <c r="G702" s="40">
        <f t="shared" ca="1" si="73"/>
        <v>7</v>
      </c>
      <c r="H702" s="23" t="str">
        <f t="shared" ca="1" si="74"/>
        <v>—</v>
      </c>
      <c r="I702" s="40">
        <f t="shared" ca="1" si="75"/>
        <v>7</v>
      </c>
    </row>
    <row r="703" spans="1:9" x14ac:dyDescent="0.25">
      <c r="A703" s="17">
        <f t="shared" si="70"/>
        <v>81</v>
      </c>
      <c r="B703" t="str">
        <f ca="1">TEXT(DATE(YEAR(Invoer!$A$5),1,1)+INT((ROWS(B$2:B703)-1)/3),"jjjjmmdd")</f>
        <v>19200821</v>
      </c>
      <c r="C703" s="35" t="str">
        <f>IF(MOD(ROWS(C$2:C703)-1,3)=2,"24.00",INDEX(Data,2,2+MOD(ROWS(C$2:C703)-1,3)))</f>
        <v>24.00</v>
      </c>
      <c r="D703" s="23" t="str">
        <f t="shared" ca="1" si="76"/>
        <v>—</v>
      </c>
      <c r="E703" s="40">
        <f t="shared" ca="1" si="71"/>
        <v>7</v>
      </c>
      <c r="F703" s="23">
        <f t="shared" ca="1" si="72"/>
        <v>27</v>
      </c>
      <c r="G703" s="40">
        <f t="shared" ca="1" si="73"/>
        <v>0</v>
      </c>
      <c r="H703" s="23">
        <f t="shared" ca="1" si="74"/>
        <v>29</v>
      </c>
      <c r="I703" s="40">
        <f t="shared" ca="1" si="75"/>
        <v>0</v>
      </c>
    </row>
    <row r="704" spans="1:9" x14ac:dyDescent="0.25">
      <c r="A704" s="17">
        <f t="shared" si="70"/>
        <v>81</v>
      </c>
      <c r="B704" t="str">
        <f ca="1">TEXT(DATE(YEAR(Invoer!$A$5),1,1)+INT((ROWS(B$2:B704)-1)/3),"jjjjmmdd")</f>
        <v>19200822</v>
      </c>
      <c r="C704" s="35" t="str">
        <f>IF(MOD(ROWS(C$2:C704)-1,3)=2,"24.00",INDEX(Data,2,2+MOD(ROWS(C$2:C704)-1,3)))</f>
        <v>08.00</v>
      </c>
      <c r="D704" s="23">
        <f t="shared" ca="1" si="76"/>
        <v>746.8</v>
      </c>
      <c r="E704" s="40">
        <f t="shared" ca="1" si="71"/>
        <v>0</v>
      </c>
      <c r="F704" s="23" t="str">
        <f t="shared" ca="1" si="72"/>
        <v>—</v>
      </c>
      <c r="G704" s="40">
        <f t="shared" ca="1" si="73"/>
        <v>7</v>
      </c>
      <c r="H704" s="23" t="str">
        <f t="shared" ca="1" si="74"/>
        <v>—</v>
      </c>
      <c r="I704" s="40">
        <f t="shared" ca="1" si="75"/>
        <v>7</v>
      </c>
    </row>
    <row r="705" spans="1:9" x14ac:dyDescent="0.25">
      <c r="A705" s="17">
        <f t="shared" si="70"/>
        <v>81</v>
      </c>
      <c r="B705" t="str">
        <f ca="1">TEXT(DATE(YEAR(Invoer!$A$5),1,1)+INT((ROWS(B$2:B705)-1)/3),"jjjjmmdd")</f>
        <v>19200822</v>
      </c>
      <c r="C705" s="35" t="str">
        <f>IF(MOD(ROWS(C$2:C705)-1,3)=2,"24.00",INDEX(Data,2,2+MOD(ROWS(C$2:C705)-1,3)))</f>
        <v>14.00</v>
      </c>
      <c r="D705" s="23">
        <f t="shared" ca="1" si="76"/>
        <v>746.5</v>
      </c>
      <c r="E705" s="40">
        <f t="shared" ca="1" si="71"/>
        <v>0</v>
      </c>
      <c r="F705" s="23" t="str">
        <f t="shared" ca="1" si="72"/>
        <v>—</v>
      </c>
      <c r="G705" s="40">
        <f t="shared" ca="1" si="73"/>
        <v>7</v>
      </c>
      <c r="H705" s="23" t="str">
        <f t="shared" ca="1" si="74"/>
        <v>—</v>
      </c>
      <c r="I705" s="40">
        <f t="shared" ca="1" si="75"/>
        <v>7</v>
      </c>
    </row>
    <row r="706" spans="1:9" x14ac:dyDescent="0.25">
      <c r="A706" s="17">
        <f t="shared" ref="A706:A769" si="77">INDEX(Stations,2,1)</f>
        <v>81</v>
      </c>
      <c r="B706" t="str">
        <f ca="1">TEXT(DATE(YEAR(Invoer!$A$5),1,1)+INT((ROWS(B$2:B706)-1)/3),"jjjjmmdd")</f>
        <v>19200822</v>
      </c>
      <c r="C706" s="35" t="str">
        <f>IF(MOD(ROWS(C$2:C706)-1,3)=2,"24.00",INDEX(Data,2,2+MOD(ROWS(C$2:C706)-1,3)))</f>
        <v>24.00</v>
      </c>
      <c r="D706" s="23" t="str">
        <f t="shared" ca="1" si="76"/>
        <v>—</v>
      </c>
      <c r="E706" s="40">
        <f t="shared" ref="E706:E769" ca="1" si="78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7</v>
      </c>
      <c r="F706" s="23">
        <f t="shared" ref="F706:F769" ca="1" si="79">IF(OR(ISBLANK(VLOOKUP(DATEVALUE(LEFT($B706,4)&amp;"-"&amp;MID($B706,5,2)&amp;"-"&amp;RIGHT($B706,2)),Data,MATCH(LEFT(VLOOKUP(F$1,Parameters,2,FALSE()),4)&amp;"*",OFFSET(Data,1,0,1),0),FALSE())),ISTEXT(VLOOKUP(DATEVALUE(LEFT($B706,4)&amp;"-"&amp;MID($B706,5,2)&amp;"-"&amp;RIGHT($B706,2)),Data,MATCH(LEFT(VLOOKUP(F$1,Parameters,2,FALSE()),4)&amp;"*",OFFSET(Data,1,0,1),0),FALSE())),NOT(EXACT($C706,"24.00"))),"—",VLOOKUP(DATEVALUE(LEFT($B706,4)&amp;"-"&amp;MID($B706,5,2)&amp;"-"&amp;RIGHT($B706,2)),Data,MATCH(LEFT(VLOOKUP(F$1,Parameters,2,FALSE()),4)&amp;"*",OFFSET(Data,1,0,1),0),FALSE()))</f>
        <v>27</v>
      </c>
      <c r="G706" s="40">
        <f t="shared" ref="G706:G769" ca="1" si="80">IF(OR(ISBLANK(VLOOKUP(DATEVALUE(LEFT($B706,4)&amp;"-"&amp;MID($B706,5,2)&amp;"-"&amp;RIGHT($B706,2)),Data,MATCH(LEFT(VLOOKUP(MID(G$1,2,LEN(G$1)-1),Parameters,2,FALSE()),4)&amp;"*",OFFSET(Data,1,0,1),0),FALSE())),ISTEXT(VLOOKUP(DATEVALUE(LEFT($B706,4)&amp;"-"&amp;MID($B706,5,2)&amp;"-"&amp;RIGHT($B706,2)),Data,MATCH(LEFT(VLOOKUP(MID(G$1,2,LEN(G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1,0,1),0),FALSE())))</f>
        <v>0</v>
      </c>
      <c r="H706" s="23">
        <f t="shared" ref="H706:H769" ca="1" si="81">IF(OR(ISBLANK(VLOOKUP(DATEVALUE(LEFT($B706,4)&amp;"-"&amp;MID($B706,5,2)&amp;"-"&amp;RIGHT($B706,2)),Data,MATCH(LEFT(VLOOKUP(H$1,Parameters,2,FALSE()),4)&amp;"*",OFFSET(Data,1,0,1),0),FALSE())),ISTEXT(VLOOKUP(DATEVALUE(LEFT($B706,4)&amp;"-"&amp;MID($B706,5,2)&amp;"-"&amp;RIGHT($B706,2)),Data,MATCH(LEFT(VLOOKUP(H$1,Parameters,2,FALSE()),4)&amp;"*",OFFSET(Data,1,0,1),0),FALSE())),NOT(EXACT($C706,"24.00"))),"—",VLOOKUP(DATEVALUE(LEFT($B706,4)&amp;"-"&amp;MID($B706,5,2)&amp;"-"&amp;RIGHT($B706,2)),Data,MATCH(LEFT(VLOOKUP(H$1,Parameters,2,FALSE()),4)&amp;"*",OFFSET(Data,1,0,1),0),FALSE()))</f>
        <v>28</v>
      </c>
      <c r="I706" s="40">
        <f t="shared" ref="I706:I769" ca="1" si="82">IF(OR(ISBLANK(VLOOKUP(DATEVALUE(LEFT($B706,4)&amp;"-"&amp;MID($B706,5,2)&amp;"-"&amp;RIGHT($B706,2)),Data,MATCH(LEFT(VLOOKUP(MID(I$1,2,LEN(I$1)-1),Parameters,2,FALSE()),4)&amp;"*",OFFSET(Data,1,0,1),0),FALSE())),ISTEXT(VLOOKUP(DATEVALUE(LEFT($B706,4)&amp;"-"&amp;MID($B706,5,2)&amp;"-"&amp;RIGHT($B706,2)),Data,MATCH(LEFT(VLOOKUP(MID(I$1,2,LEN(I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I$1,2,LEN(I$1)-1),Parameters,2,FALSE()),4)&amp;"*",OFFSET(Catalogus,1,0,1),0),FALSE())))</f>
        <v>0</v>
      </c>
    </row>
    <row r="707" spans="1:9" x14ac:dyDescent="0.25">
      <c r="A707" s="17">
        <f t="shared" si="77"/>
        <v>81</v>
      </c>
      <c r="B707" t="str">
        <f ca="1">TEXT(DATE(YEAR(Invoer!$A$5),1,1)+INT((ROWS(B$2:B707)-1)/3),"jjjjmmdd")</f>
        <v>19200823</v>
      </c>
      <c r="C707" s="35" t="str">
        <f>IF(MOD(ROWS(C$2:C707)-1,3)=2,"24.00",INDEX(Data,2,2+MOD(ROWS(C$2:C707)-1,3)))</f>
        <v>08.00</v>
      </c>
      <c r="D707" s="23">
        <f t="shared" ref="D707:D770" ca="1" si="83">IF(OR(ISBLANK(VLOOKUP(DATEVALUE(LEFT($B707,4)&amp;"-"&amp;MID($B707,5,2)&amp;"-"&amp;RIGHT($B707,2)),Data,MATCH(LEFT(VLOOKUP(D$1,Parameters,2,FALSE()),4)&amp;"*",OFFSET(Data,0,0,1),0)+MATCH($C707,OFFSET(Data,1,0,1),0)-2,FALSE())),ISTEXT(VLOOKUP(DATEVALUE(LEFT($B707,4)&amp;"-"&amp;MID($B707,5,2)&amp;"-"&amp;RIGHT($B707,2)),Data,MATCH(LEFT(VLOOKUP(D$1,Parameters,2,FALSE()),4)&amp;"*",OFFSET(Data,0,0,1),0)+MATCH($C707,OFFSET(Data,1,0,1),0)-2,FALSE())),EXACT(C707,"24.00")),"—",VLOOKUP(DATEVALUE(LEFT($B707,4)&amp;"-"&amp;MID($B707,5,2)&amp;"-"&amp;RIGHT($B707,2)),Data,MATCH(LEFT(VLOOKUP(D$1,Parameters,2,FALSE()),4)&amp;"*",OFFSET(Data,0,0,1),0)+MATCH($C707,OFFSET(Data,1,0,1),0)-2,FALSE()))</f>
        <v>749.2</v>
      </c>
      <c r="E707" s="40">
        <f t="shared" ca="1" si="78"/>
        <v>0</v>
      </c>
      <c r="F707" s="23" t="str">
        <f t="shared" ca="1" si="79"/>
        <v>—</v>
      </c>
      <c r="G707" s="40">
        <f t="shared" ca="1" si="80"/>
        <v>7</v>
      </c>
      <c r="H707" s="23" t="str">
        <f t="shared" ca="1" si="81"/>
        <v>—</v>
      </c>
      <c r="I707" s="40">
        <f t="shared" ca="1" si="82"/>
        <v>7</v>
      </c>
    </row>
    <row r="708" spans="1:9" x14ac:dyDescent="0.25">
      <c r="A708" s="17">
        <f t="shared" si="77"/>
        <v>81</v>
      </c>
      <c r="B708" t="str">
        <f ca="1">TEXT(DATE(YEAR(Invoer!$A$5),1,1)+INT((ROWS(B$2:B708)-1)/3),"jjjjmmdd")</f>
        <v>19200823</v>
      </c>
      <c r="C708" s="35" t="str">
        <f>IF(MOD(ROWS(C$2:C708)-1,3)=2,"24.00",INDEX(Data,2,2+MOD(ROWS(C$2:C708)-1,3)))</f>
        <v>14.00</v>
      </c>
      <c r="D708" s="23">
        <f t="shared" ca="1" si="83"/>
        <v>748.9</v>
      </c>
      <c r="E708" s="40">
        <f t="shared" ca="1" si="78"/>
        <v>0</v>
      </c>
      <c r="F708" s="23" t="str">
        <f t="shared" ca="1" si="79"/>
        <v>—</v>
      </c>
      <c r="G708" s="40">
        <f t="shared" ca="1" si="80"/>
        <v>7</v>
      </c>
      <c r="H708" s="23" t="str">
        <f t="shared" ca="1" si="81"/>
        <v>—</v>
      </c>
      <c r="I708" s="40">
        <f t="shared" ca="1" si="82"/>
        <v>7</v>
      </c>
    </row>
    <row r="709" spans="1:9" x14ac:dyDescent="0.25">
      <c r="A709" s="17">
        <f t="shared" si="77"/>
        <v>81</v>
      </c>
      <c r="B709" t="str">
        <f ca="1">TEXT(DATE(YEAR(Invoer!$A$5),1,1)+INT((ROWS(B$2:B709)-1)/3),"jjjjmmdd")</f>
        <v>19200823</v>
      </c>
      <c r="C709" s="35" t="str">
        <f>IF(MOD(ROWS(C$2:C709)-1,3)=2,"24.00",INDEX(Data,2,2+MOD(ROWS(C$2:C709)-1,3)))</f>
        <v>24.00</v>
      </c>
      <c r="D709" s="23" t="str">
        <f t="shared" ca="1" si="83"/>
        <v>—</v>
      </c>
      <c r="E709" s="40">
        <f t="shared" ca="1" si="78"/>
        <v>7</v>
      </c>
      <c r="F709" s="23">
        <f t="shared" ca="1" si="79"/>
        <v>28</v>
      </c>
      <c r="G709" s="40">
        <f t="shared" ca="1" si="80"/>
        <v>0</v>
      </c>
      <c r="H709" s="23">
        <f t="shared" ca="1" si="81"/>
        <v>30</v>
      </c>
      <c r="I709" s="40">
        <f t="shared" ca="1" si="82"/>
        <v>0</v>
      </c>
    </row>
    <row r="710" spans="1:9" x14ac:dyDescent="0.25">
      <c r="A710" s="17">
        <f t="shared" si="77"/>
        <v>81</v>
      </c>
      <c r="B710" t="str">
        <f ca="1">TEXT(DATE(YEAR(Invoer!$A$5),1,1)+INT((ROWS(B$2:B710)-1)/3),"jjjjmmdd")</f>
        <v>19200824</v>
      </c>
      <c r="C710" s="35" t="str">
        <f>IF(MOD(ROWS(C$2:C710)-1,3)=2,"24.00",INDEX(Data,2,2+MOD(ROWS(C$2:C710)-1,3)))</f>
        <v>08.00</v>
      </c>
      <c r="D710" s="23">
        <f t="shared" ca="1" si="83"/>
        <v>750</v>
      </c>
      <c r="E710" s="40">
        <f t="shared" ca="1" si="78"/>
        <v>0</v>
      </c>
      <c r="F710" s="23" t="str">
        <f t="shared" ca="1" si="79"/>
        <v>—</v>
      </c>
      <c r="G710" s="40">
        <f t="shared" ca="1" si="80"/>
        <v>7</v>
      </c>
      <c r="H710" s="23" t="str">
        <f t="shared" ca="1" si="81"/>
        <v>—</v>
      </c>
      <c r="I710" s="40">
        <f t="shared" ca="1" si="82"/>
        <v>7</v>
      </c>
    </row>
    <row r="711" spans="1:9" x14ac:dyDescent="0.25">
      <c r="A711" s="17">
        <f t="shared" si="77"/>
        <v>81</v>
      </c>
      <c r="B711" t="str">
        <f ca="1">TEXT(DATE(YEAR(Invoer!$A$5),1,1)+INT((ROWS(B$2:B711)-1)/3),"jjjjmmdd")</f>
        <v>19200824</v>
      </c>
      <c r="C711" s="35" t="str">
        <f>IF(MOD(ROWS(C$2:C711)-1,3)=2,"24.00",INDEX(Data,2,2+MOD(ROWS(C$2:C711)-1,3)))</f>
        <v>14.00</v>
      </c>
      <c r="D711" s="23">
        <f t="shared" ca="1" si="83"/>
        <v>749.5</v>
      </c>
      <c r="E711" s="40">
        <f t="shared" ca="1" si="78"/>
        <v>0</v>
      </c>
      <c r="F711" s="23" t="str">
        <f t="shared" ca="1" si="79"/>
        <v>—</v>
      </c>
      <c r="G711" s="40">
        <f t="shared" ca="1" si="80"/>
        <v>7</v>
      </c>
      <c r="H711" s="23" t="str">
        <f t="shared" ca="1" si="81"/>
        <v>—</v>
      </c>
      <c r="I711" s="40">
        <f t="shared" ca="1" si="82"/>
        <v>7</v>
      </c>
    </row>
    <row r="712" spans="1:9" x14ac:dyDescent="0.25">
      <c r="A712" s="17">
        <f t="shared" si="77"/>
        <v>81</v>
      </c>
      <c r="B712" t="str">
        <f ca="1">TEXT(DATE(YEAR(Invoer!$A$5),1,1)+INT((ROWS(B$2:B712)-1)/3),"jjjjmmdd")</f>
        <v>19200824</v>
      </c>
      <c r="C712" s="35" t="str">
        <f>IF(MOD(ROWS(C$2:C712)-1,3)=2,"24.00",INDEX(Data,2,2+MOD(ROWS(C$2:C712)-1,3)))</f>
        <v>24.00</v>
      </c>
      <c r="D712" s="23" t="str">
        <f t="shared" ca="1" si="83"/>
        <v>—</v>
      </c>
      <c r="E712" s="40">
        <f t="shared" ca="1" si="78"/>
        <v>7</v>
      </c>
      <c r="F712" s="23">
        <f t="shared" ca="1" si="79"/>
        <v>28</v>
      </c>
      <c r="G712" s="40">
        <f t="shared" ca="1" si="80"/>
        <v>0</v>
      </c>
      <c r="H712" s="23">
        <f t="shared" ca="1" si="81"/>
        <v>30</v>
      </c>
      <c r="I712" s="40">
        <f t="shared" ca="1" si="82"/>
        <v>0</v>
      </c>
    </row>
    <row r="713" spans="1:9" x14ac:dyDescent="0.25">
      <c r="A713" s="17">
        <f t="shared" si="77"/>
        <v>81</v>
      </c>
      <c r="B713" t="str">
        <f ca="1">TEXT(DATE(YEAR(Invoer!$A$5),1,1)+INT((ROWS(B$2:B713)-1)/3),"jjjjmmdd")</f>
        <v>19200825</v>
      </c>
      <c r="C713" s="35" t="str">
        <f>IF(MOD(ROWS(C$2:C713)-1,3)=2,"24.00",INDEX(Data,2,2+MOD(ROWS(C$2:C713)-1,3)))</f>
        <v>08.00</v>
      </c>
      <c r="D713" s="23">
        <f t="shared" ca="1" si="83"/>
        <v>750.6</v>
      </c>
      <c r="E713" s="40">
        <f t="shared" ca="1" si="78"/>
        <v>0</v>
      </c>
      <c r="F713" s="23" t="str">
        <f t="shared" ca="1" si="79"/>
        <v>—</v>
      </c>
      <c r="G713" s="40">
        <f t="shared" ca="1" si="80"/>
        <v>7</v>
      </c>
      <c r="H713" s="23" t="str">
        <f t="shared" ca="1" si="81"/>
        <v>—</v>
      </c>
      <c r="I713" s="40">
        <f t="shared" ca="1" si="82"/>
        <v>7</v>
      </c>
    </row>
    <row r="714" spans="1:9" x14ac:dyDescent="0.25">
      <c r="A714" s="17">
        <f t="shared" si="77"/>
        <v>81</v>
      </c>
      <c r="B714" t="str">
        <f ca="1">TEXT(DATE(YEAR(Invoer!$A$5),1,1)+INT((ROWS(B$2:B714)-1)/3),"jjjjmmdd")</f>
        <v>19200825</v>
      </c>
      <c r="C714" s="35" t="str">
        <f>IF(MOD(ROWS(C$2:C714)-1,3)=2,"24.00",INDEX(Data,2,2+MOD(ROWS(C$2:C714)-1,3)))</f>
        <v>14.00</v>
      </c>
      <c r="D714" s="23">
        <f t="shared" ca="1" si="83"/>
        <v>749</v>
      </c>
      <c r="E714" s="40">
        <f t="shared" ca="1" si="78"/>
        <v>0</v>
      </c>
      <c r="F714" s="23" t="str">
        <f t="shared" ca="1" si="79"/>
        <v>—</v>
      </c>
      <c r="G714" s="40">
        <f t="shared" ca="1" si="80"/>
        <v>7</v>
      </c>
      <c r="H714" s="23" t="str">
        <f t="shared" ca="1" si="81"/>
        <v>—</v>
      </c>
      <c r="I714" s="40">
        <f t="shared" ca="1" si="82"/>
        <v>7</v>
      </c>
    </row>
    <row r="715" spans="1:9" x14ac:dyDescent="0.25">
      <c r="A715" s="17">
        <f t="shared" si="77"/>
        <v>81</v>
      </c>
      <c r="B715" t="str">
        <f ca="1">TEXT(DATE(YEAR(Invoer!$A$5),1,1)+INT((ROWS(B$2:B715)-1)/3),"jjjjmmdd")</f>
        <v>19200825</v>
      </c>
      <c r="C715" s="35" t="str">
        <f>IF(MOD(ROWS(C$2:C715)-1,3)=2,"24.00",INDEX(Data,2,2+MOD(ROWS(C$2:C715)-1,3)))</f>
        <v>24.00</v>
      </c>
      <c r="D715" s="23" t="str">
        <f t="shared" ca="1" si="83"/>
        <v>—</v>
      </c>
      <c r="E715" s="40">
        <f t="shared" ca="1" si="78"/>
        <v>7</v>
      </c>
      <c r="F715" s="23">
        <f t="shared" ca="1" si="79"/>
        <v>28.5</v>
      </c>
      <c r="G715" s="40">
        <f t="shared" ca="1" si="80"/>
        <v>0</v>
      </c>
      <c r="H715" s="23">
        <f t="shared" ca="1" si="81"/>
        <v>30.3</v>
      </c>
      <c r="I715" s="40">
        <f t="shared" ca="1" si="82"/>
        <v>0</v>
      </c>
    </row>
    <row r="716" spans="1:9" x14ac:dyDescent="0.25">
      <c r="A716" s="17">
        <f t="shared" si="77"/>
        <v>81</v>
      </c>
      <c r="B716" t="str">
        <f ca="1">TEXT(DATE(YEAR(Invoer!$A$5),1,1)+INT((ROWS(B$2:B716)-1)/3),"jjjjmmdd")</f>
        <v>19200826</v>
      </c>
      <c r="C716" s="35" t="str">
        <f>IF(MOD(ROWS(C$2:C716)-1,3)=2,"24.00",INDEX(Data,2,2+MOD(ROWS(C$2:C716)-1,3)))</f>
        <v>08.00</v>
      </c>
      <c r="D716" s="23">
        <f t="shared" ca="1" si="83"/>
        <v>749</v>
      </c>
      <c r="E716" s="40">
        <f t="shared" ca="1" si="78"/>
        <v>0</v>
      </c>
      <c r="F716" s="23" t="str">
        <f t="shared" ca="1" si="79"/>
        <v>—</v>
      </c>
      <c r="G716" s="40">
        <f t="shared" ca="1" si="80"/>
        <v>7</v>
      </c>
      <c r="H716" s="23" t="str">
        <f t="shared" ca="1" si="81"/>
        <v>—</v>
      </c>
      <c r="I716" s="40">
        <f t="shared" ca="1" si="82"/>
        <v>7</v>
      </c>
    </row>
    <row r="717" spans="1:9" x14ac:dyDescent="0.25">
      <c r="A717" s="17">
        <f t="shared" si="77"/>
        <v>81</v>
      </c>
      <c r="B717" t="str">
        <f ca="1">TEXT(DATE(YEAR(Invoer!$A$5),1,1)+INT((ROWS(B$2:B717)-1)/3),"jjjjmmdd")</f>
        <v>19200826</v>
      </c>
      <c r="C717" s="35" t="str">
        <f>IF(MOD(ROWS(C$2:C717)-1,3)=2,"24.00",INDEX(Data,2,2+MOD(ROWS(C$2:C717)-1,3)))</f>
        <v>14.00</v>
      </c>
      <c r="D717" s="23">
        <f t="shared" ca="1" si="83"/>
        <v>748.7</v>
      </c>
      <c r="E717" s="40">
        <f t="shared" ca="1" si="78"/>
        <v>0</v>
      </c>
      <c r="F717" s="23" t="str">
        <f t="shared" ca="1" si="79"/>
        <v>—</v>
      </c>
      <c r="G717" s="40">
        <f t="shared" ca="1" si="80"/>
        <v>7</v>
      </c>
      <c r="H717" s="23" t="str">
        <f t="shared" ca="1" si="81"/>
        <v>—</v>
      </c>
      <c r="I717" s="40">
        <f t="shared" ca="1" si="82"/>
        <v>7</v>
      </c>
    </row>
    <row r="718" spans="1:9" x14ac:dyDescent="0.25">
      <c r="A718" s="17">
        <f t="shared" si="77"/>
        <v>81</v>
      </c>
      <c r="B718" t="str">
        <f ca="1">TEXT(DATE(YEAR(Invoer!$A$5),1,1)+INT((ROWS(B$2:B718)-1)/3),"jjjjmmdd")</f>
        <v>19200826</v>
      </c>
      <c r="C718" s="35" t="str">
        <f>IF(MOD(ROWS(C$2:C718)-1,3)=2,"24.00",INDEX(Data,2,2+MOD(ROWS(C$2:C718)-1,3)))</f>
        <v>24.00</v>
      </c>
      <c r="D718" s="23" t="str">
        <f t="shared" ca="1" si="83"/>
        <v>—</v>
      </c>
      <c r="E718" s="40">
        <f t="shared" ca="1" si="78"/>
        <v>7</v>
      </c>
      <c r="F718" s="23">
        <f t="shared" ca="1" si="79"/>
        <v>27</v>
      </c>
      <c r="G718" s="40">
        <f t="shared" ca="1" si="80"/>
        <v>0</v>
      </c>
      <c r="H718" s="23">
        <f t="shared" ca="1" si="81"/>
        <v>29.3</v>
      </c>
      <c r="I718" s="40">
        <f t="shared" ca="1" si="82"/>
        <v>0</v>
      </c>
    </row>
    <row r="719" spans="1:9" x14ac:dyDescent="0.25">
      <c r="A719" s="17">
        <f t="shared" si="77"/>
        <v>81</v>
      </c>
      <c r="B719" t="str">
        <f ca="1">TEXT(DATE(YEAR(Invoer!$A$5),1,1)+INT((ROWS(B$2:B719)-1)/3),"jjjjmmdd")</f>
        <v>19200827</v>
      </c>
      <c r="C719" s="35" t="str">
        <f>IF(MOD(ROWS(C$2:C719)-1,3)=2,"24.00",INDEX(Data,2,2+MOD(ROWS(C$2:C719)-1,3)))</f>
        <v>08.00</v>
      </c>
      <c r="D719" s="23">
        <f t="shared" ca="1" si="83"/>
        <v>749</v>
      </c>
      <c r="E719" s="40">
        <f t="shared" ca="1" si="78"/>
        <v>0</v>
      </c>
      <c r="F719" s="23" t="str">
        <f t="shared" ca="1" si="79"/>
        <v>—</v>
      </c>
      <c r="G719" s="40">
        <f t="shared" ca="1" si="80"/>
        <v>7</v>
      </c>
      <c r="H719" s="23" t="str">
        <f t="shared" ca="1" si="81"/>
        <v>—</v>
      </c>
      <c r="I719" s="40">
        <f t="shared" ca="1" si="82"/>
        <v>7</v>
      </c>
    </row>
    <row r="720" spans="1:9" x14ac:dyDescent="0.25">
      <c r="A720" s="17">
        <f t="shared" si="77"/>
        <v>81</v>
      </c>
      <c r="B720" t="str">
        <f ca="1">TEXT(DATE(YEAR(Invoer!$A$5),1,1)+INT((ROWS(B$2:B720)-1)/3),"jjjjmmdd")</f>
        <v>19200827</v>
      </c>
      <c r="C720" s="35" t="str">
        <f>IF(MOD(ROWS(C$2:C720)-1,3)=2,"24.00",INDEX(Data,2,2+MOD(ROWS(C$2:C720)-1,3)))</f>
        <v>14.00</v>
      </c>
      <c r="D720" s="23">
        <f t="shared" ca="1" si="83"/>
        <v>748.5</v>
      </c>
      <c r="E720" s="40">
        <f t="shared" ca="1" si="78"/>
        <v>0</v>
      </c>
      <c r="F720" s="23" t="str">
        <f t="shared" ca="1" si="79"/>
        <v>—</v>
      </c>
      <c r="G720" s="40">
        <f t="shared" ca="1" si="80"/>
        <v>7</v>
      </c>
      <c r="H720" s="23" t="str">
        <f t="shared" ca="1" si="81"/>
        <v>—</v>
      </c>
      <c r="I720" s="40">
        <f t="shared" ca="1" si="82"/>
        <v>7</v>
      </c>
    </row>
    <row r="721" spans="1:9" x14ac:dyDescent="0.25">
      <c r="A721" s="17">
        <f t="shared" si="77"/>
        <v>81</v>
      </c>
      <c r="B721" t="str">
        <f ca="1">TEXT(DATE(YEAR(Invoer!$A$5),1,1)+INT((ROWS(B$2:B721)-1)/3),"jjjjmmdd")</f>
        <v>19200827</v>
      </c>
      <c r="C721" s="35" t="str">
        <f>IF(MOD(ROWS(C$2:C721)-1,3)=2,"24.00",INDEX(Data,2,2+MOD(ROWS(C$2:C721)-1,3)))</f>
        <v>24.00</v>
      </c>
      <c r="D721" s="23" t="str">
        <f t="shared" ca="1" si="83"/>
        <v>—</v>
      </c>
      <c r="E721" s="40">
        <f t="shared" ca="1" si="78"/>
        <v>7</v>
      </c>
      <c r="F721" s="23">
        <f t="shared" ca="1" si="79"/>
        <v>26</v>
      </c>
      <c r="G721" s="40">
        <f t="shared" ca="1" si="80"/>
        <v>0</v>
      </c>
      <c r="H721" s="23">
        <f t="shared" ca="1" si="81"/>
        <v>28.5</v>
      </c>
      <c r="I721" s="40">
        <f t="shared" ca="1" si="82"/>
        <v>0</v>
      </c>
    </row>
    <row r="722" spans="1:9" x14ac:dyDescent="0.25">
      <c r="A722" s="17">
        <f t="shared" si="77"/>
        <v>81</v>
      </c>
      <c r="B722" t="str">
        <f ca="1">TEXT(DATE(YEAR(Invoer!$A$5),1,1)+INT((ROWS(B$2:B722)-1)/3),"jjjjmmdd")</f>
        <v>19200828</v>
      </c>
      <c r="C722" s="35" t="str">
        <f>IF(MOD(ROWS(C$2:C722)-1,3)=2,"24.00",INDEX(Data,2,2+MOD(ROWS(C$2:C722)-1,3)))</f>
        <v>08.00</v>
      </c>
      <c r="D722" s="23">
        <f t="shared" ca="1" si="83"/>
        <v>749</v>
      </c>
      <c r="E722" s="40">
        <f t="shared" ca="1" si="78"/>
        <v>0</v>
      </c>
      <c r="F722" s="23" t="str">
        <f t="shared" ca="1" si="79"/>
        <v>—</v>
      </c>
      <c r="G722" s="40">
        <f t="shared" ca="1" si="80"/>
        <v>7</v>
      </c>
      <c r="H722" s="23" t="str">
        <f t="shared" ca="1" si="81"/>
        <v>—</v>
      </c>
      <c r="I722" s="40">
        <f t="shared" ca="1" si="82"/>
        <v>7</v>
      </c>
    </row>
    <row r="723" spans="1:9" x14ac:dyDescent="0.25">
      <c r="A723" s="17">
        <f t="shared" si="77"/>
        <v>81</v>
      </c>
      <c r="B723" t="str">
        <f ca="1">TEXT(DATE(YEAR(Invoer!$A$5),1,1)+INT((ROWS(B$2:B723)-1)/3),"jjjjmmdd")</f>
        <v>19200828</v>
      </c>
      <c r="C723" s="35" t="str">
        <f>IF(MOD(ROWS(C$2:C723)-1,3)=2,"24.00",INDEX(Data,2,2+MOD(ROWS(C$2:C723)-1,3)))</f>
        <v>14.00</v>
      </c>
      <c r="D723" s="23">
        <f t="shared" ca="1" si="83"/>
        <v>748</v>
      </c>
      <c r="E723" s="40">
        <f t="shared" ca="1" si="78"/>
        <v>0</v>
      </c>
      <c r="F723" s="23" t="str">
        <f t="shared" ca="1" si="79"/>
        <v>—</v>
      </c>
      <c r="G723" s="40">
        <f t="shared" ca="1" si="80"/>
        <v>7</v>
      </c>
      <c r="H723" s="23" t="str">
        <f t="shared" ca="1" si="81"/>
        <v>—</v>
      </c>
      <c r="I723" s="40">
        <f t="shared" ca="1" si="82"/>
        <v>7</v>
      </c>
    </row>
    <row r="724" spans="1:9" x14ac:dyDescent="0.25">
      <c r="A724" s="17">
        <f t="shared" si="77"/>
        <v>81</v>
      </c>
      <c r="B724" t="str">
        <f ca="1">TEXT(DATE(YEAR(Invoer!$A$5),1,1)+INT((ROWS(B$2:B724)-1)/3),"jjjjmmdd")</f>
        <v>19200828</v>
      </c>
      <c r="C724" s="35" t="str">
        <f>IF(MOD(ROWS(C$2:C724)-1,3)=2,"24.00",INDEX(Data,2,2+MOD(ROWS(C$2:C724)-1,3)))</f>
        <v>24.00</v>
      </c>
      <c r="D724" s="23" t="str">
        <f t="shared" ca="1" si="83"/>
        <v>—</v>
      </c>
      <c r="E724" s="40">
        <f t="shared" ca="1" si="78"/>
        <v>7</v>
      </c>
      <c r="F724" s="23">
        <f t="shared" ca="1" si="79"/>
        <v>26</v>
      </c>
      <c r="G724" s="40">
        <f t="shared" ca="1" si="80"/>
        <v>0</v>
      </c>
      <c r="H724" s="23">
        <f t="shared" ca="1" si="81"/>
        <v>30</v>
      </c>
      <c r="I724" s="40">
        <f t="shared" ca="1" si="82"/>
        <v>0</v>
      </c>
    </row>
    <row r="725" spans="1:9" x14ac:dyDescent="0.25">
      <c r="A725" s="17">
        <f t="shared" si="77"/>
        <v>81</v>
      </c>
      <c r="B725" t="str">
        <f ca="1">TEXT(DATE(YEAR(Invoer!$A$5),1,1)+INT((ROWS(B$2:B725)-1)/3),"jjjjmmdd")</f>
        <v>19200829</v>
      </c>
      <c r="C725" s="35" t="str">
        <f>IF(MOD(ROWS(C$2:C725)-1,3)=2,"24.00",INDEX(Data,2,2+MOD(ROWS(C$2:C725)-1,3)))</f>
        <v>08.00</v>
      </c>
      <c r="D725" s="23">
        <f t="shared" ca="1" si="83"/>
        <v>748</v>
      </c>
      <c r="E725" s="40">
        <f t="shared" ca="1" si="78"/>
        <v>0</v>
      </c>
      <c r="F725" s="23" t="str">
        <f t="shared" ca="1" si="79"/>
        <v>—</v>
      </c>
      <c r="G725" s="40">
        <f t="shared" ca="1" si="80"/>
        <v>7</v>
      </c>
      <c r="H725" s="23" t="str">
        <f t="shared" ca="1" si="81"/>
        <v>—</v>
      </c>
      <c r="I725" s="40">
        <f t="shared" ca="1" si="82"/>
        <v>7</v>
      </c>
    </row>
    <row r="726" spans="1:9" x14ac:dyDescent="0.25">
      <c r="A726" s="17">
        <f t="shared" si="77"/>
        <v>81</v>
      </c>
      <c r="B726" t="str">
        <f ca="1">TEXT(DATE(YEAR(Invoer!$A$5),1,1)+INT((ROWS(B$2:B726)-1)/3),"jjjjmmdd")</f>
        <v>19200829</v>
      </c>
      <c r="C726" s="35" t="str">
        <f>IF(MOD(ROWS(C$2:C726)-1,3)=2,"24.00",INDEX(Data,2,2+MOD(ROWS(C$2:C726)-1,3)))</f>
        <v>14.00</v>
      </c>
      <c r="D726" s="23">
        <f t="shared" ca="1" si="83"/>
        <v>747</v>
      </c>
      <c r="E726" s="40">
        <f t="shared" ca="1" si="78"/>
        <v>0</v>
      </c>
      <c r="F726" s="23" t="str">
        <f t="shared" ca="1" si="79"/>
        <v>—</v>
      </c>
      <c r="G726" s="40">
        <f t="shared" ca="1" si="80"/>
        <v>7</v>
      </c>
      <c r="H726" s="23" t="str">
        <f t="shared" ca="1" si="81"/>
        <v>—</v>
      </c>
      <c r="I726" s="40">
        <f t="shared" ca="1" si="82"/>
        <v>7</v>
      </c>
    </row>
    <row r="727" spans="1:9" x14ac:dyDescent="0.25">
      <c r="A727" s="17">
        <f t="shared" si="77"/>
        <v>81</v>
      </c>
      <c r="B727" t="str">
        <f ca="1">TEXT(DATE(YEAR(Invoer!$A$5),1,1)+INT((ROWS(B$2:B727)-1)/3),"jjjjmmdd")</f>
        <v>19200829</v>
      </c>
      <c r="C727" s="35" t="str">
        <f>IF(MOD(ROWS(C$2:C727)-1,3)=2,"24.00",INDEX(Data,2,2+MOD(ROWS(C$2:C727)-1,3)))</f>
        <v>24.00</v>
      </c>
      <c r="D727" s="23" t="str">
        <f t="shared" ca="1" si="83"/>
        <v>—</v>
      </c>
      <c r="E727" s="40">
        <f t="shared" ca="1" si="78"/>
        <v>7</v>
      </c>
      <c r="F727" s="23">
        <f t="shared" ca="1" si="79"/>
        <v>26</v>
      </c>
      <c r="G727" s="40">
        <f t="shared" ca="1" si="80"/>
        <v>0</v>
      </c>
      <c r="H727" s="23">
        <f t="shared" ca="1" si="81"/>
        <v>28</v>
      </c>
      <c r="I727" s="40">
        <f t="shared" ca="1" si="82"/>
        <v>0</v>
      </c>
    </row>
    <row r="728" spans="1:9" x14ac:dyDescent="0.25">
      <c r="A728" s="17">
        <f t="shared" si="77"/>
        <v>81</v>
      </c>
      <c r="B728" t="str">
        <f ca="1">TEXT(DATE(YEAR(Invoer!$A$5),1,1)+INT((ROWS(B$2:B728)-1)/3),"jjjjmmdd")</f>
        <v>19200830</v>
      </c>
      <c r="C728" s="35" t="str">
        <f>IF(MOD(ROWS(C$2:C728)-1,3)=2,"24.00",INDEX(Data,2,2+MOD(ROWS(C$2:C728)-1,3)))</f>
        <v>08.00</v>
      </c>
      <c r="D728" s="23">
        <f t="shared" ca="1" si="83"/>
        <v>748.1</v>
      </c>
      <c r="E728" s="40">
        <f t="shared" ca="1" si="78"/>
        <v>0</v>
      </c>
      <c r="F728" s="23" t="str">
        <f t="shared" ca="1" si="79"/>
        <v>—</v>
      </c>
      <c r="G728" s="40">
        <f t="shared" ca="1" si="80"/>
        <v>7</v>
      </c>
      <c r="H728" s="23" t="str">
        <f t="shared" ca="1" si="81"/>
        <v>—</v>
      </c>
      <c r="I728" s="40">
        <f t="shared" ca="1" si="82"/>
        <v>7</v>
      </c>
    </row>
    <row r="729" spans="1:9" x14ac:dyDescent="0.25">
      <c r="A729" s="17">
        <f t="shared" si="77"/>
        <v>81</v>
      </c>
      <c r="B729" t="str">
        <f ca="1">TEXT(DATE(YEAR(Invoer!$A$5),1,1)+INT((ROWS(B$2:B729)-1)/3),"jjjjmmdd")</f>
        <v>19200830</v>
      </c>
      <c r="C729" s="35" t="str">
        <f>IF(MOD(ROWS(C$2:C729)-1,3)=2,"24.00",INDEX(Data,2,2+MOD(ROWS(C$2:C729)-1,3)))</f>
        <v>14.00</v>
      </c>
      <c r="D729" s="23">
        <f t="shared" ca="1" si="83"/>
        <v>747.6</v>
      </c>
      <c r="E729" s="40">
        <f t="shared" ca="1" si="78"/>
        <v>0</v>
      </c>
      <c r="F729" s="23" t="str">
        <f t="shared" ca="1" si="79"/>
        <v>—</v>
      </c>
      <c r="G729" s="40">
        <f t="shared" ca="1" si="80"/>
        <v>7</v>
      </c>
      <c r="H729" s="23" t="str">
        <f t="shared" ca="1" si="81"/>
        <v>—</v>
      </c>
      <c r="I729" s="40">
        <f t="shared" ca="1" si="82"/>
        <v>7</v>
      </c>
    </row>
    <row r="730" spans="1:9" x14ac:dyDescent="0.25">
      <c r="A730" s="17">
        <f t="shared" si="77"/>
        <v>81</v>
      </c>
      <c r="B730" t="str">
        <f ca="1">TEXT(DATE(YEAR(Invoer!$A$5),1,1)+INT((ROWS(B$2:B730)-1)/3),"jjjjmmdd")</f>
        <v>19200830</v>
      </c>
      <c r="C730" s="35" t="str">
        <f>IF(MOD(ROWS(C$2:C730)-1,3)=2,"24.00",INDEX(Data,2,2+MOD(ROWS(C$2:C730)-1,3)))</f>
        <v>24.00</v>
      </c>
      <c r="D730" s="23" t="str">
        <f t="shared" ca="1" si="83"/>
        <v>—</v>
      </c>
      <c r="E730" s="40">
        <f t="shared" ca="1" si="78"/>
        <v>7</v>
      </c>
      <c r="F730" s="23">
        <f t="shared" ca="1" si="79"/>
        <v>27</v>
      </c>
      <c r="G730" s="40">
        <f t="shared" ca="1" si="80"/>
        <v>0</v>
      </c>
      <c r="H730" s="23">
        <f t="shared" ca="1" si="81"/>
        <v>30</v>
      </c>
      <c r="I730" s="40">
        <f t="shared" ca="1" si="82"/>
        <v>0</v>
      </c>
    </row>
    <row r="731" spans="1:9" x14ac:dyDescent="0.25">
      <c r="A731" s="17">
        <f t="shared" si="77"/>
        <v>81</v>
      </c>
      <c r="B731" t="str">
        <f ca="1">TEXT(DATE(YEAR(Invoer!$A$5),1,1)+INT((ROWS(B$2:B731)-1)/3),"jjjjmmdd")</f>
        <v>19200831</v>
      </c>
      <c r="C731" s="35" t="str">
        <f>IF(MOD(ROWS(C$2:C731)-1,3)=2,"24.00",INDEX(Data,2,2+MOD(ROWS(C$2:C731)-1,3)))</f>
        <v>08.00</v>
      </c>
      <c r="D731" s="23">
        <f t="shared" ca="1" si="83"/>
        <v>748.3</v>
      </c>
      <c r="E731" s="40">
        <f t="shared" ca="1" si="78"/>
        <v>0</v>
      </c>
      <c r="F731" s="23" t="str">
        <f t="shared" ca="1" si="79"/>
        <v>—</v>
      </c>
      <c r="G731" s="40">
        <f t="shared" ca="1" si="80"/>
        <v>7</v>
      </c>
      <c r="H731" s="23" t="str">
        <f t="shared" ca="1" si="81"/>
        <v>—</v>
      </c>
      <c r="I731" s="40">
        <f t="shared" ca="1" si="82"/>
        <v>7</v>
      </c>
    </row>
    <row r="732" spans="1:9" x14ac:dyDescent="0.25">
      <c r="A732" s="17">
        <f t="shared" si="77"/>
        <v>81</v>
      </c>
      <c r="B732" t="str">
        <f ca="1">TEXT(DATE(YEAR(Invoer!$A$5),1,1)+INT((ROWS(B$2:B732)-1)/3),"jjjjmmdd")</f>
        <v>19200831</v>
      </c>
      <c r="C732" s="35" t="str">
        <f>IF(MOD(ROWS(C$2:C732)-1,3)=2,"24.00",INDEX(Data,2,2+MOD(ROWS(C$2:C732)-1,3)))</f>
        <v>14.00</v>
      </c>
      <c r="D732" s="23">
        <f t="shared" ca="1" si="83"/>
        <v>747.5</v>
      </c>
      <c r="E732" s="40">
        <f t="shared" ca="1" si="78"/>
        <v>0</v>
      </c>
      <c r="F732" s="23" t="str">
        <f t="shared" ca="1" si="79"/>
        <v>—</v>
      </c>
      <c r="G732" s="40">
        <f t="shared" ca="1" si="80"/>
        <v>7</v>
      </c>
      <c r="H732" s="23" t="str">
        <f t="shared" ca="1" si="81"/>
        <v>—</v>
      </c>
      <c r="I732" s="40">
        <f t="shared" ca="1" si="82"/>
        <v>7</v>
      </c>
    </row>
    <row r="733" spans="1:9" x14ac:dyDescent="0.25">
      <c r="A733" s="17">
        <f t="shared" si="77"/>
        <v>81</v>
      </c>
      <c r="B733" t="str">
        <f ca="1">TEXT(DATE(YEAR(Invoer!$A$5),1,1)+INT((ROWS(B$2:B733)-1)/3),"jjjjmmdd")</f>
        <v>19200831</v>
      </c>
      <c r="C733" s="35" t="str">
        <f>IF(MOD(ROWS(C$2:C733)-1,3)=2,"24.00",INDEX(Data,2,2+MOD(ROWS(C$2:C733)-1,3)))</f>
        <v>24.00</v>
      </c>
      <c r="D733" s="23" t="str">
        <f t="shared" ca="1" si="83"/>
        <v>—</v>
      </c>
      <c r="E733" s="40">
        <f t="shared" ca="1" si="78"/>
        <v>7</v>
      </c>
      <c r="F733" s="23">
        <f t="shared" ca="1" si="79"/>
        <v>27</v>
      </c>
      <c r="G733" s="40">
        <f t="shared" ca="1" si="80"/>
        <v>0</v>
      </c>
      <c r="H733" s="23">
        <f t="shared" ca="1" si="81"/>
        <v>29</v>
      </c>
      <c r="I733" s="40">
        <f t="shared" ca="1" si="82"/>
        <v>0</v>
      </c>
    </row>
    <row r="734" spans="1:9" x14ac:dyDescent="0.25">
      <c r="A734" s="17">
        <f t="shared" si="77"/>
        <v>81</v>
      </c>
      <c r="B734" t="str">
        <f ca="1">TEXT(DATE(YEAR(Invoer!$A$5),1,1)+INT((ROWS(B$2:B734)-1)/3),"jjjjmmdd")</f>
        <v>19200901</v>
      </c>
      <c r="C734" s="35" t="str">
        <f>IF(MOD(ROWS(C$2:C734)-1,3)=2,"24.00",INDEX(Data,2,2+MOD(ROWS(C$2:C734)-1,3)))</f>
        <v>08.00</v>
      </c>
      <c r="D734" s="23">
        <f t="shared" ca="1" si="83"/>
        <v>748.8</v>
      </c>
      <c r="E734" s="40">
        <f t="shared" ca="1" si="78"/>
        <v>0</v>
      </c>
      <c r="F734" s="23" t="str">
        <f t="shared" ca="1" si="79"/>
        <v>—</v>
      </c>
      <c r="G734" s="40">
        <f t="shared" ca="1" si="80"/>
        <v>7</v>
      </c>
      <c r="H734" s="23" t="str">
        <f t="shared" ca="1" si="81"/>
        <v>—</v>
      </c>
      <c r="I734" s="40">
        <f t="shared" ca="1" si="82"/>
        <v>7</v>
      </c>
    </row>
    <row r="735" spans="1:9" x14ac:dyDescent="0.25">
      <c r="A735" s="17">
        <f t="shared" si="77"/>
        <v>81</v>
      </c>
      <c r="B735" t="str">
        <f ca="1">TEXT(DATE(YEAR(Invoer!$A$5),1,1)+INT((ROWS(B$2:B735)-1)/3),"jjjjmmdd")</f>
        <v>19200901</v>
      </c>
      <c r="C735" s="35" t="str">
        <f>IF(MOD(ROWS(C$2:C735)-1,3)=2,"24.00",INDEX(Data,2,2+MOD(ROWS(C$2:C735)-1,3)))</f>
        <v>14.00</v>
      </c>
      <c r="D735" s="23">
        <f t="shared" ca="1" si="83"/>
        <v>747.2</v>
      </c>
      <c r="E735" s="40">
        <f t="shared" ca="1" si="78"/>
        <v>0</v>
      </c>
      <c r="F735" s="23" t="str">
        <f t="shared" ca="1" si="79"/>
        <v>—</v>
      </c>
      <c r="G735" s="40">
        <f t="shared" ca="1" si="80"/>
        <v>7</v>
      </c>
      <c r="H735" s="23" t="str">
        <f t="shared" ca="1" si="81"/>
        <v>—</v>
      </c>
      <c r="I735" s="40">
        <f t="shared" ca="1" si="82"/>
        <v>7</v>
      </c>
    </row>
    <row r="736" spans="1:9" x14ac:dyDescent="0.25">
      <c r="A736" s="17">
        <f t="shared" si="77"/>
        <v>81</v>
      </c>
      <c r="B736" t="str">
        <f ca="1">TEXT(DATE(YEAR(Invoer!$A$5),1,1)+INT((ROWS(B$2:B736)-1)/3),"jjjjmmdd")</f>
        <v>19200901</v>
      </c>
      <c r="C736" s="35" t="str">
        <f>IF(MOD(ROWS(C$2:C736)-1,3)=2,"24.00",INDEX(Data,2,2+MOD(ROWS(C$2:C736)-1,3)))</f>
        <v>24.00</v>
      </c>
      <c r="D736" s="23" t="str">
        <f t="shared" ca="1" si="83"/>
        <v>—</v>
      </c>
      <c r="E736" s="40">
        <f t="shared" ca="1" si="78"/>
        <v>7</v>
      </c>
      <c r="F736" s="23">
        <f t="shared" ca="1" si="79"/>
        <v>27</v>
      </c>
      <c r="G736" s="40">
        <f t="shared" ca="1" si="80"/>
        <v>0</v>
      </c>
      <c r="H736" s="23">
        <f t="shared" ca="1" si="81"/>
        <v>29.3</v>
      </c>
      <c r="I736" s="40">
        <f t="shared" ca="1" si="82"/>
        <v>0</v>
      </c>
    </row>
    <row r="737" spans="1:9" x14ac:dyDescent="0.25">
      <c r="A737" s="17">
        <f t="shared" si="77"/>
        <v>81</v>
      </c>
      <c r="B737" t="str">
        <f ca="1">TEXT(DATE(YEAR(Invoer!$A$5),1,1)+INT((ROWS(B$2:B737)-1)/3),"jjjjmmdd")</f>
        <v>19200902</v>
      </c>
      <c r="C737" s="35" t="str">
        <f>IF(MOD(ROWS(C$2:C737)-1,3)=2,"24.00",INDEX(Data,2,2+MOD(ROWS(C$2:C737)-1,3)))</f>
        <v>08.00</v>
      </c>
      <c r="D737" s="23">
        <f t="shared" ca="1" si="83"/>
        <v>748.6</v>
      </c>
      <c r="E737" s="40">
        <f t="shared" ca="1" si="78"/>
        <v>0</v>
      </c>
      <c r="F737" s="23" t="str">
        <f t="shared" ca="1" si="79"/>
        <v>—</v>
      </c>
      <c r="G737" s="40">
        <f t="shared" ca="1" si="80"/>
        <v>7</v>
      </c>
      <c r="H737" s="23" t="str">
        <f t="shared" ca="1" si="81"/>
        <v>—</v>
      </c>
      <c r="I737" s="40">
        <f t="shared" ca="1" si="82"/>
        <v>7</v>
      </c>
    </row>
    <row r="738" spans="1:9" x14ac:dyDescent="0.25">
      <c r="A738" s="17">
        <f t="shared" si="77"/>
        <v>81</v>
      </c>
      <c r="B738" t="str">
        <f ca="1">TEXT(DATE(YEAR(Invoer!$A$5),1,1)+INT((ROWS(B$2:B738)-1)/3),"jjjjmmdd")</f>
        <v>19200902</v>
      </c>
      <c r="C738" s="35" t="str">
        <f>IF(MOD(ROWS(C$2:C738)-1,3)=2,"24.00",INDEX(Data,2,2+MOD(ROWS(C$2:C738)-1,3)))</f>
        <v>14.00</v>
      </c>
      <c r="D738" s="23">
        <f t="shared" ca="1" si="83"/>
        <v>748</v>
      </c>
      <c r="E738" s="40">
        <f t="shared" ca="1" si="78"/>
        <v>0</v>
      </c>
      <c r="F738" s="23" t="str">
        <f t="shared" ca="1" si="79"/>
        <v>—</v>
      </c>
      <c r="G738" s="40">
        <f t="shared" ca="1" si="80"/>
        <v>7</v>
      </c>
      <c r="H738" s="23" t="str">
        <f t="shared" ca="1" si="81"/>
        <v>—</v>
      </c>
      <c r="I738" s="40">
        <f t="shared" ca="1" si="82"/>
        <v>7</v>
      </c>
    </row>
    <row r="739" spans="1:9" x14ac:dyDescent="0.25">
      <c r="A739" s="17">
        <f t="shared" si="77"/>
        <v>81</v>
      </c>
      <c r="B739" t="str">
        <f ca="1">TEXT(DATE(YEAR(Invoer!$A$5),1,1)+INT((ROWS(B$2:B739)-1)/3),"jjjjmmdd")</f>
        <v>19200902</v>
      </c>
      <c r="C739" s="35" t="str">
        <f>IF(MOD(ROWS(C$2:C739)-1,3)=2,"24.00",INDEX(Data,2,2+MOD(ROWS(C$2:C739)-1,3)))</f>
        <v>24.00</v>
      </c>
      <c r="D739" s="23" t="str">
        <f t="shared" ca="1" si="83"/>
        <v>—</v>
      </c>
      <c r="E739" s="40">
        <f t="shared" ca="1" si="78"/>
        <v>7</v>
      </c>
      <c r="F739" s="23">
        <f t="shared" ca="1" si="79"/>
        <v>28</v>
      </c>
      <c r="G739" s="40">
        <f t="shared" ca="1" si="80"/>
        <v>0</v>
      </c>
      <c r="H739" s="23">
        <f t="shared" ca="1" si="81"/>
        <v>30</v>
      </c>
      <c r="I739" s="40">
        <f t="shared" ca="1" si="82"/>
        <v>0</v>
      </c>
    </row>
    <row r="740" spans="1:9" x14ac:dyDescent="0.25">
      <c r="A740" s="17">
        <f t="shared" si="77"/>
        <v>81</v>
      </c>
      <c r="B740" t="str">
        <f ca="1">TEXT(DATE(YEAR(Invoer!$A$5),1,1)+INT((ROWS(B$2:B740)-1)/3),"jjjjmmdd")</f>
        <v>19200903</v>
      </c>
      <c r="C740" s="35" t="str">
        <f>IF(MOD(ROWS(C$2:C740)-1,3)=2,"24.00",INDEX(Data,2,2+MOD(ROWS(C$2:C740)-1,3)))</f>
        <v>08.00</v>
      </c>
      <c r="D740" s="23">
        <f t="shared" ca="1" si="83"/>
        <v>748</v>
      </c>
      <c r="E740" s="40">
        <f t="shared" ca="1" si="78"/>
        <v>0</v>
      </c>
      <c r="F740" s="23" t="str">
        <f t="shared" ca="1" si="79"/>
        <v>—</v>
      </c>
      <c r="G740" s="40">
        <f t="shared" ca="1" si="80"/>
        <v>7</v>
      </c>
      <c r="H740" s="23" t="str">
        <f t="shared" ca="1" si="81"/>
        <v>—</v>
      </c>
      <c r="I740" s="40">
        <f t="shared" ca="1" si="82"/>
        <v>7</v>
      </c>
    </row>
    <row r="741" spans="1:9" x14ac:dyDescent="0.25">
      <c r="A741" s="17">
        <f t="shared" si="77"/>
        <v>81</v>
      </c>
      <c r="B741" t="str">
        <f ca="1">TEXT(DATE(YEAR(Invoer!$A$5),1,1)+INT((ROWS(B$2:B741)-1)/3),"jjjjmmdd")</f>
        <v>19200903</v>
      </c>
      <c r="C741" s="35" t="str">
        <f>IF(MOD(ROWS(C$2:C741)-1,3)=2,"24.00",INDEX(Data,2,2+MOD(ROWS(C$2:C741)-1,3)))</f>
        <v>14.00</v>
      </c>
      <c r="D741" s="23">
        <f t="shared" ca="1" si="83"/>
        <v>747.5</v>
      </c>
      <c r="E741" s="40">
        <f t="shared" ca="1" si="78"/>
        <v>0</v>
      </c>
      <c r="F741" s="23" t="str">
        <f t="shared" ca="1" si="79"/>
        <v>—</v>
      </c>
      <c r="G741" s="40">
        <f t="shared" ca="1" si="80"/>
        <v>7</v>
      </c>
      <c r="H741" s="23" t="str">
        <f t="shared" ca="1" si="81"/>
        <v>—</v>
      </c>
      <c r="I741" s="40">
        <f t="shared" ca="1" si="82"/>
        <v>7</v>
      </c>
    </row>
    <row r="742" spans="1:9" x14ac:dyDescent="0.25">
      <c r="A742" s="17">
        <f t="shared" si="77"/>
        <v>81</v>
      </c>
      <c r="B742" t="str">
        <f ca="1">TEXT(DATE(YEAR(Invoer!$A$5),1,1)+INT((ROWS(B$2:B742)-1)/3),"jjjjmmdd")</f>
        <v>19200903</v>
      </c>
      <c r="C742" s="35" t="str">
        <f>IF(MOD(ROWS(C$2:C742)-1,3)=2,"24.00",INDEX(Data,2,2+MOD(ROWS(C$2:C742)-1,3)))</f>
        <v>24.00</v>
      </c>
      <c r="D742" s="23" t="str">
        <f t="shared" ca="1" si="83"/>
        <v>—</v>
      </c>
      <c r="E742" s="40">
        <f t="shared" ca="1" si="78"/>
        <v>7</v>
      </c>
      <c r="F742" s="23">
        <f t="shared" ca="1" si="79"/>
        <v>27.3</v>
      </c>
      <c r="G742" s="40">
        <f t="shared" ca="1" si="80"/>
        <v>0</v>
      </c>
      <c r="H742" s="23">
        <f t="shared" ca="1" si="81"/>
        <v>29.3</v>
      </c>
      <c r="I742" s="40">
        <f t="shared" ca="1" si="82"/>
        <v>0</v>
      </c>
    </row>
    <row r="743" spans="1:9" x14ac:dyDescent="0.25">
      <c r="A743" s="17">
        <f t="shared" si="77"/>
        <v>81</v>
      </c>
      <c r="B743" t="str">
        <f ca="1">TEXT(DATE(YEAR(Invoer!$A$5),1,1)+INT((ROWS(B$2:B743)-1)/3),"jjjjmmdd")</f>
        <v>19200904</v>
      </c>
      <c r="C743" s="35" t="str">
        <f>IF(MOD(ROWS(C$2:C743)-1,3)=2,"24.00",INDEX(Data,2,2+MOD(ROWS(C$2:C743)-1,3)))</f>
        <v>08.00</v>
      </c>
      <c r="D743" s="23">
        <f t="shared" ca="1" si="83"/>
        <v>747.7</v>
      </c>
      <c r="E743" s="40">
        <f t="shared" ca="1" si="78"/>
        <v>0</v>
      </c>
      <c r="F743" s="23" t="str">
        <f t="shared" ca="1" si="79"/>
        <v>—</v>
      </c>
      <c r="G743" s="40">
        <f t="shared" ca="1" si="80"/>
        <v>7</v>
      </c>
      <c r="H743" s="23" t="str">
        <f t="shared" ca="1" si="81"/>
        <v>—</v>
      </c>
      <c r="I743" s="40">
        <f t="shared" ca="1" si="82"/>
        <v>7</v>
      </c>
    </row>
    <row r="744" spans="1:9" x14ac:dyDescent="0.25">
      <c r="A744" s="17">
        <f t="shared" si="77"/>
        <v>81</v>
      </c>
      <c r="B744" t="str">
        <f ca="1">TEXT(DATE(YEAR(Invoer!$A$5),1,1)+INT((ROWS(B$2:B744)-1)/3),"jjjjmmdd")</f>
        <v>19200904</v>
      </c>
      <c r="C744" s="35" t="str">
        <f>IF(MOD(ROWS(C$2:C744)-1,3)=2,"24.00",INDEX(Data,2,2+MOD(ROWS(C$2:C744)-1,3)))</f>
        <v>14.00</v>
      </c>
      <c r="D744" s="23">
        <f t="shared" ca="1" si="83"/>
        <v>747.5</v>
      </c>
      <c r="E744" s="40">
        <f t="shared" ca="1" si="78"/>
        <v>0</v>
      </c>
      <c r="F744" s="23" t="str">
        <f t="shared" ca="1" si="79"/>
        <v>—</v>
      </c>
      <c r="G744" s="40">
        <f t="shared" ca="1" si="80"/>
        <v>7</v>
      </c>
      <c r="H744" s="23" t="str">
        <f t="shared" ca="1" si="81"/>
        <v>—</v>
      </c>
      <c r="I744" s="40">
        <f t="shared" ca="1" si="82"/>
        <v>7</v>
      </c>
    </row>
    <row r="745" spans="1:9" x14ac:dyDescent="0.25">
      <c r="A745" s="17">
        <f t="shared" si="77"/>
        <v>81</v>
      </c>
      <c r="B745" t="str">
        <f ca="1">TEXT(DATE(YEAR(Invoer!$A$5),1,1)+INT((ROWS(B$2:B745)-1)/3),"jjjjmmdd")</f>
        <v>19200904</v>
      </c>
      <c r="C745" s="35" t="str">
        <f>IF(MOD(ROWS(C$2:C745)-1,3)=2,"24.00",INDEX(Data,2,2+MOD(ROWS(C$2:C745)-1,3)))</f>
        <v>24.00</v>
      </c>
      <c r="D745" s="23" t="str">
        <f t="shared" ca="1" si="83"/>
        <v>—</v>
      </c>
      <c r="E745" s="40">
        <f t="shared" ca="1" si="78"/>
        <v>7</v>
      </c>
      <c r="F745" s="23">
        <f t="shared" ca="1" si="79"/>
        <v>27.5</v>
      </c>
      <c r="G745" s="40">
        <f t="shared" ca="1" si="80"/>
        <v>0</v>
      </c>
      <c r="H745" s="23">
        <f t="shared" ca="1" si="81"/>
        <v>30.3</v>
      </c>
      <c r="I745" s="40">
        <f t="shared" ca="1" si="82"/>
        <v>0</v>
      </c>
    </row>
    <row r="746" spans="1:9" x14ac:dyDescent="0.25">
      <c r="A746" s="17">
        <f t="shared" si="77"/>
        <v>81</v>
      </c>
      <c r="B746" t="str">
        <f ca="1">TEXT(DATE(YEAR(Invoer!$A$5),1,1)+INT((ROWS(B$2:B746)-1)/3),"jjjjmmdd")</f>
        <v>19200905</v>
      </c>
      <c r="C746" s="35" t="str">
        <f>IF(MOD(ROWS(C$2:C746)-1,3)=2,"24.00",INDEX(Data,2,2+MOD(ROWS(C$2:C746)-1,3)))</f>
        <v>08.00</v>
      </c>
      <c r="D746" s="23">
        <f t="shared" ca="1" si="83"/>
        <v>748</v>
      </c>
      <c r="E746" s="40">
        <f t="shared" ca="1" si="78"/>
        <v>0</v>
      </c>
      <c r="F746" s="23" t="str">
        <f t="shared" ca="1" si="79"/>
        <v>—</v>
      </c>
      <c r="G746" s="40">
        <f t="shared" ca="1" si="80"/>
        <v>7</v>
      </c>
      <c r="H746" s="23" t="str">
        <f t="shared" ca="1" si="81"/>
        <v>—</v>
      </c>
      <c r="I746" s="40">
        <f t="shared" ca="1" si="82"/>
        <v>7</v>
      </c>
    </row>
    <row r="747" spans="1:9" x14ac:dyDescent="0.25">
      <c r="A747" s="17">
        <f t="shared" si="77"/>
        <v>81</v>
      </c>
      <c r="B747" t="str">
        <f ca="1">TEXT(DATE(YEAR(Invoer!$A$5),1,1)+INT((ROWS(B$2:B747)-1)/3),"jjjjmmdd")</f>
        <v>19200905</v>
      </c>
      <c r="C747" s="35" t="str">
        <f>IF(MOD(ROWS(C$2:C747)-1,3)=2,"24.00",INDEX(Data,2,2+MOD(ROWS(C$2:C747)-1,3)))</f>
        <v>14.00</v>
      </c>
      <c r="D747" s="23">
        <f t="shared" ca="1" si="83"/>
        <v>747.3</v>
      </c>
      <c r="E747" s="40">
        <f t="shared" ca="1" si="78"/>
        <v>0</v>
      </c>
      <c r="F747" s="23" t="str">
        <f t="shared" ca="1" si="79"/>
        <v>—</v>
      </c>
      <c r="G747" s="40">
        <f t="shared" ca="1" si="80"/>
        <v>7</v>
      </c>
      <c r="H747" s="23" t="str">
        <f t="shared" ca="1" si="81"/>
        <v>—</v>
      </c>
      <c r="I747" s="40">
        <f t="shared" ca="1" si="82"/>
        <v>7</v>
      </c>
    </row>
    <row r="748" spans="1:9" x14ac:dyDescent="0.25">
      <c r="A748" s="17">
        <f t="shared" si="77"/>
        <v>81</v>
      </c>
      <c r="B748" t="str">
        <f ca="1">TEXT(DATE(YEAR(Invoer!$A$5),1,1)+INT((ROWS(B$2:B748)-1)/3),"jjjjmmdd")</f>
        <v>19200905</v>
      </c>
      <c r="C748" s="35" t="str">
        <f>IF(MOD(ROWS(C$2:C748)-1,3)=2,"24.00",INDEX(Data,2,2+MOD(ROWS(C$2:C748)-1,3)))</f>
        <v>24.00</v>
      </c>
      <c r="D748" s="23" t="str">
        <f t="shared" ca="1" si="83"/>
        <v>—</v>
      </c>
      <c r="E748" s="40">
        <f t="shared" ca="1" si="78"/>
        <v>7</v>
      </c>
      <c r="F748" s="23">
        <f t="shared" ca="1" si="79"/>
        <v>27</v>
      </c>
      <c r="G748" s="40">
        <f t="shared" ca="1" si="80"/>
        <v>0</v>
      </c>
      <c r="H748" s="23">
        <f t="shared" ca="1" si="81"/>
        <v>30</v>
      </c>
      <c r="I748" s="40">
        <f t="shared" ca="1" si="82"/>
        <v>0</v>
      </c>
    </row>
    <row r="749" spans="1:9" x14ac:dyDescent="0.25">
      <c r="A749" s="17">
        <f t="shared" si="77"/>
        <v>81</v>
      </c>
      <c r="B749" t="str">
        <f ca="1">TEXT(DATE(YEAR(Invoer!$A$5),1,1)+INT((ROWS(B$2:B749)-1)/3),"jjjjmmdd")</f>
        <v>19200906</v>
      </c>
      <c r="C749" s="35" t="str">
        <f>IF(MOD(ROWS(C$2:C749)-1,3)=2,"24.00",INDEX(Data,2,2+MOD(ROWS(C$2:C749)-1,3)))</f>
        <v>08.00</v>
      </c>
      <c r="D749" s="23">
        <f t="shared" ca="1" si="83"/>
        <v>748.2</v>
      </c>
      <c r="E749" s="40">
        <f t="shared" ca="1" si="78"/>
        <v>0</v>
      </c>
      <c r="F749" s="23" t="str">
        <f t="shared" ca="1" si="79"/>
        <v>—</v>
      </c>
      <c r="G749" s="40">
        <f t="shared" ca="1" si="80"/>
        <v>7</v>
      </c>
      <c r="H749" s="23" t="str">
        <f t="shared" ca="1" si="81"/>
        <v>—</v>
      </c>
      <c r="I749" s="40">
        <f t="shared" ca="1" si="82"/>
        <v>7</v>
      </c>
    </row>
    <row r="750" spans="1:9" x14ac:dyDescent="0.25">
      <c r="A750" s="17">
        <f t="shared" si="77"/>
        <v>81</v>
      </c>
      <c r="B750" t="str">
        <f ca="1">TEXT(DATE(YEAR(Invoer!$A$5),1,1)+INT((ROWS(B$2:B750)-1)/3),"jjjjmmdd")</f>
        <v>19200906</v>
      </c>
      <c r="C750" s="35" t="str">
        <f>IF(MOD(ROWS(C$2:C750)-1,3)=2,"24.00",INDEX(Data,2,2+MOD(ROWS(C$2:C750)-1,3)))</f>
        <v>14.00</v>
      </c>
      <c r="D750" s="23">
        <f t="shared" ca="1" si="83"/>
        <v>747.7</v>
      </c>
      <c r="E750" s="40">
        <f t="shared" ca="1" si="78"/>
        <v>0</v>
      </c>
      <c r="F750" s="23" t="str">
        <f t="shared" ca="1" si="79"/>
        <v>—</v>
      </c>
      <c r="G750" s="40">
        <f t="shared" ca="1" si="80"/>
        <v>7</v>
      </c>
      <c r="H750" s="23" t="str">
        <f t="shared" ca="1" si="81"/>
        <v>—</v>
      </c>
      <c r="I750" s="40">
        <f t="shared" ca="1" si="82"/>
        <v>7</v>
      </c>
    </row>
    <row r="751" spans="1:9" x14ac:dyDescent="0.25">
      <c r="A751" s="17">
        <f t="shared" si="77"/>
        <v>81</v>
      </c>
      <c r="B751" t="str">
        <f ca="1">TEXT(DATE(YEAR(Invoer!$A$5),1,1)+INT((ROWS(B$2:B751)-1)/3),"jjjjmmdd")</f>
        <v>19200906</v>
      </c>
      <c r="C751" s="35" t="str">
        <f>IF(MOD(ROWS(C$2:C751)-1,3)=2,"24.00",INDEX(Data,2,2+MOD(ROWS(C$2:C751)-1,3)))</f>
        <v>24.00</v>
      </c>
      <c r="D751" s="23" t="str">
        <f t="shared" ca="1" si="83"/>
        <v>—</v>
      </c>
      <c r="E751" s="40">
        <f t="shared" ca="1" si="78"/>
        <v>7</v>
      </c>
      <c r="F751" s="23">
        <f t="shared" ca="1" si="79"/>
        <v>27</v>
      </c>
      <c r="G751" s="40">
        <f t="shared" ca="1" si="80"/>
        <v>0</v>
      </c>
      <c r="H751" s="23">
        <f t="shared" ca="1" si="81"/>
        <v>29.3</v>
      </c>
      <c r="I751" s="40">
        <f t="shared" ca="1" si="82"/>
        <v>0</v>
      </c>
    </row>
    <row r="752" spans="1:9" x14ac:dyDescent="0.25">
      <c r="A752" s="17">
        <f t="shared" si="77"/>
        <v>81</v>
      </c>
      <c r="B752" t="str">
        <f ca="1">TEXT(DATE(YEAR(Invoer!$A$5),1,1)+INT((ROWS(B$2:B752)-1)/3),"jjjjmmdd")</f>
        <v>19200907</v>
      </c>
      <c r="C752" s="35" t="str">
        <f>IF(MOD(ROWS(C$2:C752)-1,3)=2,"24.00",INDEX(Data,2,2+MOD(ROWS(C$2:C752)-1,3)))</f>
        <v>08.00</v>
      </c>
      <c r="D752" s="23">
        <f t="shared" ca="1" si="83"/>
        <v>749</v>
      </c>
      <c r="E752" s="40">
        <f t="shared" ca="1" si="78"/>
        <v>0</v>
      </c>
      <c r="F752" s="23" t="str">
        <f t="shared" ca="1" si="79"/>
        <v>—</v>
      </c>
      <c r="G752" s="40">
        <f t="shared" ca="1" si="80"/>
        <v>7</v>
      </c>
      <c r="H752" s="23" t="str">
        <f t="shared" ca="1" si="81"/>
        <v>—</v>
      </c>
      <c r="I752" s="40">
        <f t="shared" ca="1" si="82"/>
        <v>7</v>
      </c>
    </row>
    <row r="753" spans="1:9" x14ac:dyDescent="0.25">
      <c r="A753" s="17">
        <f t="shared" si="77"/>
        <v>81</v>
      </c>
      <c r="B753" t="str">
        <f ca="1">TEXT(DATE(YEAR(Invoer!$A$5),1,1)+INT((ROWS(B$2:B753)-1)/3),"jjjjmmdd")</f>
        <v>19200907</v>
      </c>
      <c r="C753" s="35" t="str">
        <f>IF(MOD(ROWS(C$2:C753)-1,3)=2,"24.00",INDEX(Data,2,2+MOD(ROWS(C$2:C753)-1,3)))</f>
        <v>14.00</v>
      </c>
      <c r="D753" s="23">
        <f t="shared" ca="1" si="83"/>
        <v>747.6</v>
      </c>
      <c r="E753" s="40">
        <f t="shared" ca="1" si="78"/>
        <v>0</v>
      </c>
      <c r="F753" s="23" t="str">
        <f t="shared" ca="1" si="79"/>
        <v>—</v>
      </c>
      <c r="G753" s="40">
        <f t="shared" ca="1" si="80"/>
        <v>7</v>
      </c>
      <c r="H753" s="23" t="str">
        <f t="shared" ca="1" si="81"/>
        <v>—</v>
      </c>
      <c r="I753" s="40">
        <f t="shared" ca="1" si="82"/>
        <v>7</v>
      </c>
    </row>
    <row r="754" spans="1:9" x14ac:dyDescent="0.25">
      <c r="A754" s="17">
        <f t="shared" si="77"/>
        <v>81</v>
      </c>
      <c r="B754" t="str">
        <f ca="1">TEXT(DATE(YEAR(Invoer!$A$5),1,1)+INT((ROWS(B$2:B754)-1)/3),"jjjjmmdd")</f>
        <v>19200907</v>
      </c>
      <c r="C754" s="35" t="str">
        <f>IF(MOD(ROWS(C$2:C754)-1,3)=2,"24.00",INDEX(Data,2,2+MOD(ROWS(C$2:C754)-1,3)))</f>
        <v>24.00</v>
      </c>
      <c r="D754" s="23" t="str">
        <f t="shared" ca="1" si="83"/>
        <v>—</v>
      </c>
      <c r="E754" s="40">
        <f t="shared" ca="1" si="78"/>
        <v>7</v>
      </c>
      <c r="F754" s="23">
        <f t="shared" ca="1" si="79"/>
        <v>26</v>
      </c>
      <c r="G754" s="40">
        <f t="shared" ca="1" si="80"/>
        <v>0</v>
      </c>
      <c r="H754" s="23">
        <f t="shared" ca="1" si="81"/>
        <v>27</v>
      </c>
      <c r="I754" s="40">
        <f t="shared" ca="1" si="82"/>
        <v>0</v>
      </c>
    </row>
    <row r="755" spans="1:9" x14ac:dyDescent="0.25">
      <c r="A755" s="17">
        <f t="shared" si="77"/>
        <v>81</v>
      </c>
      <c r="B755" t="str">
        <f ca="1">TEXT(DATE(YEAR(Invoer!$A$5),1,1)+INT((ROWS(B$2:B755)-1)/3),"jjjjmmdd")</f>
        <v>19200908</v>
      </c>
      <c r="C755" s="35" t="str">
        <f>IF(MOD(ROWS(C$2:C755)-1,3)=2,"24.00",INDEX(Data,2,2+MOD(ROWS(C$2:C755)-1,3)))</f>
        <v>08.00</v>
      </c>
      <c r="D755" s="23">
        <f t="shared" ca="1" si="83"/>
        <v>747.5</v>
      </c>
      <c r="E755" s="40">
        <f t="shared" ca="1" si="78"/>
        <v>0</v>
      </c>
      <c r="F755" s="23" t="str">
        <f t="shared" ca="1" si="79"/>
        <v>—</v>
      </c>
      <c r="G755" s="40">
        <f t="shared" ca="1" si="80"/>
        <v>7</v>
      </c>
      <c r="H755" s="23" t="str">
        <f t="shared" ca="1" si="81"/>
        <v>—</v>
      </c>
      <c r="I755" s="40">
        <f t="shared" ca="1" si="82"/>
        <v>7</v>
      </c>
    </row>
    <row r="756" spans="1:9" x14ac:dyDescent="0.25">
      <c r="A756" s="17">
        <f t="shared" si="77"/>
        <v>81</v>
      </c>
      <c r="B756" t="str">
        <f ca="1">TEXT(DATE(YEAR(Invoer!$A$5),1,1)+INT((ROWS(B$2:B756)-1)/3),"jjjjmmdd")</f>
        <v>19200908</v>
      </c>
      <c r="C756" s="35" t="str">
        <f>IF(MOD(ROWS(C$2:C756)-1,3)=2,"24.00",INDEX(Data,2,2+MOD(ROWS(C$2:C756)-1,3)))</f>
        <v>14.00</v>
      </c>
      <c r="D756" s="23">
        <f t="shared" ca="1" si="83"/>
        <v>747.2</v>
      </c>
      <c r="E756" s="40">
        <f t="shared" ca="1" si="78"/>
        <v>0</v>
      </c>
      <c r="F756" s="23" t="str">
        <f t="shared" ca="1" si="79"/>
        <v>—</v>
      </c>
      <c r="G756" s="40">
        <f t="shared" ca="1" si="80"/>
        <v>7</v>
      </c>
      <c r="H756" s="23" t="str">
        <f t="shared" ca="1" si="81"/>
        <v>—</v>
      </c>
      <c r="I756" s="40">
        <f t="shared" ca="1" si="82"/>
        <v>7</v>
      </c>
    </row>
    <row r="757" spans="1:9" x14ac:dyDescent="0.25">
      <c r="A757" s="17">
        <f t="shared" si="77"/>
        <v>81</v>
      </c>
      <c r="B757" t="str">
        <f ca="1">TEXT(DATE(YEAR(Invoer!$A$5),1,1)+INT((ROWS(B$2:B757)-1)/3),"jjjjmmdd")</f>
        <v>19200908</v>
      </c>
      <c r="C757" s="35" t="str">
        <f>IF(MOD(ROWS(C$2:C757)-1,3)=2,"24.00",INDEX(Data,2,2+MOD(ROWS(C$2:C757)-1,3)))</f>
        <v>24.00</v>
      </c>
      <c r="D757" s="23" t="str">
        <f t="shared" ca="1" si="83"/>
        <v>—</v>
      </c>
      <c r="E757" s="40">
        <f t="shared" ca="1" si="78"/>
        <v>7</v>
      </c>
      <c r="F757" s="23">
        <f t="shared" ca="1" si="79"/>
        <v>26</v>
      </c>
      <c r="G757" s="40">
        <f t="shared" ca="1" si="80"/>
        <v>0</v>
      </c>
      <c r="H757" s="23">
        <f t="shared" ca="1" si="81"/>
        <v>28</v>
      </c>
      <c r="I757" s="40">
        <f t="shared" ca="1" si="82"/>
        <v>0</v>
      </c>
    </row>
    <row r="758" spans="1:9" x14ac:dyDescent="0.25">
      <c r="A758" s="17">
        <f t="shared" si="77"/>
        <v>81</v>
      </c>
      <c r="B758" t="str">
        <f ca="1">TEXT(DATE(YEAR(Invoer!$A$5),1,1)+INT((ROWS(B$2:B758)-1)/3),"jjjjmmdd")</f>
        <v>19200909</v>
      </c>
      <c r="C758" s="35" t="str">
        <f>IF(MOD(ROWS(C$2:C758)-1,3)=2,"24.00",INDEX(Data,2,2+MOD(ROWS(C$2:C758)-1,3)))</f>
        <v>08.00</v>
      </c>
      <c r="D758" s="23">
        <f t="shared" ca="1" si="83"/>
        <v>747.6</v>
      </c>
      <c r="E758" s="40">
        <f t="shared" ca="1" si="78"/>
        <v>0</v>
      </c>
      <c r="F758" s="23" t="str">
        <f t="shared" ca="1" si="79"/>
        <v>—</v>
      </c>
      <c r="G758" s="40">
        <f t="shared" ca="1" si="80"/>
        <v>7</v>
      </c>
      <c r="H758" s="23" t="str">
        <f t="shared" ca="1" si="81"/>
        <v>—</v>
      </c>
      <c r="I758" s="40">
        <f t="shared" ca="1" si="82"/>
        <v>7</v>
      </c>
    </row>
    <row r="759" spans="1:9" x14ac:dyDescent="0.25">
      <c r="A759" s="17">
        <f t="shared" si="77"/>
        <v>81</v>
      </c>
      <c r="B759" t="str">
        <f ca="1">TEXT(DATE(YEAR(Invoer!$A$5),1,1)+INT((ROWS(B$2:B759)-1)/3),"jjjjmmdd")</f>
        <v>19200909</v>
      </c>
      <c r="C759" s="35" t="str">
        <f>IF(MOD(ROWS(C$2:C759)-1,3)=2,"24.00",INDEX(Data,2,2+MOD(ROWS(C$2:C759)-1,3)))</f>
        <v>14.00</v>
      </c>
      <c r="D759" s="23">
        <f t="shared" ca="1" si="83"/>
        <v>747.3</v>
      </c>
      <c r="E759" s="40">
        <f t="shared" ca="1" si="78"/>
        <v>0</v>
      </c>
      <c r="F759" s="23" t="str">
        <f t="shared" ca="1" si="79"/>
        <v>—</v>
      </c>
      <c r="G759" s="40">
        <f t="shared" ca="1" si="80"/>
        <v>7</v>
      </c>
      <c r="H759" s="23" t="str">
        <f t="shared" ca="1" si="81"/>
        <v>—</v>
      </c>
      <c r="I759" s="40">
        <f t="shared" ca="1" si="82"/>
        <v>7</v>
      </c>
    </row>
    <row r="760" spans="1:9" x14ac:dyDescent="0.25">
      <c r="A760" s="17">
        <f t="shared" si="77"/>
        <v>81</v>
      </c>
      <c r="B760" t="str">
        <f ca="1">TEXT(DATE(YEAR(Invoer!$A$5),1,1)+INT((ROWS(B$2:B760)-1)/3),"jjjjmmdd")</f>
        <v>19200909</v>
      </c>
      <c r="C760" s="35" t="str">
        <f>IF(MOD(ROWS(C$2:C760)-1,3)=2,"24.00",INDEX(Data,2,2+MOD(ROWS(C$2:C760)-1,3)))</f>
        <v>24.00</v>
      </c>
      <c r="D760" s="23" t="str">
        <f t="shared" ca="1" si="83"/>
        <v>—</v>
      </c>
      <c r="E760" s="40">
        <f t="shared" ca="1" si="78"/>
        <v>7</v>
      </c>
      <c r="F760" s="23">
        <f t="shared" ca="1" si="79"/>
        <v>26</v>
      </c>
      <c r="G760" s="40">
        <f t="shared" ca="1" si="80"/>
        <v>0</v>
      </c>
      <c r="H760" s="23">
        <f t="shared" ca="1" si="81"/>
        <v>28</v>
      </c>
      <c r="I760" s="40">
        <f t="shared" ca="1" si="82"/>
        <v>0</v>
      </c>
    </row>
    <row r="761" spans="1:9" x14ac:dyDescent="0.25">
      <c r="A761" s="17">
        <f t="shared" si="77"/>
        <v>81</v>
      </c>
      <c r="B761" t="str">
        <f ca="1">TEXT(DATE(YEAR(Invoer!$A$5),1,1)+INT((ROWS(B$2:B761)-1)/3),"jjjjmmdd")</f>
        <v>19200910</v>
      </c>
      <c r="C761" s="35" t="str">
        <f>IF(MOD(ROWS(C$2:C761)-1,3)=2,"24.00",INDEX(Data,2,2+MOD(ROWS(C$2:C761)-1,3)))</f>
        <v>08.00</v>
      </c>
      <c r="D761" s="23">
        <f t="shared" ca="1" si="83"/>
        <v>749.2</v>
      </c>
      <c r="E761" s="40">
        <f t="shared" ca="1" si="78"/>
        <v>0</v>
      </c>
      <c r="F761" s="23" t="str">
        <f t="shared" ca="1" si="79"/>
        <v>—</v>
      </c>
      <c r="G761" s="40">
        <f t="shared" ca="1" si="80"/>
        <v>7</v>
      </c>
      <c r="H761" s="23" t="str">
        <f t="shared" ca="1" si="81"/>
        <v>—</v>
      </c>
      <c r="I761" s="40">
        <f t="shared" ca="1" si="82"/>
        <v>7</v>
      </c>
    </row>
    <row r="762" spans="1:9" x14ac:dyDescent="0.25">
      <c r="A762" s="17">
        <f t="shared" si="77"/>
        <v>81</v>
      </c>
      <c r="B762" t="str">
        <f ca="1">TEXT(DATE(YEAR(Invoer!$A$5),1,1)+INT((ROWS(B$2:B762)-1)/3),"jjjjmmdd")</f>
        <v>19200910</v>
      </c>
      <c r="C762" s="35" t="str">
        <f>IF(MOD(ROWS(C$2:C762)-1,3)=2,"24.00",INDEX(Data,2,2+MOD(ROWS(C$2:C762)-1,3)))</f>
        <v>14.00</v>
      </c>
      <c r="D762" s="23">
        <f t="shared" ca="1" si="83"/>
        <v>748.3</v>
      </c>
      <c r="E762" s="40">
        <f t="shared" ca="1" si="78"/>
        <v>0</v>
      </c>
      <c r="F762" s="23" t="str">
        <f t="shared" ca="1" si="79"/>
        <v>—</v>
      </c>
      <c r="G762" s="40">
        <f t="shared" ca="1" si="80"/>
        <v>7</v>
      </c>
      <c r="H762" s="23" t="str">
        <f t="shared" ca="1" si="81"/>
        <v>—</v>
      </c>
      <c r="I762" s="40">
        <f t="shared" ca="1" si="82"/>
        <v>7</v>
      </c>
    </row>
    <row r="763" spans="1:9" x14ac:dyDescent="0.25">
      <c r="A763" s="17">
        <f t="shared" si="77"/>
        <v>81</v>
      </c>
      <c r="B763" t="str">
        <f ca="1">TEXT(DATE(YEAR(Invoer!$A$5),1,1)+INT((ROWS(B$2:B763)-1)/3),"jjjjmmdd")</f>
        <v>19200910</v>
      </c>
      <c r="C763" s="35" t="str">
        <f>IF(MOD(ROWS(C$2:C763)-1,3)=2,"24.00",INDEX(Data,2,2+MOD(ROWS(C$2:C763)-1,3)))</f>
        <v>24.00</v>
      </c>
      <c r="D763" s="23" t="str">
        <f t="shared" ca="1" si="83"/>
        <v>—</v>
      </c>
      <c r="E763" s="40">
        <f t="shared" ca="1" si="78"/>
        <v>7</v>
      </c>
      <c r="F763" s="23">
        <f t="shared" ca="1" si="79"/>
        <v>27.8</v>
      </c>
      <c r="G763" s="40">
        <f t="shared" ca="1" si="80"/>
        <v>0</v>
      </c>
      <c r="H763" s="23">
        <f t="shared" ca="1" si="81"/>
        <v>29.5</v>
      </c>
      <c r="I763" s="40">
        <f t="shared" ca="1" si="82"/>
        <v>0</v>
      </c>
    </row>
    <row r="764" spans="1:9" x14ac:dyDescent="0.25">
      <c r="A764" s="17">
        <f t="shared" si="77"/>
        <v>81</v>
      </c>
      <c r="B764" t="str">
        <f ca="1">TEXT(DATE(YEAR(Invoer!$A$5),1,1)+INT((ROWS(B$2:B764)-1)/3),"jjjjmmdd")</f>
        <v>19200911</v>
      </c>
      <c r="C764" s="35" t="str">
        <f>IF(MOD(ROWS(C$2:C764)-1,3)=2,"24.00",INDEX(Data,2,2+MOD(ROWS(C$2:C764)-1,3)))</f>
        <v>08.00</v>
      </c>
      <c r="D764" s="23">
        <f t="shared" ca="1" si="83"/>
        <v>749</v>
      </c>
      <c r="E764" s="40">
        <f t="shared" ca="1" si="78"/>
        <v>0</v>
      </c>
      <c r="F764" s="23" t="str">
        <f t="shared" ca="1" si="79"/>
        <v>—</v>
      </c>
      <c r="G764" s="40">
        <f t="shared" ca="1" si="80"/>
        <v>7</v>
      </c>
      <c r="H764" s="23" t="str">
        <f t="shared" ca="1" si="81"/>
        <v>—</v>
      </c>
      <c r="I764" s="40">
        <f t="shared" ca="1" si="82"/>
        <v>7</v>
      </c>
    </row>
    <row r="765" spans="1:9" x14ac:dyDescent="0.25">
      <c r="A765" s="17">
        <f t="shared" si="77"/>
        <v>81</v>
      </c>
      <c r="B765" t="str">
        <f ca="1">TEXT(DATE(YEAR(Invoer!$A$5),1,1)+INT((ROWS(B$2:B765)-1)/3),"jjjjmmdd")</f>
        <v>19200911</v>
      </c>
      <c r="C765" s="35" t="str">
        <f>IF(MOD(ROWS(C$2:C765)-1,3)=2,"24.00",INDEX(Data,2,2+MOD(ROWS(C$2:C765)-1,3)))</f>
        <v>14.00</v>
      </c>
      <c r="D765" s="23">
        <f t="shared" ca="1" si="83"/>
        <v>748.5</v>
      </c>
      <c r="E765" s="40">
        <f t="shared" ca="1" si="78"/>
        <v>0</v>
      </c>
      <c r="F765" s="23" t="str">
        <f t="shared" ca="1" si="79"/>
        <v>—</v>
      </c>
      <c r="G765" s="40">
        <f t="shared" ca="1" si="80"/>
        <v>7</v>
      </c>
      <c r="H765" s="23" t="str">
        <f t="shared" ca="1" si="81"/>
        <v>—</v>
      </c>
      <c r="I765" s="40">
        <f t="shared" ca="1" si="82"/>
        <v>7</v>
      </c>
    </row>
    <row r="766" spans="1:9" x14ac:dyDescent="0.25">
      <c r="A766" s="17">
        <f t="shared" si="77"/>
        <v>81</v>
      </c>
      <c r="B766" t="str">
        <f ca="1">TEXT(DATE(YEAR(Invoer!$A$5),1,1)+INT((ROWS(B$2:B766)-1)/3),"jjjjmmdd")</f>
        <v>19200911</v>
      </c>
      <c r="C766" s="35" t="str">
        <f>IF(MOD(ROWS(C$2:C766)-1,3)=2,"24.00",INDEX(Data,2,2+MOD(ROWS(C$2:C766)-1,3)))</f>
        <v>24.00</v>
      </c>
      <c r="D766" s="23" t="str">
        <f t="shared" ca="1" si="83"/>
        <v>—</v>
      </c>
      <c r="E766" s="40">
        <f t="shared" ca="1" si="78"/>
        <v>7</v>
      </c>
      <c r="F766" s="23">
        <f t="shared" ca="1" si="79"/>
        <v>28</v>
      </c>
      <c r="G766" s="40">
        <f t="shared" ca="1" si="80"/>
        <v>0</v>
      </c>
      <c r="H766" s="23">
        <f t="shared" ca="1" si="81"/>
        <v>30</v>
      </c>
      <c r="I766" s="40">
        <f t="shared" ca="1" si="82"/>
        <v>0</v>
      </c>
    </row>
    <row r="767" spans="1:9" x14ac:dyDescent="0.25">
      <c r="A767" s="17">
        <f t="shared" si="77"/>
        <v>81</v>
      </c>
      <c r="B767" t="str">
        <f ca="1">TEXT(DATE(YEAR(Invoer!$A$5),1,1)+INT((ROWS(B$2:B767)-1)/3),"jjjjmmdd")</f>
        <v>19200912</v>
      </c>
      <c r="C767" s="35" t="str">
        <f>IF(MOD(ROWS(C$2:C767)-1,3)=2,"24.00",INDEX(Data,2,2+MOD(ROWS(C$2:C767)-1,3)))</f>
        <v>08.00</v>
      </c>
      <c r="D767" s="23">
        <f t="shared" ca="1" si="83"/>
        <v>748</v>
      </c>
      <c r="E767" s="40">
        <f t="shared" ca="1" si="78"/>
        <v>0</v>
      </c>
      <c r="F767" s="23" t="str">
        <f t="shared" ca="1" si="79"/>
        <v>—</v>
      </c>
      <c r="G767" s="40">
        <f t="shared" ca="1" si="80"/>
        <v>7</v>
      </c>
      <c r="H767" s="23" t="str">
        <f t="shared" ca="1" si="81"/>
        <v>—</v>
      </c>
      <c r="I767" s="40">
        <f t="shared" ca="1" si="82"/>
        <v>7</v>
      </c>
    </row>
    <row r="768" spans="1:9" x14ac:dyDescent="0.25">
      <c r="A768" s="17">
        <f t="shared" si="77"/>
        <v>81</v>
      </c>
      <c r="B768" t="str">
        <f ca="1">TEXT(DATE(YEAR(Invoer!$A$5),1,1)+INT((ROWS(B$2:B768)-1)/3),"jjjjmmdd")</f>
        <v>19200912</v>
      </c>
      <c r="C768" s="35" t="str">
        <f>IF(MOD(ROWS(C$2:C768)-1,3)=2,"24.00",INDEX(Data,2,2+MOD(ROWS(C$2:C768)-1,3)))</f>
        <v>14.00</v>
      </c>
      <c r="D768" s="23">
        <f t="shared" ca="1" si="83"/>
        <v>747.7</v>
      </c>
      <c r="E768" s="40">
        <f t="shared" ca="1" si="78"/>
        <v>0</v>
      </c>
      <c r="F768" s="23" t="str">
        <f t="shared" ca="1" si="79"/>
        <v>—</v>
      </c>
      <c r="G768" s="40">
        <f t="shared" ca="1" si="80"/>
        <v>7</v>
      </c>
      <c r="H768" s="23" t="str">
        <f t="shared" ca="1" si="81"/>
        <v>—</v>
      </c>
      <c r="I768" s="40">
        <f t="shared" ca="1" si="82"/>
        <v>7</v>
      </c>
    </row>
    <row r="769" spans="1:9" x14ac:dyDescent="0.25">
      <c r="A769" s="17">
        <f t="shared" si="77"/>
        <v>81</v>
      </c>
      <c r="B769" t="str">
        <f ca="1">TEXT(DATE(YEAR(Invoer!$A$5),1,1)+INT((ROWS(B$2:B769)-1)/3),"jjjjmmdd")</f>
        <v>19200912</v>
      </c>
      <c r="C769" s="35" t="str">
        <f>IF(MOD(ROWS(C$2:C769)-1,3)=2,"24.00",INDEX(Data,2,2+MOD(ROWS(C$2:C769)-1,3)))</f>
        <v>24.00</v>
      </c>
      <c r="D769" s="23" t="str">
        <f t="shared" ca="1" si="83"/>
        <v>—</v>
      </c>
      <c r="E769" s="40">
        <f t="shared" ca="1" si="78"/>
        <v>7</v>
      </c>
      <c r="F769" s="23">
        <f t="shared" ca="1" si="79"/>
        <v>28.3</v>
      </c>
      <c r="G769" s="40">
        <f t="shared" ca="1" si="80"/>
        <v>0</v>
      </c>
      <c r="H769" s="23">
        <f t="shared" ca="1" si="81"/>
        <v>30</v>
      </c>
      <c r="I769" s="40">
        <f t="shared" ca="1" si="82"/>
        <v>0</v>
      </c>
    </row>
    <row r="770" spans="1:9" x14ac:dyDescent="0.25">
      <c r="A770" s="17">
        <f t="shared" ref="A770:A833" si="84">INDEX(Stations,2,1)</f>
        <v>81</v>
      </c>
      <c r="B770" t="str">
        <f ca="1">TEXT(DATE(YEAR(Invoer!$A$5),1,1)+INT((ROWS(B$2:B770)-1)/3),"jjjjmmdd")</f>
        <v>19200913</v>
      </c>
      <c r="C770" s="35" t="str">
        <f>IF(MOD(ROWS(C$2:C770)-1,3)=2,"24.00",INDEX(Data,2,2+MOD(ROWS(C$2:C770)-1,3)))</f>
        <v>08.00</v>
      </c>
      <c r="D770" s="23">
        <f t="shared" ca="1" si="83"/>
        <v>748.2</v>
      </c>
      <c r="E770" s="40">
        <f t="shared" ref="E770:E833" ca="1" si="85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 t="str">
        <f t="shared" ref="F770:F833" ca="1" si="86">IF(OR(ISBLANK(VLOOKUP(DATEVALUE(LEFT($B770,4)&amp;"-"&amp;MID($B770,5,2)&amp;"-"&amp;RIGHT($B770,2)),Data,MATCH(LEFT(VLOOKUP(F$1,Parameters,2,FALSE()),4)&amp;"*",OFFSET(Data,1,0,1),0),FALSE())),ISTEXT(VLOOKUP(DATEVALUE(LEFT($B770,4)&amp;"-"&amp;MID($B770,5,2)&amp;"-"&amp;RIGHT($B770,2)),Data,MATCH(LEFT(VLOOKUP(F$1,Parameters,2,FALSE()),4)&amp;"*",OFFSET(Data,1,0,1),0),FALSE())),NOT(EXACT($C770,"24.00"))),"—",VLOOKUP(DATEVALUE(LEFT($B770,4)&amp;"-"&amp;MID($B770,5,2)&amp;"-"&amp;RIGHT($B770,2)),Data,MATCH(LEFT(VLOOKUP(F$1,Parameters,2,FALSE()),4)&amp;"*",OFFSET(Data,1,0,1),0),FALSE()))</f>
        <v>—</v>
      </c>
      <c r="G770" s="40">
        <f t="shared" ref="G770:G833" ca="1" si="87">IF(OR(ISBLANK(VLOOKUP(DATEVALUE(LEFT($B770,4)&amp;"-"&amp;MID($B770,5,2)&amp;"-"&amp;RIGHT($B770,2)),Data,MATCH(LEFT(VLOOKUP(MID(G$1,2,LEN(G$1)-1),Parameters,2,FALSE()),4)&amp;"*",OFFSET(Data,1,0,1),0),FALSE())),ISTEXT(VLOOKUP(DATEVALUE(LEFT($B770,4)&amp;"-"&amp;MID($B770,5,2)&amp;"-"&amp;RIGHT($B770,2)),Data,MATCH(LEFT(VLOOKUP(MID(G$1,2,LEN(G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1,0,1),0),FALSE())))</f>
        <v>7</v>
      </c>
      <c r="H770" s="23" t="str">
        <f t="shared" ref="H770:H833" ca="1" si="88">IF(OR(ISBLANK(VLOOKUP(DATEVALUE(LEFT($B770,4)&amp;"-"&amp;MID($B770,5,2)&amp;"-"&amp;RIGHT($B770,2)),Data,MATCH(LEFT(VLOOKUP(H$1,Parameters,2,FALSE()),4)&amp;"*",OFFSET(Data,1,0,1),0),FALSE())),ISTEXT(VLOOKUP(DATEVALUE(LEFT($B770,4)&amp;"-"&amp;MID($B770,5,2)&amp;"-"&amp;RIGHT($B770,2)),Data,MATCH(LEFT(VLOOKUP(H$1,Parameters,2,FALSE()),4)&amp;"*",OFFSET(Data,1,0,1),0),FALSE())),NOT(EXACT($C770,"24.00"))),"—",VLOOKUP(DATEVALUE(LEFT($B770,4)&amp;"-"&amp;MID($B770,5,2)&amp;"-"&amp;RIGHT($B770,2)),Data,MATCH(LEFT(VLOOKUP(H$1,Parameters,2,FALSE()),4)&amp;"*",OFFSET(Data,1,0,1),0),FALSE()))</f>
        <v>—</v>
      </c>
      <c r="I770" s="40">
        <f t="shared" ref="I770:I833" ca="1" si="89">IF(OR(ISBLANK(VLOOKUP(DATEVALUE(LEFT($B770,4)&amp;"-"&amp;MID($B770,5,2)&amp;"-"&amp;RIGHT($B770,2)),Data,MATCH(LEFT(VLOOKUP(MID(I$1,2,LEN(I$1)-1),Parameters,2,FALSE()),4)&amp;"*",OFFSET(Data,1,0,1),0),FALSE())),ISTEXT(VLOOKUP(DATEVALUE(LEFT($B770,4)&amp;"-"&amp;MID($B770,5,2)&amp;"-"&amp;RIGHT($B770,2)),Data,MATCH(LEFT(VLOOKUP(MID(I$1,2,LEN(I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I$1,2,LEN(I$1)-1),Parameters,2,FALSE()),4)&amp;"*",OFFSET(Catalogus,1,0,1),0),FALSE())))</f>
        <v>7</v>
      </c>
    </row>
    <row r="771" spans="1:9" x14ac:dyDescent="0.25">
      <c r="A771" s="17">
        <f t="shared" si="84"/>
        <v>81</v>
      </c>
      <c r="B771" t="str">
        <f ca="1">TEXT(DATE(YEAR(Invoer!$A$5),1,1)+INT((ROWS(B$2:B771)-1)/3),"jjjjmmdd")</f>
        <v>19200913</v>
      </c>
      <c r="C771" s="35" t="str">
        <f>IF(MOD(ROWS(C$2:C771)-1,3)=2,"24.00",INDEX(Data,2,2+MOD(ROWS(C$2:C771)-1,3)))</f>
        <v>14.00</v>
      </c>
      <c r="D771" s="23">
        <f t="shared" ref="D771:D834" ca="1" si="90">IF(OR(ISBLANK(VLOOKUP(DATEVALUE(LEFT($B771,4)&amp;"-"&amp;MID($B771,5,2)&amp;"-"&amp;RIGHT($B771,2)),Data,MATCH(LEFT(VLOOKUP(D$1,Parameters,2,FALSE()),4)&amp;"*",OFFSET(Data,0,0,1),0)+MATCH($C771,OFFSET(Data,1,0,1),0)-2,FALSE())),ISTEXT(VLOOKUP(DATEVALUE(LEFT($B771,4)&amp;"-"&amp;MID($B771,5,2)&amp;"-"&amp;RIGHT($B771,2)),Data,MATCH(LEFT(VLOOKUP(D$1,Parameters,2,FALSE()),4)&amp;"*",OFFSET(Data,0,0,1),0)+MATCH($C771,OFFSET(Data,1,0,1),0)-2,FALSE())),EXACT(C771,"24.00")),"—",VLOOKUP(DATEVALUE(LEFT($B771,4)&amp;"-"&amp;MID($B771,5,2)&amp;"-"&amp;RIGHT($B771,2)),Data,MATCH(LEFT(VLOOKUP(D$1,Parameters,2,FALSE()),4)&amp;"*",OFFSET(Data,0,0,1),0)+MATCH($C771,OFFSET(Data,1,0,1),0)-2,FALSE()))</f>
        <v>746.58</v>
      </c>
      <c r="E771" s="40">
        <f t="shared" ca="1" si="85"/>
        <v>0</v>
      </c>
      <c r="F771" s="23" t="str">
        <f t="shared" ca="1" si="86"/>
        <v>—</v>
      </c>
      <c r="G771" s="40">
        <f t="shared" ca="1" si="87"/>
        <v>7</v>
      </c>
      <c r="H771" s="23" t="str">
        <f t="shared" ca="1" si="88"/>
        <v>—</v>
      </c>
      <c r="I771" s="40">
        <f t="shared" ca="1" si="89"/>
        <v>7</v>
      </c>
    </row>
    <row r="772" spans="1:9" x14ac:dyDescent="0.25">
      <c r="A772" s="17">
        <f t="shared" si="84"/>
        <v>81</v>
      </c>
      <c r="B772" t="str">
        <f ca="1">TEXT(DATE(YEAR(Invoer!$A$5),1,1)+INT((ROWS(B$2:B772)-1)/3),"jjjjmmdd")</f>
        <v>19200913</v>
      </c>
      <c r="C772" s="35" t="str">
        <f>IF(MOD(ROWS(C$2:C772)-1,3)=2,"24.00",INDEX(Data,2,2+MOD(ROWS(C$2:C772)-1,3)))</f>
        <v>24.00</v>
      </c>
      <c r="D772" s="23" t="str">
        <f t="shared" ca="1" si="90"/>
        <v>—</v>
      </c>
      <c r="E772" s="40">
        <f t="shared" ca="1" si="85"/>
        <v>7</v>
      </c>
      <c r="F772" s="23">
        <f t="shared" ca="1" si="86"/>
        <v>27</v>
      </c>
      <c r="G772" s="40">
        <f t="shared" ca="1" si="87"/>
        <v>0</v>
      </c>
      <c r="H772" s="23">
        <f t="shared" ca="1" si="88"/>
        <v>28.3</v>
      </c>
      <c r="I772" s="40">
        <f t="shared" ca="1" si="89"/>
        <v>0</v>
      </c>
    </row>
    <row r="773" spans="1:9" x14ac:dyDescent="0.25">
      <c r="A773" s="17">
        <f t="shared" si="84"/>
        <v>81</v>
      </c>
      <c r="B773" t="str">
        <f ca="1">TEXT(DATE(YEAR(Invoer!$A$5),1,1)+INT((ROWS(B$2:B773)-1)/3),"jjjjmmdd")</f>
        <v>19200914</v>
      </c>
      <c r="C773" s="35" t="str">
        <f>IF(MOD(ROWS(C$2:C773)-1,3)=2,"24.00",INDEX(Data,2,2+MOD(ROWS(C$2:C773)-1,3)))</f>
        <v>08.00</v>
      </c>
      <c r="D773" s="23">
        <f t="shared" ca="1" si="90"/>
        <v>748.1</v>
      </c>
      <c r="E773" s="40">
        <f t="shared" ca="1" si="85"/>
        <v>0</v>
      </c>
      <c r="F773" s="23" t="str">
        <f t="shared" ca="1" si="86"/>
        <v>—</v>
      </c>
      <c r="G773" s="40">
        <f t="shared" ca="1" si="87"/>
        <v>7</v>
      </c>
      <c r="H773" s="23" t="str">
        <f t="shared" ca="1" si="88"/>
        <v>—</v>
      </c>
      <c r="I773" s="40">
        <f t="shared" ca="1" si="89"/>
        <v>7</v>
      </c>
    </row>
    <row r="774" spans="1:9" x14ac:dyDescent="0.25">
      <c r="A774" s="17">
        <f t="shared" si="84"/>
        <v>81</v>
      </c>
      <c r="B774" t="str">
        <f ca="1">TEXT(DATE(YEAR(Invoer!$A$5),1,1)+INT((ROWS(B$2:B774)-1)/3),"jjjjmmdd")</f>
        <v>19200914</v>
      </c>
      <c r="C774" s="35" t="str">
        <f>IF(MOD(ROWS(C$2:C774)-1,3)=2,"24.00",INDEX(Data,2,2+MOD(ROWS(C$2:C774)-1,3)))</f>
        <v>14.00</v>
      </c>
      <c r="D774" s="23">
        <f t="shared" ca="1" si="90"/>
        <v>747.7</v>
      </c>
      <c r="E774" s="40">
        <f t="shared" ca="1" si="85"/>
        <v>0</v>
      </c>
      <c r="F774" s="23" t="str">
        <f t="shared" ca="1" si="86"/>
        <v>—</v>
      </c>
      <c r="G774" s="40">
        <f t="shared" ca="1" si="87"/>
        <v>7</v>
      </c>
      <c r="H774" s="23" t="str">
        <f t="shared" ca="1" si="88"/>
        <v>—</v>
      </c>
      <c r="I774" s="40">
        <f t="shared" ca="1" si="89"/>
        <v>7</v>
      </c>
    </row>
    <row r="775" spans="1:9" x14ac:dyDescent="0.25">
      <c r="A775" s="17">
        <f t="shared" si="84"/>
        <v>81</v>
      </c>
      <c r="B775" t="str">
        <f ca="1">TEXT(DATE(YEAR(Invoer!$A$5),1,1)+INT((ROWS(B$2:B775)-1)/3),"jjjjmmdd")</f>
        <v>19200914</v>
      </c>
      <c r="C775" s="35" t="str">
        <f>IF(MOD(ROWS(C$2:C775)-1,3)=2,"24.00",INDEX(Data,2,2+MOD(ROWS(C$2:C775)-1,3)))</f>
        <v>24.00</v>
      </c>
      <c r="D775" s="23" t="str">
        <f t="shared" ca="1" si="90"/>
        <v>—</v>
      </c>
      <c r="E775" s="40">
        <f t="shared" ca="1" si="85"/>
        <v>7</v>
      </c>
      <c r="F775" s="23">
        <f t="shared" ca="1" si="86"/>
        <v>27</v>
      </c>
      <c r="G775" s="40">
        <f t="shared" ca="1" si="87"/>
        <v>0</v>
      </c>
      <c r="H775" s="23">
        <f t="shared" ca="1" si="88"/>
        <v>29.5</v>
      </c>
      <c r="I775" s="40">
        <f t="shared" ca="1" si="89"/>
        <v>0</v>
      </c>
    </row>
    <row r="776" spans="1:9" x14ac:dyDescent="0.25">
      <c r="A776" s="17">
        <f t="shared" si="84"/>
        <v>81</v>
      </c>
      <c r="B776" t="str">
        <f ca="1">TEXT(DATE(YEAR(Invoer!$A$5),1,1)+INT((ROWS(B$2:B776)-1)/3),"jjjjmmdd")</f>
        <v>19200915</v>
      </c>
      <c r="C776" s="35" t="str">
        <f>IF(MOD(ROWS(C$2:C776)-1,3)=2,"24.00",INDEX(Data,2,2+MOD(ROWS(C$2:C776)-1,3)))</f>
        <v>08.00</v>
      </c>
      <c r="D776" s="23">
        <f t="shared" ca="1" si="90"/>
        <v>747.4</v>
      </c>
      <c r="E776" s="40">
        <f t="shared" ca="1" si="85"/>
        <v>0</v>
      </c>
      <c r="F776" s="23" t="str">
        <f t="shared" ca="1" si="86"/>
        <v>—</v>
      </c>
      <c r="G776" s="40">
        <f t="shared" ca="1" si="87"/>
        <v>7</v>
      </c>
      <c r="H776" s="23" t="str">
        <f t="shared" ca="1" si="88"/>
        <v>—</v>
      </c>
      <c r="I776" s="40">
        <f t="shared" ca="1" si="89"/>
        <v>7</v>
      </c>
    </row>
    <row r="777" spans="1:9" x14ac:dyDescent="0.25">
      <c r="A777" s="17">
        <f t="shared" si="84"/>
        <v>81</v>
      </c>
      <c r="B777" t="str">
        <f ca="1">TEXT(DATE(YEAR(Invoer!$A$5),1,1)+INT((ROWS(B$2:B777)-1)/3),"jjjjmmdd")</f>
        <v>19200915</v>
      </c>
      <c r="C777" s="35" t="str">
        <f>IF(MOD(ROWS(C$2:C777)-1,3)=2,"24.00",INDEX(Data,2,2+MOD(ROWS(C$2:C777)-1,3)))</f>
        <v>14.00</v>
      </c>
      <c r="D777" s="23">
        <f t="shared" ca="1" si="90"/>
        <v>747</v>
      </c>
      <c r="E777" s="40">
        <f t="shared" ca="1" si="85"/>
        <v>0</v>
      </c>
      <c r="F777" s="23" t="str">
        <f t="shared" ca="1" si="86"/>
        <v>—</v>
      </c>
      <c r="G777" s="40">
        <f t="shared" ca="1" si="87"/>
        <v>7</v>
      </c>
      <c r="H777" s="23" t="str">
        <f t="shared" ca="1" si="88"/>
        <v>—</v>
      </c>
      <c r="I777" s="40">
        <f t="shared" ca="1" si="89"/>
        <v>7</v>
      </c>
    </row>
    <row r="778" spans="1:9" x14ac:dyDescent="0.25">
      <c r="A778" s="17">
        <f t="shared" si="84"/>
        <v>81</v>
      </c>
      <c r="B778" t="str">
        <f ca="1">TEXT(DATE(YEAR(Invoer!$A$5),1,1)+INT((ROWS(B$2:B778)-1)/3),"jjjjmmdd")</f>
        <v>19200915</v>
      </c>
      <c r="C778" s="35" t="str">
        <f>IF(MOD(ROWS(C$2:C778)-1,3)=2,"24.00",INDEX(Data,2,2+MOD(ROWS(C$2:C778)-1,3)))</f>
        <v>24.00</v>
      </c>
      <c r="D778" s="23" t="str">
        <f t="shared" ca="1" si="90"/>
        <v>—</v>
      </c>
      <c r="E778" s="40">
        <f t="shared" ca="1" si="85"/>
        <v>7</v>
      </c>
      <c r="F778" s="23">
        <f t="shared" ca="1" si="86"/>
        <v>27</v>
      </c>
      <c r="G778" s="40">
        <f t="shared" ca="1" si="87"/>
        <v>0</v>
      </c>
      <c r="H778" s="23">
        <f t="shared" ca="1" si="88"/>
        <v>27</v>
      </c>
      <c r="I778" s="40">
        <f t="shared" ca="1" si="89"/>
        <v>0</v>
      </c>
    </row>
    <row r="779" spans="1:9" x14ac:dyDescent="0.25">
      <c r="A779" s="17">
        <f t="shared" si="84"/>
        <v>81</v>
      </c>
      <c r="B779" t="str">
        <f ca="1">TEXT(DATE(YEAR(Invoer!$A$5),1,1)+INT((ROWS(B$2:B779)-1)/3),"jjjjmmdd")</f>
        <v>19200916</v>
      </c>
      <c r="C779" s="35" t="str">
        <f>IF(MOD(ROWS(C$2:C779)-1,3)=2,"24.00",INDEX(Data,2,2+MOD(ROWS(C$2:C779)-1,3)))</f>
        <v>08.00</v>
      </c>
      <c r="D779" s="23">
        <f t="shared" ca="1" si="90"/>
        <v>747</v>
      </c>
      <c r="E779" s="40">
        <f t="shared" ca="1" si="85"/>
        <v>0</v>
      </c>
      <c r="F779" s="23" t="str">
        <f t="shared" ca="1" si="86"/>
        <v>—</v>
      </c>
      <c r="G779" s="40">
        <f t="shared" ca="1" si="87"/>
        <v>7</v>
      </c>
      <c r="H779" s="23" t="str">
        <f t="shared" ca="1" si="88"/>
        <v>—</v>
      </c>
      <c r="I779" s="40">
        <f t="shared" ca="1" si="89"/>
        <v>7</v>
      </c>
    </row>
    <row r="780" spans="1:9" x14ac:dyDescent="0.25">
      <c r="A780" s="17">
        <f t="shared" si="84"/>
        <v>81</v>
      </c>
      <c r="B780" t="str">
        <f ca="1">TEXT(DATE(YEAR(Invoer!$A$5),1,1)+INT((ROWS(B$2:B780)-1)/3),"jjjjmmdd")</f>
        <v>19200916</v>
      </c>
      <c r="C780" s="35" t="str">
        <f>IF(MOD(ROWS(C$2:C780)-1,3)=2,"24.00",INDEX(Data,2,2+MOD(ROWS(C$2:C780)-1,3)))</f>
        <v>14.00</v>
      </c>
      <c r="D780" s="23">
        <f t="shared" ca="1" si="90"/>
        <v>746.2</v>
      </c>
      <c r="E780" s="40">
        <f t="shared" ca="1" si="85"/>
        <v>0</v>
      </c>
      <c r="F780" s="23" t="str">
        <f t="shared" ca="1" si="86"/>
        <v>—</v>
      </c>
      <c r="G780" s="40">
        <f t="shared" ca="1" si="87"/>
        <v>7</v>
      </c>
      <c r="H780" s="23" t="str">
        <f t="shared" ca="1" si="88"/>
        <v>—</v>
      </c>
      <c r="I780" s="40">
        <f t="shared" ca="1" si="89"/>
        <v>7</v>
      </c>
    </row>
    <row r="781" spans="1:9" x14ac:dyDescent="0.25">
      <c r="A781" s="17">
        <f t="shared" si="84"/>
        <v>81</v>
      </c>
      <c r="B781" t="str">
        <f ca="1">TEXT(DATE(YEAR(Invoer!$A$5),1,1)+INT((ROWS(B$2:B781)-1)/3),"jjjjmmdd")</f>
        <v>19200916</v>
      </c>
      <c r="C781" s="35" t="str">
        <f>IF(MOD(ROWS(C$2:C781)-1,3)=2,"24.00",INDEX(Data,2,2+MOD(ROWS(C$2:C781)-1,3)))</f>
        <v>24.00</v>
      </c>
      <c r="D781" s="23" t="str">
        <f t="shared" ca="1" si="90"/>
        <v>—</v>
      </c>
      <c r="E781" s="40">
        <f t="shared" ca="1" si="85"/>
        <v>7</v>
      </c>
      <c r="F781" s="23">
        <f t="shared" ca="1" si="86"/>
        <v>27</v>
      </c>
      <c r="G781" s="40">
        <f t="shared" ca="1" si="87"/>
        <v>0</v>
      </c>
      <c r="H781" s="23">
        <f t="shared" ca="1" si="88"/>
        <v>30</v>
      </c>
      <c r="I781" s="40">
        <f t="shared" ca="1" si="89"/>
        <v>0</v>
      </c>
    </row>
    <row r="782" spans="1:9" x14ac:dyDescent="0.25">
      <c r="A782" s="17">
        <f t="shared" si="84"/>
        <v>81</v>
      </c>
      <c r="B782" t="str">
        <f ca="1">TEXT(DATE(YEAR(Invoer!$A$5),1,1)+INT((ROWS(B$2:B782)-1)/3),"jjjjmmdd")</f>
        <v>19200917</v>
      </c>
      <c r="C782" s="35" t="str">
        <f>IF(MOD(ROWS(C$2:C782)-1,3)=2,"24.00",INDEX(Data,2,2+MOD(ROWS(C$2:C782)-1,3)))</f>
        <v>08.00</v>
      </c>
      <c r="D782" s="23">
        <f t="shared" ca="1" si="90"/>
        <v>747.5</v>
      </c>
      <c r="E782" s="40">
        <f t="shared" ca="1" si="85"/>
        <v>0</v>
      </c>
      <c r="F782" s="23" t="str">
        <f t="shared" ca="1" si="86"/>
        <v>—</v>
      </c>
      <c r="G782" s="40">
        <f t="shared" ca="1" si="87"/>
        <v>7</v>
      </c>
      <c r="H782" s="23" t="str">
        <f t="shared" ca="1" si="88"/>
        <v>—</v>
      </c>
      <c r="I782" s="40">
        <f t="shared" ca="1" si="89"/>
        <v>7</v>
      </c>
    </row>
    <row r="783" spans="1:9" x14ac:dyDescent="0.25">
      <c r="A783" s="17">
        <f t="shared" si="84"/>
        <v>81</v>
      </c>
      <c r="B783" t="str">
        <f ca="1">TEXT(DATE(YEAR(Invoer!$A$5),1,1)+INT((ROWS(B$2:B783)-1)/3),"jjjjmmdd")</f>
        <v>19200917</v>
      </c>
      <c r="C783" s="35" t="str">
        <f>IF(MOD(ROWS(C$2:C783)-1,3)=2,"24.00",INDEX(Data,2,2+MOD(ROWS(C$2:C783)-1,3)))</f>
        <v>14.00</v>
      </c>
      <c r="D783" s="23">
        <f t="shared" ca="1" si="90"/>
        <v>746.8</v>
      </c>
      <c r="E783" s="40">
        <f t="shared" ca="1" si="85"/>
        <v>0</v>
      </c>
      <c r="F783" s="23" t="str">
        <f t="shared" ca="1" si="86"/>
        <v>—</v>
      </c>
      <c r="G783" s="40">
        <f t="shared" ca="1" si="87"/>
        <v>7</v>
      </c>
      <c r="H783" s="23" t="str">
        <f t="shared" ca="1" si="88"/>
        <v>—</v>
      </c>
      <c r="I783" s="40">
        <f t="shared" ca="1" si="89"/>
        <v>7</v>
      </c>
    </row>
    <row r="784" spans="1:9" x14ac:dyDescent="0.25">
      <c r="A784" s="17">
        <f t="shared" si="84"/>
        <v>81</v>
      </c>
      <c r="B784" t="str">
        <f ca="1">TEXT(DATE(YEAR(Invoer!$A$5),1,1)+INT((ROWS(B$2:B784)-1)/3),"jjjjmmdd")</f>
        <v>19200917</v>
      </c>
      <c r="C784" s="35" t="str">
        <f>IF(MOD(ROWS(C$2:C784)-1,3)=2,"24.00",INDEX(Data,2,2+MOD(ROWS(C$2:C784)-1,3)))</f>
        <v>24.00</v>
      </c>
      <c r="D784" s="23" t="str">
        <f t="shared" ca="1" si="90"/>
        <v>—</v>
      </c>
      <c r="E784" s="40">
        <f t="shared" ca="1" si="85"/>
        <v>7</v>
      </c>
      <c r="F784" s="23">
        <f t="shared" ca="1" si="86"/>
        <v>28</v>
      </c>
      <c r="G784" s="40">
        <f t="shared" ca="1" si="87"/>
        <v>0</v>
      </c>
      <c r="H784" s="23">
        <f t="shared" ca="1" si="88"/>
        <v>29</v>
      </c>
      <c r="I784" s="40">
        <f t="shared" ca="1" si="89"/>
        <v>0</v>
      </c>
    </row>
    <row r="785" spans="1:9" x14ac:dyDescent="0.25">
      <c r="A785" s="17">
        <f t="shared" si="84"/>
        <v>81</v>
      </c>
      <c r="B785" t="str">
        <f ca="1">TEXT(DATE(YEAR(Invoer!$A$5),1,1)+INT((ROWS(B$2:B785)-1)/3),"jjjjmmdd")</f>
        <v>19200918</v>
      </c>
      <c r="C785" s="35" t="str">
        <f>IF(MOD(ROWS(C$2:C785)-1,3)=2,"24.00",INDEX(Data,2,2+MOD(ROWS(C$2:C785)-1,3)))</f>
        <v>08.00</v>
      </c>
      <c r="D785" s="23">
        <f t="shared" ca="1" si="90"/>
        <v>748</v>
      </c>
      <c r="E785" s="40">
        <f t="shared" ca="1" si="85"/>
        <v>0</v>
      </c>
      <c r="F785" s="23" t="str">
        <f t="shared" ca="1" si="86"/>
        <v>—</v>
      </c>
      <c r="G785" s="40">
        <f t="shared" ca="1" si="87"/>
        <v>7</v>
      </c>
      <c r="H785" s="23" t="str">
        <f t="shared" ca="1" si="88"/>
        <v>—</v>
      </c>
      <c r="I785" s="40">
        <f t="shared" ca="1" si="89"/>
        <v>7</v>
      </c>
    </row>
    <row r="786" spans="1:9" x14ac:dyDescent="0.25">
      <c r="A786" s="17">
        <f t="shared" si="84"/>
        <v>81</v>
      </c>
      <c r="B786" t="str">
        <f ca="1">TEXT(DATE(YEAR(Invoer!$A$5),1,1)+INT((ROWS(B$2:B786)-1)/3),"jjjjmmdd")</f>
        <v>19200918</v>
      </c>
      <c r="C786" s="35" t="str">
        <f>IF(MOD(ROWS(C$2:C786)-1,3)=2,"24.00",INDEX(Data,2,2+MOD(ROWS(C$2:C786)-1,3)))</f>
        <v>14.00</v>
      </c>
      <c r="D786" s="23">
        <f t="shared" ca="1" si="90"/>
        <v>747.2</v>
      </c>
      <c r="E786" s="40">
        <f t="shared" ca="1" si="85"/>
        <v>0</v>
      </c>
      <c r="F786" s="23" t="str">
        <f t="shared" ca="1" si="86"/>
        <v>—</v>
      </c>
      <c r="G786" s="40">
        <f t="shared" ca="1" si="87"/>
        <v>7</v>
      </c>
      <c r="H786" s="23" t="str">
        <f t="shared" ca="1" si="88"/>
        <v>—</v>
      </c>
      <c r="I786" s="40">
        <f t="shared" ca="1" si="89"/>
        <v>7</v>
      </c>
    </row>
    <row r="787" spans="1:9" x14ac:dyDescent="0.25">
      <c r="A787" s="17">
        <f t="shared" si="84"/>
        <v>81</v>
      </c>
      <c r="B787" t="str">
        <f ca="1">TEXT(DATE(YEAR(Invoer!$A$5),1,1)+INT((ROWS(B$2:B787)-1)/3),"jjjjmmdd")</f>
        <v>19200918</v>
      </c>
      <c r="C787" s="35" t="str">
        <f>IF(MOD(ROWS(C$2:C787)-1,3)=2,"24.00",INDEX(Data,2,2+MOD(ROWS(C$2:C787)-1,3)))</f>
        <v>24.00</v>
      </c>
      <c r="D787" s="23" t="str">
        <f t="shared" ca="1" si="90"/>
        <v>—</v>
      </c>
      <c r="E787" s="40">
        <f t="shared" ca="1" si="85"/>
        <v>7</v>
      </c>
      <c r="F787" s="23">
        <f t="shared" ca="1" si="86"/>
        <v>28</v>
      </c>
      <c r="G787" s="40">
        <f t="shared" ca="1" si="87"/>
        <v>0</v>
      </c>
      <c r="H787" s="23">
        <f t="shared" ca="1" si="88"/>
        <v>29.8</v>
      </c>
      <c r="I787" s="40">
        <f t="shared" ca="1" si="89"/>
        <v>0</v>
      </c>
    </row>
    <row r="788" spans="1:9" x14ac:dyDescent="0.25">
      <c r="A788" s="17">
        <f t="shared" si="84"/>
        <v>81</v>
      </c>
      <c r="B788" t="str">
        <f ca="1">TEXT(DATE(YEAR(Invoer!$A$5),1,1)+INT((ROWS(B$2:B788)-1)/3),"jjjjmmdd")</f>
        <v>19200919</v>
      </c>
      <c r="C788" s="35" t="str">
        <f>IF(MOD(ROWS(C$2:C788)-1,3)=2,"24.00",INDEX(Data,2,2+MOD(ROWS(C$2:C788)-1,3)))</f>
        <v>08.00</v>
      </c>
      <c r="D788" s="23">
        <f t="shared" ca="1" si="90"/>
        <v>747</v>
      </c>
      <c r="E788" s="40">
        <f t="shared" ca="1" si="85"/>
        <v>0</v>
      </c>
      <c r="F788" s="23" t="str">
        <f t="shared" ca="1" si="86"/>
        <v>—</v>
      </c>
      <c r="G788" s="40">
        <f t="shared" ca="1" si="87"/>
        <v>7</v>
      </c>
      <c r="H788" s="23" t="str">
        <f t="shared" ca="1" si="88"/>
        <v>—</v>
      </c>
      <c r="I788" s="40">
        <f t="shared" ca="1" si="89"/>
        <v>7</v>
      </c>
    </row>
    <row r="789" spans="1:9" x14ac:dyDescent="0.25">
      <c r="A789" s="17">
        <f t="shared" si="84"/>
        <v>81</v>
      </c>
      <c r="B789" t="str">
        <f ca="1">TEXT(DATE(YEAR(Invoer!$A$5),1,1)+INT((ROWS(B$2:B789)-1)/3),"jjjjmmdd")</f>
        <v>19200919</v>
      </c>
      <c r="C789" s="35" t="str">
        <f>IF(MOD(ROWS(C$2:C789)-1,3)=2,"24.00",INDEX(Data,2,2+MOD(ROWS(C$2:C789)-1,3)))</f>
        <v>14.00</v>
      </c>
      <c r="D789" s="23">
        <f t="shared" ca="1" si="90"/>
        <v>746.5</v>
      </c>
      <c r="E789" s="40">
        <f t="shared" ca="1" si="85"/>
        <v>0</v>
      </c>
      <c r="F789" s="23" t="str">
        <f t="shared" ca="1" si="86"/>
        <v>—</v>
      </c>
      <c r="G789" s="40">
        <f t="shared" ca="1" si="87"/>
        <v>7</v>
      </c>
      <c r="H789" s="23" t="str">
        <f t="shared" ca="1" si="88"/>
        <v>—</v>
      </c>
      <c r="I789" s="40">
        <f t="shared" ca="1" si="89"/>
        <v>7</v>
      </c>
    </row>
    <row r="790" spans="1:9" x14ac:dyDescent="0.25">
      <c r="A790" s="17">
        <f t="shared" si="84"/>
        <v>81</v>
      </c>
      <c r="B790" t="str">
        <f ca="1">TEXT(DATE(YEAR(Invoer!$A$5),1,1)+INT((ROWS(B$2:B790)-1)/3),"jjjjmmdd")</f>
        <v>19200919</v>
      </c>
      <c r="C790" s="35" t="str">
        <f>IF(MOD(ROWS(C$2:C790)-1,3)=2,"24.00",INDEX(Data,2,2+MOD(ROWS(C$2:C790)-1,3)))</f>
        <v>24.00</v>
      </c>
      <c r="D790" s="23" t="str">
        <f t="shared" ca="1" si="90"/>
        <v>—</v>
      </c>
      <c r="E790" s="40">
        <f t="shared" ca="1" si="85"/>
        <v>7</v>
      </c>
      <c r="F790" s="23">
        <f t="shared" ca="1" si="86"/>
        <v>27</v>
      </c>
      <c r="G790" s="40">
        <f t="shared" ca="1" si="87"/>
        <v>0</v>
      </c>
      <c r="H790" s="23">
        <f t="shared" ca="1" si="88"/>
        <v>28</v>
      </c>
      <c r="I790" s="40">
        <f t="shared" ca="1" si="89"/>
        <v>0</v>
      </c>
    </row>
    <row r="791" spans="1:9" x14ac:dyDescent="0.25">
      <c r="A791" s="17">
        <f t="shared" si="84"/>
        <v>81</v>
      </c>
      <c r="B791" t="str">
        <f ca="1">TEXT(DATE(YEAR(Invoer!$A$5),1,1)+INT((ROWS(B$2:B791)-1)/3),"jjjjmmdd")</f>
        <v>19200920</v>
      </c>
      <c r="C791" s="35" t="str">
        <f>IF(MOD(ROWS(C$2:C791)-1,3)=2,"24.00",INDEX(Data,2,2+MOD(ROWS(C$2:C791)-1,3)))</f>
        <v>08.00</v>
      </c>
      <c r="D791" s="23">
        <f t="shared" ca="1" si="90"/>
        <v>746.7</v>
      </c>
      <c r="E791" s="40">
        <f t="shared" ca="1" si="85"/>
        <v>0</v>
      </c>
      <c r="F791" s="23" t="str">
        <f t="shared" ca="1" si="86"/>
        <v>—</v>
      </c>
      <c r="G791" s="40">
        <f t="shared" ca="1" si="87"/>
        <v>7</v>
      </c>
      <c r="H791" s="23" t="str">
        <f t="shared" ca="1" si="88"/>
        <v>—</v>
      </c>
      <c r="I791" s="40">
        <f t="shared" ca="1" si="89"/>
        <v>7</v>
      </c>
    </row>
    <row r="792" spans="1:9" x14ac:dyDescent="0.25">
      <c r="A792" s="17">
        <f t="shared" si="84"/>
        <v>81</v>
      </c>
      <c r="B792" t="str">
        <f ca="1">TEXT(DATE(YEAR(Invoer!$A$5),1,1)+INT((ROWS(B$2:B792)-1)/3),"jjjjmmdd")</f>
        <v>19200920</v>
      </c>
      <c r="C792" s="35" t="str">
        <f>IF(MOD(ROWS(C$2:C792)-1,3)=2,"24.00",INDEX(Data,2,2+MOD(ROWS(C$2:C792)-1,3)))</f>
        <v>14.00</v>
      </c>
      <c r="D792" s="23">
        <f t="shared" ca="1" si="90"/>
        <v>746.2</v>
      </c>
      <c r="E792" s="40">
        <f t="shared" ca="1" si="85"/>
        <v>0</v>
      </c>
      <c r="F792" s="23" t="str">
        <f t="shared" ca="1" si="86"/>
        <v>—</v>
      </c>
      <c r="G792" s="40">
        <f t="shared" ca="1" si="87"/>
        <v>7</v>
      </c>
      <c r="H792" s="23" t="str">
        <f t="shared" ca="1" si="88"/>
        <v>—</v>
      </c>
      <c r="I792" s="40">
        <f t="shared" ca="1" si="89"/>
        <v>7</v>
      </c>
    </row>
    <row r="793" spans="1:9" x14ac:dyDescent="0.25">
      <c r="A793" s="17">
        <f t="shared" si="84"/>
        <v>81</v>
      </c>
      <c r="B793" t="str">
        <f ca="1">TEXT(DATE(YEAR(Invoer!$A$5),1,1)+INT((ROWS(B$2:B793)-1)/3),"jjjjmmdd")</f>
        <v>19200920</v>
      </c>
      <c r="C793" s="35" t="str">
        <f>IF(MOD(ROWS(C$2:C793)-1,3)=2,"24.00",INDEX(Data,2,2+MOD(ROWS(C$2:C793)-1,3)))</f>
        <v>24.00</v>
      </c>
      <c r="D793" s="23" t="str">
        <f t="shared" ca="1" si="90"/>
        <v>—</v>
      </c>
      <c r="E793" s="40">
        <f t="shared" ca="1" si="85"/>
        <v>7</v>
      </c>
      <c r="F793" s="23">
        <f t="shared" ca="1" si="86"/>
        <v>27</v>
      </c>
      <c r="G793" s="40">
        <f t="shared" ca="1" si="87"/>
        <v>0</v>
      </c>
      <c r="H793" s="23">
        <f t="shared" ca="1" si="88"/>
        <v>28</v>
      </c>
      <c r="I793" s="40">
        <f t="shared" ca="1" si="89"/>
        <v>0</v>
      </c>
    </row>
    <row r="794" spans="1:9" x14ac:dyDescent="0.25">
      <c r="A794" s="17">
        <f t="shared" si="84"/>
        <v>81</v>
      </c>
      <c r="B794" t="str">
        <f ca="1">TEXT(DATE(YEAR(Invoer!$A$5),1,1)+INT((ROWS(B$2:B794)-1)/3),"jjjjmmdd")</f>
        <v>19200921</v>
      </c>
      <c r="C794" s="35" t="str">
        <f>IF(MOD(ROWS(C$2:C794)-1,3)=2,"24.00",INDEX(Data,2,2+MOD(ROWS(C$2:C794)-1,3)))</f>
        <v>08.00</v>
      </c>
      <c r="D794" s="23">
        <f t="shared" ca="1" si="90"/>
        <v>747.41</v>
      </c>
      <c r="E794" s="40">
        <f t="shared" ca="1" si="85"/>
        <v>0</v>
      </c>
      <c r="F794" s="23" t="str">
        <f t="shared" ca="1" si="86"/>
        <v>—</v>
      </c>
      <c r="G794" s="40">
        <f t="shared" ca="1" si="87"/>
        <v>7</v>
      </c>
      <c r="H794" s="23" t="str">
        <f t="shared" ca="1" si="88"/>
        <v>—</v>
      </c>
      <c r="I794" s="40">
        <f t="shared" ca="1" si="89"/>
        <v>7</v>
      </c>
    </row>
    <row r="795" spans="1:9" x14ac:dyDescent="0.25">
      <c r="A795" s="17">
        <f t="shared" si="84"/>
        <v>81</v>
      </c>
      <c r="B795" t="str">
        <f ca="1">TEXT(DATE(YEAR(Invoer!$A$5),1,1)+INT((ROWS(B$2:B795)-1)/3),"jjjjmmdd")</f>
        <v>19200921</v>
      </c>
      <c r="C795" s="35" t="str">
        <f>IF(MOD(ROWS(C$2:C795)-1,3)=2,"24.00",INDEX(Data,2,2+MOD(ROWS(C$2:C795)-1,3)))</f>
        <v>14.00</v>
      </c>
      <c r="D795" s="23">
        <f t="shared" ca="1" si="90"/>
        <v>746.1</v>
      </c>
      <c r="E795" s="40">
        <f t="shared" ca="1" si="85"/>
        <v>0</v>
      </c>
      <c r="F795" s="23" t="str">
        <f t="shared" ca="1" si="86"/>
        <v>—</v>
      </c>
      <c r="G795" s="40">
        <f t="shared" ca="1" si="87"/>
        <v>7</v>
      </c>
      <c r="H795" s="23" t="str">
        <f t="shared" ca="1" si="88"/>
        <v>—</v>
      </c>
      <c r="I795" s="40">
        <f t="shared" ca="1" si="89"/>
        <v>7</v>
      </c>
    </row>
    <row r="796" spans="1:9" x14ac:dyDescent="0.25">
      <c r="A796" s="17">
        <f t="shared" si="84"/>
        <v>81</v>
      </c>
      <c r="B796" t="str">
        <f ca="1">TEXT(DATE(YEAR(Invoer!$A$5),1,1)+INT((ROWS(B$2:B796)-1)/3),"jjjjmmdd")</f>
        <v>19200921</v>
      </c>
      <c r="C796" s="35" t="str">
        <f>IF(MOD(ROWS(C$2:C796)-1,3)=2,"24.00",INDEX(Data,2,2+MOD(ROWS(C$2:C796)-1,3)))</f>
        <v>24.00</v>
      </c>
      <c r="D796" s="23" t="str">
        <f t="shared" ca="1" si="90"/>
        <v>—</v>
      </c>
      <c r="E796" s="40">
        <f t="shared" ca="1" si="85"/>
        <v>7</v>
      </c>
      <c r="F796" s="23">
        <f t="shared" ca="1" si="86"/>
        <v>26.8</v>
      </c>
      <c r="G796" s="40">
        <f t="shared" ca="1" si="87"/>
        <v>0</v>
      </c>
      <c r="H796" s="23">
        <f t="shared" ca="1" si="88"/>
        <v>28.3</v>
      </c>
      <c r="I796" s="40">
        <f t="shared" ca="1" si="89"/>
        <v>0</v>
      </c>
    </row>
    <row r="797" spans="1:9" x14ac:dyDescent="0.25">
      <c r="A797" s="17">
        <f t="shared" si="84"/>
        <v>81</v>
      </c>
      <c r="B797" t="str">
        <f ca="1">TEXT(DATE(YEAR(Invoer!$A$5),1,1)+INT((ROWS(B$2:B797)-1)/3),"jjjjmmdd")</f>
        <v>19200922</v>
      </c>
      <c r="C797" s="35" t="str">
        <f>IF(MOD(ROWS(C$2:C797)-1,3)=2,"24.00",INDEX(Data,2,2+MOD(ROWS(C$2:C797)-1,3)))</f>
        <v>08.00</v>
      </c>
      <c r="D797" s="23">
        <f t="shared" ca="1" si="90"/>
        <v>747</v>
      </c>
      <c r="E797" s="40">
        <f t="shared" ca="1" si="85"/>
        <v>0</v>
      </c>
      <c r="F797" s="23" t="str">
        <f t="shared" ca="1" si="86"/>
        <v>—</v>
      </c>
      <c r="G797" s="40">
        <f t="shared" ca="1" si="87"/>
        <v>7</v>
      </c>
      <c r="H797" s="23" t="str">
        <f t="shared" ca="1" si="88"/>
        <v>—</v>
      </c>
      <c r="I797" s="40">
        <f t="shared" ca="1" si="89"/>
        <v>7</v>
      </c>
    </row>
    <row r="798" spans="1:9" x14ac:dyDescent="0.25">
      <c r="A798" s="17">
        <f t="shared" si="84"/>
        <v>81</v>
      </c>
      <c r="B798" t="str">
        <f ca="1">TEXT(DATE(YEAR(Invoer!$A$5),1,1)+INT((ROWS(B$2:B798)-1)/3),"jjjjmmdd")</f>
        <v>19200922</v>
      </c>
      <c r="C798" s="35" t="str">
        <f>IF(MOD(ROWS(C$2:C798)-1,3)=2,"24.00",INDEX(Data,2,2+MOD(ROWS(C$2:C798)-1,3)))</f>
        <v>14.00</v>
      </c>
      <c r="D798" s="23">
        <f t="shared" ca="1" si="90"/>
        <v>747</v>
      </c>
      <c r="E798" s="40">
        <f t="shared" ca="1" si="85"/>
        <v>0</v>
      </c>
      <c r="F798" s="23" t="str">
        <f t="shared" ca="1" si="86"/>
        <v>—</v>
      </c>
      <c r="G798" s="40">
        <f t="shared" ca="1" si="87"/>
        <v>7</v>
      </c>
      <c r="H798" s="23" t="str">
        <f t="shared" ca="1" si="88"/>
        <v>—</v>
      </c>
      <c r="I798" s="40">
        <f t="shared" ca="1" si="89"/>
        <v>7</v>
      </c>
    </row>
    <row r="799" spans="1:9" x14ac:dyDescent="0.25">
      <c r="A799" s="17">
        <f t="shared" si="84"/>
        <v>81</v>
      </c>
      <c r="B799" t="str">
        <f ca="1">TEXT(DATE(YEAR(Invoer!$A$5),1,1)+INT((ROWS(B$2:B799)-1)/3),"jjjjmmdd")</f>
        <v>19200922</v>
      </c>
      <c r="C799" s="35" t="str">
        <f>IF(MOD(ROWS(C$2:C799)-1,3)=2,"24.00",INDEX(Data,2,2+MOD(ROWS(C$2:C799)-1,3)))</f>
        <v>24.00</v>
      </c>
      <c r="D799" s="23" t="str">
        <f t="shared" ca="1" si="90"/>
        <v>—</v>
      </c>
      <c r="E799" s="40">
        <f t="shared" ca="1" si="85"/>
        <v>7</v>
      </c>
      <c r="F799" s="23">
        <f t="shared" ca="1" si="86"/>
        <v>27</v>
      </c>
      <c r="G799" s="40">
        <f t="shared" ca="1" si="87"/>
        <v>0</v>
      </c>
      <c r="H799" s="23">
        <f t="shared" ca="1" si="88"/>
        <v>29.5</v>
      </c>
      <c r="I799" s="40">
        <f t="shared" ca="1" si="89"/>
        <v>0</v>
      </c>
    </row>
    <row r="800" spans="1:9" x14ac:dyDescent="0.25">
      <c r="A800" s="17">
        <f t="shared" si="84"/>
        <v>81</v>
      </c>
      <c r="B800" t="str">
        <f ca="1">TEXT(DATE(YEAR(Invoer!$A$5),1,1)+INT((ROWS(B$2:B800)-1)/3),"jjjjmmdd")</f>
        <v>19200923</v>
      </c>
      <c r="C800" s="35" t="str">
        <f>IF(MOD(ROWS(C$2:C800)-1,3)=2,"24.00",INDEX(Data,2,2+MOD(ROWS(C$2:C800)-1,3)))</f>
        <v>08.00</v>
      </c>
      <c r="D800" s="23">
        <f t="shared" ca="1" si="90"/>
        <v>747</v>
      </c>
      <c r="E800" s="40">
        <f t="shared" ca="1" si="85"/>
        <v>0</v>
      </c>
      <c r="F800" s="23" t="str">
        <f t="shared" ca="1" si="86"/>
        <v>—</v>
      </c>
      <c r="G800" s="40">
        <f t="shared" ca="1" si="87"/>
        <v>7</v>
      </c>
      <c r="H800" s="23" t="str">
        <f t="shared" ca="1" si="88"/>
        <v>—</v>
      </c>
      <c r="I800" s="40">
        <f t="shared" ca="1" si="89"/>
        <v>7</v>
      </c>
    </row>
    <row r="801" spans="1:9" x14ac:dyDescent="0.25">
      <c r="A801" s="17">
        <f t="shared" si="84"/>
        <v>81</v>
      </c>
      <c r="B801" t="str">
        <f ca="1">TEXT(DATE(YEAR(Invoer!$A$5),1,1)+INT((ROWS(B$2:B801)-1)/3),"jjjjmmdd")</f>
        <v>19200923</v>
      </c>
      <c r="C801" s="35" t="str">
        <f>IF(MOD(ROWS(C$2:C801)-1,3)=2,"24.00",INDEX(Data,2,2+MOD(ROWS(C$2:C801)-1,3)))</f>
        <v>14.00</v>
      </c>
      <c r="D801" s="23">
        <f t="shared" ca="1" si="90"/>
        <v>745.6</v>
      </c>
      <c r="E801" s="40">
        <f t="shared" ca="1" si="85"/>
        <v>0</v>
      </c>
      <c r="F801" s="23" t="str">
        <f t="shared" ca="1" si="86"/>
        <v>—</v>
      </c>
      <c r="G801" s="40">
        <f t="shared" ca="1" si="87"/>
        <v>7</v>
      </c>
      <c r="H801" s="23" t="str">
        <f t="shared" ca="1" si="88"/>
        <v>—</v>
      </c>
      <c r="I801" s="40">
        <f t="shared" ca="1" si="89"/>
        <v>7</v>
      </c>
    </row>
    <row r="802" spans="1:9" x14ac:dyDescent="0.25">
      <c r="A802" s="17">
        <f t="shared" si="84"/>
        <v>81</v>
      </c>
      <c r="B802" t="str">
        <f ca="1">TEXT(DATE(YEAR(Invoer!$A$5),1,1)+INT((ROWS(B$2:B802)-1)/3),"jjjjmmdd")</f>
        <v>19200923</v>
      </c>
      <c r="C802" s="35" t="str">
        <f>IF(MOD(ROWS(C$2:C802)-1,3)=2,"24.00",INDEX(Data,2,2+MOD(ROWS(C$2:C802)-1,3)))</f>
        <v>24.00</v>
      </c>
      <c r="D802" s="23" t="str">
        <f t="shared" ca="1" si="90"/>
        <v>—</v>
      </c>
      <c r="E802" s="40">
        <f t="shared" ca="1" si="85"/>
        <v>7</v>
      </c>
      <c r="F802" s="23">
        <f t="shared" ca="1" si="86"/>
        <v>27</v>
      </c>
      <c r="G802" s="40">
        <f t="shared" ca="1" si="87"/>
        <v>0</v>
      </c>
      <c r="H802" s="23">
        <f t="shared" ca="1" si="88"/>
        <v>28</v>
      </c>
      <c r="I802" s="40">
        <f t="shared" ca="1" si="89"/>
        <v>0</v>
      </c>
    </row>
    <row r="803" spans="1:9" x14ac:dyDescent="0.25">
      <c r="A803" s="17">
        <f t="shared" si="84"/>
        <v>81</v>
      </c>
      <c r="B803" t="str">
        <f ca="1">TEXT(DATE(YEAR(Invoer!$A$5),1,1)+INT((ROWS(B$2:B803)-1)/3),"jjjjmmdd")</f>
        <v>19200924</v>
      </c>
      <c r="C803" s="35" t="str">
        <f>IF(MOD(ROWS(C$2:C803)-1,3)=2,"24.00",INDEX(Data,2,2+MOD(ROWS(C$2:C803)-1,3)))</f>
        <v>08.00</v>
      </c>
      <c r="D803" s="23">
        <f t="shared" ca="1" si="90"/>
        <v>744.8</v>
      </c>
      <c r="E803" s="40">
        <f t="shared" ca="1" si="85"/>
        <v>0</v>
      </c>
      <c r="F803" s="23" t="str">
        <f t="shared" ca="1" si="86"/>
        <v>—</v>
      </c>
      <c r="G803" s="40">
        <f t="shared" ca="1" si="87"/>
        <v>7</v>
      </c>
      <c r="H803" s="23" t="str">
        <f t="shared" ca="1" si="88"/>
        <v>—</v>
      </c>
      <c r="I803" s="40">
        <f t="shared" ca="1" si="89"/>
        <v>7</v>
      </c>
    </row>
    <row r="804" spans="1:9" x14ac:dyDescent="0.25">
      <c r="A804" s="17">
        <f t="shared" si="84"/>
        <v>81</v>
      </c>
      <c r="B804" t="str">
        <f ca="1">TEXT(DATE(YEAR(Invoer!$A$5),1,1)+INT((ROWS(B$2:B804)-1)/3),"jjjjmmdd")</f>
        <v>19200924</v>
      </c>
      <c r="C804" s="35" t="str">
        <f>IF(MOD(ROWS(C$2:C804)-1,3)=2,"24.00",INDEX(Data,2,2+MOD(ROWS(C$2:C804)-1,3)))</f>
        <v>14.00</v>
      </c>
      <c r="D804" s="23">
        <f t="shared" ca="1" si="90"/>
        <v>745.2</v>
      </c>
      <c r="E804" s="40">
        <f t="shared" ca="1" si="85"/>
        <v>0</v>
      </c>
      <c r="F804" s="23" t="str">
        <f t="shared" ca="1" si="86"/>
        <v>—</v>
      </c>
      <c r="G804" s="40">
        <f t="shared" ca="1" si="87"/>
        <v>7</v>
      </c>
      <c r="H804" s="23" t="str">
        <f t="shared" ca="1" si="88"/>
        <v>—</v>
      </c>
      <c r="I804" s="40">
        <f t="shared" ca="1" si="89"/>
        <v>7</v>
      </c>
    </row>
    <row r="805" spans="1:9" x14ac:dyDescent="0.25">
      <c r="A805" s="17">
        <f t="shared" si="84"/>
        <v>81</v>
      </c>
      <c r="B805" t="str">
        <f ca="1">TEXT(DATE(YEAR(Invoer!$A$5),1,1)+INT((ROWS(B$2:B805)-1)/3),"jjjjmmdd")</f>
        <v>19200924</v>
      </c>
      <c r="C805" s="35" t="str">
        <f>IF(MOD(ROWS(C$2:C805)-1,3)=2,"24.00",INDEX(Data,2,2+MOD(ROWS(C$2:C805)-1,3)))</f>
        <v>24.00</v>
      </c>
      <c r="D805" s="23" t="str">
        <f t="shared" ca="1" si="90"/>
        <v>—</v>
      </c>
      <c r="E805" s="40">
        <f t="shared" ca="1" si="85"/>
        <v>7</v>
      </c>
      <c r="F805" s="23">
        <f t="shared" ca="1" si="86"/>
        <v>27</v>
      </c>
      <c r="G805" s="40">
        <f t="shared" ca="1" si="87"/>
        <v>0</v>
      </c>
      <c r="H805" s="23">
        <f t="shared" ca="1" si="88"/>
        <v>28</v>
      </c>
      <c r="I805" s="40">
        <f t="shared" ca="1" si="89"/>
        <v>0</v>
      </c>
    </row>
    <row r="806" spans="1:9" x14ac:dyDescent="0.25">
      <c r="A806" s="17">
        <f t="shared" si="84"/>
        <v>81</v>
      </c>
      <c r="B806" t="str">
        <f ca="1">TEXT(DATE(YEAR(Invoer!$A$5),1,1)+INT((ROWS(B$2:B806)-1)/3),"jjjjmmdd")</f>
        <v>19200925</v>
      </c>
      <c r="C806" s="35" t="str">
        <f>IF(MOD(ROWS(C$2:C806)-1,3)=2,"24.00",INDEX(Data,2,2+MOD(ROWS(C$2:C806)-1,3)))</f>
        <v>08.00</v>
      </c>
      <c r="D806" s="23">
        <f t="shared" ca="1" si="90"/>
        <v>747.2</v>
      </c>
      <c r="E806" s="40">
        <f t="shared" ca="1" si="85"/>
        <v>0</v>
      </c>
      <c r="F806" s="23" t="str">
        <f t="shared" ca="1" si="86"/>
        <v>—</v>
      </c>
      <c r="G806" s="40">
        <f t="shared" ca="1" si="87"/>
        <v>7</v>
      </c>
      <c r="H806" s="23" t="str">
        <f t="shared" ca="1" si="88"/>
        <v>—</v>
      </c>
      <c r="I806" s="40">
        <f t="shared" ca="1" si="89"/>
        <v>7</v>
      </c>
    </row>
    <row r="807" spans="1:9" x14ac:dyDescent="0.25">
      <c r="A807" s="17">
        <f t="shared" si="84"/>
        <v>81</v>
      </c>
      <c r="B807" t="str">
        <f ca="1">TEXT(DATE(YEAR(Invoer!$A$5),1,1)+INT((ROWS(B$2:B807)-1)/3),"jjjjmmdd")</f>
        <v>19200925</v>
      </c>
      <c r="C807" s="35" t="str">
        <f>IF(MOD(ROWS(C$2:C807)-1,3)=2,"24.00",INDEX(Data,2,2+MOD(ROWS(C$2:C807)-1,3)))</f>
        <v>14.00</v>
      </c>
      <c r="D807" s="23">
        <f t="shared" ca="1" si="90"/>
        <v>746.5</v>
      </c>
      <c r="E807" s="40">
        <f t="shared" ca="1" si="85"/>
        <v>0</v>
      </c>
      <c r="F807" s="23" t="str">
        <f t="shared" ca="1" si="86"/>
        <v>—</v>
      </c>
      <c r="G807" s="40">
        <f t="shared" ca="1" si="87"/>
        <v>7</v>
      </c>
      <c r="H807" s="23" t="str">
        <f t="shared" ca="1" si="88"/>
        <v>—</v>
      </c>
      <c r="I807" s="40">
        <f t="shared" ca="1" si="89"/>
        <v>7</v>
      </c>
    </row>
    <row r="808" spans="1:9" x14ac:dyDescent="0.25">
      <c r="A808" s="17">
        <f t="shared" si="84"/>
        <v>81</v>
      </c>
      <c r="B808" t="str">
        <f ca="1">TEXT(DATE(YEAR(Invoer!$A$5),1,1)+INT((ROWS(B$2:B808)-1)/3),"jjjjmmdd")</f>
        <v>19200925</v>
      </c>
      <c r="C808" s="35" t="str">
        <f>IF(MOD(ROWS(C$2:C808)-1,3)=2,"24.00",INDEX(Data,2,2+MOD(ROWS(C$2:C808)-1,3)))</f>
        <v>24.00</v>
      </c>
      <c r="D808" s="23" t="str">
        <f t="shared" ca="1" si="90"/>
        <v>—</v>
      </c>
      <c r="E808" s="40">
        <f t="shared" ca="1" si="85"/>
        <v>7</v>
      </c>
      <c r="F808" s="23">
        <f t="shared" ca="1" si="86"/>
        <v>28</v>
      </c>
      <c r="G808" s="40">
        <f t="shared" ca="1" si="87"/>
        <v>0</v>
      </c>
      <c r="H808" s="23">
        <f t="shared" ca="1" si="88"/>
        <v>30.5</v>
      </c>
      <c r="I808" s="40">
        <f t="shared" ca="1" si="89"/>
        <v>0</v>
      </c>
    </row>
    <row r="809" spans="1:9" x14ac:dyDescent="0.25">
      <c r="A809" s="17">
        <f t="shared" si="84"/>
        <v>81</v>
      </c>
      <c r="B809" t="str">
        <f ca="1">TEXT(DATE(YEAR(Invoer!$A$5),1,1)+INT((ROWS(B$2:B809)-1)/3),"jjjjmmdd")</f>
        <v>19200926</v>
      </c>
      <c r="C809" s="35" t="str">
        <f>IF(MOD(ROWS(C$2:C809)-1,3)=2,"24.00",INDEX(Data,2,2+MOD(ROWS(C$2:C809)-1,3)))</f>
        <v>08.00</v>
      </c>
      <c r="D809" s="23">
        <f t="shared" ca="1" si="90"/>
        <v>747.1</v>
      </c>
      <c r="E809" s="40">
        <f t="shared" ca="1" si="85"/>
        <v>0</v>
      </c>
      <c r="F809" s="23" t="str">
        <f t="shared" ca="1" si="86"/>
        <v>—</v>
      </c>
      <c r="G809" s="40">
        <f t="shared" ca="1" si="87"/>
        <v>7</v>
      </c>
      <c r="H809" s="23" t="str">
        <f t="shared" ca="1" si="88"/>
        <v>—</v>
      </c>
      <c r="I809" s="40">
        <f t="shared" ca="1" si="89"/>
        <v>7</v>
      </c>
    </row>
    <row r="810" spans="1:9" x14ac:dyDescent="0.25">
      <c r="A810" s="17">
        <f t="shared" si="84"/>
        <v>81</v>
      </c>
      <c r="B810" t="str">
        <f ca="1">TEXT(DATE(YEAR(Invoer!$A$5),1,1)+INT((ROWS(B$2:B810)-1)/3),"jjjjmmdd")</f>
        <v>19200926</v>
      </c>
      <c r="C810" s="35" t="str">
        <f>IF(MOD(ROWS(C$2:C810)-1,3)=2,"24.00",INDEX(Data,2,2+MOD(ROWS(C$2:C810)-1,3)))</f>
        <v>14.00</v>
      </c>
      <c r="D810" s="23">
        <f t="shared" ca="1" si="90"/>
        <v>746.6</v>
      </c>
      <c r="E810" s="40">
        <f t="shared" ca="1" si="85"/>
        <v>0</v>
      </c>
      <c r="F810" s="23" t="str">
        <f t="shared" ca="1" si="86"/>
        <v>—</v>
      </c>
      <c r="G810" s="40">
        <f t="shared" ca="1" si="87"/>
        <v>7</v>
      </c>
      <c r="H810" s="23" t="str">
        <f t="shared" ca="1" si="88"/>
        <v>—</v>
      </c>
      <c r="I810" s="40">
        <f t="shared" ca="1" si="89"/>
        <v>7</v>
      </c>
    </row>
    <row r="811" spans="1:9" x14ac:dyDescent="0.25">
      <c r="A811" s="17">
        <f t="shared" si="84"/>
        <v>81</v>
      </c>
      <c r="B811" t="str">
        <f ca="1">TEXT(DATE(YEAR(Invoer!$A$5),1,1)+INT((ROWS(B$2:B811)-1)/3),"jjjjmmdd")</f>
        <v>19200926</v>
      </c>
      <c r="C811" s="35" t="str">
        <f>IF(MOD(ROWS(C$2:C811)-1,3)=2,"24.00",INDEX(Data,2,2+MOD(ROWS(C$2:C811)-1,3)))</f>
        <v>24.00</v>
      </c>
      <c r="D811" s="23" t="str">
        <f t="shared" ca="1" si="90"/>
        <v>—</v>
      </c>
      <c r="E811" s="40">
        <f t="shared" ca="1" si="85"/>
        <v>7</v>
      </c>
      <c r="F811" s="23">
        <f t="shared" ca="1" si="86"/>
        <v>28</v>
      </c>
      <c r="G811" s="40">
        <f t="shared" ca="1" si="87"/>
        <v>0</v>
      </c>
      <c r="H811" s="23">
        <f t="shared" ca="1" si="88"/>
        <v>30</v>
      </c>
      <c r="I811" s="40">
        <f t="shared" ca="1" si="89"/>
        <v>0</v>
      </c>
    </row>
    <row r="812" spans="1:9" x14ac:dyDescent="0.25">
      <c r="A812" s="17">
        <f t="shared" si="84"/>
        <v>81</v>
      </c>
      <c r="B812" t="str">
        <f ca="1">TEXT(DATE(YEAR(Invoer!$A$5),1,1)+INT((ROWS(B$2:B812)-1)/3),"jjjjmmdd")</f>
        <v>19200927</v>
      </c>
      <c r="C812" s="35" t="str">
        <f>IF(MOD(ROWS(C$2:C812)-1,3)=2,"24.00",INDEX(Data,2,2+MOD(ROWS(C$2:C812)-1,3)))</f>
        <v>08.00</v>
      </c>
      <c r="D812" s="23">
        <f t="shared" ca="1" si="90"/>
        <v>747</v>
      </c>
      <c r="E812" s="40">
        <f t="shared" ca="1" si="85"/>
        <v>0</v>
      </c>
      <c r="F812" s="23" t="str">
        <f t="shared" ca="1" si="86"/>
        <v>—</v>
      </c>
      <c r="G812" s="40">
        <f t="shared" ca="1" si="87"/>
        <v>7</v>
      </c>
      <c r="H812" s="23" t="str">
        <f t="shared" ca="1" si="88"/>
        <v>—</v>
      </c>
      <c r="I812" s="40">
        <f t="shared" ca="1" si="89"/>
        <v>7</v>
      </c>
    </row>
    <row r="813" spans="1:9" x14ac:dyDescent="0.25">
      <c r="A813" s="17">
        <f t="shared" si="84"/>
        <v>81</v>
      </c>
      <c r="B813" t="str">
        <f ca="1">TEXT(DATE(YEAR(Invoer!$A$5),1,1)+INT((ROWS(B$2:B813)-1)/3),"jjjjmmdd")</f>
        <v>19200927</v>
      </c>
      <c r="C813" s="35" t="str">
        <f>IF(MOD(ROWS(C$2:C813)-1,3)=2,"24.00",INDEX(Data,2,2+MOD(ROWS(C$2:C813)-1,3)))</f>
        <v>14.00</v>
      </c>
      <c r="D813" s="23">
        <f t="shared" ca="1" si="90"/>
        <v>746.7</v>
      </c>
      <c r="E813" s="40">
        <f t="shared" ca="1" si="85"/>
        <v>0</v>
      </c>
      <c r="F813" s="23" t="str">
        <f t="shared" ca="1" si="86"/>
        <v>—</v>
      </c>
      <c r="G813" s="40">
        <f t="shared" ca="1" si="87"/>
        <v>7</v>
      </c>
      <c r="H813" s="23" t="str">
        <f t="shared" ca="1" si="88"/>
        <v>—</v>
      </c>
      <c r="I813" s="40">
        <f t="shared" ca="1" si="89"/>
        <v>7</v>
      </c>
    </row>
    <row r="814" spans="1:9" x14ac:dyDescent="0.25">
      <c r="A814" s="17">
        <f t="shared" si="84"/>
        <v>81</v>
      </c>
      <c r="B814" t="str">
        <f ca="1">TEXT(DATE(YEAR(Invoer!$A$5),1,1)+INT((ROWS(B$2:B814)-1)/3),"jjjjmmdd")</f>
        <v>19200927</v>
      </c>
      <c r="C814" s="35" t="str">
        <f>IF(MOD(ROWS(C$2:C814)-1,3)=2,"24.00",INDEX(Data,2,2+MOD(ROWS(C$2:C814)-1,3)))</f>
        <v>24.00</v>
      </c>
      <c r="D814" s="23" t="str">
        <f t="shared" ca="1" si="90"/>
        <v>—</v>
      </c>
      <c r="E814" s="40">
        <f t="shared" ca="1" si="85"/>
        <v>7</v>
      </c>
      <c r="F814" s="23">
        <f t="shared" ca="1" si="86"/>
        <v>27</v>
      </c>
      <c r="G814" s="40">
        <f t="shared" ca="1" si="87"/>
        <v>0</v>
      </c>
      <c r="H814" s="23">
        <f t="shared" ca="1" si="88"/>
        <v>29</v>
      </c>
      <c r="I814" s="40">
        <f t="shared" ca="1" si="89"/>
        <v>0</v>
      </c>
    </row>
    <row r="815" spans="1:9" x14ac:dyDescent="0.25">
      <c r="A815" s="17">
        <f t="shared" si="84"/>
        <v>81</v>
      </c>
      <c r="B815" t="str">
        <f ca="1">TEXT(DATE(YEAR(Invoer!$A$5),1,1)+INT((ROWS(B$2:B815)-1)/3),"jjjjmmdd")</f>
        <v>19200928</v>
      </c>
      <c r="C815" s="35" t="str">
        <f>IF(MOD(ROWS(C$2:C815)-1,3)=2,"24.00",INDEX(Data,2,2+MOD(ROWS(C$2:C815)-1,3)))</f>
        <v>08.00</v>
      </c>
      <c r="D815" s="23">
        <f t="shared" ca="1" si="90"/>
        <v>747</v>
      </c>
      <c r="E815" s="40">
        <f t="shared" ca="1" si="85"/>
        <v>0</v>
      </c>
      <c r="F815" s="23" t="str">
        <f t="shared" ca="1" si="86"/>
        <v>—</v>
      </c>
      <c r="G815" s="40">
        <f t="shared" ca="1" si="87"/>
        <v>7</v>
      </c>
      <c r="H815" s="23" t="str">
        <f t="shared" ca="1" si="88"/>
        <v>—</v>
      </c>
      <c r="I815" s="40">
        <f t="shared" ca="1" si="89"/>
        <v>7</v>
      </c>
    </row>
    <row r="816" spans="1:9" x14ac:dyDescent="0.25">
      <c r="A816" s="17">
        <f t="shared" si="84"/>
        <v>81</v>
      </c>
      <c r="B816" t="str">
        <f ca="1">TEXT(DATE(YEAR(Invoer!$A$5),1,1)+INT((ROWS(B$2:B816)-1)/3),"jjjjmmdd")</f>
        <v>19200928</v>
      </c>
      <c r="C816" s="35" t="str">
        <f>IF(MOD(ROWS(C$2:C816)-1,3)=2,"24.00",INDEX(Data,2,2+MOD(ROWS(C$2:C816)-1,3)))</f>
        <v>14.00</v>
      </c>
      <c r="D816" s="23">
        <f t="shared" ca="1" si="90"/>
        <v>746.5</v>
      </c>
      <c r="E816" s="40">
        <f t="shared" ca="1" si="85"/>
        <v>0</v>
      </c>
      <c r="F816" s="23" t="str">
        <f t="shared" ca="1" si="86"/>
        <v>—</v>
      </c>
      <c r="G816" s="40">
        <f t="shared" ca="1" si="87"/>
        <v>7</v>
      </c>
      <c r="H816" s="23" t="str">
        <f t="shared" ca="1" si="88"/>
        <v>—</v>
      </c>
      <c r="I816" s="40">
        <f t="shared" ca="1" si="89"/>
        <v>7</v>
      </c>
    </row>
    <row r="817" spans="1:9" x14ac:dyDescent="0.25">
      <c r="A817" s="17">
        <f t="shared" si="84"/>
        <v>81</v>
      </c>
      <c r="B817" t="str">
        <f ca="1">TEXT(DATE(YEAR(Invoer!$A$5),1,1)+INT((ROWS(B$2:B817)-1)/3),"jjjjmmdd")</f>
        <v>19200928</v>
      </c>
      <c r="C817" s="35" t="str">
        <f>IF(MOD(ROWS(C$2:C817)-1,3)=2,"24.00",INDEX(Data,2,2+MOD(ROWS(C$2:C817)-1,3)))</f>
        <v>24.00</v>
      </c>
      <c r="D817" s="23" t="str">
        <f t="shared" ca="1" si="90"/>
        <v>—</v>
      </c>
      <c r="E817" s="40">
        <f t="shared" ca="1" si="85"/>
        <v>7</v>
      </c>
      <c r="F817" s="23">
        <f t="shared" ca="1" si="86"/>
        <v>28</v>
      </c>
      <c r="G817" s="40">
        <f t="shared" ca="1" si="87"/>
        <v>0</v>
      </c>
      <c r="H817" s="23">
        <f t="shared" ca="1" si="88"/>
        <v>30</v>
      </c>
      <c r="I817" s="40">
        <f t="shared" ca="1" si="89"/>
        <v>0</v>
      </c>
    </row>
    <row r="818" spans="1:9" x14ac:dyDescent="0.25">
      <c r="A818" s="17">
        <f t="shared" si="84"/>
        <v>81</v>
      </c>
      <c r="B818" t="str">
        <f ca="1">TEXT(DATE(YEAR(Invoer!$A$5),1,1)+INT((ROWS(B$2:B818)-1)/3),"jjjjmmdd")</f>
        <v>19200929</v>
      </c>
      <c r="C818" s="35" t="str">
        <f>IF(MOD(ROWS(C$2:C818)-1,3)=2,"24.00",INDEX(Data,2,2+MOD(ROWS(C$2:C818)-1,3)))</f>
        <v>08.00</v>
      </c>
      <c r="D818" s="23">
        <f t="shared" ca="1" si="90"/>
        <v>747.5</v>
      </c>
      <c r="E818" s="40">
        <f t="shared" ca="1" si="85"/>
        <v>0</v>
      </c>
      <c r="F818" s="23" t="str">
        <f t="shared" ca="1" si="86"/>
        <v>—</v>
      </c>
      <c r="G818" s="40">
        <f t="shared" ca="1" si="87"/>
        <v>7</v>
      </c>
      <c r="H818" s="23" t="str">
        <f t="shared" ca="1" si="88"/>
        <v>—</v>
      </c>
      <c r="I818" s="40">
        <f t="shared" ca="1" si="89"/>
        <v>7</v>
      </c>
    </row>
    <row r="819" spans="1:9" x14ac:dyDescent="0.25">
      <c r="A819" s="17">
        <f t="shared" si="84"/>
        <v>81</v>
      </c>
      <c r="B819" t="str">
        <f ca="1">TEXT(DATE(YEAR(Invoer!$A$5),1,1)+INT((ROWS(B$2:B819)-1)/3),"jjjjmmdd")</f>
        <v>19200929</v>
      </c>
      <c r="C819" s="35" t="str">
        <f>IF(MOD(ROWS(C$2:C819)-1,3)=2,"24.00",INDEX(Data,2,2+MOD(ROWS(C$2:C819)-1,3)))</f>
        <v>14.00</v>
      </c>
      <c r="D819" s="23">
        <f t="shared" ca="1" si="90"/>
        <v>747</v>
      </c>
      <c r="E819" s="40">
        <f t="shared" ca="1" si="85"/>
        <v>0</v>
      </c>
      <c r="F819" s="23" t="str">
        <f t="shared" ca="1" si="86"/>
        <v>—</v>
      </c>
      <c r="G819" s="40">
        <f t="shared" ca="1" si="87"/>
        <v>7</v>
      </c>
      <c r="H819" s="23" t="str">
        <f t="shared" ca="1" si="88"/>
        <v>—</v>
      </c>
      <c r="I819" s="40">
        <f t="shared" ca="1" si="89"/>
        <v>7</v>
      </c>
    </row>
    <row r="820" spans="1:9" x14ac:dyDescent="0.25">
      <c r="A820" s="17">
        <f t="shared" si="84"/>
        <v>81</v>
      </c>
      <c r="B820" t="str">
        <f ca="1">TEXT(DATE(YEAR(Invoer!$A$5),1,1)+INT((ROWS(B$2:B820)-1)/3),"jjjjmmdd")</f>
        <v>19200929</v>
      </c>
      <c r="C820" s="35" t="str">
        <f>IF(MOD(ROWS(C$2:C820)-1,3)=2,"24.00",INDEX(Data,2,2+MOD(ROWS(C$2:C820)-1,3)))</f>
        <v>24.00</v>
      </c>
      <c r="D820" s="23" t="str">
        <f t="shared" ca="1" si="90"/>
        <v>—</v>
      </c>
      <c r="E820" s="40">
        <f t="shared" ca="1" si="85"/>
        <v>7</v>
      </c>
      <c r="F820" s="23">
        <f t="shared" ca="1" si="86"/>
        <v>28</v>
      </c>
      <c r="G820" s="40">
        <f t="shared" ca="1" si="87"/>
        <v>0</v>
      </c>
      <c r="H820" s="23">
        <f t="shared" ca="1" si="88"/>
        <v>30</v>
      </c>
      <c r="I820" s="40">
        <f t="shared" ca="1" si="89"/>
        <v>0</v>
      </c>
    </row>
    <row r="821" spans="1:9" x14ac:dyDescent="0.25">
      <c r="A821" s="17">
        <f t="shared" si="84"/>
        <v>81</v>
      </c>
      <c r="B821" t="str">
        <f ca="1">TEXT(DATE(YEAR(Invoer!$A$5),1,1)+INT((ROWS(B$2:B821)-1)/3),"jjjjmmdd")</f>
        <v>19200930</v>
      </c>
      <c r="C821" s="35" t="str">
        <f>IF(MOD(ROWS(C$2:C821)-1,3)=2,"24.00",INDEX(Data,2,2+MOD(ROWS(C$2:C821)-1,3)))</f>
        <v>08.00</v>
      </c>
      <c r="D821" s="23">
        <f t="shared" ca="1" si="90"/>
        <v>748.5</v>
      </c>
      <c r="E821" s="40">
        <f t="shared" ca="1" si="85"/>
        <v>0</v>
      </c>
      <c r="F821" s="23" t="str">
        <f t="shared" ca="1" si="86"/>
        <v>—</v>
      </c>
      <c r="G821" s="40">
        <f t="shared" ca="1" si="87"/>
        <v>7</v>
      </c>
      <c r="H821" s="23" t="str">
        <f t="shared" ca="1" si="88"/>
        <v>—</v>
      </c>
      <c r="I821" s="40">
        <f t="shared" ca="1" si="89"/>
        <v>7</v>
      </c>
    </row>
    <row r="822" spans="1:9" x14ac:dyDescent="0.25">
      <c r="A822" s="17">
        <f t="shared" si="84"/>
        <v>81</v>
      </c>
      <c r="B822" t="str">
        <f ca="1">TEXT(DATE(YEAR(Invoer!$A$5),1,1)+INT((ROWS(B$2:B822)-1)/3),"jjjjmmdd")</f>
        <v>19200930</v>
      </c>
      <c r="C822" s="35" t="str">
        <f>IF(MOD(ROWS(C$2:C822)-1,3)=2,"24.00",INDEX(Data,2,2+MOD(ROWS(C$2:C822)-1,3)))</f>
        <v>14.00</v>
      </c>
      <c r="D822" s="23">
        <f t="shared" ca="1" si="90"/>
        <v>748.2</v>
      </c>
      <c r="E822" s="40">
        <f t="shared" ca="1" si="85"/>
        <v>0</v>
      </c>
      <c r="F822" s="23" t="str">
        <f t="shared" ca="1" si="86"/>
        <v>—</v>
      </c>
      <c r="G822" s="40">
        <f t="shared" ca="1" si="87"/>
        <v>7</v>
      </c>
      <c r="H822" s="23" t="str">
        <f t="shared" ca="1" si="88"/>
        <v>—</v>
      </c>
      <c r="I822" s="40">
        <f t="shared" ca="1" si="89"/>
        <v>7</v>
      </c>
    </row>
    <row r="823" spans="1:9" x14ac:dyDescent="0.25">
      <c r="A823" s="17">
        <f t="shared" si="84"/>
        <v>81</v>
      </c>
      <c r="B823" t="str">
        <f ca="1">TEXT(DATE(YEAR(Invoer!$A$5),1,1)+INT((ROWS(B$2:B823)-1)/3),"jjjjmmdd")</f>
        <v>19200930</v>
      </c>
      <c r="C823" s="35" t="str">
        <f>IF(MOD(ROWS(C$2:C823)-1,3)=2,"24.00",INDEX(Data,2,2+MOD(ROWS(C$2:C823)-1,3)))</f>
        <v>24.00</v>
      </c>
      <c r="D823" s="23" t="str">
        <f t="shared" ca="1" si="90"/>
        <v>—</v>
      </c>
      <c r="E823" s="40">
        <f t="shared" ca="1" si="85"/>
        <v>7</v>
      </c>
      <c r="F823" s="23">
        <f t="shared" ca="1" si="86"/>
        <v>29</v>
      </c>
      <c r="G823" s="40">
        <f t="shared" ca="1" si="87"/>
        <v>0</v>
      </c>
      <c r="H823" s="23">
        <f t="shared" ca="1" si="88"/>
        <v>31</v>
      </c>
      <c r="I823" s="40">
        <f t="shared" ca="1" si="89"/>
        <v>0</v>
      </c>
    </row>
    <row r="824" spans="1:9" x14ac:dyDescent="0.25">
      <c r="A824" s="17">
        <f t="shared" si="84"/>
        <v>81</v>
      </c>
      <c r="B824" t="str">
        <f ca="1">TEXT(DATE(YEAR(Invoer!$A$5),1,1)+INT((ROWS(B$2:B824)-1)/3),"jjjjmmdd")</f>
        <v>19201001</v>
      </c>
      <c r="C824" s="35" t="str">
        <f>IF(MOD(ROWS(C$2:C824)-1,3)=2,"24.00",INDEX(Data,2,2+MOD(ROWS(C$2:C824)-1,3)))</f>
        <v>08.00</v>
      </c>
      <c r="D824" s="23">
        <f t="shared" ca="1" si="90"/>
        <v>747.2</v>
      </c>
      <c r="E824" s="40">
        <f t="shared" ca="1" si="85"/>
        <v>0</v>
      </c>
      <c r="F824" s="23" t="str">
        <f t="shared" ca="1" si="86"/>
        <v>—</v>
      </c>
      <c r="G824" s="40">
        <f t="shared" ca="1" si="87"/>
        <v>7</v>
      </c>
      <c r="H824" s="23" t="str">
        <f t="shared" ca="1" si="88"/>
        <v>—</v>
      </c>
      <c r="I824" s="40">
        <f t="shared" ca="1" si="89"/>
        <v>7</v>
      </c>
    </row>
    <row r="825" spans="1:9" x14ac:dyDescent="0.25">
      <c r="A825" s="17">
        <f t="shared" si="84"/>
        <v>81</v>
      </c>
      <c r="B825" t="str">
        <f ca="1">TEXT(DATE(YEAR(Invoer!$A$5),1,1)+INT((ROWS(B$2:B825)-1)/3),"jjjjmmdd")</f>
        <v>19201001</v>
      </c>
      <c r="C825" s="35" t="str">
        <f>IF(MOD(ROWS(C$2:C825)-1,3)=2,"24.00",INDEX(Data,2,2+MOD(ROWS(C$2:C825)-1,3)))</f>
        <v>14.00</v>
      </c>
      <c r="D825" s="23">
        <f t="shared" ca="1" si="90"/>
        <v>747.6</v>
      </c>
      <c r="E825" s="40">
        <f t="shared" ca="1" si="85"/>
        <v>0</v>
      </c>
      <c r="F825" s="23" t="str">
        <f t="shared" ca="1" si="86"/>
        <v>—</v>
      </c>
      <c r="G825" s="40">
        <f t="shared" ca="1" si="87"/>
        <v>7</v>
      </c>
      <c r="H825" s="23" t="str">
        <f t="shared" ca="1" si="88"/>
        <v>—</v>
      </c>
      <c r="I825" s="40">
        <f t="shared" ca="1" si="89"/>
        <v>7</v>
      </c>
    </row>
    <row r="826" spans="1:9" x14ac:dyDescent="0.25">
      <c r="A826" s="17">
        <f t="shared" si="84"/>
        <v>81</v>
      </c>
      <c r="B826" t="str">
        <f ca="1">TEXT(DATE(YEAR(Invoer!$A$5),1,1)+INT((ROWS(B$2:B826)-1)/3),"jjjjmmdd")</f>
        <v>19201001</v>
      </c>
      <c r="C826" s="35" t="str">
        <f>IF(MOD(ROWS(C$2:C826)-1,3)=2,"24.00",INDEX(Data,2,2+MOD(ROWS(C$2:C826)-1,3)))</f>
        <v>24.00</v>
      </c>
      <c r="D826" s="23" t="str">
        <f t="shared" ca="1" si="90"/>
        <v>—</v>
      </c>
      <c r="E826" s="40">
        <f t="shared" ca="1" si="85"/>
        <v>7</v>
      </c>
      <c r="F826" s="23">
        <f t="shared" ca="1" si="86"/>
        <v>26</v>
      </c>
      <c r="G826" s="40">
        <f t="shared" ca="1" si="87"/>
        <v>0</v>
      </c>
      <c r="H826" s="23">
        <f t="shared" ca="1" si="88"/>
        <v>28</v>
      </c>
      <c r="I826" s="40">
        <f t="shared" ca="1" si="89"/>
        <v>0</v>
      </c>
    </row>
    <row r="827" spans="1:9" x14ac:dyDescent="0.25">
      <c r="A827" s="17">
        <f t="shared" si="84"/>
        <v>81</v>
      </c>
      <c r="B827" t="str">
        <f ca="1">TEXT(DATE(YEAR(Invoer!$A$5),1,1)+INT((ROWS(B$2:B827)-1)/3),"jjjjmmdd")</f>
        <v>19201002</v>
      </c>
      <c r="C827" s="35" t="str">
        <f>IF(MOD(ROWS(C$2:C827)-1,3)=2,"24.00",INDEX(Data,2,2+MOD(ROWS(C$2:C827)-1,3)))</f>
        <v>08.00</v>
      </c>
      <c r="D827" s="23">
        <f t="shared" ca="1" si="90"/>
        <v>748</v>
      </c>
      <c r="E827" s="40">
        <f t="shared" ca="1" si="85"/>
        <v>0</v>
      </c>
      <c r="F827" s="23" t="str">
        <f t="shared" ca="1" si="86"/>
        <v>—</v>
      </c>
      <c r="G827" s="40">
        <f t="shared" ca="1" si="87"/>
        <v>7</v>
      </c>
      <c r="H827" s="23" t="str">
        <f t="shared" ca="1" si="88"/>
        <v>—</v>
      </c>
      <c r="I827" s="40">
        <f t="shared" ca="1" si="89"/>
        <v>7</v>
      </c>
    </row>
    <row r="828" spans="1:9" x14ac:dyDescent="0.25">
      <c r="A828" s="17">
        <f t="shared" si="84"/>
        <v>81</v>
      </c>
      <c r="B828" t="str">
        <f ca="1">TEXT(DATE(YEAR(Invoer!$A$5),1,1)+INT((ROWS(B$2:B828)-1)/3),"jjjjmmdd")</f>
        <v>19201002</v>
      </c>
      <c r="C828" s="35" t="str">
        <f>IF(MOD(ROWS(C$2:C828)-1,3)=2,"24.00",INDEX(Data,2,2+MOD(ROWS(C$2:C828)-1,3)))</f>
        <v>14.00</v>
      </c>
      <c r="D828" s="23">
        <f t="shared" ca="1" si="90"/>
        <v>747.7</v>
      </c>
      <c r="E828" s="40">
        <f t="shared" ca="1" si="85"/>
        <v>0</v>
      </c>
      <c r="F828" s="23" t="str">
        <f t="shared" ca="1" si="86"/>
        <v>—</v>
      </c>
      <c r="G828" s="40">
        <f t="shared" ca="1" si="87"/>
        <v>7</v>
      </c>
      <c r="H828" s="23" t="str">
        <f t="shared" ca="1" si="88"/>
        <v>—</v>
      </c>
      <c r="I828" s="40">
        <f t="shared" ca="1" si="89"/>
        <v>7</v>
      </c>
    </row>
    <row r="829" spans="1:9" x14ac:dyDescent="0.25">
      <c r="A829" s="17">
        <f t="shared" si="84"/>
        <v>81</v>
      </c>
      <c r="B829" t="str">
        <f ca="1">TEXT(DATE(YEAR(Invoer!$A$5),1,1)+INT((ROWS(B$2:B829)-1)/3),"jjjjmmdd")</f>
        <v>19201002</v>
      </c>
      <c r="C829" s="35" t="str">
        <f>IF(MOD(ROWS(C$2:C829)-1,3)=2,"24.00",INDEX(Data,2,2+MOD(ROWS(C$2:C829)-1,3)))</f>
        <v>24.00</v>
      </c>
      <c r="D829" s="23" t="str">
        <f t="shared" ca="1" si="90"/>
        <v>—</v>
      </c>
      <c r="E829" s="40">
        <f t="shared" ca="1" si="85"/>
        <v>7</v>
      </c>
      <c r="F829" s="23">
        <f t="shared" ca="1" si="86"/>
        <v>27.5</v>
      </c>
      <c r="G829" s="40">
        <f t="shared" ca="1" si="87"/>
        <v>0</v>
      </c>
      <c r="H829" s="23">
        <f t="shared" ca="1" si="88"/>
        <v>31</v>
      </c>
      <c r="I829" s="40">
        <f t="shared" ca="1" si="89"/>
        <v>0</v>
      </c>
    </row>
    <row r="830" spans="1:9" x14ac:dyDescent="0.25">
      <c r="A830" s="17">
        <f t="shared" si="84"/>
        <v>81</v>
      </c>
      <c r="B830" t="str">
        <f ca="1">TEXT(DATE(YEAR(Invoer!$A$5),1,1)+INT((ROWS(B$2:B830)-1)/3),"jjjjmmdd")</f>
        <v>19201003</v>
      </c>
      <c r="C830" s="35" t="str">
        <f>IF(MOD(ROWS(C$2:C830)-1,3)=2,"24.00",INDEX(Data,2,2+MOD(ROWS(C$2:C830)-1,3)))</f>
        <v>08.00</v>
      </c>
      <c r="D830" s="23">
        <f t="shared" ca="1" si="90"/>
        <v>749</v>
      </c>
      <c r="E830" s="40">
        <f t="shared" ca="1" si="85"/>
        <v>0</v>
      </c>
      <c r="F830" s="23" t="str">
        <f t="shared" ca="1" si="86"/>
        <v>—</v>
      </c>
      <c r="G830" s="40">
        <f t="shared" ca="1" si="87"/>
        <v>7</v>
      </c>
      <c r="H830" s="23" t="str">
        <f t="shared" ca="1" si="88"/>
        <v>—</v>
      </c>
      <c r="I830" s="40">
        <f t="shared" ca="1" si="89"/>
        <v>7</v>
      </c>
    </row>
    <row r="831" spans="1:9" x14ac:dyDescent="0.25">
      <c r="A831" s="17">
        <f t="shared" si="84"/>
        <v>81</v>
      </c>
      <c r="B831" t="str">
        <f ca="1">TEXT(DATE(YEAR(Invoer!$A$5),1,1)+INT((ROWS(B$2:B831)-1)/3),"jjjjmmdd")</f>
        <v>19201003</v>
      </c>
      <c r="C831" s="35" t="str">
        <f>IF(MOD(ROWS(C$2:C831)-1,3)=2,"24.00",INDEX(Data,2,2+MOD(ROWS(C$2:C831)-1,3)))</f>
        <v>14.00</v>
      </c>
      <c r="D831" s="23">
        <f t="shared" ca="1" si="90"/>
        <v>748.5</v>
      </c>
      <c r="E831" s="40">
        <f t="shared" ca="1" si="85"/>
        <v>0</v>
      </c>
      <c r="F831" s="23" t="str">
        <f t="shared" ca="1" si="86"/>
        <v>—</v>
      </c>
      <c r="G831" s="40">
        <f t="shared" ca="1" si="87"/>
        <v>7</v>
      </c>
      <c r="H831" s="23" t="str">
        <f t="shared" ca="1" si="88"/>
        <v>—</v>
      </c>
      <c r="I831" s="40">
        <f t="shared" ca="1" si="89"/>
        <v>7</v>
      </c>
    </row>
    <row r="832" spans="1:9" x14ac:dyDescent="0.25">
      <c r="A832" s="17">
        <f t="shared" si="84"/>
        <v>81</v>
      </c>
      <c r="B832" t="str">
        <f ca="1">TEXT(DATE(YEAR(Invoer!$A$5),1,1)+INT((ROWS(B$2:B832)-1)/3),"jjjjmmdd")</f>
        <v>19201003</v>
      </c>
      <c r="C832" s="35" t="str">
        <f>IF(MOD(ROWS(C$2:C832)-1,3)=2,"24.00",INDEX(Data,2,2+MOD(ROWS(C$2:C832)-1,3)))</f>
        <v>24.00</v>
      </c>
      <c r="D832" s="23" t="str">
        <f t="shared" ca="1" si="90"/>
        <v>—</v>
      </c>
      <c r="E832" s="40">
        <f t="shared" ca="1" si="85"/>
        <v>7</v>
      </c>
      <c r="F832" s="23">
        <f t="shared" ca="1" si="86"/>
        <v>28</v>
      </c>
      <c r="G832" s="40">
        <f t="shared" ca="1" si="87"/>
        <v>0</v>
      </c>
      <c r="H832" s="23">
        <f t="shared" ca="1" si="88"/>
        <v>31</v>
      </c>
      <c r="I832" s="40">
        <f t="shared" ca="1" si="89"/>
        <v>0</v>
      </c>
    </row>
    <row r="833" spans="1:9" x14ac:dyDescent="0.25">
      <c r="A833" s="17">
        <f t="shared" si="84"/>
        <v>81</v>
      </c>
      <c r="B833" t="str">
        <f ca="1">TEXT(DATE(YEAR(Invoer!$A$5),1,1)+INT((ROWS(B$2:B833)-1)/3),"jjjjmmdd")</f>
        <v>19201004</v>
      </c>
      <c r="C833" s="35" t="str">
        <f>IF(MOD(ROWS(C$2:C833)-1,3)=2,"24.00",INDEX(Data,2,2+MOD(ROWS(C$2:C833)-1,3)))</f>
        <v>08.00</v>
      </c>
      <c r="D833" s="23">
        <f t="shared" ca="1" si="90"/>
        <v>749.5</v>
      </c>
      <c r="E833" s="40">
        <f t="shared" ca="1" si="85"/>
        <v>0</v>
      </c>
      <c r="F833" s="23" t="str">
        <f t="shared" ca="1" si="86"/>
        <v>—</v>
      </c>
      <c r="G833" s="40">
        <f t="shared" ca="1" si="87"/>
        <v>7</v>
      </c>
      <c r="H833" s="23" t="str">
        <f t="shared" ca="1" si="88"/>
        <v>—</v>
      </c>
      <c r="I833" s="40">
        <f t="shared" ca="1" si="89"/>
        <v>7</v>
      </c>
    </row>
    <row r="834" spans="1:9" x14ac:dyDescent="0.25">
      <c r="A834" s="17">
        <f t="shared" ref="A834:A897" si="91">INDEX(Stations,2,1)</f>
        <v>81</v>
      </c>
      <c r="B834" t="str">
        <f ca="1">TEXT(DATE(YEAR(Invoer!$A$5),1,1)+INT((ROWS(B$2:B834)-1)/3),"jjjjmmdd")</f>
        <v>19201004</v>
      </c>
      <c r="C834" s="35" t="str">
        <f>IF(MOD(ROWS(C$2:C834)-1,3)=2,"24.00",INDEX(Data,2,2+MOD(ROWS(C$2:C834)-1,3)))</f>
        <v>14.00</v>
      </c>
      <c r="D834" s="23">
        <f t="shared" ca="1" si="90"/>
        <v>748</v>
      </c>
      <c r="E834" s="40">
        <f t="shared" ref="E834:E897" ca="1" si="92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 t="str">
        <f t="shared" ref="F834:F897" ca="1" si="93">IF(OR(ISBLANK(VLOOKUP(DATEVALUE(LEFT($B834,4)&amp;"-"&amp;MID($B834,5,2)&amp;"-"&amp;RIGHT($B834,2)),Data,MATCH(LEFT(VLOOKUP(F$1,Parameters,2,FALSE()),4)&amp;"*",OFFSET(Data,1,0,1),0),FALSE())),ISTEXT(VLOOKUP(DATEVALUE(LEFT($B834,4)&amp;"-"&amp;MID($B834,5,2)&amp;"-"&amp;RIGHT($B834,2)),Data,MATCH(LEFT(VLOOKUP(F$1,Parameters,2,FALSE()),4)&amp;"*",OFFSET(Data,1,0,1),0),FALSE())),NOT(EXACT($C834,"24.00"))),"—",VLOOKUP(DATEVALUE(LEFT($B834,4)&amp;"-"&amp;MID($B834,5,2)&amp;"-"&amp;RIGHT($B834,2)),Data,MATCH(LEFT(VLOOKUP(F$1,Parameters,2,FALSE()),4)&amp;"*",OFFSET(Data,1,0,1),0),FALSE()))</f>
        <v>—</v>
      </c>
      <c r="G834" s="40">
        <f t="shared" ref="G834:G897" ca="1" si="94">IF(OR(ISBLANK(VLOOKUP(DATEVALUE(LEFT($B834,4)&amp;"-"&amp;MID($B834,5,2)&amp;"-"&amp;RIGHT($B834,2)),Data,MATCH(LEFT(VLOOKUP(MID(G$1,2,LEN(G$1)-1),Parameters,2,FALSE()),4)&amp;"*",OFFSET(Data,1,0,1),0),FALSE())),ISTEXT(VLOOKUP(DATEVALUE(LEFT($B834,4)&amp;"-"&amp;MID($B834,5,2)&amp;"-"&amp;RIGHT($B834,2)),Data,MATCH(LEFT(VLOOKUP(MID(G$1,2,LEN(G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1,0,1),0),FALSE())))</f>
        <v>7</v>
      </c>
      <c r="H834" s="23" t="str">
        <f t="shared" ref="H834:H897" ca="1" si="95">IF(OR(ISBLANK(VLOOKUP(DATEVALUE(LEFT($B834,4)&amp;"-"&amp;MID($B834,5,2)&amp;"-"&amp;RIGHT($B834,2)),Data,MATCH(LEFT(VLOOKUP(H$1,Parameters,2,FALSE()),4)&amp;"*",OFFSET(Data,1,0,1),0),FALSE())),ISTEXT(VLOOKUP(DATEVALUE(LEFT($B834,4)&amp;"-"&amp;MID($B834,5,2)&amp;"-"&amp;RIGHT($B834,2)),Data,MATCH(LEFT(VLOOKUP(H$1,Parameters,2,FALSE()),4)&amp;"*",OFFSET(Data,1,0,1),0),FALSE())),NOT(EXACT($C834,"24.00"))),"—",VLOOKUP(DATEVALUE(LEFT($B834,4)&amp;"-"&amp;MID($B834,5,2)&amp;"-"&amp;RIGHT($B834,2)),Data,MATCH(LEFT(VLOOKUP(H$1,Parameters,2,FALSE()),4)&amp;"*",OFFSET(Data,1,0,1),0),FALSE()))</f>
        <v>—</v>
      </c>
      <c r="I834" s="40">
        <f t="shared" ref="I834:I897" ca="1" si="96">IF(OR(ISBLANK(VLOOKUP(DATEVALUE(LEFT($B834,4)&amp;"-"&amp;MID($B834,5,2)&amp;"-"&amp;RIGHT($B834,2)),Data,MATCH(LEFT(VLOOKUP(MID(I$1,2,LEN(I$1)-1),Parameters,2,FALSE()),4)&amp;"*",OFFSET(Data,1,0,1),0),FALSE())),ISTEXT(VLOOKUP(DATEVALUE(LEFT($B834,4)&amp;"-"&amp;MID($B834,5,2)&amp;"-"&amp;RIGHT($B834,2)),Data,MATCH(LEFT(VLOOKUP(MID(I$1,2,LEN(I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I$1,2,LEN(I$1)-1),Parameters,2,FALSE()),4)&amp;"*",OFFSET(Catalogus,1,0,1),0),FALSE())))</f>
        <v>7</v>
      </c>
    </row>
    <row r="835" spans="1:9" x14ac:dyDescent="0.25">
      <c r="A835" s="17">
        <f t="shared" si="91"/>
        <v>81</v>
      </c>
      <c r="B835" t="str">
        <f ca="1">TEXT(DATE(YEAR(Invoer!$A$5),1,1)+INT((ROWS(B$2:B835)-1)/3),"jjjjmmdd")</f>
        <v>19201004</v>
      </c>
      <c r="C835" s="35" t="str">
        <f>IF(MOD(ROWS(C$2:C835)-1,3)=2,"24.00",INDEX(Data,2,2+MOD(ROWS(C$2:C835)-1,3)))</f>
        <v>24.00</v>
      </c>
      <c r="D835" s="23" t="str">
        <f t="shared" ref="D835:D898" ca="1" si="97">IF(OR(ISBLANK(VLOOKUP(DATEVALUE(LEFT($B835,4)&amp;"-"&amp;MID($B835,5,2)&amp;"-"&amp;RIGHT($B835,2)),Data,MATCH(LEFT(VLOOKUP(D$1,Parameters,2,FALSE()),4)&amp;"*",OFFSET(Data,0,0,1),0)+MATCH($C835,OFFSET(Data,1,0,1),0)-2,FALSE())),ISTEXT(VLOOKUP(DATEVALUE(LEFT($B835,4)&amp;"-"&amp;MID($B835,5,2)&amp;"-"&amp;RIGHT($B835,2)),Data,MATCH(LEFT(VLOOKUP(D$1,Parameters,2,FALSE()),4)&amp;"*",OFFSET(Data,0,0,1),0)+MATCH($C835,OFFSET(Data,1,0,1),0)-2,FALSE())),EXACT(C835,"24.00")),"—",VLOOKUP(DATEVALUE(LEFT($B835,4)&amp;"-"&amp;MID($B835,5,2)&amp;"-"&amp;RIGHT($B835,2)),Data,MATCH(LEFT(VLOOKUP(D$1,Parameters,2,FALSE()),4)&amp;"*",OFFSET(Data,0,0,1),0)+MATCH($C835,OFFSET(Data,1,0,1),0)-2,FALSE()))</f>
        <v>—</v>
      </c>
      <c r="E835" s="40">
        <f t="shared" ca="1" si="92"/>
        <v>7</v>
      </c>
      <c r="F835" s="23">
        <f t="shared" ca="1" si="93"/>
        <v>29</v>
      </c>
      <c r="G835" s="40">
        <f t="shared" ca="1" si="94"/>
        <v>0</v>
      </c>
      <c r="H835" s="23">
        <f t="shared" ca="1" si="95"/>
        <v>32</v>
      </c>
      <c r="I835" s="40">
        <f t="shared" ca="1" si="96"/>
        <v>0</v>
      </c>
    </row>
    <row r="836" spans="1:9" x14ac:dyDescent="0.25">
      <c r="A836" s="17">
        <f t="shared" si="91"/>
        <v>81</v>
      </c>
      <c r="B836" t="str">
        <f ca="1">TEXT(DATE(YEAR(Invoer!$A$5),1,1)+INT((ROWS(B$2:B836)-1)/3),"jjjjmmdd")</f>
        <v>19201005</v>
      </c>
      <c r="C836" s="35" t="str">
        <f>IF(MOD(ROWS(C$2:C836)-1,3)=2,"24.00",INDEX(Data,2,2+MOD(ROWS(C$2:C836)-1,3)))</f>
        <v>08.00</v>
      </c>
      <c r="D836" s="23">
        <f t="shared" ca="1" si="97"/>
        <v>749.7</v>
      </c>
      <c r="E836" s="40">
        <f t="shared" ca="1" si="92"/>
        <v>0</v>
      </c>
      <c r="F836" s="23" t="str">
        <f t="shared" ca="1" si="93"/>
        <v>—</v>
      </c>
      <c r="G836" s="40">
        <f t="shared" ca="1" si="94"/>
        <v>7</v>
      </c>
      <c r="H836" s="23" t="str">
        <f t="shared" ca="1" si="95"/>
        <v>—</v>
      </c>
      <c r="I836" s="40">
        <f t="shared" ca="1" si="96"/>
        <v>7</v>
      </c>
    </row>
    <row r="837" spans="1:9" x14ac:dyDescent="0.25">
      <c r="A837" s="17">
        <f t="shared" si="91"/>
        <v>81</v>
      </c>
      <c r="B837" t="str">
        <f ca="1">TEXT(DATE(YEAR(Invoer!$A$5),1,1)+INT((ROWS(B$2:B837)-1)/3),"jjjjmmdd")</f>
        <v>19201005</v>
      </c>
      <c r="C837" s="35" t="str">
        <f>IF(MOD(ROWS(C$2:C837)-1,3)=2,"24.00",INDEX(Data,2,2+MOD(ROWS(C$2:C837)-1,3)))</f>
        <v>14.00</v>
      </c>
      <c r="D837" s="23">
        <f t="shared" ca="1" si="97"/>
        <v>748.2</v>
      </c>
      <c r="E837" s="40">
        <f t="shared" ca="1" si="92"/>
        <v>0</v>
      </c>
      <c r="F837" s="23" t="str">
        <f t="shared" ca="1" si="93"/>
        <v>—</v>
      </c>
      <c r="G837" s="40">
        <f t="shared" ca="1" si="94"/>
        <v>7</v>
      </c>
      <c r="H837" s="23" t="str">
        <f t="shared" ca="1" si="95"/>
        <v>—</v>
      </c>
      <c r="I837" s="40">
        <f t="shared" ca="1" si="96"/>
        <v>7</v>
      </c>
    </row>
    <row r="838" spans="1:9" x14ac:dyDescent="0.25">
      <c r="A838" s="17">
        <f t="shared" si="91"/>
        <v>81</v>
      </c>
      <c r="B838" t="str">
        <f ca="1">TEXT(DATE(YEAR(Invoer!$A$5),1,1)+INT((ROWS(B$2:B838)-1)/3),"jjjjmmdd")</f>
        <v>19201005</v>
      </c>
      <c r="C838" s="35" t="str">
        <f>IF(MOD(ROWS(C$2:C838)-1,3)=2,"24.00",INDEX(Data,2,2+MOD(ROWS(C$2:C838)-1,3)))</f>
        <v>24.00</v>
      </c>
      <c r="D838" s="23" t="str">
        <f t="shared" ca="1" si="97"/>
        <v>—</v>
      </c>
      <c r="E838" s="40">
        <f t="shared" ca="1" si="92"/>
        <v>7</v>
      </c>
      <c r="F838" s="23">
        <f t="shared" ca="1" si="93"/>
        <v>29</v>
      </c>
      <c r="G838" s="40">
        <f t="shared" ca="1" si="94"/>
        <v>0</v>
      </c>
      <c r="H838" s="23">
        <f t="shared" ca="1" si="95"/>
        <v>31</v>
      </c>
      <c r="I838" s="40">
        <f t="shared" ca="1" si="96"/>
        <v>0</v>
      </c>
    </row>
    <row r="839" spans="1:9" x14ac:dyDescent="0.25">
      <c r="A839" s="17">
        <f t="shared" si="91"/>
        <v>81</v>
      </c>
      <c r="B839" t="str">
        <f ca="1">TEXT(DATE(YEAR(Invoer!$A$5),1,1)+INT((ROWS(B$2:B839)-1)/3),"jjjjmmdd")</f>
        <v>19201006</v>
      </c>
      <c r="C839" s="35" t="str">
        <f>IF(MOD(ROWS(C$2:C839)-1,3)=2,"24.00",INDEX(Data,2,2+MOD(ROWS(C$2:C839)-1,3)))</f>
        <v>08.00</v>
      </c>
      <c r="D839" s="23">
        <f t="shared" ca="1" si="97"/>
        <v>746.8</v>
      </c>
      <c r="E839" s="40">
        <f t="shared" ca="1" si="92"/>
        <v>0</v>
      </c>
      <c r="F839" s="23" t="str">
        <f t="shared" ca="1" si="93"/>
        <v>—</v>
      </c>
      <c r="G839" s="40">
        <f t="shared" ca="1" si="94"/>
        <v>7</v>
      </c>
      <c r="H839" s="23" t="str">
        <f t="shared" ca="1" si="95"/>
        <v>—</v>
      </c>
      <c r="I839" s="40">
        <f t="shared" ca="1" si="96"/>
        <v>7</v>
      </c>
    </row>
    <row r="840" spans="1:9" x14ac:dyDescent="0.25">
      <c r="A840" s="17">
        <f t="shared" si="91"/>
        <v>81</v>
      </c>
      <c r="B840" t="str">
        <f ca="1">TEXT(DATE(YEAR(Invoer!$A$5),1,1)+INT((ROWS(B$2:B840)-1)/3),"jjjjmmdd")</f>
        <v>19201006</v>
      </c>
      <c r="C840" s="35" t="str">
        <f>IF(MOD(ROWS(C$2:C840)-1,3)=2,"24.00",INDEX(Data,2,2+MOD(ROWS(C$2:C840)-1,3)))</f>
        <v>14.00</v>
      </c>
      <c r="D840" s="23">
        <f t="shared" ca="1" si="97"/>
        <v>746.5</v>
      </c>
      <c r="E840" s="40">
        <f t="shared" ca="1" si="92"/>
        <v>0</v>
      </c>
      <c r="F840" s="23" t="str">
        <f t="shared" ca="1" si="93"/>
        <v>—</v>
      </c>
      <c r="G840" s="40">
        <f t="shared" ca="1" si="94"/>
        <v>7</v>
      </c>
      <c r="H840" s="23" t="str">
        <f t="shared" ca="1" si="95"/>
        <v>—</v>
      </c>
      <c r="I840" s="40">
        <f t="shared" ca="1" si="96"/>
        <v>7</v>
      </c>
    </row>
    <row r="841" spans="1:9" x14ac:dyDescent="0.25">
      <c r="A841" s="17">
        <f t="shared" si="91"/>
        <v>81</v>
      </c>
      <c r="B841" t="str">
        <f ca="1">TEXT(DATE(YEAR(Invoer!$A$5),1,1)+INT((ROWS(B$2:B841)-1)/3),"jjjjmmdd")</f>
        <v>19201006</v>
      </c>
      <c r="C841" s="35" t="str">
        <f>IF(MOD(ROWS(C$2:C841)-1,3)=2,"24.00",INDEX(Data,2,2+MOD(ROWS(C$2:C841)-1,3)))</f>
        <v>24.00</v>
      </c>
      <c r="D841" s="23" t="str">
        <f t="shared" ca="1" si="97"/>
        <v>—</v>
      </c>
      <c r="E841" s="40">
        <f t="shared" ca="1" si="92"/>
        <v>7</v>
      </c>
      <c r="F841" s="23">
        <f t="shared" ca="1" si="93"/>
        <v>28.3</v>
      </c>
      <c r="G841" s="40">
        <f t="shared" ca="1" si="94"/>
        <v>0</v>
      </c>
      <c r="H841" s="23">
        <f t="shared" ca="1" si="95"/>
        <v>30</v>
      </c>
      <c r="I841" s="40">
        <f t="shared" ca="1" si="96"/>
        <v>0</v>
      </c>
    </row>
    <row r="842" spans="1:9" x14ac:dyDescent="0.25">
      <c r="A842" s="17">
        <f t="shared" si="91"/>
        <v>81</v>
      </c>
      <c r="B842" t="str">
        <f ca="1">TEXT(DATE(YEAR(Invoer!$A$5),1,1)+INT((ROWS(B$2:B842)-1)/3),"jjjjmmdd")</f>
        <v>19201007</v>
      </c>
      <c r="C842" s="35" t="str">
        <f>IF(MOD(ROWS(C$2:C842)-1,3)=2,"24.00",INDEX(Data,2,2+MOD(ROWS(C$2:C842)-1,3)))</f>
        <v>08.00</v>
      </c>
      <c r="D842" s="23">
        <f t="shared" ca="1" si="97"/>
        <v>746</v>
      </c>
      <c r="E842" s="40">
        <f t="shared" ca="1" si="92"/>
        <v>0</v>
      </c>
      <c r="F842" s="23" t="str">
        <f t="shared" ca="1" si="93"/>
        <v>—</v>
      </c>
      <c r="G842" s="40">
        <f t="shared" ca="1" si="94"/>
        <v>7</v>
      </c>
      <c r="H842" s="23" t="str">
        <f t="shared" ca="1" si="95"/>
        <v>—</v>
      </c>
      <c r="I842" s="40">
        <f t="shared" ca="1" si="96"/>
        <v>7</v>
      </c>
    </row>
    <row r="843" spans="1:9" x14ac:dyDescent="0.25">
      <c r="A843" s="17">
        <f t="shared" si="91"/>
        <v>81</v>
      </c>
      <c r="B843" t="str">
        <f ca="1">TEXT(DATE(YEAR(Invoer!$A$5),1,1)+INT((ROWS(B$2:B843)-1)/3),"jjjjmmdd")</f>
        <v>19201007</v>
      </c>
      <c r="C843" s="35" t="str">
        <f>IF(MOD(ROWS(C$2:C843)-1,3)=2,"24.00",INDEX(Data,2,2+MOD(ROWS(C$2:C843)-1,3)))</f>
        <v>14.00</v>
      </c>
      <c r="D843" s="23">
        <f t="shared" ca="1" si="97"/>
        <v>746.3</v>
      </c>
      <c r="E843" s="40">
        <f t="shared" ca="1" si="92"/>
        <v>0</v>
      </c>
      <c r="F843" s="23" t="str">
        <f t="shared" ca="1" si="93"/>
        <v>—</v>
      </c>
      <c r="G843" s="40">
        <f t="shared" ca="1" si="94"/>
        <v>7</v>
      </c>
      <c r="H843" s="23" t="str">
        <f t="shared" ca="1" si="95"/>
        <v>—</v>
      </c>
      <c r="I843" s="40">
        <f t="shared" ca="1" si="96"/>
        <v>7</v>
      </c>
    </row>
    <row r="844" spans="1:9" x14ac:dyDescent="0.25">
      <c r="A844" s="17">
        <f t="shared" si="91"/>
        <v>81</v>
      </c>
      <c r="B844" t="str">
        <f ca="1">TEXT(DATE(YEAR(Invoer!$A$5),1,1)+INT((ROWS(B$2:B844)-1)/3),"jjjjmmdd")</f>
        <v>19201007</v>
      </c>
      <c r="C844" s="35" t="str">
        <f>IF(MOD(ROWS(C$2:C844)-1,3)=2,"24.00",INDEX(Data,2,2+MOD(ROWS(C$2:C844)-1,3)))</f>
        <v>24.00</v>
      </c>
      <c r="D844" s="23" t="str">
        <f t="shared" ca="1" si="97"/>
        <v>—</v>
      </c>
      <c r="E844" s="40">
        <f t="shared" ca="1" si="92"/>
        <v>7</v>
      </c>
      <c r="F844" s="23">
        <f t="shared" ca="1" si="93"/>
        <v>29.3</v>
      </c>
      <c r="G844" s="40">
        <f t="shared" ca="1" si="94"/>
        <v>0</v>
      </c>
      <c r="H844" s="23">
        <f t="shared" ca="1" si="95"/>
        <v>31</v>
      </c>
      <c r="I844" s="40">
        <f t="shared" ca="1" si="96"/>
        <v>0</v>
      </c>
    </row>
    <row r="845" spans="1:9" x14ac:dyDescent="0.25">
      <c r="A845" s="17">
        <f t="shared" si="91"/>
        <v>81</v>
      </c>
      <c r="B845" t="str">
        <f ca="1">TEXT(DATE(YEAR(Invoer!$A$5),1,1)+INT((ROWS(B$2:B845)-1)/3),"jjjjmmdd")</f>
        <v>19201008</v>
      </c>
      <c r="C845" s="35" t="str">
        <f>IF(MOD(ROWS(C$2:C845)-1,3)=2,"24.00",INDEX(Data,2,2+MOD(ROWS(C$2:C845)-1,3)))</f>
        <v>08.00</v>
      </c>
      <c r="D845" s="23">
        <f t="shared" ca="1" si="97"/>
        <v>746.5</v>
      </c>
      <c r="E845" s="40">
        <f t="shared" ca="1" si="92"/>
        <v>0</v>
      </c>
      <c r="F845" s="23" t="str">
        <f t="shared" ca="1" si="93"/>
        <v>—</v>
      </c>
      <c r="G845" s="40">
        <f t="shared" ca="1" si="94"/>
        <v>7</v>
      </c>
      <c r="H845" s="23" t="str">
        <f t="shared" ca="1" si="95"/>
        <v>—</v>
      </c>
      <c r="I845" s="40">
        <f t="shared" ca="1" si="96"/>
        <v>7</v>
      </c>
    </row>
    <row r="846" spans="1:9" x14ac:dyDescent="0.25">
      <c r="A846" s="17">
        <f t="shared" si="91"/>
        <v>81</v>
      </c>
      <c r="B846" t="str">
        <f ca="1">TEXT(DATE(YEAR(Invoer!$A$5),1,1)+INT((ROWS(B$2:B846)-1)/3),"jjjjmmdd")</f>
        <v>19201008</v>
      </c>
      <c r="C846" s="35" t="str">
        <f>IF(MOD(ROWS(C$2:C846)-1,3)=2,"24.00",INDEX(Data,2,2+MOD(ROWS(C$2:C846)-1,3)))</f>
        <v>14.00</v>
      </c>
      <c r="D846" s="23">
        <f t="shared" ca="1" si="97"/>
        <v>746.3</v>
      </c>
      <c r="E846" s="40">
        <f t="shared" ca="1" si="92"/>
        <v>0</v>
      </c>
      <c r="F846" s="23" t="str">
        <f t="shared" ca="1" si="93"/>
        <v>—</v>
      </c>
      <c r="G846" s="40">
        <f t="shared" ca="1" si="94"/>
        <v>7</v>
      </c>
      <c r="H846" s="23" t="str">
        <f t="shared" ca="1" si="95"/>
        <v>—</v>
      </c>
      <c r="I846" s="40">
        <f t="shared" ca="1" si="96"/>
        <v>7</v>
      </c>
    </row>
    <row r="847" spans="1:9" x14ac:dyDescent="0.25">
      <c r="A847" s="17">
        <f t="shared" si="91"/>
        <v>81</v>
      </c>
      <c r="B847" t="str">
        <f ca="1">TEXT(DATE(YEAR(Invoer!$A$5),1,1)+INT((ROWS(B$2:B847)-1)/3),"jjjjmmdd")</f>
        <v>19201008</v>
      </c>
      <c r="C847" s="35" t="str">
        <f>IF(MOD(ROWS(C$2:C847)-1,3)=2,"24.00",INDEX(Data,2,2+MOD(ROWS(C$2:C847)-1,3)))</f>
        <v>24.00</v>
      </c>
      <c r="D847" s="23" t="str">
        <f t="shared" ca="1" si="97"/>
        <v>—</v>
      </c>
      <c r="E847" s="40">
        <f t="shared" ca="1" si="92"/>
        <v>7</v>
      </c>
      <c r="F847" s="23">
        <f t="shared" ca="1" si="93"/>
        <v>28.8</v>
      </c>
      <c r="G847" s="40">
        <f t="shared" ca="1" si="94"/>
        <v>0</v>
      </c>
      <c r="H847" s="23">
        <f t="shared" ca="1" si="95"/>
        <v>30.8</v>
      </c>
      <c r="I847" s="40">
        <f t="shared" ca="1" si="96"/>
        <v>0</v>
      </c>
    </row>
    <row r="848" spans="1:9" x14ac:dyDescent="0.25">
      <c r="A848" s="17">
        <f t="shared" si="91"/>
        <v>81</v>
      </c>
      <c r="B848" t="str">
        <f ca="1">TEXT(DATE(YEAR(Invoer!$A$5),1,1)+INT((ROWS(B$2:B848)-1)/3),"jjjjmmdd")</f>
        <v>19201009</v>
      </c>
      <c r="C848" s="35" t="str">
        <f>IF(MOD(ROWS(C$2:C848)-1,3)=2,"24.00",INDEX(Data,2,2+MOD(ROWS(C$2:C848)-1,3)))</f>
        <v>08.00</v>
      </c>
      <c r="D848" s="23">
        <f t="shared" ca="1" si="97"/>
        <v>748.5</v>
      </c>
      <c r="E848" s="40">
        <f t="shared" ca="1" si="92"/>
        <v>0</v>
      </c>
      <c r="F848" s="23" t="str">
        <f t="shared" ca="1" si="93"/>
        <v>—</v>
      </c>
      <c r="G848" s="40">
        <f t="shared" ca="1" si="94"/>
        <v>7</v>
      </c>
      <c r="H848" s="23" t="str">
        <f t="shared" ca="1" si="95"/>
        <v>—</v>
      </c>
      <c r="I848" s="40">
        <f t="shared" ca="1" si="96"/>
        <v>7</v>
      </c>
    </row>
    <row r="849" spans="1:9" x14ac:dyDescent="0.25">
      <c r="A849" s="17">
        <f t="shared" si="91"/>
        <v>81</v>
      </c>
      <c r="B849" t="str">
        <f ca="1">TEXT(DATE(YEAR(Invoer!$A$5),1,1)+INT((ROWS(B$2:B849)-1)/3),"jjjjmmdd")</f>
        <v>19201009</v>
      </c>
      <c r="C849" s="35" t="str">
        <f>IF(MOD(ROWS(C$2:C849)-1,3)=2,"24.00",INDEX(Data,2,2+MOD(ROWS(C$2:C849)-1,3)))</f>
        <v>14.00</v>
      </c>
      <c r="D849" s="23">
        <f t="shared" ca="1" si="97"/>
        <v>747</v>
      </c>
      <c r="E849" s="40">
        <f t="shared" ca="1" si="92"/>
        <v>0</v>
      </c>
      <c r="F849" s="23" t="str">
        <f t="shared" ca="1" si="93"/>
        <v>—</v>
      </c>
      <c r="G849" s="40">
        <f t="shared" ca="1" si="94"/>
        <v>7</v>
      </c>
      <c r="H849" s="23" t="str">
        <f t="shared" ca="1" si="95"/>
        <v>—</v>
      </c>
      <c r="I849" s="40">
        <f t="shared" ca="1" si="96"/>
        <v>7</v>
      </c>
    </row>
    <row r="850" spans="1:9" x14ac:dyDescent="0.25">
      <c r="A850" s="17">
        <f t="shared" si="91"/>
        <v>81</v>
      </c>
      <c r="B850" t="str">
        <f ca="1">TEXT(DATE(YEAR(Invoer!$A$5),1,1)+INT((ROWS(B$2:B850)-1)/3),"jjjjmmdd")</f>
        <v>19201009</v>
      </c>
      <c r="C850" s="35" t="str">
        <f>IF(MOD(ROWS(C$2:C850)-1,3)=2,"24.00",INDEX(Data,2,2+MOD(ROWS(C$2:C850)-1,3)))</f>
        <v>24.00</v>
      </c>
      <c r="D850" s="23" t="str">
        <f t="shared" ca="1" si="97"/>
        <v>—</v>
      </c>
      <c r="E850" s="40">
        <f t="shared" ca="1" si="92"/>
        <v>7</v>
      </c>
      <c r="F850" s="23">
        <f t="shared" ca="1" si="93"/>
        <v>27.5</v>
      </c>
      <c r="G850" s="40">
        <f t="shared" ca="1" si="94"/>
        <v>0</v>
      </c>
      <c r="H850" s="23">
        <f t="shared" ca="1" si="95"/>
        <v>30</v>
      </c>
      <c r="I850" s="40">
        <f t="shared" ca="1" si="96"/>
        <v>0</v>
      </c>
    </row>
    <row r="851" spans="1:9" x14ac:dyDescent="0.25">
      <c r="A851" s="17">
        <f t="shared" si="91"/>
        <v>81</v>
      </c>
      <c r="B851" t="str">
        <f ca="1">TEXT(DATE(YEAR(Invoer!$A$5),1,1)+INT((ROWS(B$2:B851)-1)/3),"jjjjmmdd")</f>
        <v>19201010</v>
      </c>
      <c r="C851" s="35" t="str">
        <f>IF(MOD(ROWS(C$2:C851)-1,3)=2,"24.00",INDEX(Data,2,2+MOD(ROWS(C$2:C851)-1,3)))</f>
        <v>08.00</v>
      </c>
      <c r="D851" s="23">
        <f t="shared" ca="1" si="97"/>
        <v>748.2</v>
      </c>
      <c r="E851" s="40">
        <f t="shared" ca="1" si="92"/>
        <v>0</v>
      </c>
      <c r="F851" s="23" t="str">
        <f t="shared" ca="1" si="93"/>
        <v>—</v>
      </c>
      <c r="G851" s="40">
        <f t="shared" ca="1" si="94"/>
        <v>7</v>
      </c>
      <c r="H851" s="23" t="str">
        <f t="shared" ca="1" si="95"/>
        <v>—</v>
      </c>
      <c r="I851" s="40">
        <f t="shared" ca="1" si="96"/>
        <v>7</v>
      </c>
    </row>
    <row r="852" spans="1:9" x14ac:dyDescent="0.25">
      <c r="A852" s="17">
        <f t="shared" si="91"/>
        <v>81</v>
      </c>
      <c r="B852" t="str">
        <f ca="1">TEXT(DATE(YEAR(Invoer!$A$5),1,1)+INT((ROWS(B$2:B852)-1)/3),"jjjjmmdd")</f>
        <v>19201010</v>
      </c>
      <c r="C852" s="35" t="str">
        <f>IF(MOD(ROWS(C$2:C852)-1,3)=2,"24.00",INDEX(Data,2,2+MOD(ROWS(C$2:C852)-1,3)))</f>
        <v>14.00</v>
      </c>
      <c r="D852" s="23">
        <f t="shared" ca="1" si="97"/>
        <v>747.6</v>
      </c>
      <c r="E852" s="40">
        <f t="shared" ca="1" si="92"/>
        <v>0</v>
      </c>
      <c r="F852" s="23" t="str">
        <f t="shared" ca="1" si="93"/>
        <v>—</v>
      </c>
      <c r="G852" s="40">
        <f t="shared" ca="1" si="94"/>
        <v>7</v>
      </c>
      <c r="H852" s="23" t="str">
        <f t="shared" ca="1" si="95"/>
        <v>—</v>
      </c>
      <c r="I852" s="40">
        <f t="shared" ca="1" si="96"/>
        <v>7</v>
      </c>
    </row>
    <row r="853" spans="1:9" x14ac:dyDescent="0.25">
      <c r="A853" s="17">
        <f t="shared" si="91"/>
        <v>81</v>
      </c>
      <c r="B853" t="str">
        <f ca="1">TEXT(DATE(YEAR(Invoer!$A$5),1,1)+INT((ROWS(B$2:B853)-1)/3),"jjjjmmdd")</f>
        <v>19201010</v>
      </c>
      <c r="C853" s="35" t="str">
        <f>IF(MOD(ROWS(C$2:C853)-1,3)=2,"24.00",INDEX(Data,2,2+MOD(ROWS(C$2:C853)-1,3)))</f>
        <v>24.00</v>
      </c>
      <c r="D853" s="23" t="str">
        <f t="shared" ca="1" si="97"/>
        <v>—</v>
      </c>
      <c r="E853" s="40">
        <f t="shared" ca="1" si="92"/>
        <v>7</v>
      </c>
      <c r="F853" s="23">
        <f t="shared" ca="1" si="93"/>
        <v>28</v>
      </c>
      <c r="G853" s="40">
        <f t="shared" ca="1" si="94"/>
        <v>0</v>
      </c>
      <c r="H853" s="23">
        <f t="shared" ca="1" si="95"/>
        <v>30</v>
      </c>
      <c r="I853" s="40">
        <f t="shared" ca="1" si="96"/>
        <v>0</v>
      </c>
    </row>
    <row r="854" spans="1:9" x14ac:dyDescent="0.25">
      <c r="A854" s="17">
        <f t="shared" si="91"/>
        <v>81</v>
      </c>
      <c r="B854" t="str">
        <f ca="1">TEXT(DATE(YEAR(Invoer!$A$5),1,1)+INT((ROWS(B$2:B854)-1)/3),"jjjjmmdd")</f>
        <v>19201011</v>
      </c>
      <c r="C854" s="35" t="str">
        <f>IF(MOD(ROWS(C$2:C854)-1,3)=2,"24.00",INDEX(Data,2,2+MOD(ROWS(C$2:C854)-1,3)))</f>
        <v>08.00</v>
      </c>
      <c r="D854" s="23">
        <f t="shared" ca="1" si="97"/>
        <v>748</v>
      </c>
      <c r="E854" s="40">
        <f t="shared" ca="1" si="92"/>
        <v>0</v>
      </c>
      <c r="F854" s="23" t="str">
        <f t="shared" ca="1" si="93"/>
        <v>—</v>
      </c>
      <c r="G854" s="40">
        <f t="shared" ca="1" si="94"/>
        <v>7</v>
      </c>
      <c r="H854" s="23" t="str">
        <f t="shared" ca="1" si="95"/>
        <v>—</v>
      </c>
      <c r="I854" s="40">
        <f t="shared" ca="1" si="96"/>
        <v>7</v>
      </c>
    </row>
    <row r="855" spans="1:9" x14ac:dyDescent="0.25">
      <c r="A855" s="17">
        <f t="shared" si="91"/>
        <v>81</v>
      </c>
      <c r="B855" t="str">
        <f ca="1">TEXT(DATE(YEAR(Invoer!$A$5),1,1)+INT((ROWS(B$2:B855)-1)/3),"jjjjmmdd")</f>
        <v>19201011</v>
      </c>
      <c r="C855" s="35" t="str">
        <f>IF(MOD(ROWS(C$2:C855)-1,3)=2,"24.00",INDEX(Data,2,2+MOD(ROWS(C$2:C855)-1,3)))</f>
        <v>14.00</v>
      </c>
      <c r="D855" s="23">
        <f t="shared" ca="1" si="97"/>
        <v>747.5</v>
      </c>
      <c r="E855" s="40">
        <f t="shared" ca="1" si="92"/>
        <v>0</v>
      </c>
      <c r="F855" s="23" t="str">
        <f t="shared" ca="1" si="93"/>
        <v>—</v>
      </c>
      <c r="G855" s="40">
        <f t="shared" ca="1" si="94"/>
        <v>7</v>
      </c>
      <c r="H855" s="23" t="str">
        <f t="shared" ca="1" si="95"/>
        <v>—</v>
      </c>
      <c r="I855" s="40">
        <f t="shared" ca="1" si="96"/>
        <v>7</v>
      </c>
    </row>
    <row r="856" spans="1:9" x14ac:dyDescent="0.25">
      <c r="A856" s="17">
        <f t="shared" si="91"/>
        <v>81</v>
      </c>
      <c r="B856" t="str">
        <f ca="1">TEXT(DATE(YEAR(Invoer!$A$5),1,1)+INT((ROWS(B$2:B856)-1)/3),"jjjjmmdd")</f>
        <v>19201011</v>
      </c>
      <c r="C856" s="35" t="str">
        <f>IF(MOD(ROWS(C$2:C856)-1,3)=2,"24.00",INDEX(Data,2,2+MOD(ROWS(C$2:C856)-1,3)))</f>
        <v>24.00</v>
      </c>
      <c r="D856" s="23" t="str">
        <f t="shared" ca="1" si="97"/>
        <v>—</v>
      </c>
      <c r="E856" s="40">
        <f t="shared" ca="1" si="92"/>
        <v>7</v>
      </c>
      <c r="F856" s="23">
        <f t="shared" ca="1" si="93"/>
        <v>28.5</v>
      </c>
      <c r="G856" s="40">
        <f t="shared" ca="1" si="94"/>
        <v>0</v>
      </c>
      <c r="H856" s="23">
        <f t="shared" ca="1" si="95"/>
        <v>31</v>
      </c>
      <c r="I856" s="40">
        <f t="shared" ca="1" si="96"/>
        <v>0</v>
      </c>
    </row>
    <row r="857" spans="1:9" x14ac:dyDescent="0.25">
      <c r="A857" s="17">
        <f t="shared" si="91"/>
        <v>81</v>
      </c>
      <c r="B857" t="str">
        <f ca="1">TEXT(DATE(YEAR(Invoer!$A$5),1,1)+INT((ROWS(B$2:B857)-1)/3),"jjjjmmdd")</f>
        <v>19201012</v>
      </c>
      <c r="C857" s="35" t="str">
        <f>IF(MOD(ROWS(C$2:C857)-1,3)=2,"24.00",INDEX(Data,2,2+MOD(ROWS(C$2:C857)-1,3)))</f>
        <v>08.00</v>
      </c>
      <c r="D857" s="23">
        <f t="shared" ca="1" si="97"/>
        <v>747.6</v>
      </c>
      <c r="E857" s="40">
        <f t="shared" ca="1" si="92"/>
        <v>0</v>
      </c>
      <c r="F857" s="23" t="str">
        <f t="shared" ca="1" si="93"/>
        <v>—</v>
      </c>
      <c r="G857" s="40">
        <f t="shared" ca="1" si="94"/>
        <v>7</v>
      </c>
      <c r="H857" s="23" t="str">
        <f t="shared" ca="1" si="95"/>
        <v>—</v>
      </c>
      <c r="I857" s="40">
        <f t="shared" ca="1" si="96"/>
        <v>7</v>
      </c>
    </row>
    <row r="858" spans="1:9" x14ac:dyDescent="0.25">
      <c r="A858" s="17">
        <f t="shared" si="91"/>
        <v>81</v>
      </c>
      <c r="B858" t="str">
        <f ca="1">TEXT(DATE(YEAR(Invoer!$A$5),1,1)+INT((ROWS(B$2:B858)-1)/3),"jjjjmmdd")</f>
        <v>19201012</v>
      </c>
      <c r="C858" s="35" t="str">
        <f>IF(MOD(ROWS(C$2:C858)-1,3)=2,"24.00",INDEX(Data,2,2+MOD(ROWS(C$2:C858)-1,3)))</f>
        <v>14.00</v>
      </c>
      <c r="D858" s="23">
        <f t="shared" ca="1" si="97"/>
        <v>747</v>
      </c>
      <c r="E858" s="40">
        <f t="shared" ca="1" si="92"/>
        <v>0</v>
      </c>
      <c r="F858" s="23" t="str">
        <f t="shared" ca="1" si="93"/>
        <v>—</v>
      </c>
      <c r="G858" s="40">
        <f t="shared" ca="1" si="94"/>
        <v>7</v>
      </c>
      <c r="H858" s="23" t="str">
        <f t="shared" ca="1" si="95"/>
        <v>—</v>
      </c>
      <c r="I858" s="40">
        <f t="shared" ca="1" si="96"/>
        <v>7</v>
      </c>
    </row>
    <row r="859" spans="1:9" x14ac:dyDescent="0.25">
      <c r="A859" s="17">
        <f t="shared" si="91"/>
        <v>81</v>
      </c>
      <c r="B859" t="str">
        <f ca="1">TEXT(DATE(YEAR(Invoer!$A$5),1,1)+INT((ROWS(B$2:B859)-1)/3),"jjjjmmdd")</f>
        <v>19201012</v>
      </c>
      <c r="C859" s="35" t="str">
        <f>IF(MOD(ROWS(C$2:C859)-1,3)=2,"24.00",INDEX(Data,2,2+MOD(ROWS(C$2:C859)-1,3)))</f>
        <v>24.00</v>
      </c>
      <c r="D859" s="23" t="str">
        <f t="shared" ca="1" si="97"/>
        <v>—</v>
      </c>
      <c r="E859" s="40">
        <f t="shared" ca="1" si="92"/>
        <v>7</v>
      </c>
      <c r="F859" s="23">
        <f t="shared" ca="1" si="93"/>
        <v>28</v>
      </c>
      <c r="G859" s="40">
        <f t="shared" ca="1" si="94"/>
        <v>0</v>
      </c>
      <c r="H859" s="23">
        <f t="shared" ca="1" si="95"/>
        <v>30</v>
      </c>
      <c r="I859" s="40">
        <f t="shared" ca="1" si="96"/>
        <v>0</v>
      </c>
    </row>
    <row r="860" spans="1:9" x14ac:dyDescent="0.25">
      <c r="A860" s="17">
        <f t="shared" si="91"/>
        <v>81</v>
      </c>
      <c r="B860" t="str">
        <f ca="1">TEXT(DATE(YEAR(Invoer!$A$5),1,1)+INT((ROWS(B$2:B860)-1)/3),"jjjjmmdd")</f>
        <v>19201013</v>
      </c>
      <c r="C860" s="35" t="str">
        <f>IF(MOD(ROWS(C$2:C860)-1,3)=2,"24.00",INDEX(Data,2,2+MOD(ROWS(C$2:C860)-1,3)))</f>
        <v>08.00</v>
      </c>
      <c r="D860" s="23">
        <f t="shared" ca="1" si="97"/>
        <v>746</v>
      </c>
      <c r="E860" s="40">
        <f t="shared" ca="1" si="92"/>
        <v>0</v>
      </c>
      <c r="F860" s="23" t="str">
        <f t="shared" ca="1" si="93"/>
        <v>—</v>
      </c>
      <c r="G860" s="40">
        <f t="shared" ca="1" si="94"/>
        <v>7</v>
      </c>
      <c r="H860" s="23" t="str">
        <f t="shared" ca="1" si="95"/>
        <v>—</v>
      </c>
      <c r="I860" s="40">
        <f t="shared" ca="1" si="96"/>
        <v>7</v>
      </c>
    </row>
    <row r="861" spans="1:9" x14ac:dyDescent="0.25">
      <c r="A861" s="17">
        <f t="shared" si="91"/>
        <v>81</v>
      </c>
      <c r="B861" t="str">
        <f ca="1">TEXT(DATE(YEAR(Invoer!$A$5),1,1)+INT((ROWS(B$2:B861)-1)/3),"jjjjmmdd")</f>
        <v>19201013</v>
      </c>
      <c r="C861" s="35" t="str">
        <f>IF(MOD(ROWS(C$2:C861)-1,3)=2,"24.00",INDEX(Data,2,2+MOD(ROWS(C$2:C861)-1,3)))</f>
        <v>14.00</v>
      </c>
      <c r="D861" s="23">
        <f t="shared" ca="1" si="97"/>
        <v>745.9</v>
      </c>
      <c r="E861" s="40">
        <f t="shared" ca="1" si="92"/>
        <v>0</v>
      </c>
      <c r="F861" s="23" t="str">
        <f t="shared" ca="1" si="93"/>
        <v>—</v>
      </c>
      <c r="G861" s="40">
        <f t="shared" ca="1" si="94"/>
        <v>7</v>
      </c>
      <c r="H861" s="23" t="str">
        <f t="shared" ca="1" si="95"/>
        <v>—</v>
      </c>
      <c r="I861" s="40">
        <f t="shared" ca="1" si="96"/>
        <v>7</v>
      </c>
    </row>
    <row r="862" spans="1:9" x14ac:dyDescent="0.25">
      <c r="A862" s="17">
        <f t="shared" si="91"/>
        <v>81</v>
      </c>
      <c r="B862" t="str">
        <f ca="1">TEXT(DATE(YEAR(Invoer!$A$5),1,1)+INT((ROWS(B$2:B862)-1)/3),"jjjjmmdd")</f>
        <v>19201013</v>
      </c>
      <c r="C862" s="35" t="str">
        <f>IF(MOD(ROWS(C$2:C862)-1,3)=2,"24.00",INDEX(Data,2,2+MOD(ROWS(C$2:C862)-1,3)))</f>
        <v>24.00</v>
      </c>
      <c r="D862" s="23" t="str">
        <f t="shared" ca="1" si="97"/>
        <v>—</v>
      </c>
      <c r="E862" s="40">
        <f t="shared" ca="1" si="92"/>
        <v>7</v>
      </c>
      <c r="F862" s="23">
        <f t="shared" ca="1" si="93"/>
        <v>27.8</v>
      </c>
      <c r="G862" s="40">
        <f t="shared" ca="1" si="94"/>
        <v>0</v>
      </c>
      <c r="H862" s="23">
        <f t="shared" ca="1" si="95"/>
        <v>29.5</v>
      </c>
      <c r="I862" s="40">
        <f t="shared" ca="1" si="96"/>
        <v>0</v>
      </c>
    </row>
    <row r="863" spans="1:9" x14ac:dyDescent="0.25">
      <c r="A863" s="17">
        <f t="shared" si="91"/>
        <v>81</v>
      </c>
      <c r="B863" t="str">
        <f ca="1">TEXT(DATE(YEAR(Invoer!$A$5),1,1)+INT((ROWS(B$2:B863)-1)/3),"jjjjmmdd")</f>
        <v>19201014</v>
      </c>
      <c r="C863" s="35" t="str">
        <f>IF(MOD(ROWS(C$2:C863)-1,3)=2,"24.00",INDEX(Data,2,2+MOD(ROWS(C$2:C863)-1,3)))</f>
        <v>08.00</v>
      </c>
      <c r="D863" s="23">
        <f t="shared" ca="1" si="97"/>
        <v>746.5</v>
      </c>
      <c r="E863" s="40">
        <f t="shared" ca="1" si="92"/>
        <v>0</v>
      </c>
      <c r="F863" s="23" t="str">
        <f t="shared" ca="1" si="93"/>
        <v>—</v>
      </c>
      <c r="G863" s="40">
        <f t="shared" ca="1" si="94"/>
        <v>7</v>
      </c>
      <c r="H863" s="23" t="str">
        <f t="shared" ca="1" si="95"/>
        <v>—</v>
      </c>
      <c r="I863" s="40">
        <f t="shared" ca="1" si="96"/>
        <v>7</v>
      </c>
    </row>
    <row r="864" spans="1:9" x14ac:dyDescent="0.25">
      <c r="A864" s="17">
        <f t="shared" si="91"/>
        <v>81</v>
      </c>
      <c r="B864" t="str">
        <f ca="1">TEXT(DATE(YEAR(Invoer!$A$5),1,1)+INT((ROWS(B$2:B864)-1)/3),"jjjjmmdd")</f>
        <v>19201014</v>
      </c>
      <c r="C864" s="35" t="str">
        <f>IF(MOD(ROWS(C$2:C864)-1,3)=2,"24.00",INDEX(Data,2,2+MOD(ROWS(C$2:C864)-1,3)))</f>
        <v>14.00</v>
      </c>
      <c r="D864" s="23">
        <f t="shared" ca="1" si="97"/>
        <v>745</v>
      </c>
      <c r="E864" s="40">
        <f t="shared" ca="1" si="92"/>
        <v>0</v>
      </c>
      <c r="F864" s="23" t="str">
        <f t="shared" ca="1" si="93"/>
        <v>—</v>
      </c>
      <c r="G864" s="40">
        <f t="shared" ca="1" si="94"/>
        <v>7</v>
      </c>
      <c r="H864" s="23" t="str">
        <f t="shared" ca="1" si="95"/>
        <v>—</v>
      </c>
      <c r="I864" s="40">
        <f t="shared" ca="1" si="96"/>
        <v>7</v>
      </c>
    </row>
    <row r="865" spans="1:9" x14ac:dyDescent="0.25">
      <c r="A865" s="17">
        <f t="shared" si="91"/>
        <v>81</v>
      </c>
      <c r="B865" t="str">
        <f ca="1">TEXT(DATE(YEAR(Invoer!$A$5),1,1)+INT((ROWS(B$2:B865)-1)/3),"jjjjmmdd")</f>
        <v>19201014</v>
      </c>
      <c r="C865" s="35" t="str">
        <f>IF(MOD(ROWS(C$2:C865)-1,3)=2,"24.00",INDEX(Data,2,2+MOD(ROWS(C$2:C865)-1,3)))</f>
        <v>24.00</v>
      </c>
      <c r="D865" s="23" t="str">
        <f t="shared" ca="1" si="97"/>
        <v>—</v>
      </c>
      <c r="E865" s="40">
        <f t="shared" ca="1" si="92"/>
        <v>7</v>
      </c>
      <c r="F865" s="23">
        <f t="shared" ca="1" si="93"/>
        <v>28.3</v>
      </c>
      <c r="G865" s="40">
        <f t="shared" ca="1" si="94"/>
        <v>0</v>
      </c>
      <c r="H865" s="23">
        <f t="shared" ca="1" si="95"/>
        <v>30.3</v>
      </c>
      <c r="I865" s="40">
        <f t="shared" ca="1" si="96"/>
        <v>0</v>
      </c>
    </row>
    <row r="866" spans="1:9" x14ac:dyDescent="0.25">
      <c r="A866" s="17">
        <f t="shared" si="91"/>
        <v>81</v>
      </c>
      <c r="B866" t="str">
        <f ca="1">TEXT(DATE(YEAR(Invoer!$A$5),1,1)+INT((ROWS(B$2:B866)-1)/3),"jjjjmmdd")</f>
        <v>19201015</v>
      </c>
      <c r="C866" s="35" t="str">
        <f>IF(MOD(ROWS(C$2:C866)-1,3)=2,"24.00",INDEX(Data,2,2+MOD(ROWS(C$2:C866)-1,3)))</f>
        <v>08.00</v>
      </c>
      <c r="D866" s="23">
        <f t="shared" ca="1" si="97"/>
        <v>746</v>
      </c>
      <c r="E866" s="40">
        <f t="shared" ca="1" si="92"/>
        <v>0</v>
      </c>
      <c r="F866" s="23" t="str">
        <f t="shared" ca="1" si="93"/>
        <v>—</v>
      </c>
      <c r="G866" s="40">
        <f t="shared" ca="1" si="94"/>
        <v>7</v>
      </c>
      <c r="H866" s="23" t="str">
        <f t="shared" ca="1" si="95"/>
        <v>—</v>
      </c>
      <c r="I866" s="40">
        <f t="shared" ca="1" si="96"/>
        <v>7</v>
      </c>
    </row>
    <row r="867" spans="1:9" x14ac:dyDescent="0.25">
      <c r="A867" s="17">
        <f t="shared" si="91"/>
        <v>81</v>
      </c>
      <c r="B867" t="str">
        <f ca="1">TEXT(DATE(YEAR(Invoer!$A$5),1,1)+INT((ROWS(B$2:B867)-1)/3),"jjjjmmdd")</f>
        <v>19201015</v>
      </c>
      <c r="C867" s="35" t="str">
        <f>IF(MOD(ROWS(C$2:C867)-1,3)=2,"24.00",INDEX(Data,2,2+MOD(ROWS(C$2:C867)-1,3)))</f>
        <v>14.00</v>
      </c>
      <c r="D867" s="23">
        <f t="shared" ca="1" si="97"/>
        <v>745.6</v>
      </c>
      <c r="E867" s="40">
        <f t="shared" ca="1" si="92"/>
        <v>0</v>
      </c>
      <c r="F867" s="23" t="str">
        <f t="shared" ca="1" si="93"/>
        <v>—</v>
      </c>
      <c r="G867" s="40">
        <f t="shared" ca="1" si="94"/>
        <v>7</v>
      </c>
      <c r="H867" s="23" t="str">
        <f t="shared" ca="1" si="95"/>
        <v>—</v>
      </c>
      <c r="I867" s="40">
        <f t="shared" ca="1" si="96"/>
        <v>7</v>
      </c>
    </row>
    <row r="868" spans="1:9" x14ac:dyDescent="0.25">
      <c r="A868" s="17">
        <f t="shared" si="91"/>
        <v>81</v>
      </c>
      <c r="B868" t="str">
        <f ca="1">TEXT(DATE(YEAR(Invoer!$A$5),1,1)+INT((ROWS(B$2:B868)-1)/3),"jjjjmmdd")</f>
        <v>19201015</v>
      </c>
      <c r="C868" s="35" t="str">
        <f>IF(MOD(ROWS(C$2:C868)-1,3)=2,"24.00",INDEX(Data,2,2+MOD(ROWS(C$2:C868)-1,3)))</f>
        <v>24.00</v>
      </c>
      <c r="D868" s="23" t="str">
        <f t="shared" ca="1" si="97"/>
        <v>—</v>
      </c>
      <c r="E868" s="40">
        <f t="shared" ca="1" si="92"/>
        <v>7</v>
      </c>
      <c r="F868" s="23">
        <f t="shared" ca="1" si="93"/>
        <v>28.5</v>
      </c>
      <c r="G868" s="40">
        <f t="shared" ca="1" si="94"/>
        <v>0</v>
      </c>
      <c r="H868" s="23">
        <f t="shared" ca="1" si="95"/>
        <v>30.5</v>
      </c>
      <c r="I868" s="40">
        <f t="shared" ca="1" si="96"/>
        <v>0</v>
      </c>
    </row>
    <row r="869" spans="1:9" x14ac:dyDescent="0.25">
      <c r="A869" s="17">
        <f t="shared" si="91"/>
        <v>81</v>
      </c>
      <c r="B869" t="str">
        <f ca="1">TEXT(DATE(YEAR(Invoer!$A$5),1,1)+INT((ROWS(B$2:B869)-1)/3),"jjjjmmdd")</f>
        <v>19201016</v>
      </c>
      <c r="C869" s="35" t="str">
        <f>IF(MOD(ROWS(C$2:C869)-1,3)=2,"24.00",INDEX(Data,2,2+MOD(ROWS(C$2:C869)-1,3)))</f>
        <v>08.00</v>
      </c>
      <c r="D869" s="23">
        <f t="shared" ca="1" si="97"/>
        <v>747</v>
      </c>
      <c r="E869" s="40">
        <f t="shared" ca="1" si="92"/>
        <v>0</v>
      </c>
      <c r="F869" s="23" t="str">
        <f t="shared" ca="1" si="93"/>
        <v>—</v>
      </c>
      <c r="G869" s="40">
        <f t="shared" ca="1" si="94"/>
        <v>7</v>
      </c>
      <c r="H869" s="23" t="str">
        <f t="shared" ca="1" si="95"/>
        <v>—</v>
      </c>
      <c r="I869" s="40">
        <f t="shared" ca="1" si="96"/>
        <v>7</v>
      </c>
    </row>
    <row r="870" spans="1:9" x14ac:dyDescent="0.25">
      <c r="A870" s="17">
        <f t="shared" si="91"/>
        <v>81</v>
      </c>
      <c r="B870" t="str">
        <f ca="1">TEXT(DATE(YEAR(Invoer!$A$5),1,1)+INT((ROWS(B$2:B870)-1)/3),"jjjjmmdd")</f>
        <v>19201016</v>
      </c>
      <c r="C870" s="35" t="str">
        <f>IF(MOD(ROWS(C$2:C870)-1,3)=2,"24.00",INDEX(Data,2,2+MOD(ROWS(C$2:C870)-1,3)))</f>
        <v>14.00</v>
      </c>
      <c r="D870" s="23">
        <f t="shared" ca="1" si="97"/>
        <v>746</v>
      </c>
      <c r="E870" s="40">
        <f t="shared" ca="1" si="92"/>
        <v>0</v>
      </c>
      <c r="F870" s="23" t="str">
        <f t="shared" ca="1" si="93"/>
        <v>—</v>
      </c>
      <c r="G870" s="40">
        <f t="shared" ca="1" si="94"/>
        <v>7</v>
      </c>
      <c r="H870" s="23" t="str">
        <f t="shared" ca="1" si="95"/>
        <v>—</v>
      </c>
      <c r="I870" s="40">
        <f t="shared" ca="1" si="96"/>
        <v>7</v>
      </c>
    </row>
    <row r="871" spans="1:9" x14ac:dyDescent="0.25">
      <c r="A871" s="17">
        <f t="shared" si="91"/>
        <v>81</v>
      </c>
      <c r="B871" t="str">
        <f ca="1">TEXT(DATE(YEAR(Invoer!$A$5),1,1)+INT((ROWS(B$2:B871)-1)/3),"jjjjmmdd")</f>
        <v>19201016</v>
      </c>
      <c r="C871" s="35" t="str">
        <f>IF(MOD(ROWS(C$2:C871)-1,3)=2,"24.00",INDEX(Data,2,2+MOD(ROWS(C$2:C871)-1,3)))</f>
        <v>24.00</v>
      </c>
      <c r="D871" s="23" t="str">
        <f t="shared" ca="1" si="97"/>
        <v>—</v>
      </c>
      <c r="E871" s="40">
        <f t="shared" ca="1" si="92"/>
        <v>7</v>
      </c>
      <c r="F871" s="23">
        <f t="shared" ca="1" si="93"/>
        <v>27</v>
      </c>
      <c r="G871" s="40">
        <f t="shared" ca="1" si="94"/>
        <v>0</v>
      </c>
      <c r="H871" s="23">
        <f t="shared" ca="1" si="95"/>
        <v>28</v>
      </c>
      <c r="I871" s="40">
        <f t="shared" ca="1" si="96"/>
        <v>0</v>
      </c>
    </row>
    <row r="872" spans="1:9" x14ac:dyDescent="0.25">
      <c r="A872" s="17">
        <f t="shared" si="91"/>
        <v>81</v>
      </c>
      <c r="B872" t="str">
        <f ca="1">TEXT(DATE(YEAR(Invoer!$A$5),1,1)+INT((ROWS(B$2:B872)-1)/3),"jjjjmmdd")</f>
        <v>19201017</v>
      </c>
      <c r="C872" s="35" t="str">
        <f>IF(MOD(ROWS(C$2:C872)-1,3)=2,"24.00",INDEX(Data,2,2+MOD(ROWS(C$2:C872)-1,3)))</f>
        <v>08.00</v>
      </c>
      <c r="D872" s="23">
        <f t="shared" ca="1" si="97"/>
        <v>746.8</v>
      </c>
      <c r="E872" s="40">
        <f t="shared" ca="1" si="92"/>
        <v>0</v>
      </c>
      <c r="F872" s="23" t="str">
        <f t="shared" ca="1" si="93"/>
        <v>—</v>
      </c>
      <c r="G872" s="40">
        <f t="shared" ca="1" si="94"/>
        <v>7</v>
      </c>
      <c r="H872" s="23" t="str">
        <f t="shared" ca="1" si="95"/>
        <v>—</v>
      </c>
      <c r="I872" s="40">
        <f t="shared" ca="1" si="96"/>
        <v>7</v>
      </c>
    </row>
    <row r="873" spans="1:9" x14ac:dyDescent="0.25">
      <c r="A873" s="17">
        <f t="shared" si="91"/>
        <v>81</v>
      </c>
      <c r="B873" t="str">
        <f ca="1">TEXT(DATE(YEAR(Invoer!$A$5),1,1)+INT((ROWS(B$2:B873)-1)/3),"jjjjmmdd")</f>
        <v>19201017</v>
      </c>
      <c r="C873" s="35" t="str">
        <f>IF(MOD(ROWS(C$2:C873)-1,3)=2,"24.00",INDEX(Data,2,2+MOD(ROWS(C$2:C873)-1,3)))</f>
        <v>14.00</v>
      </c>
      <c r="D873" s="23">
        <f t="shared" ca="1" si="97"/>
        <v>746.3</v>
      </c>
      <c r="E873" s="40">
        <f t="shared" ca="1" si="92"/>
        <v>0</v>
      </c>
      <c r="F873" s="23" t="str">
        <f t="shared" ca="1" si="93"/>
        <v>—</v>
      </c>
      <c r="G873" s="40">
        <f t="shared" ca="1" si="94"/>
        <v>7</v>
      </c>
      <c r="H873" s="23" t="str">
        <f t="shared" ca="1" si="95"/>
        <v>—</v>
      </c>
      <c r="I873" s="40">
        <f t="shared" ca="1" si="96"/>
        <v>7</v>
      </c>
    </row>
    <row r="874" spans="1:9" x14ac:dyDescent="0.25">
      <c r="A874" s="17">
        <f t="shared" si="91"/>
        <v>81</v>
      </c>
      <c r="B874" t="str">
        <f ca="1">TEXT(DATE(YEAR(Invoer!$A$5),1,1)+INT((ROWS(B$2:B874)-1)/3),"jjjjmmdd")</f>
        <v>19201017</v>
      </c>
      <c r="C874" s="35" t="str">
        <f>IF(MOD(ROWS(C$2:C874)-1,3)=2,"24.00",INDEX(Data,2,2+MOD(ROWS(C$2:C874)-1,3)))</f>
        <v>24.00</v>
      </c>
      <c r="D874" s="23" t="str">
        <f t="shared" ca="1" si="97"/>
        <v>—</v>
      </c>
      <c r="E874" s="40">
        <f t="shared" ca="1" si="92"/>
        <v>7</v>
      </c>
      <c r="F874" s="23">
        <f t="shared" ca="1" si="93"/>
        <v>28</v>
      </c>
      <c r="G874" s="40">
        <f t="shared" ca="1" si="94"/>
        <v>0</v>
      </c>
      <c r="H874" s="23">
        <f t="shared" ca="1" si="95"/>
        <v>30</v>
      </c>
      <c r="I874" s="40">
        <f t="shared" ca="1" si="96"/>
        <v>0</v>
      </c>
    </row>
    <row r="875" spans="1:9" x14ac:dyDescent="0.25">
      <c r="A875" s="17">
        <f t="shared" si="91"/>
        <v>81</v>
      </c>
      <c r="B875" t="str">
        <f ca="1">TEXT(DATE(YEAR(Invoer!$A$5),1,1)+INT((ROWS(B$2:B875)-1)/3),"jjjjmmdd")</f>
        <v>19201018</v>
      </c>
      <c r="C875" s="35" t="str">
        <f>IF(MOD(ROWS(C$2:C875)-1,3)=2,"24.00",INDEX(Data,2,2+MOD(ROWS(C$2:C875)-1,3)))</f>
        <v>08.00</v>
      </c>
      <c r="D875" s="23">
        <f t="shared" ca="1" si="97"/>
        <v>746.5</v>
      </c>
      <c r="E875" s="40">
        <f t="shared" ca="1" si="92"/>
        <v>0</v>
      </c>
      <c r="F875" s="23" t="str">
        <f t="shared" ca="1" si="93"/>
        <v>—</v>
      </c>
      <c r="G875" s="40">
        <f t="shared" ca="1" si="94"/>
        <v>7</v>
      </c>
      <c r="H875" s="23" t="str">
        <f t="shared" ca="1" si="95"/>
        <v>—</v>
      </c>
      <c r="I875" s="40">
        <f t="shared" ca="1" si="96"/>
        <v>7</v>
      </c>
    </row>
    <row r="876" spans="1:9" x14ac:dyDescent="0.25">
      <c r="A876" s="17">
        <f t="shared" si="91"/>
        <v>81</v>
      </c>
      <c r="B876" t="str">
        <f ca="1">TEXT(DATE(YEAR(Invoer!$A$5),1,1)+INT((ROWS(B$2:B876)-1)/3),"jjjjmmdd")</f>
        <v>19201018</v>
      </c>
      <c r="C876" s="35" t="str">
        <f>IF(MOD(ROWS(C$2:C876)-1,3)=2,"24.00",INDEX(Data,2,2+MOD(ROWS(C$2:C876)-1,3)))</f>
        <v>14.00</v>
      </c>
      <c r="D876" s="23">
        <f t="shared" ca="1" si="97"/>
        <v>746</v>
      </c>
      <c r="E876" s="40">
        <f t="shared" ca="1" si="92"/>
        <v>0</v>
      </c>
      <c r="F876" s="23" t="str">
        <f t="shared" ca="1" si="93"/>
        <v>—</v>
      </c>
      <c r="G876" s="40">
        <f t="shared" ca="1" si="94"/>
        <v>7</v>
      </c>
      <c r="H876" s="23" t="str">
        <f t="shared" ca="1" si="95"/>
        <v>—</v>
      </c>
      <c r="I876" s="40">
        <f t="shared" ca="1" si="96"/>
        <v>7</v>
      </c>
    </row>
    <row r="877" spans="1:9" x14ac:dyDescent="0.25">
      <c r="A877" s="17">
        <f t="shared" si="91"/>
        <v>81</v>
      </c>
      <c r="B877" t="str">
        <f ca="1">TEXT(DATE(YEAR(Invoer!$A$5),1,1)+INT((ROWS(B$2:B877)-1)/3),"jjjjmmdd")</f>
        <v>19201018</v>
      </c>
      <c r="C877" s="35" t="str">
        <f>IF(MOD(ROWS(C$2:C877)-1,3)=2,"24.00",INDEX(Data,2,2+MOD(ROWS(C$2:C877)-1,3)))</f>
        <v>24.00</v>
      </c>
      <c r="D877" s="23" t="str">
        <f t="shared" ca="1" si="97"/>
        <v>—</v>
      </c>
      <c r="E877" s="40">
        <f t="shared" ca="1" si="92"/>
        <v>7</v>
      </c>
      <c r="F877" s="23">
        <f t="shared" ca="1" si="93"/>
        <v>28.3</v>
      </c>
      <c r="G877" s="40">
        <f t="shared" ca="1" si="94"/>
        <v>0</v>
      </c>
      <c r="H877" s="23">
        <f t="shared" ca="1" si="95"/>
        <v>31</v>
      </c>
      <c r="I877" s="40">
        <f t="shared" ca="1" si="96"/>
        <v>0</v>
      </c>
    </row>
    <row r="878" spans="1:9" x14ac:dyDescent="0.25">
      <c r="A878" s="17">
        <f t="shared" si="91"/>
        <v>81</v>
      </c>
      <c r="B878" t="str">
        <f ca="1">TEXT(DATE(YEAR(Invoer!$A$5),1,1)+INT((ROWS(B$2:B878)-1)/3),"jjjjmmdd")</f>
        <v>19201019</v>
      </c>
      <c r="C878" s="35" t="str">
        <f>IF(MOD(ROWS(C$2:C878)-1,3)=2,"24.00",INDEX(Data,2,2+MOD(ROWS(C$2:C878)-1,3)))</f>
        <v>08.00</v>
      </c>
      <c r="D878" s="23">
        <f t="shared" ca="1" si="97"/>
        <v>746</v>
      </c>
      <c r="E878" s="40">
        <f t="shared" ca="1" si="92"/>
        <v>0</v>
      </c>
      <c r="F878" s="23" t="str">
        <f t="shared" ca="1" si="93"/>
        <v>—</v>
      </c>
      <c r="G878" s="40">
        <f t="shared" ca="1" si="94"/>
        <v>7</v>
      </c>
      <c r="H878" s="23" t="str">
        <f t="shared" ca="1" si="95"/>
        <v>—</v>
      </c>
      <c r="I878" s="40">
        <f t="shared" ca="1" si="96"/>
        <v>7</v>
      </c>
    </row>
    <row r="879" spans="1:9" x14ac:dyDescent="0.25">
      <c r="A879" s="17">
        <f t="shared" si="91"/>
        <v>81</v>
      </c>
      <c r="B879" t="str">
        <f ca="1">TEXT(DATE(YEAR(Invoer!$A$5),1,1)+INT((ROWS(B$2:B879)-1)/3),"jjjjmmdd")</f>
        <v>19201019</v>
      </c>
      <c r="C879" s="35" t="str">
        <f>IF(MOD(ROWS(C$2:C879)-1,3)=2,"24.00",INDEX(Data,2,2+MOD(ROWS(C$2:C879)-1,3)))</f>
        <v>14.00</v>
      </c>
      <c r="D879" s="23">
        <f t="shared" ca="1" si="97"/>
        <v>745.6</v>
      </c>
      <c r="E879" s="40">
        <f t="shared" ca="1" si="92"/>
        <v>0</v>
      </c>
      <c r="F879" s="23" t="str">
        <f t="shared" ca="1" si="93"/>
        <v>—</v>
      </c>
      <c r="G879" s="40">
        <f t="shared" ca="1" si="94"/>
        <v>7</v>
      </c>
      <c r="H879" s="23" t="str">
        <f t="shared" ca="1" si="95"/>
        <v>—</v>
      </c>
      <c r="I879" s="40">
        <f t="shared" ca="1" si="96"/>
        <v>7</v>
      </c>
    </row>
    <row r="880" spans="1:9" x14ac:dyDescent="0.25">
      <c r="A880" s="17">
        <f t="shared" si="91"/>
        <v>81</v>
      </c>
      <c r="B880" t="str">
        <f ca="1">TEXT(DATE(YEAR(Invoer!$A$5),1,1)+INT((ROWS(B$2:B880)-1)/3),"jjjjmmdd")</f>
        <v>19201019</v>
      </c>
      <c r="C880" s="35" t="str">
        <f>IF(MOD(ROWS(C$2:C880)-1,3)=2,"24.00",INDEX(Data,2,2+MOD(ROWS(C$2:C880)-1,3)))</f>
        <v>24.00</v>
      </c>
      <c r="D880" s="23" t="str">
        <f t="shared" ca="1" si="97"/>
        <v>—</v>
      </c>
      <c r="E880" s="40">
        <f t="shared" ca="1" si="92"/>
        <v>7</v>
      </c>
      <c r="F880" s="23">
        <f t="shared" ca="1" si="93"/>
        <v>28.3</v>
      </c>
      <c r="G880" s="40">
        <f t="shared" ca="1" si="94"/>
        <v>0</v>
      </c>
      <c r="H880" s="23">
        <f t="shared" ca="1" si="95"/>
        <v>30.5</v>
      </c>
      <c r="I880" s="40">
        <f t="shared" ca="1" si="96"/>
        <v>0</v>
      </c>
    </row>
    <row r="881" spans="1:9" x14ac:dyDescent="0.25">
      <c r="A881" s="17">
        <f t="shared" si="91"/>
        <v>81</v>
      </c>
      <c r="B881" t="str">
        <f ca="1">TEXT(DATE(YEAR(Invoer!$A$5),1,1)+INT((ROWS(B$2:B881)-1)/3),"jjjjmmdd")</f>
        <v>19201020</v>
      </c>
      <c r="C881" s="35" t="str">
        <f>IF(MOD(ROWS(C$2:C881)-1,3)=2,"24.00",INDEX(Data,2,2+MOD(ROWS(C$2:C881)-1,3)))</f>
        <v>08.00</v>
      </c>
      <c r="D881" s="23">
        <f t="shared" ca="1" si="97"/>
        <v>744.5</v>
      </c>
      <c r="E881" s="40">
        <f t="shared" ca="1" si="92"/>
        <v>0</v>
      </c>
      <c r="F881" s="23" t="str">
        <f t="shared" ca="1" si="93"/>
        <v>—</v>
      </c>
      <c r="G881" s="40">
        <f t="shared" ca="1" si="94"/>
        <v>7</v>
      </c>
      <c r="H881" s="23" t="str">
        <f t="shared" ca="1" si="95"/>
        <v>—</v>
      </c>
      <c r="I881" s="40">
        <f t="shared" ca="1" si="96"/>
        <v>7</v>
      </c>
    </row>
    <row r="882" spans="1:9" x14ac:dyDescent="0.25">
      <c r="A882" s="17">
        <f t="shared" si="91"/>
        <v>81</v>
      </c>
      <c r="B882" t="str">
        <f ca="1">TEXT(DATE(YEAR(Invoer!$A$5),1,1)+INT((ROWS(B$2:B882)-1)/3),"jjjjmmdd")</f>
        <v>19201020</v>
      </c>
      <c r="C882" s="35" t="str">
        <f>IF(MOD(ROWS(C$2:C882)-1,3)=2,"24.00",INDEX(Data,2,2+MOD(ROWS(C$2:C882)-1,3)))</f>
        <v>14.00</v>
      </c>
      <c r="D882" s="23">
        <f t="shared" ca="1" si="97"/>
        <v>745</v>
      </c>
      <c r="E882" s="40">
        <f t="shared" ca="1" si="92"/>
        <v>0</v>
      </c>
      <c r="F882" s="23" t="str">
        <f t="shared" ca="1" si="93"/>
        <v>—</v>
      </c>
      <c r="G882" s="40">
        <f t="shared" ca="1" si="94"/>
        <v>7</v>
      </c>
      <c r="H882" s="23" t="str">
        <f t="shared" ca="1" si="95"/>
        <v>—</v>
      </c>
      <c r="I882" s="40">
        <f t="shared" ca="1" si="96"/>
        <v>7</v>
      </c>
    </row>
    <row r="883" spans="1:9" x14ac:dyDescent="0.25">
      <c r="A883" s="17">
        <f t="shared" si="91"/>
        <v>81</v>
      </c>
      <c r="B883" t="str">
        <f ca="1">TEXT(DATE(YEAR(Invoer!$A$5),1,1)+INT((ROWS(B$2:B883)-1)/3),"jjjjmmdd")</f>
        <v>19201020</v>
      </c>
      <c r="C883" s="35" t="str">
        <f>IF(MOD(ROWS(C$2:C883)-1,3)=2,"24.00",INDEX(Data,2,2+MOD(ROWS(C$2:C883)-1,3)))</f>
        <v>24.00</v>
      </c>
      <c r="D883" s="23" t="str">
        <f t="shared" ca="1" si="97"/>
        <v>—</v>
      </c>
      <c r="E883" s="40">
        <f t="shared" ca="1" si="92"/>
        <v>7</v>
      </c>
      <c r="F883" s="23">
        <f t="shared" ca="1" si="93"/>
        <v>27</v>
      </c>
      <c r="G883" s="40">
        <f t="shared" ca="1" si="94"/>
        <v>0</v>
      </c>
      <c r="H883" s="23">
        <f t="shared" ca="1" si="95"/>
        <v>28</v>
      </c>
      <c r="I883" s="40">
        <f t="shared" ca="1" si="96"/>
        <v>0</v>
      </c>
    </row>
    <row r="884" spans="1:9" x14ac:dyDescent="0.25">
      <c r="A884" s="17">
        <f t="shared" si="91"/>
        <v>81</v>
      </c>
      <c r="B884" t="str">
        <f ca="1">TEXT(DATE(YEAR(Invoer!$A$5),1,1)+INT((ROWS(B$2:B884)-1)/3),"jjjjmmdd")</f>
        <v>19201021</v>
      </c>
      <c r="C884" s="35" t="str">
        <f>IF(MOD(ROWS(C$2:C884)-1,3)=2,"24.00",INDEX(Data,2,2+MOD(ROWS(C$2:C884)-1,3)))</f>
        <v>08.00</v>
      </c>
      <c r="D884" s="23">
        <f t="shared" ca="1" si="97"/>
        <v>746</v>
      </c>
      <c r="E884" s="40">
        <f t="shared" ca="1" si="92"/>
        <v>0</v>
      </c>
      <c r="F884" s="23" t="str">
        <f t="shared" ca="1" si="93"/>
        <v>—</v>
      </c>
      <c r="G884" s="40">
        <f t="shared" ca="1" si="94"/>
        <v>7</v>
      </c>
      <c r="H884" s="23" t="str">
        <f t="shared" ca="1" si="95"/>
        <v>—</v>
      </c>
      <c r="I884" s="40">
        <f t="shared" ca="1" si="96"/>
        <v>7</v>
      </c>
    </row>
    <row r="885" spans="1:9" x14ac:dyDescent="0.25">
      <c r="A885" s="17">
        <f t="shared" si="91"/>
        <v>81</v>
      </c>
      <c r="B885" t="str">
        <f ca="1">TEXT(DATE(YEAR(Invoer!$A$5),1,1)+INT((ROWS(B$2:B885)-1)/3),"jjjjmmdd")</f>
        <v>19201021</v>
      </c>
      <c r="C885" s="35" t="str">
        <f>IF(MOD(ROWS(C$2:C885)-1,3)=2,"24.00",INDEX(Data,2,2+MOD(ROWS(C$2:C885)-1,3)))</f>
        <v>14.00</v>
      </c>
      <c r="D885" s="23">
        <f t="shared" ca="1" si="97"/>
        <v>745.5</v>
      </c>
      <c r="E885" s="40">
        <f t="shared" ca="1" si="92"/>
        <v>0</v>
      </c>
      <c r="F885" s="23" t="str">
        <f t="shared" ca="1" si="93"/>
        <v>—</v>
      </c>
      <c r="G885" s="40">
        <f t="shared" ca="1" si="94"/>
        <v>7</v>
      </c>
      <c r="H885" s="23" t="str">
        <f t="shared" ca="1" si="95"/>
        <v>—</v>
      </c>
      <c r="I885" s="40">
        <f t="shared" ca="1" si="96"/>
        <v>7</v>
      </c>
    </row>
    <row r="886" spans="1:9" x14ac:dyDescent="0.25">
      <c r="A886" s="17">
        <f t="shared" si="91"/>
        <v>81</v>
      </c>
      <c r="B886" t="str">
        <f ca="1">TEXT(DATE(YEAR(Invoer!$A$5),1,1)+INT((ROWS(B$2:B886)-1)/3),"jjjjmmdd")</f>
        <v>19201021</v>
      </c>
      <c r="C886" s="35" t="str">
        <f>IF(MOD(ROWS(C$2:C886)-1,3)=2,"24.00",INDEX(Data,2,2+MOD(ROWS(C$2:C886)-1,3)))</f>
        <v>24.00</v>
      </c>
      <c r="D886" s="23" t="str">
        <f t="shared" ca="1" si="97"/>
        <v>—</v>
      </c>
      <c r="E886" s="40">
        <f t="shared" ca="1" si="92"/>
        <v>7</v>
      </c>
      <c r="F886" s="23">
        <f t="shared" ca="1" si="93"/>
        <v>27</v>
      </c>
      <c r="G886" s="40">
        <f t="shared" ca="1" si="94"/>
        <v>0</v>
      </c>
      <c r="H886" s="23">
        <f t="shared" ca="1" si="95"/>
        <v>28.5</v>
      </c>
      <c r="I886" s="40">
        <f t="shared" ca="1" si="96"/>
        <v>0</v>
      </c>
    </row>
    <row r="887" spans="1:9" x14ac:dyDescent="0.25">
      <c r="A887" s="17">
        <f t="shared" si="91"/>
        <v>81</v>
      </c>
      <c r="B887" t="str">
        <f ca="1">TEXT(DATE(YEAR(Invoer!$A$5),1,1)+INT((ROWS(B$2:B887)-1)/3),"jjjjmmdd")</f>
        <v>19201022</v>
      </c>
      <c r="C887" s="35" t="str">
        <f>IF(MOD(ROWS(C$2:C887)-1,3)=2,"24.00",INDEX(Data,2,2+MOD(ROWS(C$2:C887)-1,3)))</f>
        <v>08.00</v>
      </c>
      <c r="D887" s="23">
        <f t="shared" ca="1" si="97"/>
        <v>745</v>
      </c>
      <c r="E887" s="40">
        <f t="shared" ca="1" si="92"/>
        <v>0</v>
      </c>
      <c r="F887" s="23" t="str">
        <f t="shared" ca="1" si="93"/>
        <v>—</v>
      </c>
      <c r="G887" s="40">
        <f t="shared" ca="1" si="94"/>
        <v>7</v>
      </c>
      <c r="H887" s="23" t="str">
        <f t="shared" ca="1" si="95"/>
        <v>—</v>
      </c>
      <c r="I887" s="40">
        <f t="shared" ca="1" si="96"/>
        <v>7</v>
      </c>
    </row>
    <row r="888" spans="1:9" x14ac:dyDescent="0.25">
      <c r="A888" s="17">
        <f t="shared" si="91"/>
        <v>81</v>
      </c>
      <c r="B888" t="str">
        <f ca="1">TEXT(DATE(YEAR(Invoer!$A$5),1,1)+INT((ROWS(B$2:B888)-1)/3),"jjjjmmdd")</f>
        <v>19201022</v>
      </c>
      <c r="C888" s="35" t="str">
        <f>IF(MOD(ROWS(C$2:C888)-1,3)=2,"24.00",INDEX(Data,2,2+MOD(ROWS(C$2:C888)-1,3)))</f>
        <v>14.00</v>
      </c>
      <c r="D888" s="23">
        <f t="shared" ca="1" si="97"/>
        <v>744.4</v>
      </c>
      <c r="E888" s="40">
        <f t="shared" ca="1" si="92"/>
        <v>0</v>
      </c>
      <c r="F888" s="23" t="str">
        <f t="shared" ca="1" si="93"/>
        <v>—</v>
      </c>
      <c r="G888" s="40">
        <f t="shared" ca="1" si="94"/>
        <v>7</v>
      </c>
      <c r="H888" s="23" t="str">
        <f t="shared" ca="1" si="95"/>
        <v>—</v>
      </c>
      <c r="I888" s="40">
        <f t="shared" ca="1" si="96"/>
        <v>7</v>
      </c>
    </row>
    <row r="889" spans="1:9" x14ac:dyDescent="0.25">
      <c r="A889" s="17">
        <f t="shared" si="91"/>
        <v>81</v>
      </c>
      <c r="B889" t="str">
        <f ca="1">TEXT(DATE(YEAR(Invoer!$A$5),1,1)+INT((ROWS(B$2:B889)-1)/3),"jjjjmmdd")</f>
        <v>19201022</v>
      </c>
      <c r="C889" s="35" t="str">
        <f>IF(MOD(ROWS(C$2:C889)-1,3)=2,"24.00",INDEX(Data,2,2+MOD(ROWS(C$2:C889)-1,3)))</f>
        <v>24.00</v>
      </c>
      <c r="D889" s="23" t="str">
        <f t="shared" ca="1" si="97"/>
        <v>—</v>
      </c>
      <c r="E889" s="40">
        <f t="shared" ca="1" si="92"/>
        <v>7</v>
      </c>
      <c r="F889" s="23">
        <f t="shared" ca="1" si="93"/>
        <v>26</v>
      </c>
      <c r="G889" s="40">
        <f t="shared" ca="1" si="94"/>
        <v>0</v>
      </c>
      <c r="H889" s="23">
        <f t="shared" ca="1" si="95"/>
        <v>28.5</v>
      </c>
      <c r="I889" s="40">
        <f t="shared" ca="1" si="96"/>
        <v>0</v>
      </c>
    </row>
    <row r="890" spans="1:9" x14ac:dyDescent="0.25">
      <c r="A890" s="17">
        <f t="shared" si="91"/>
        <v>81</v>
      </c>
      <c r="B890" t="str">
        <f ca="1">TEXT(DATE(YEAR(Invoer!$A$5),1,1)+INT((ROWS(B$2:B890)-1)/3),"jjjjmmdd")</f>
        <v>19201023</v>
      </c>
      <c r="C890" s="35" t="str">
        <f>IF(MOD(ROWS(C$2:C890)-1,3)=2,"24.00",INDEX(Data,2,2+MOD(ROWS(C$2:C890)-1,3)))</f>
        <v>08.00</v>
      </c>
      <c r="D890" s="23">
        <f t="shared" ca="1" si="97"/>
        <v>745</v>
      </c>
      <c r="E890" s="40">
        <f t="shared" ca="1" si="92"/>
        <v>0</v>
      </c>
      <c r="F890" s="23" t="str">
        <f t="shared" ca="1" si="93"/>
        <v>—</v>
      </c>
      <c r="G890" s="40">
        <f t="shared" ca="1" si="94"/>
        <v>7</v>
      </c>
      <c r="H890" s="23" t="str">
        <f t="shared" ca="1" si="95"/>
        <v>—</v>
      </c>
      <c r="I890" s="40">
        <f t="shared" ca="1" si="96"/>
        <v>7</v>
      </c>
    </row>
    <row r="891" spans="1:9" x14ac:dyDescent="0.25">
      <c r="A891" s="17">
        <f t="shared" si="91"/>
        <v>81</v>
      </c>
      <c r="B891" t="str">
        <f ca="1">TEXT(DATE(YEAR(Invoer!$A$5),1,1)+INT((ROWS(B$2:B891)-1)/3),"jjjjmmdd")</f>
        <v>19201023</v>
      </c>
      <c r="C891" s="35" t="str">
        <f>IF(MOD(ROWS(C$2:C891)-1,3)=2,"24.00",INDEX(Data,2,2+MOD(ROWS(C$2:C891)-1,3)))</f>
        <v>14.00</v>
      </c>
      <c r="D891" s="23">
        <f t="shared" ca="1" si="97"/>
        <v>743</v>
      </c>
      <c r="E891" s="40">
        <f t="shared" ca="1" si="92"/>
        <v>0</v>
      </c>
      <c r="F891" s="23" t="str">
        <f t="shared" ca="1" si="93"/>
        <v>—</v>
      </c>
      <c r="G891" s="40">
        <f t="shared" ca="1" si="94"/>
        <v>7</v>
      </c>
      <c r="H891" s="23" t="str">
        <f t="shared" ca="1" si="95"/>
        <v>—</v>
      </c>
      <c r="I891" s="40">
        <f t="shared" ca="1" si="96"/>
        <v>7</v>
      </c>
    </row>
    <row r="892" spans="1:9" x14ac:dyDescent="0.25">
      <c r="A892" s="17">
        <f t="shared" si="91"/>
        <v>81</v>
      </c>
      <c r="B892" t="str">
        <f ca="1">TEXT(DATE(YEAR(Invoer!$A$5),1,1)+INT((ROWS(B$2:B892)-1)/3),"jjjjmmdd")</f>
        <v>19201023</v>
      </c>
      <c r="C892" s="35" t="str">
        <f>IF(MOD(ROWS(C$2:C892)-1,3)=2,"24.00",INDEX(Data,2,2+MOD(ROWS(C$2:C892)-1,3)))</f>
        <v>24.00</v>
      </c>
      <c r="D892" s="23" t="str">
        <f t="shared" ca="1" si="97"/>
        <v>—</v>
      </c>
      <c r="E892" s="40">
        <f t="shared" ca="1" si="92"/>
        <v>7</v>
      </c>
      <c r="F892" s="23">
        <f t="shared" ca="1" si="93"/>
        <v>27</v>
      </c>
      <c r="G892" s="40">
        <f t="shared" ca="1" si="94"/>
        <v>0</v>
      </c>
      <c r="H892" s="23">
        <f t="shared" ca="1" si="95"/>
        <v>28</v>
      </c>
      <c r="I892" s="40">
        <f t="shared" ca="1" si="96"/>
        <v>0</v>
      </c>
    </row>
    <row r="893" spans="1:9" x14ac:dyDescent="0.25">
      <c r="A893" s="17">
        <f t="shared" si="91"/>
        <v>81</v>
      </c>
      <c r="B893" t="str">
        <f ca="1">TEXT(DATE(YEAR(Invoer!$A$5),1,1)+INT((ROWS(B$2:B893)-1)/3),"jjjjmmdd")</f>
        <v>19201024</v>
      </c>
      <c r="C893" s="35" t="str">
        <f>IF(MOD(ROWS(C$2:C893)-1,3)=2,"24.00",INDEX(Data,2,2+MOD(ROWS(C$2:C893)-1,3)))</f>
        <v>08.00</v>
      </c>
      <c r="D893" s="23">
        <f t="shared" ca="1" si="97"/>
        <v>745</v>
      </c>
      <c r="E893" s="40">
        <f t="shared" ca="1" si="92"/>
        <v>0</v>
      </c>
      <c r="F893" s="23" t="str">
        <f t="shared" ca="1" si="93"/>
        <v>—</v>
      </c>
      <c r="G893" s="40">
        <f t="shared" ca="1" si="94"/>
        <v>7</v>
      </c>
      <c r="H893" s="23" t="str">
        <f t="shared" ca="1" si="95"/>
        <v>—</v>
      </c>
      <c r="I893" s="40">
        <f t="shared" ca="1" si="96"/>
        <v>7</v>
      </c>
    </row>
    <row r="894" spans="1:9" x14ac:dyDescent="0.25">
      <c r="A894" s="17">
        <f t="shared" si="91"/>
        <v>81</v>
      </c>
      <c r="B894" t="str">
        <f ca="1">TEXT(DATE(YEAR(Invoer!$A$5),1,1)+INT((ROWS(B$2:B894)-1)/3),"jjjjmmdd")</f>
        <v>19201024</v>
      </c>
      <c r="C894" s="35" t="str">
        <f>IF(MOD(ROWS(C$2:C894)-1,3)=2,"24.00",INDEX(Data,2,2+MOD(ROWS(C$2:C894)-1,3)))</f>
        <v>14.00</v>
      </c>
      <c r="D894" s="23">
        <f t="shared" ca="1" si="97"/>
        <v>744</v>
      </c>
      <c r="E894" s="40">
        <f t="shared" ca="1" si="92"/>
        <v>0</v>
      </c>
      <c r="F894" s="23" t="str">
        <f t="shared" ca="1" si="93"/>
        <v>—</v>
      </c>
      <c r="G894" s="40">
        <f t="shared" ca="1" si="94"/>
        <v>7</v>
      </c>
      <c r="H894" s="23" t="str">
        <f t="shared" ca="1" si="95"/>
        <v>—</v>
      </c>
      <c r="I894" s="40">
        <f t="shared" ca="1" si="96"/>
        <v>7</v>
      </c>
    </row>
    <row r="895" spans="1:9" x14ac:dyDescent="0.25">
      <c r="A895" s="17">
        <f t="shared" si="91"/>
        <v>81</v>
      </c>
      <c r="B895" t="str">
        <f ca="1">TEXT(DATE(YEAR(Invoer!$A$5),1,1)+INT((ROWS(B$2:B895)-1)/3),"jjjjmmdd")</f>
        <v>19201024</v>
      </c>
      <c r="C895" s="35" t="str">
        <f>IF(MOD(ROWS(C$2:C895)-1,3)=2,"24.00",INDEX(Data,2,2+MOD(ROWS(C$2:C895)-1,3)))</f>
        <v>24.00</v>
      </c>
      <c r="D895" s="23" t="str">
        <f t="shared" ca="1" si="97"/>
        <v>—</v>
      </c>
      <c r="E895" s="40">
        <f t="shared" ca="1" si="92"/>
        <v>7</v>
      </c>
      <c r="F895" s="23">
        <f t="shared" ca="1" si="93"/>
        <v>27</v>
      </c>
      <c r="G895" s="40">
        <f t="shared" ca="1" si="94"/>
        <v>0</v>
      </c>
      <c r="H895" s="23">
        <f t="shared" ca="1" si="95"/>
        <v>28</v>
      </c>
      <c r="I895" s="40">
        <f t="shared" ca="1" si="96"/>
        <v>0</v>
      </c>
    </row>
    <row r="896" spans="1:9" x14ac:dyDescent="0.25">
      <c r="A896" s="17">
        <f t="shared" si="91"/>
        <v>81</v>
      </c>
      <c r="B896" t="str">
        <f ca="1">TEXT(DATE(YEAR(Invoer!$A$5),1,1)+INT((ROWS(B$2:B896)-1)/3),"jjjjmmdd")</f>
        <v>19201025</v>
      </c>
      <c r="C896" s="35" t="str">
        <f>IF(MOD(ROWS(C$2:C896)-1,3)=2,"24.00",INDEX(Data,2,2+MOD(ROWS(C$2:C896)-1,3)))</f>
        <v>08.00</v>
      </c>
      <c r="D896" s="23">
        <f t="shared" ca="1" si="97"/>
        <v>745.9</v>
      </c>
      <c r="E896" s="40">
        <f t="shared" ca="1" si="92"/>
        <v>0</v>
      </c>
      <c r="F896" s="23" t="str">
        <f t="shared" ca="1" si="93"/>
        <v>—</v>
      </c>
      <c r="G896" s="40">
        <f t="shared" ca="1" si="94"/>
        <v>7</v>
      </c>
      <c r="H896" s="23" t="str">
        <f t="shared" ca="1" si="95"/>
        <v>—</v>
      </c>
      <c r="I896" s="40">
        <f t="shared" ca="1" si="96"/>
        <v>7</v>
      </c>
    </row>
    <row r="897" spans="1:9" x14ac:dyDescent="0.25">
      <c r="A897" s="17">
        <f t="shared" si="91"/>
        <v>81</v>
      </c>
      <c r="B897" t="str">
        <f ca="1">TEXT(DATE(YEAR(Invoer!$A$5),1,1)+INT((ROWS(B$2:B897)-1)/3),"jjjjmmdd")</f>
        <v>19201025</v>
      </c>
      <c r="C897" s="35" t="str">
        <f>IF(MOD(ROWS(C$2:C897)-1,3)=2,"24.00",INDEX(Data,2,2+MOD(ROWS(C$2:C897)-1,3)))</f>
        <v>14.00</v>
      </c>
      <c r="D897" s="23">
        <f t="shared" ca="1" si="97"/>
        <v>744.7</v>
      </c>
      <c r="E897" s="40">
        <f t="shared" ca="1" si="92"/>
        <v>0</v>
      </c>
      <c r="F897" s="23" t="str">
        <f t="shared" ca="1" si="93"/>
        <v>—</v>
      </c>
      <c r="G897" s="40">
        <f t="shared" ca="1" si="94"/>
        <v>7</v>
      </c>
      <c r="H897" s="23" t="str">
        <f t="shared" ca="1" si="95"/>
        <v>—</v>
      </c>
      <c r="I897" s="40">
        <f t="shared" ca="1" si="96"/>
        <v>7</v>
      </c>
    </row>
    <row r="898" spans="1:9" x14ac:dyDescent="0.25">
      <c r="A898" s="17">
        <f t="shared" ref="A898:A961" si="98">INDEX(Stations,2,1)</f>
        <v>81</v>
      </c>
      <c r="B898" t="str">
        <f ca="1">TEXT(DATE(YEAR(Invoer!$A$5),1,1)+INT((ROWS(B$2:B898)-1)/3),"jjjjmmdd")</f>
        <v>19201025</v>
      </c>
      <c r="C898" s="35" t="str">
        <f>IF(MOD(ROWS(C$2:C898)-1,3)=2,"24.00",INDEX(Data,2,2+MOD(ROWS(C$2:C898)-1,3)))</f>
        <v>24.00</v>
      </c>
      <c r="D898" s="23" t="str">
        <f t="shared" ca="1" si="97"/>
        <v>—</v>
      </c>
      <c r="E898" s="40">
        <f t="shared" ref="E898:E961" ca="1" si="99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  <c r="F898" s="23">
        <f t="shared" ref="F898:F961" ca="1" si="100">IF(OR(ISBLANK(VLOOKUP(DATEVALUE(LEFT($B898,4)&amp;"-"&amp;MID($B898,5,2)&amp;"-"&amp;RIGHT($B898,2)),Data,MATCH(LEFT(VLOOKUP(F$1,Parameters,2,FALSE()),4)&amp;"*",OFFSET(Data,1,0,1),0),FALSE())),ISTEXT(VLOOKUP(DATEVALUE(LEFT($B898,4)&amp;"-"&amp;MID($B898,5,2)&amp;"-"&amp;RIGHT($B898,2)),Data,MATCH(LEFT(VLOOKUP(F$1,Parameters,2,FALSE()),4)&amp;"*",OFFSET(Data,1,0,1),0),FALSE())),NOT(EXACT($C898,"24.00"))),"—",VLOOKUP(DATEVALUE(LEFT($B898,4)&amp;"-"&amp;MID($B898,5,2)&amp;"-"&amp;RIGHT($B898,2)),Data,MATCH(LEFT(VLOOKUP(F$1,Parameters,2,FALSE()),4)&amp;"*",OFFSET(Data,1,0,1),0),FALSE()))</f>
        <v>27.5</v>
      </c>
      <c r="G898" s="40">
        <f t="shared" ref="G898:G961" ca="1" si="101">IF(OR(ISBLANK(VLOOKUP(DATEVALUE(LEFT($B898,4)&amp;"-"&amp;MID($B898,5,2)&amp;"-"&amp;RIGHT($B898,2)),Data,MATCH(LEFT(VLOOKUP(MID(G$1,2,LEN(G$1)-1),Parameters,2,FALSE()),4)&amp;"*",OFFSET(Data,1,0,1),0),FALSE())),ISTEXT(VLOOKUP(DATEVALUE(LEFT($B898,4)&amp;"-"&amp;MID($B898,5,2)&amp;"-"&amp;RIGHT($B898,2)),Data,MATCH(LEFT(VLOOKUP(MID(G$1,2,LEN(G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1,0,1),0),FALSE())))</f>
        <v>0</v>
      </c>
      <c r="H898" s="23">
        <f t="shared" ref="H898:H961" ca="1" si="102">IF(OR(ISBLANK(VLOOKUP(DATEVALUE(LEFT($B898,4)&amp;"-"&amp;MID($B898,5,2)&amp;"-"&amp;RIGHT($B898,2)),Data,MATCH(LEFT(VLOOKUP(H$1,Parameters,2,FALSE()),4)&amp;"*",OFFSET(Data,1,0,1),0),FALSE())),ISTEXT(VLOOKUP(DATEVALUE(LEFT($B898,4)&amp;"-"&amp;MID($B898,5,2)&amp;"-"&amp;RIGHT($B898,2)),Data,MATCH(LEFT(VLOOKUP(H$1,Parameters,2,FALSE()),4)&amp;"*",OFFSET(Data,1,0,1),0),FALSE())),NOT(EXACT($C898,"24.00"))),"—",VLOOKUP(DATEVALUE(LEFT($B898,4)&amp;"-"&amp;MID($B898,5,2)&amp;"-"&amp;RIGHT($B898,2)),Data,MATCH(LEFT(VLOOKUP(H$1,Parameters,2,FALSE()),4)&amp;"*",OFFSET(Data,1,0,1),0),FALSE()))</f>
        <v>28</v>
      </c>
      <c r="I898" s="40">
        <f t="shared" ref="I898:I961" ca="1" si="103">IF(OR(ISBLANK(VLOOKUP(DATEVALUE(LEFT($B898,4)&amp;"-"&amp;MID($B898,5,2)&amp;"-"&amp;RIGHT($B898,2)),Data,MATCH(LEFT(VLOOKUP(MID(I$1,2,LEN(I$1)-1),Parameters,2,FALSE()),4)&amp;"*",OFFSET(Data,1,0,1),0),FALSE())),ISTEXT(VLOOKUP(DATEVALUE(LEFT($B898,4)&amp;"-"&amp;MID($B898,5,2)&amp;"-"&amp;RIGHT($B898,2)),Data,MATCH(LEFT(VLOOKUP(MID(I$1,2,LEN(I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I$1,2,LEN(I$1)-1),Parameters,2,FALSE()),4)&amp;"*",OFFSET(Catalogus,1,0,1),0),FALSE())))</f>
        <v>0</v>
      </c>
    </row>
    <row r="899" spans="1:9" x14ac:dyDescent="0.25">
      <c r="A899" s="17">
        <f t="shared" si="98"/>
        <v>81</v>
      </c>
      <c r="B899" t="str">
        <f ca="1">TEXT(DATE(YEAR(Invoer!$A$5),1,1)+INT((ROWS(B$2:B899)-1)/3),"jjjjmmdd")</f>
        <v>19201026</v>
      </c>
      <c r="C899" s="35" t="str">
        <f>IF(MOD(ROWS(C$2:C899)-1,3)=2,"24.00",INDEX(Data,2,2+MOD(ROWS(C$2:C899)-1,3)))</f>
        <v>08.00</v>
      </c>
      <c r="D899" s="23">
        <f t="shared" ref="D899:D962" ca="1" si="104">IF(OR(ISBLANK(VLOOKUP(DATEVALUE(LEFT($B899,4)&amp;"-"&amp;MID($B899,5,2)&amp;"-"&amp;RIGHT($B899,2)),Data,MATCH(LEFT(VLOOKUP(D$1,Parameters,2,FALSE()),4)&amp;"*",OFFSET(Data,0,0,1),0)+MATCH($C899,OFFSET(Data,1,0,1),0)-2,FALSE())),ISTEXT(VLOOKUP(DATEVALUE(LEFT($B899,4)&amp;"-"&amp;MID($B899,5,2)&amp;"-"&amp;RIGHT($B899,2)),Data,MATCH(LEFT(VLOOKUP(D$1,Parameters,2,FALSE()),4)&amp;"*",OFFSET(Data,0,0,1),0)+MATCH($C899,OFFSET(Data,1,0,1),0)-2,FALSE())),EXACT(C899,"24.00")),"—",VLOOKUP(DATEVALUE(LEFT($B899,4)&amp;"-"&amp;MID($B899,5,2)&amp;"-"&amp;RIGHT($B899,2)),Data,MATCH(LEFT(VLOOKUP(D$1,Parameters,2,FALSE()),4)&amp;"*",OFFSET(Data,0,0,1),0)+MATCH($C899,OFFSET(Data,1,0,1),0)-2,FALSE()))</f>
        <v>745.5</v>
      </c>
      <c r="E899" s="40">
        <f t="shared" ca="1" si="99"/>
        <v>0</v>
      </c>
      <c r="F899" s="23" t="str">
        <f t="shared" ca="1" si="100"/>
        <v>—</v>
      </c>
      <c r="G899" s="40">
        <f t="shared" ca="1" si="101"/>
        <v>7</v>
      </c>
      <c r="H899" s="23" t="str">
        <f t="shared" ca="1" si="102"/>
        <v>—</v>
      </c>
      <c r="I899" s="40">
        <f t="shared" ca="1" si="103"/>
        <v>7</v>
      </c>
    </row>
    <row r="900" spans="1:9" x14ac:dyDescent="0.25">
      <c r="A900" s="17">
        <f t="shared" si="98"/>
        <v>81</v>
      </c>
      <c r="B900" t="str">
        <f ca="1">TEXT(DATE(YEAR(Invoer!$A$5),1,1)+INT((ROWS(B$2:B900)-1)/3),"jjjjmmdd")</f>
        <v>19201026</v>
      </c>
      <c r="C900" s="35" t="str">
        <f>IF(MOD(ROWS(C$2:C900)-1,3)=2,"24.00",INDEX(Data,2,2+MOD(ROWS(C$2:C900)-1,3)))</f>
        <v>14.00</v>
      </c>
      <c r="D900" s="23">
        <f t="shared" ca="1" si="104"/>
        <v>745</v>
      </c>
      <c r="E900" s="40">
        <f t="shared" ca="1" si="99"/>
        <v>0</v>
      </c>
      <c r="F900" s="23" t="str">
        <f t="shared" ca="1" si="100"/>
        <v>—</v>
      </c>
      <c r="G900" s="40">
        <f t="shared" ca="1" si="101"/>
        <v>7</v>
      </c>
      <c r="H900" s="23" t="str">
        <f t="shared" ca="1" si="102"/>
        <v>—</v>
      </c>
      <c r="I900" s="40">
        <f t="shared" ca="1" si="103"/>
        <v>7</v>
      </c>
    </row>
    <row r="901" spans="1:9" x14ac:dyDescent="0.25">
      <c r="A901" s="17">
        <f t="shared" si="98"/>
        <v>81</v>
      </c>
      <c r="B901" t="str">
        <f ca="1">TEXT(DATE(YEAR(Invoer!$A$5),1,1)+INT((ROWS(B$2:B901)-1)/3),"jjjjmmdd")</f>
        <v>19201026</v>
      </c>
      <c r="C901" s="35" t="str">
        <f>IF(MOD(ROWS(C$2:C901)-1,3)=2,"24.00",INDEX(Data,2,2+MOD(ROWS(C$2:C901)-1,3)))</f>
        <v>24.00</v>
      </c>
      <c r="D901" s="23" t="str">
        <f t="shared" ca="1" si="104"/>
        <v>—</v>
      </c>
      <c r="E901" s="40">
        <f t="shared" ca="1" si="99"/>
        <v>7</v>
      </c>
      <c r="F901" s="23">
        <f t="shared" ca="1" si="100"/>
        <v>27</v>
      </c>
      <c r="G901" s="40">
        <f t="shared" ca="1" si="101"/>
        <v>0</v>
      </c>
      <c r="H901" s="23">
        <f t="shared" ca="1" si="102"/>
        <v>28.5</v>
      </c>
      <c r="I901" s="40">
        <f t="shared" ca="1" si="103"/>
        <v>0</v>
      </c>
    </row>
    <row r="902" spans="1:9" x14ac:dyDescent="0.25">
      <c r="A902" s="17">
        <f t="shared" si="98"/>
        <v>81</v>
      </c>
      <c r="B902" t="str">
        <f ca="1">TEXT(DATE(YEAR(Invoer!$A$5),1,1)+INT((ROWS(B$2:B902)-1)/3),"jjjjmmdd")</f>
        <v>19201027</v>
      </c>
      <c r="C902" s="35" t="str">
        <f>IF(MOD(ROWS(C$2:C902)-1,3)=2,"24.00",INDEX(Data,2,2+MOD(ROWS(C$2:C902)-1,3)))</f>
        <v>08.00</v>
      </c>
      <c r="D902" s="23">
        <f t="shared" ca="1" si="104"/>
        <v>746</v>
      </c>
      <c r="E902" s="40">
        <f t="shared" ca="1" si="99"/>
        <v>0</v>
      </c>
      <c r="F902" s="23" t="str">
        <f t="shared" ca="1" si="100"/>
        <v>—</v>
      </c>
      <c r="G902" s="40">
        <f t="shared" ca="1" si="101"/>
        <v>7</v>
      </c>
      <c r="H902" s="23" t="str">
        <f t="shared" ca="1" si="102"/>
        <v>—</v>
      </c>
      <c r="I902" s="40">
        <f t="shared" ca="1" si="103"/>
        <v>7</v>
      </c>
    </row>
    <row r="903" spans="1:9" x14ac:dyDescent="0.25">
      <c r="A903" s="17">
        <f t="shared" si="98"/>
        <v>81</v>
      </c>
      <c r="B903" t="str">
        <f ca="1">TEXT(DATE(YEAR(Invoer!$A$5),1,1)+INT((ROWS(B$2:B903)-1)/3),"jjjjmmdd")</f>
        <v>19201027</v>
      </c>
      <c r="C903" s="35" t="str">
        <f>IF(MOD(ROWS(C$2:C903)-1,3)=2,"24.00",INDEX(Data,2,2+MOD(ROWS(C$2:C903)-1,3)))</f>
        <v>14.00</v>
      </c>
      <c r="D903" s="23">
        <f t="shared" ca="1" si="104"/>
        <v>745</v>
      </c>
      <c r="E903" s="40">
        <f t="shared" ca="1" si="99"/>
        <v>0</v>
      </c>
      <c r="F903" s="23" t="str">
        <f t="shared" ca="1" si="100"/>
        <v>—</v>
      </c>
      <c r="G903" s="40">
        <f t="shared" ca="1" si="101"/>
        <v>7</v>
      </c>
      <c r="H903" s="23" t="str">
        <f t="shared" ca="1" si="102"/>
        <v>—</v>
      </c>
      <c r="I903" s="40">
        <f t="shared" ca="1" si="103"/>
        <v>7</v>
      </c>
    </row>
    <row r="904" spans="1:9" x14ac:dyDescent="0.25">
      <c r="A904" s="17">
        <f t="shared" si="98"/>
        <v>81</v>
      </c>
      <c r="B904" t="str">
        <f ca="1">TEXT(DATE(YEAR(Invoer!$A$5),1,1)+INT((ROWS(B$2:B904)-1)/3),"jjjjmmdd")</f>
        <v>19201027</v>
      </c>
      <c r="C904" s="35" t="str">
        <f>IF(MOD(ROWS(C$2:C904)-1,3)=2,"24.00",INDEX(Data,2,2+MOD(ROWS(C$2:C904)-1,3)))</f>
        <v>24.00</v>
      </c>
      <c r="D904" s="23" t="str">
        <f t="shared" ca="1" si="104"/>
        <v>—</v>
      </c>
      <c r="E904" s="40">
        <f t="shared" ca="1" si="99"/>
        <v>7</v>
      </c>
      <c r="F904" s="23">
        <f t="shared" ca="1" si="100"/>
        <v>26.5</v>
      </c>
      <c r="G904" s="40">
        <f t="shared" ca="1" si="101"/>
        <v>0</v>
      </c>
      <c r="H904" s="23">
        <f t="shared" ca="1" si="102"/>
        <v>27</v>
      </c>
      <c r="I904" s="40">
        <f t="shared" ca="1" si="103"/>
        <v>0</v>
      </c>
    </row>
    <row r="905" spans="1:9" x14ac:dyDescent="0.25">
      <c r="A905" s="17">
        <f t="shared" si="98"/>
        <v>81</v>
      </c>
      <c r="B905" t="str">
        <f ca="1">TEXT(DATE(YEAR(Invoer!$A$5),1,1)+INT((ROWS(B$2:B905)-1)/3),"jjjjmmdd")</f>
        <v>19201028</v>
      </c>
      <c r="C905" s="35" t="str">
        <f>IF(MOD(ROWS(C$2:C905)-1,3)=2,"24.00",INDEX(Data,2,2+MOD(ROWS(C$2:C905)-1,3)))</f>
        <v>08.00</v>
      </c>
      <c r="D905" s="23">
        <f t="shared" ca="1" si="104"/>
        <v>746.5</v>
      </c>
      <c r="E905" s="40">
        <f t="shared" ca="1" si="99"/>
        <v>0</v>
      </c>
      <c r="F905" s="23" t="str">
        <f t="shared" ca="1" si="100"/>
        <v>—</v>
      </c>
      <c r="G905" s="40">
        <f t="shared" ca="1" si="101"/>
        <v>7</v>
      </c>
      <c r="H905" s="23" t="str">
        <f t="shared" ca="1" si="102"/>
        <v>—</v>
      </c>
      <c r="I905" s="40">
        <f t="shared" ca="1" si="103"/>
        <v>7</v>
      </c>
    </row>
    <row r="906" spans="1:9" x14ac:dyDescent="0.25">
      <c r="A906" s="17">
        <f t="shared" si="98"/>
        <v>81</v>
      </c>
      <c r="B906" t="str">
        <f ca="1">TEXT(DATE(YEAR(Invoer!$A$5),1,1)+INT((ROWS(B$2:B906)-1)/3),"jjjjmmdd")</f>
        <v>19201028</v>
      </c>
      <c r="C906" s="35" t="str">
        <f>IF(MOD(ROWS(C$2:C906)-1,3)=2,"24.00",INDEX(Data,2,2+MOD(ROWS(C$2:C906)-1,3)))</f>
        <v>14.00</v>
      </c>
      <c r="D906" s="23">
        <f t="shared" ca="1" si="104"/>
        <v>744.5</v>
      </c>
      <c r="E906" s="40">
        <f t="shared" ca="1" si="99"/>
        <v>0</v>
      </c>
      <c r="F906" s="23" t="str">
        <f t="shared" ca="1" si="100"/>
        <v>—</v>
      </c>
      <c r="G906" s="40">
        <f t="shared" ca="1" si="101"/>
        <v>7</v>
      </c>
      <c r="H906" s="23" t="str">
        <f t="shared" ca="1" si="102"/>
        <v>—</v>
      </c>
      <c r="I906" s="40">
        <f t="shared" ca="1" si="103"/>
        <v>7</v>
      </c>
    </row>
    <row r="907" spans="1:9" x14ac:dyDescent="0.25">
      <c r="A907" s="17">
        <f t="shared" si="98"/>
        <v>81</v>
      </c>
      <c r="B907" t="str">
        <f ca="1">TEXT(DATE(YEAR(Invoer!$A$5),1,1)+INT((ROWS(B$2:B907)-1)/3),"jjjjmmdd")</f>
        <v>19201028</v>
      </c>
      <c r="C907" s="35" t="str">
        <f>IF(MOD(ROWS(C$2:C907)-1,3)=2,"24.00",INDEX(Data,2,2+MOD(ROWS(C$2:C907)-1,3)))</f>
        <v>24.00</v>
      </c>
      <c r="D907" s="23" t="str">
        <f t="shared" ca="1" si="104"/>
        <v>—</v>
      </c>
      <c r="E907" s="40">
        <f t="shared" ca="1" si="99"/>
        <v>7</v>
      </c>
      <c r="F907" s="23">
        <f t="shared" ca="1" si="100"/>
        <v>26</v>
      </c>
      <c r="G907" s="40">
        <f t="shared" ca="1" si="101"/>
        <v>0</v>
      </c>
      <c r="H907" s="23">
        <f t="shared" ca="1" si="102"/>
        <v>27.5</v>
      </c>
      <c r="I907" s="40">
        <f t="shared" ca="1" si="103"/>
        <v>0</v>
      </c>
    </row>
    <row r="908" spans="1:9" x14ac:dyDescent="0.25">
      <c r="A908" s="17">
        <f t="shared" si="98"/>
        <v>81</v>
      </c>
      <c r="B908" t="str">
        <f ca="1">TEXT(DATE(YEAR(Invoer!$A$5),1,1)+INT((ROWS(B$2:B908)-1)/3),"jjjjmmdd")</f>
        <v>19201029</v>
      </c>
      <c r="C908" s="35" t="str">
        <f>IF(MOD(ROWS(C$2:C908)-1,3)=2,"24.00",INDEX(Data,2,2+MOD(ROWS(C$2:C908)-1,3)))</f>
        <v>08.00</v>
      </c>
      <c r="D908" s="23">
        <f t="shared" ca="1" si="104"/>
        <v>745.2</v>
      </c>
      <c r="E908" s="40">
        <f t="shared" ca="1" si="99"/>
        <v>0</v>
      </c>
      <c r="F908" s="23" t="str">
        <f t="shared" ca="1" si="100"/>
        <v>—</v>
      </c>
      <c r="G908" s="40">
        <f t="shared" ca="1" si="101"/>
        <v>7</v>
      </c>
      <c r="H908" s="23" t="str">
        <f t="shared" ca="1" si="102"/>
        <v>—</v>
      </c>
      <c r="I908" s="40">
        <f t="shared" ca="1" si="103"/>
        <v>7</v>
      </c>
    </row>
    <row r="909" spans="1:9" x14ac:dyDescent="0.25">
      <c r="A909" s="17">
        <f t="shared" si="98"/>
        <v>81</v>
      </c>
      <c r="B909" t="str">
        <f ca="1">TEXT(DATE(YEAR(Invoer!$A$5),1,1)+INT((ROWS(B$2:B909)-1)/3),"jjjjmmdd")</f>
        <v>19201029</v>
      </c>
      <c r="C909" s="35" t="str">
        <f>IF(MOD(ROWS(C$2:C909)-1,3)=2,"24.00",INDEX(Data,2,2+MOD(ROWS(C$2:C909)-1,3)))</f>
        <v>14.00</v>
      </c>
      <c r="D909" s="23">
        <f t="shared" ca="1" si="104"/>
        <v>744.5</v>
      </c>
      <c r="E909" s="40">
        <f t="shared" ca="1" si="99"/>
        <v>0</v>
      </c>
      <c r="F909" s="23" t="str">
        <f t="shared" ca="1" si="100"/>
        <v>—</v>
      </c>
      <c r="G909" s="40">
        <f t="shared" ca="1" si="101"/>
        <v>7</v>
      </c>
      <c r="H909" s="23" t="str">
        <f t="shared" ca="1" si="102"/>
        <v>—</v>
      </c>
      <c r="I909" s="40">
        <f t="shared" ca="1" si="103"/>
        <v>7</v>
      </c>
    </row>
    <row r="910" spans="1:9" x14ac:dyDescent="0.25">
      <c r="A910" s="17">
        <f t="shared" si="98"/>
        <v>81</v>
      </c>
      <c r="B910" t="str">
        <f ca="1">TEXT(DATE(YEAR(Invoer!$A$5),1,1)+INT((ROWS(B$2:B910)-1)/3),"jjjjmmdd")</f>
        <v>19201029</v>
      </c>
      <c r="C910" s="35" t="str">
        <f>IF(MOD(ROWS(C$2:C910)-1,3)=2,"24.00",INDEX(Data,2,2+MOD(ROWS(C$2:C910)-1,3)))</f>
        <v>24.00</v>
      </c>
      <c r="D910" s="23" t="str">
        <f t="shared" ca="1" si="104"/>
        <v>—</v>
      </c>
      <c r="E910" s="40">
        <f t="shared" ca="1" si="99"/>
        <v>7</v>
      </c>
      <c r="F910" s="23">
        <f t="shared" ca="1" si="100"/>
        <v>27</v>
      </c>
      <c r="G910" s="40">
        <f t="shared" ca="1" si="101"/>
        <v>0</v>
      </c>
      <c r="H910" s="23">
        <f t="shared" ca="1" si="102"/>
        <v>28</v>
      </c>
      <c r="I910" s="40">
        <f t="shared" ca="1" si="103"/>
        <v>0</v>
      </c>
    </row>
    <row r="911" spans="1:9" x14ac:dyDescent="0.25">
      <c r="A911" s="17">
        <f t="shared" si="98"/>
        <v>81</v>
      </c>
      <c r="B911" t="str">
        <f ca="1">TEXT(DATE(YEAR(Invoer!$A$5),1,1)+INT((ROWS(B$2:B911)-1)/3),"jjjjmmdd")</f>
        <v>19201030</v>
      </c>
      <c r="C911" s="35" t="str">
        <f>IF(MOD(ROWS(C$2:C911)-1,3)=2,"24.00",INDEX(Data,2,2+MOD(ROWS(C$2:C911)-1,3)))</f>
        <v>08.00</v>
      </c>
      <c r="D911" s="23">
        <f t="shared" ca="1" si="104"/>
        <v>746.5</v>
      </c>
      <c r="E911" s="40">
        <f t="shared" ca="1" si="99"/>
        <v>0</v>
      </c>
      <c r="F911" s="23" t="str">
        <f t="shared" ca="1" si="100"/>
        <v>—</v>
      </c>
      <c r="G911" s="40">
        <f t="shared" ca="1" si="101"/>
        <v>7</v>
      </c>
      <c r="H911" s="23" t="str">
        <f t="shared" ca="1" si="102"/>
        <v>—</v>
      </c>
      <c r="I911" s="40">
        <f t="shared" ca="1" si="103"/>
        <v>7</v>
      </c>
    </row>
    <row r="912" spans="1:9" x14ac:dyDescent="0.25">
      <c r="A912" s="17">
        <f t="shared" si="98"/>
        <v>81</v>
      </c>
      <c r="B912" t="str">
        <f ca="1">TEXT(DATE(YEAR(Invoer!$A$5),1,1)+INT((ROWS(B$2:B912)-1)/3),"jjjjmmdd")</f>
        <v>19201030</v>
      </c>
      <c r="C912" s="35" t="str">
        <f>IF(MOD(ROWS(C$2:C912)-1,3)=2,"24.00",INDEX(Data,2,2+MOD(ROWS(C$2:C912)-1,3)))</f>
        <v>14.00</v>
      </c>
      <c r="D912" s="23">
        <f t="shared" ca="1" si="104"/>
        <v>746</v>
      </c>
      <c r="E912" s="40">
        <f t="shared" ca="1" si="99"/>
        <v>0</v>
      </c>
      <c r="F912" s="23" t="str">
        <f t="shared" ca="1" si="100"/>
        <v>—</v>
      </c>
      <c r="G912" s="40">
        <f t="shared" ca="1" si="101"/>
        <v>7</v>
      </c>
      <c r="H912" s="23" t="str">
        <f t="shared" ca="1" si="102"/>
        <v>—</v>
      </c>
      <c r="I912" s="40">
        <f t="shared" ca="1" si="103"/>
        <v>7</v>
      </c>
    </row>
    <row r="913" spans="1:9" x14ac:dyDescent="0.25">
      <c r="A913" s="17">
        <f t="shared" si="98"/>
        <v>81</v>
      </c>
      <c r="B913" t="str">
        <f ca="1">TEXT(DATE(YEAR(Invoer!$A$5),1,1)+INT((ROWS(B$2:B913)-1)/3),"jjjjmmdd")</f>
        <v>19201030</v>
      </c>
      <c r="C913" s="35" t="str">
        <f>IF(MOD(ROWS(C$2:C913)-1,3)=2,"24.00",INDEX(Data,2,2+MOD(ROWS(C$2:C913)-1,3)))</f>
        <v>24.00</v>
      </c>
      <c r="D913" s="23" t="str">
        <f t="shared" ca="1" si="104"/>
        <v>—</v>
      </c>
      <c r="E913" s="40">
        <f t="shared" ca="1" si="99"/>
        <v>7</v>
      </c>
      <c r="F913" s="23">
        <f t="shared" ca="1" si="100"/>
        <v>27</v>
      </c>
      <c r="G913" s="40">
        <f t="shared" ca="1" si="101"/>
        <v>0</v>
      </c>
      <c r="H913" s="23">
        <f t="shared" ca="1" si="102"/>
        <v>29</v>
      </c>
      <c r="I913" s="40">
        <f t="shared" ca="1" si="103"/>
        <v>0</v>
      </c>
    </row>
    <row r="914" spans="1:9" x14ac:dyDescent="0.25">
      <c r="A914" s="17">
        <f t="shared" si="98"/>
        <v>81</v>
      </c>
      <c r="B914" t="str">
        <f ca="1">TEXT(DATE(YEAR(Invoer!$A$5),1,1)+INT((ROWS(B$2:B914)-1)/3),"jjjjmmdd")</f>
        <v>19201031</v>
      </c>
      <c r="C914" s="35" t="str">
        <f>IF(MOD(ROWS(C$2:C914)-1,3)=2,"24.00",INDEX(Data,2,2+MOD(ROWS(C$2:C914)-1,3)))</f>
        <v>08.00</v>
      </c>
      <c r="D914" s="23">
        <f t="shared" ca="1" si="104"/>
        <v>746</v>
      </c>
      <c r="E914" s="40">
        <f t="shared" ca="1" si="99"/>
        <v>0</v>
      </c>
      <c r="F914" s="23" t="str">
        <f t="shared" ca="1" si="100"/>
        <v>—</v>
      </c>
      <c r="G914" s="40">
        <f t="shared" ca="1" si="101"/>
        <v>7</v>
      </c>
      <c r="H914" s="23" t="str">
        <f t="shared" ca="1" si="102"/>
        <v>—</v>
      </c>
      <c r="I914" s="40">
        <f t="shared" ca="1" si="103"/>
        <v>7</v>
      </c>
    </row>
    <row r="915" spans="1:9" x14ac:dyDescent="0.25">
      <c r="A915" s="17">
        <f t="shared" si="98"/>
        <v>81</v>
      </c>
      <c r="B915" t="str">
        <f ca="1">TEXT(DATE(YEAR(Invoer!$A$5),1,1)+INT((ROWS(B$2:B915)-1)/3),"jjjjmmdd")</f>
        <v>19201031</v>
      </c>
      <c r="C915" s="35" t="str">
        <f>IF(MOD(ROWS(C$2:C915)-1,3)=2,"24.00",INDEX(Data,2,2+MOD(ROWS(C$2:C915)-1,3)))</f>
        <v>14.00</v>
      </c>
      <c r="D915" s="23">
        <f t="shared" ca="1" si="104"/>
        <v>745.5</v>
      </c>
      <c r="E915" s="40">
        <f t="shared" ca="1" si="99"/>
        <v>0</v>
      </c>
      <c r="F915" s="23" t="str">
        <f t="shared" ca="1" si="100"/>
        <v>—</v>
      </c>
      <c r="G915" s="40">
        <f t="shared" ca="1" si="101"/>
        <v>7</v>
      </c>
      <c r="H915" s="23" t="str">
        <f t="shared" ca="1" si="102"/>
        <v>—</v>
      </c>
      <c r="I915" s="40">
        <f t="shared" ca="1" si="103"/>
        <v>7</v>
      </c>
    </row>
    <row r="916" spans="1:9" x14ac:dyDescent="0.25">
      <c r="A916" s="17">
        <f t="shared" si="98"/>
        <v>81</v>
      </c>
      <c r="B916" t="str">
        <f ca="1">TEXT(DATE(YEAR(Invoer!$A$5),1,1)+INT((ROWS(B$2:B916)-1)/3),"jjjjmmdd")</f>
        <v>19201031</v>
      </c>
      <c r="C916" s="35" t="str">
        <f>IF(MOD(ROWS(C$2:C916)-1,3)=2,"24.00",INDEX(Data,2,2+MOD(ROWS(C$2:C916)-1,3)))</f>
        <v>24.00</v>
      </c>
      <c r="D916" s="23" t="str">
        <f t="shared" ca="1" si="104"/>
        <v>—</v>
      </c>
      <c r="E916" s="40">
        <f t="shared" ca="1" si="99"/>
        <v>7</v>
      </c>
      <c r="F916" s="23">
        <f t="shared" ca="1" si="100"/>
        <v>24</v>
      </c>
      <c r="G916" s="40">
        <f t="shared" ca="1" si="101"/>
        <v>0</v>
      </c>
      <c r="H916" s="23">
        <f t="shared" ca="1" si="102"/>
        <v>24.5</v>
      </c>
      <c r="I916" s="40">
        <f t="shared" ca="1" si="103"/>
        <v>0</v>
      </c>
    </row>
    <row r="917" spans="1:9" x14ac:dyDescent="0.25">
      <c r="A917" s="17">
        <f t="shared" si="98"/>
        <v>81</v>
      </c>
      <c r="B917" t="str">
        <f ca="1">TEXT(DATE(YEAR(Invoer!$A$5),1,1)+INT((ROWS(B$2:B917)-1)/3),"jjjjmmdd")</f>
        <v>19201101</v>
      </c>
      <c r="C917" s="35" t="str">
        <f>IF(MOD(ROWS(C$2:C917)-1,3)=2,"24.00",INDEX(Data,2,2+MOD(ROWS(C$2:C917)-1,3)))</f>
        <v>08.00</v>
      </c>
      <c r="D917" s="23">
        <f t="shared" ca="1" si="104"/>
        <v>746</v>
      </c>
      <c r="E917" s="40">
        <f t="shared" ca="1" si="99"/>
        <v>0</v>
      </c>
      <c r="F917" s="23" t="str">
        <f t="shared" ca="1" si="100"/>
        <v>—</v>
      </c>
      <c r="G917" s="40">
        <f t="shared" ca="1" si="101"/>
        <v>7</v>
      </c>
      <c r="H917" s="23" t="str">
        <f t="shared" ca="1" si="102"/>
        <v>—</v>
      </c>
      <c r="I917" s="40">
        <f t="shared" ca="1" si="103"/>
        <v>7</v>
      </c>
    </row>
    <row r="918" spans="1:9" x14ac:dyDescent="0.25">
      <c r="A918" s="17">
        <f t="shared" si="98"/>
        <v>81</v>
      </c>
      <c r="B918" t="str">
        <f ca="1">TEXT(DATE(YEAR(Invoer!$A$5),1,1)+INT((ROWS(B$2:B918)-1)/3),"jjjjmmdd")</f>
        <v>19201101</v>
      </c>
      <c r="C918" s="35" t="str">
        <f>IF(MOD(ROWS(C$2:C918)-1,3)=2,"24.00",INDEX(Data,2,2+MOD(ROWS(C$2:C918)-1,3)))</f>
        <v>14.00</v>
      </c>
      <c r="D918" s="23">
        <f t="shared" ca="1" si="104"/>
        <v>744.5</v>
      </c>
      <c r="E918" s="40">
        <f t="shared" ca="1" si="99"/>
        <v>0</v>
      </c>
      <c r="F918" s="23" t="str">
        <f t="shared" ca="1" si="100"/>
        <v>—</v>
      </c>
      <c r="G918" s="40">
        <f t="shared" ca="1" si="101"/>
        <v>7</v>
      </c>
      <c r="H918" s="23" t="str">
        <f t="shared" ca="1" si="102"/>
        <v>—</v>
      </c>
      <c r="I918" s="40">
        <f t="shared" ca="1" si="103"/>
        <v>7</v>
      </c>
    </row>
    <row r="919" spans="1:9" x14ac:dyDescent="0.25">
      <c r="A919" s="17">
        <f t="shared" si="98"/>
        <v>81</v>
      </c>
      <c r="B919" t="str">
        <f ca="1">TEXT(DATE(YEAR(Invoer!$A$5),1,1)+INT((ROWS(B$2:B919)-1)/3),"jjjjmmdd")</f>
        <v>19201101</v>
      </c>
      <c r="C919" s="35" t="str">
        <f>IF(MOD(ROWS(C$2:C919)-1,3)=2,"24.00",INDEX(Data,2,2+MOD(ROWS(C$2:C919)-1,3)))</f>
        <v>24.00</v>
      </c>
      <c r="D919" s="23" t="str">
        <f t="shared" ca="1" si="104"/>
        <v>—</v>
      </c>
      <c r="E919" s="40">
        <f t="shared" ca="1" si="99"/>
        <v>7</v>
      </c>
      <c r="F919" s="23">
        <f t="shared" ca="1" si="100"/>
        <v>24.5</v>
      </c>
      <c r="G919" s="40">
        <f t="shared" ca="1" si="101"/>
        <v>0</v>
      </c>
      <c r="H919" s="23">
        <f t="shared" ca="1" si="102"/>
        <v>27</v>
      </c>
      <c r="I919" s="40">
        <f t="shared" ca="1" si="103"/>
        <v>0</v>
      </c>
    </row>
    <row r="920" spans="1:9" x14ac:dyDescent="0.25">
      <c r="A920" s="17">
        <f t="shared" si="98"/>
        <v>81</v>
      </c>
      <c r="B920" t="str">
        <f ca="1">TEXT(DATE(YEAR(Invoer!$A$5),1,1)+INT((ROWS(B$2:B920)-1)/3),"jjjjmmdd")</f>
        <v>19201102</v>
      </c>
      <c r="C920" s="35" t="str">
        <f>IF(MOD(ROWS(C$2:C920)-1,3)=2,"24.00",INDEX(Data,2,2+MOD(ROWS(C$2:C920)-1,3)))</f>
        <v>08.00</v>
      </c>
      <c r="D920" s="23">
        <f t="shared" ca="1" si="104"/>
        <v>746</v>
      </c>
      <c r="E920" s="40">
        <f t="shared" ca="1" si="99"/>
        <v>0</v>
      </c>
      <c r="F920" s="23" t="str">
        <f t="shared" ca="1" si="100"/>
        <v>—</v>
      </c>
      <c r="G920" s="40">
        <f t="shared" ca="1" si="101"/>
        <v>7</v>
      </c>
      <c r="H920" s="23" t="str">
        <f t="shared" ca="1" si="102"/>
        <v>—</v>
      </c>
      <c r="I920" s="40">
        <f t="shared" ca="1" si="103"/>
        <v>7</v>
      </c>
    </row>
    <row r="921" spans="1:9" x14ac:dyDescent="0.25">
      <c r="A921" s="17">
        <f t="shared" si="98"/>
        <v>81</v>
      </c>
      <c r="B921" t="str">
        <f ca="1">TEXT(DATE(YEAR(Invoer!$A$5),1,1)+INT((ROWS(B$2:B921)-1)/3),"jjjjmmdd")</f>
        <v>19201102</v>
      </c>
      <c r="C921" s="35" t="str">
        <f>IF(MOD(ROWS(C$2:C921)-1,3)=2,"24.00",INDEX(Data,2,2+MOD(ROWS(C$2:C921)-1,3)))</f>
        <v>14.00</v>
      </c>
      <c r="D921" s="23">
        <f t="shared" ca="1" si="104"/>
        <v>745.5</v>
      </c>
      <c r="E921" s="40">
        <f t="shared" ca="1" si="99"/>
        <v>0</v>
      </c>
      <c r="F921" s="23" t="str">
        <f t="shared" ca="1" si="100"/>
        <v>—</v>
      </c>
      <c r="G921" s="40">
        <f t="shared" ca="1" si="101"/>
        <v>7</v>
      </c>
      <c r="H921" s="23" t="str">
        <f t="shared" ca="1" si="102"/>
        <v>—</v>
      </c>
      <c r="I921" s="40">
        <f t="shared" ca="1" si="103"/>
        <v>7</v>
      </c>
    </row>
    <row r="922" spans="1:9" x14ac:dyDescent="0.25">
      <c r="A922" s="17">
        <f t="shared" si="98"/>
        <v>81</v>
      </c>
      <c r="B922" t="str">
        <f ca="1">TEXT(DATE(YEAR(Invoer!$A$5),1,1)+INT((ROWS(B$2:B922)-1)/3),"jjjjmmdd")</f>
        <v>19201102</v>
      </c>
      <c r="C922" s="35" t="str">
        <f>IF(MOD(ROWS(C$2:C922)-1,3)=2,"24.00",INDEX(Data,2,2+MOD(ROWS(C$2:C922)-1,3)))</f>
        <v>24.00</v>
      </c>
      <c r="D922" s="23" t="str">
        <f t="shared" ca="1" si="104"/>
        <v>—</v>
      </c>
      <c r="E922" s="40">
        <f t="shared" ca="1" si="99"/>
        <v>7</v>
      </c>
      <c r="F922" s="23">
        <f t="shared" ca="1" si="100"/>
        <v>26</v>
      </c>
      <c r="G922" s="40">
        <f t="shared" ca="1" si="101"/>
        <v>0</v>
      </c>
      <c r="H922" s="23">
        <f t="shared" ca="1" si="102"/>
        <v>28.8</v>
      </c>
      <c r="I922" s="40">
        <f t="shared" ca="1" si="103"/>
        <v>0</v>
      </c>
    </row>
    <row r="923" spans="1:9" x14ac:dyDescent="0.25">
      <c r="A923" s="17">
        <f t="shared" si="98"/>
        <v>81</v>
      </c>
      <c r="B923" t="str">
        <f ca="1">TEXT(DATE(YEAR(Invoer!$A$5),1,1)+INT((ROWS(B$2:B923)-1)/3),"jjjjmmdd")</f>
        <v>19201103</v>
      </c>
      <c r="C923" s="35" t="str">
        <f>IF(MOD(ROWS(C$2:C923)-1,3)=2,"24.00",INDEX(Data,2,2+MOD(ROWS(C$2:C923)-1,3)))</f>
        <v>08.00</v>
      </c>
      <c r="D923" s="23">
        <f t="shared" ca="1" si="104"/>
        <v>745</v>
      </c>
      <c r="E923" s="40">
        <f t="shared" ca="1" si="99"/>
        <v>0</v>
      </c>
      <c r="F923" s="23" t="str">
        <f t="shared" ca="1" si="100"/>
        <v>—</v>
      </c>
      <c r="G923" s="40">
        <f t="shared" ca="1" si="101"/>
        <v>7</v>
      </c>
      <c r="H923" s="23" t="str">
        <f t="shared" ca="1" si="102"/>
        <v>—</v>
      </c>
      <c r="I923" s="40">
        <f t="shared" ca="1" si="103"/>
        <v>7</v>
      </c>
    </row>
    <row r="924" spans="1:9" x14ac:dyDescent="0.25">
      <c r="A924" s="17">
        <f t="shared" si="98"/>
        <v>81</v>
      </c>
      <c r="B924" t="str">
        <f ca="1">TEXT(DATE(YEAR(Invoer!$A$5),1,1)+INT((ROWS(B$2:B924)-1)/3),"jjjjmmdd")</f>
        <v>19201103</v>
      </c>
      <c r="C924" s="35" t="str">
        <f>IF(MOD(ROWS(C$2:C924)-1,3)=2,"24.00",INDEX(Data,2,2+MOD(ROWS(C$2:C924)-1,3)))</f>
        <v>14.00</v>
      </c>
      <c r="D924" s="23">
        <f t="shared" ca="1" si="104"/>
        <v>744.2</v>
      </c>
      <c r="E924" s="40">
        <f t="shared" ca="1" si="99"/>
        <v>0</v>
      </c>
      <c r="F924" s="23" t="str">
        <f t="shared" ca="1" si="100"/>
        <v>—</v>
      </c>
      <c r="G924" s="40">
        <f t="shared" ca="1" si="101"/>
        <v>7</v>
      </c>
      <c r="H924" s="23" t="str">
        <f t="shared" ca="1" si="102"/>
        <v>—</v>
      </c>
      <c r="I924" s="40">
        <f t="shared" ca="1" si="103"/>
        <v>7</v>
      </c>
    </row>
    <row r="925" spans="1:9" x14ac:dyDescent="0.25">
      <c r="A925" s="17">
        <f t="shared" si="98"/>
        <v>81</v>
      </c>
      <c r="B925" t="str">
        <f ca="1">TEXT(DATE(YEAR(Invoer!$A$5),1,1)+INT((ROWS(B$2:B925)-1)/3),"jjjjmmdd")</f>
        <v>19201103</v>
      </c>
      <c r="C925" s="35" t="str">
        <f>IF(MOD(ROWS(C$2:C925)-1,3)=2,"24.00",INDEX(Data,2,2+MOD(ROWS(C$2:C925)-1,3)))</f>
        <v>24.00</v>
      </c>
      <c r="D925" s="23" t="str">
        <f t="shared" ca="1" si="104"/>
        <v>—</v>
      </c>
      <c r="E925" s="40">
        <f t="shared" ca="1" si="99"/>
        <v>7</v>
      </c>
      <c r="F925" s="23">
        <f t="shared" ca="1" si="100"/>
        <v>23</v>
      </c>
      <c r="G925" s="40">
        <f t="shared" ca="1" si="101"/>
        <v>0</v>
      </c>
      <c r="H925" s="23">
        <f t="shared" ca="1" si="102"/>
        <v>24.5</v>
      </c>
      <c r="I925" s="40">
        <f t="shared" ca="1" si="103"/>
        <v>0</v>
      </c>
    </row>
    <row r="926" spans="1:9" x14ac:dyDescent="0.25">
      <c r="A926" s="17">
        <f t="shared" si="98"/>
        <v>81</v>
      </c>
      <c r="B926" t="str">
        <f ca="1">TEXT(DATE(YEAR(Invoer!$A$5),1,1)+INT((ROWS(B$2:B926)-1)/3),"jjjjmmdd")</f>
        <v>19201104</v>
      </c>
      <c r="C926" s="35" t="str">
        <f>IF(MOD(ROWS(C$2:C926)-1,3)=2,"24.00",INDEX(Data,2,2+MOD(ROWS(C$2:C926)-1,3)))</f>
        <v>08.00</v>
      </c>
      <c r="D926" s="23">
        <f t="shared" ca="1" si="104"/>
        <v>746</v>
      </c>
      <c r="E926" s="40">
        <f t="shared" ca="1" si="99"/>
        <v>0</v>
      </c>
      <c r="F926" s="23" t="str">
        <f t="shared" ca="1" si="100"/>
        <v>—</v>
      </c>
      <c r="G926" s="40">
        <f t="shared" ca="1" si="101"/>
        <v>7</v>
      </c>
      <c r="H926" s="23" t="str">
        <f t="shared" ca="1" si="102"/>
        <v>—</v>
      </c>
      <c r="I926" s="40">
        <f t="shared" ca="1" si="103"/>
        <v>7</v>
      </c>
    </row>
    <row r="927" spans="1:9" x14ac:dyDescent="0.25">
      <c r="A927" s="17">
        <f t="shared" si="98"/>
        <v>81</v>
      </c>
      <c r="B927" t="str">
        <f ca="1">TEXT(DATE(YEAR(Invoer!$A$5),1,1)+INT((ROWS(B$2:B927)-1)/3),"jjjjmmdd")</f>
        <v>19201104</v>
      </c>
      <c r="C927" s="35" t="str">
        <f>IF(MOD(ROWS(C$2:C927)-1,3)=2,"24.00",INDEX(Data,2,2+MOD(ROWS(C$2:C927)-1,3)))</f>
        <v>14.00</v>
      </c>
      <c r="D927" s="23">
        <f t="shared" ca="1" si="104"/>
        <v>745.4</v>
      </c>
      <c r="E927" s="40">
        <f t="shared" ca="1" si="99"/>
        <v>0</v>
      </c>
      <c r="F927" s="23" t="str">
        <f t="shared" ca="1" si="100"/>
        <v>—</v>
      </c>
      <c r="G927" s="40">
        <f t="shared" ca="1" si="101"/>
        <v>7</v>
      </c>
      <c r="H927" s="23" t="str">
        <f t="shared" ca="1" si="102"/>
        <v>—</v>
      </c>
      <c r="I927" s="40">
        <f t="shared" ca="1" si="103"/>
        <v>7</v>
      </c>
    </row>
    <row r="928" spans="1:9" x14ac:dyDescent="0.25">
      <c r="A928" s="17">
        <f t="shared" si="98"/>
        <v>81</v>
      </c>
      <c r="B928" t="str">
        <f ca="1">TEXT(DATE(YEAR(Invoer!$A$5),1,1)+INT((ROWS(B$2:B928)-1)/3),"jjjjmmdd")</f>
        <v>19201104</v>
      </c>
      <c r="C928" s="35" t="str">
        <f>IF(MOD(ROWS(C$2:C928)-1,3)=2,"24.00",INDEX(Data,2,2+MOD(ROWS(C$2:C928)-1,3)))</f>
        <v>24.00</v>
      </c>
      <c r="D928" s="23" t="str">
        <f t="shared" ca="1" si="104"/>
        <v>—</v>
      </c>
      <c r="E928" s="40">
        <f t="shared" ca="1" si="99"/>
        <v>7</v>
      </c>
      <c r="F928" s="23">
        <f t="shared" ca="1" si="100"/>
        <v>25</v>
      </c>
      <c r="G928" s="40">
        <f t="shared" ca="1" si="101"/>
        <v>0</v>
      </c>
      <c r="H928" s="23">
        <f t="shared" ca="1" si="102"/>
        <v>28</v>
      </c>
      <c r="I928" s="40">
        <f t="shared" ca="1" si="103"/>
        <v>0</v>
      </c>
    </row>
    <row r="929" spans="1:9" x14ac:dyDescent="0.25">
      <c r="A929" s="17">
        <f t="shared" si="98"/>
        <v>81</v>
      </c>
      <c r="B929" t="str">
        <f ca="1">TEXT(DATE(YEAR(Invoer!$A$5),1,1)+INT((ROWS(B$2:B929)-1)/3),"jjjjmmdd")</f>
        <v>19201105</v>
      </c>
      <c r="C929" s="35" t="str">
        <f>IF(MOD(ROWS(C$2:C929)-1,3)=2,"24.00",INDEX(Data,2,2+MOD(ROWS(C$2:C929)-1,3)))</f>
        <v>08.00</v>
      </c>
      <c r="D929" s="23">
        <f t="shared" ca="1" si="104"/>
        <v>747</v>
      </c>
      <c r="E929" s="40">
        <f t="shared" ca="1" si="99"/>
        <v>0</v>
      </c>
      <c r="F929" s="23" t="str">
        <f t="shared" ca="1" si="100"/>
        <v>—</v>
      </c>
      <c r="G929" s="40">
        <f t="shared" ca="1" si="101"/>
        <v>7</v>
      </c>
      <c r="H929" s="23" t="str">
        <f t="shared" ca="1" si="102"/>
        <v>—</v>
      </c>
      <c r="I929" s="40">
        <f t="shared" ca="1" si="103"/>
        <v>7</v>
      </c>
    </row>
    <row r="930" spans="1:9" x14ac:dyDescent="0.25">
      <c r="A930" s="17">
        <f t="shared" si="98"/>
        <v>81</v>
      </c>
      <c r="B930" t="str">
        <f ca="1">TEXT(DATE(YEAR(Invoer!$A$5),1,1)+INT((ROWS(B$2:B930)-1)/3),"jjjjmmdd")</f>
        <v>19201105</v>
      </c>
      <c r="C930" s="35" t="str">
        <f>IF(MOD(ROWS(C$2:C930)-1,3)=2,"24.00",INDEX(Data,2,2+MOD(ROWS(C$2:C930)-1,3)))</f>
        <v>14.00</v>
      </c>
      <c r="D930" s="23">
        <f t="shared" ca="1" si="104"/>
        <v>746.5</v>
      </c>
      <c r="E930" s="40">
        <f t="shared" ca="1" si="99"/>
        <v>0</v>
      </c>
      <c r="F930" s="23" t="str">
        <f t="shared" ca="1" si="100"/>
        <v>—</v>
      </c>
      <c r="G930" s="40">
        <f t="shared" ca="1" si="101"/>
        <v>7</v>
      </c>
      <c r="H930" s="23" t="str">
        <f t="shared" ca="1" si="102"/>
        <v>—</v>
      </c>
      <c r="I930" s="40">
        <f t="shared" ca="1" si="103"/>
        <v>7</v>
      </c>
    </row>
    <row r="931" spans="1:9" x14ac:dyDescent="0.25">
      <c r="A931" s="17">
        <f t="shared" si="98"/>
        <v>81</v>
      </c>
      <c r="B931" t="str">
        <f ca="1">TEXT(DATE(YEAR(Invoer!$A$5),1,1)+INT((ROWS(B$2:B931)-1)/3),"jjjjmmdd")</f>
        <v>19201105</v>
      </c>
      <c r="C931" s="35" t="str">
        <f>IF(MOD(ROWS(C$2:C931)-1,3)=2,"24.00",INDEX(Data,2,2+MOD(ROWS(C$2:C931)-1,3)))</f>
        <v>24.00</v>
      </c>
      <c r="D931" s="23" t="str">
        <f t="shared" ca="1" si="104"/>
        <v>—</v>
      </c>
      <c r="E931" s="40">
        <f t="shared" ca="1" si="99"/>
        <v>7</v>
      </c>
      <c r="F931" s="23">
        <f t="shared" ca="1" si="100"/>
        <v>26</v>
      </c>
      <c r="G931" s="40">
        <f t="shared" ca="1" si="101"/>
        <v>0</v>
      </c>
      <c r="H931" s="23">
        <f t="shared" ca="1" si="102"/>
        <v>28</v>
      </c>
      <c r="I931" s="40">
        <f t="shared" ca="1" si="103"/>
        <v>0</v>
      </c>
    </row>
    <row r="932" spans="1:9" x14ac:dyDescent="0.25">
      <c r="A932" s="17">
        <f t="shared" si="98"/>
        <v>81</v>
      </c>
      <c r="B932" t="str">
        <f ca="1">TEXT(DATE(YEAR(Invoer!$A$5),1,1)+INT((ROWS(B$2:B932)-1)/3),"jjjjmmdd")</f>
        <v>19201106</v>
      </c>
      <c r="C932" s="35" t="str">
        <f>IF(MOD(ROWS(C$2:C932)-1,3)=2,"24.00",INDEX(Data,2,2+MOD(ROWS(C$2:C932)-1,3)))</f>
        <v>08.00</v>
      </c>
      <c r="D932" s="23">
        <f t="shared" ca="1" si="104"/>
        <v>747.5</v>
      </c>
      <c r="E932" s="40">
        <f t="shared" ca="1" si="99"/>
        <v>0</v>
      </c>
      <c r="F932" s="23" t="str">
        <f t="shared" ca="1" si="100"/>
        <v>—</v>
      </c>
      <c r="G932" s="40">
        <f t="shared" ca="1" si="101"/>
        <v>7</v>
      </c>
      <c r="H932" s="23" t="str">
        <f t="shared" ca="1" si="102"/>
        <v>—</v>
      </c>
      <c r="I932" s="40">
        <f t="shared" ca="1" si="103"/>
        <v>7</v>
      </c>
    </row>
    <row r="933" spans="1:9" x14ac:dyDescent="0.25">
      <c r="A933" s="17">
        <f t="shared" si="98"/>
        <v>81</v>
      </c>
      <c r="B933" t="str">
        <f ca="1">TEXT(DATE(YEAR(Invoer!$A$5),1,1)+INT((ROWS(B$2:B933)-1)/3),"jjjjmmdd")</f>
        <v>19201106</v>
      </c>
      <c r="C933" s="35" t="str">
        <f>IF(MOD(ROWS(C$2:C933)-1,3)=2,"24.00",INDEX(Data,2,2+MOD(ROWS(C$2:C933)-1,3)))</f>
        <v>14.00</v>
      </c>
      <c r="D933" s="23">
        <f t="shared" ca="1" si="104"/>
        <v>746.5</v>
      </c>
      <c r="E933" s="40">
        <f t="shared" ca="1" si="99"/>
        <v>0</v>
      </c>
      <c r="F933" s="23" t="str">
        <f t="shared" ca="1" si="100"/>
        <v>—</v>
      </c>
      <c r="G933" s="40">
        <f t="shared" ca="1" si="101"/>
        <v>7</v>
      </c>
      <c r="H933" s="23" t="str">
        <f t="shared" ca="1" si="102"/>
        <v>—</v>
      </c>
      <c r="I933" s="40">
        <f t="shared" ca="1" si="103"/>
        <v>7</v>
      </c>
    </row>
    <row r="934" spans="1:9" x14ac:dyDescent="0.25">
      <c r="A934" s="17">
        <f t="shared" si="98"/>
        <v>81</v>
      </c>
      <c r="B934" t="str">
        <f ca="1">TEXT(DATE(YEAR(Invoer!$A$5),1,1)+INT((ROWS(B$2:B934)-1)/3),"jjjjmmdd")</f>
        <v>19201106</v>
      </c>
      <c r="C934" s="35" t="str">
        <f>IF(MOD(ROWS(C$2:C934)-1,3)=2,"24.00",INDEX(Data,2,2+MOD(ROWS(C$2:C934)-1,3)))</f>
        <v>24.00</v>
      </c>
      <c r="D934" s="23" t="str">
        <f t="shared" ca="1" si="104"/>
        <v>—</v>
      </c>
      <c r="E934" s="40">
        <f t="shared" ca="1" si="99"/>
        <v>7</v>
      </c>
      <c r="F934" s="23">
        <f t="shared" ca="1" si="100"/>
        <v>26</v>
      </c>
      <c r="G934" s="40">
        <f t="shared" ca="1" si="101"/>
        <v>0</v>
      </c>
      <c r="H934" s="23">
        <f t="shared" ca="1" si="102"/>
        <v>29</v>
      </c>
      <c r="I934" s="40">
        <f t="shared" ca="1" si="103"/>
        <v>0</v>
      </c>
    </row>
    <row r="935" spans="1:9" x14ac:dyDescent="0.25">
      <c r="A935" s="17">
        <f t="shared" si="98"/>
        <v>81</v>
      </c>
      <c r="B935" t="str">
        <f ca="1">TEXT(DATE(YEAR(Invoer!$A$5),1,1)+INT((ROWS(B$2:B935)-1)/3),"jjjjmmdd")</f>
        <v>19201107</v>
      </c>
      <c r="C935" s="35" t="str">
        <f>IF(MOD(ROWS(C$2:C935)-1,3)=2,"24.00",INDEX(Data,2,2+MOD(ROWS(C$2:C935)-1,3)))</f>
        <v>08.00</v>
      </c>
      <c r="D935" s="23">
        <f t="shared" ca="1" si="104"/>
        <v>747.5</v>
      </c>
      <c r="E935" s="40">
        <f t="shared" ca="1" si="99"/>
        <v>0</v>
      </c>
      <c r="F935" s="23" t="str">
        <f t="shared" ca="1" si="100"/>
        <v>—</v>
      </c>
      <c r="G935" s="40">
        <f t="shared" ca="1" si="101"/>
        <v>7</v>
      </c>
      <c r="H935" s="23" t="str">
        <f t="shared" ca="1" si="102"/>
        <v>—</v>
      </c>
      <c r="I935" s="40">
        <f t="shared" ca="1" si="103"/>
        <v>7</v>
      </c>
    </row>
    <row r="936" spans="1:9" x14ac:dyDescent="0.25">
      <c r="A936" s="17">
        <f t="shared" si="98"/>
        <v>81</v>
      </c>
      <c r="B936" t="str">
        <f ca="1">TEXT(DATE(YEAR(Invoer!$A$5),1,1)+INT((ROWS(B$2:B936)-1)/3),"jjjjmmdd")</f>
        <v>19201107</v>
      </c>
      <c r="C936" s="35" t="str">
        <f>IF(MOD(ROWS(C$2:C936)-1,3)=2,"24.00",INDEX(Data,2,2+MOD(ROWS(C$2:C936)-1,3)))</f>
        <v>14.00</v>
      </c>
      <c r="D936" s="23">
        <f t="shared" ca="1" si="104"/>
        <v>746</v>
      </c>
      <c r="E936" s="40">
        <f t="shared" ca="1" si="99"/>
        <v>0</v>
      </c>
      <c r="F936" s="23" t="str">
        <f t="shared" ca="1" si="100"/>
        <v>—</v>
      </c>
      <c r="G936" s="40">
        <f t="shared" ca="1" si="101"/>
        <v>7</v>
      </c>
      <c r="H936" s="23" t="str">
        <f t="shared" ca="1" si="102"/>
        <v>—</v>
      </c>
      <c r="I936" s="40">
        <f t="shared" ca="1" si="103"/>
        <v>7</v>
      </c>
    </row>
    <row r="937" spans="1:9" x14ac:dyDescent="0.25">
      <c r="A937" s="17">
        <f t="shared" si="98"/>
        <v>81</v>
      </c>
      <c r="B937" t="str">
        <f ca="1">TEXT(DATE(YEAR(Invoer!$A$5),1,1)+INT((ROWS(B$2:B937)-1)/3),"jjjjmmdd")</f>
        <v>19201107</v>
      </c>
      <c r="C937" s="35" t="str">
        <f>IF(MOD(ROWS(C$2:C937)-1,3)=2,"24.00",INDEX(Data,2,2+MOD(ROWS(C$2:C937)-1,3)))</f>
        <v>24.00</v>
      </c>
      <c r="D937" s="23" t="str">
        <f t="shared" ca="1" si="104"/>
        <v>—</v>
      </c>
      <c r="E937" s="40">
        <f t="shared" ca="1" si="99"/>
        <v>7</v>
      </c>
      <c r="F937" s="23">
        <f t="shared" ca="1" si="100"/>
        <v>26.5</v>
      </c>
      <c r="G937" s="40">
        <f t="shared" ca="1" si="101"/>
        <v>0</v>
      </c>
      <c r="H937" s="23">
        <f t="shared" ca="1" si="102"/>
        <v>29.8</v>
      </c>
      <c r="I937" s="40">
        <f t="shared" ca="1" si="103"/>
        <v>0</v>
      </c>
    </row>
    <row r="938" spans="1:9" x14ac:dyDescent="0.25">
      <c r="A938" s="17">
        <f t="shared" si="98"/>
        <v>81</v>
      </c>
      <c r="B938" t="str">
        <f ca="1">TEXT(DATE(YEAR(Invoer!$A$5),1,1)+INT((ROWS(B$2:B938)-1)/3),"jjjjmmdd")</f>
        <v>19201108</v>
      </c>
      <c r="C938" s="35" t="str">
        <f>IF(MOD(ROWS(C$2:C938)-1,3)=2,"24.00",INDEX(Data,2,2+MOD(ROWS(C$2:C938)-1,3)))</f>
        <v>08.00</v>
      </c>
      <c r="D938" s="23">
        <f t="shared" ca="1" si="104"/>
        <v>747</v>
      </c>
      <c r="E938" s="40">
        <f t="shared" ca="1" si="99"/>
        <v>0</v>
      </c>
      <c r="F938" s="23" t="str">
        <f t="shared" ca="1" si="100"/>
        <v>—</v>
      </c>
      <c r="G938" s="40">
        <f t="shared" ca="1" si="101"/>
        <v>7</v>
      </c>
      <c r="H938" s="23" t="str">
        <f t="shared" ca="1" si="102"/>
        <v>—</v>
      </c>
      <c r="I938" s="40">
        <f t="shared" ca="1" si="103"/>
        <v>7</v>
      </c>
    </row>
    <row r="939" spans="1:9" x14ac:dyDescent="0.25">
      <c r="A939" s="17">
        <f t="shared" si="98"/>
        <v>81</v>
      </c>
      <c r="B939" t="str">
        <f ca="1">TEXT(DATE(YEAR(Invoer!$A$5),1,1)+INT((ROWS(B$2:B939)-1)/3),"jjjjmmdd")</f>
        <v>19201108</v>
      </c>
      <c r="C939" s="35" t="str">
        <f>IF(MOD(ROWS(C$2:C939)-1,3)=2,"24.00",INDEX(Data,2,2+MOD(ROWS(C$2:C939)-1,3)))</f>
        <v>14.00</v>
      </c>
      <c r="D939" s="23">
        <f t="shared" ca="1" si="104"/>
        <v>746.5</v>
      </c>
      <c r="E939" s="40">
        <f t="shared" ca="1" si="99"/>
        <v>0</v>
      </c>
      <c r="F939" s="23" t="str">
        <f t="shared" ca="1" si="100"/>
        <v>—</v>
      </c>
      <c r="G939" s="40">
        <f t="shared" ca="1" si="101"/>
        <v>7</v>
      </c>
      <c r="H939" s="23" t="str">
        <f t="shared" ca="1" si="102"/>
        <v>—</v>
      </c>
      <c r="I939" s="40">
        <f t="shared" ca="1" si="103"/>
        <v>7</v>
      </c>
    </row>
    <row r="940" spans="1:9" x14ac:dyDescent="0.25">
      <c r="A940" s="17">
        <f t="shared" si="98"/>
        <v>81</v>
      </c>
      <c r="B940" t="str">
        <f ca="1">TEXT(DATE(YEAR(Invoer!$A$5),1,1)+INT((ROWS(B$2:B940)-1)/3),"jjjjmmdd")</f>
        <v>19201108</v>
      </c>
      <c r="C940" s="35" t="str">
        <f>IF(MOD(ROWS(C$2:C940)-1,3)=2,"24.00",INDEX(Data,2,2+MOD(ROWS(C$2:C940)-1,3)))</f>
        <v>24.00</v>
      </c>
      <c r="D940" s="23" t="str">
        <f t="shared" ca="1" si="104"/>
        <v>—</v>
      </c>
      <c r="E940" s="40">
        <f t="shared" ca="1" si="99"/>
        <v>7</v>
      </c>
      <c r="F940" s="23">
        <f t="shared" ca="1" si="100"/>
        <v>26</v>
      </c>
      <c r="G940" s="40">
        <f t="shared" ca="1" si="101"/>
        <v>0</v>
      </c>
      <c r="H940" s="23">
        <f t="shared" ca="1" si="102"/>
        <v>29</v>
      </c>
      <c r="I940" s="40">
        <f t="shared" ca="1" si="103"/>
        <v>0</v>
      </c>
    </row>
    <row r="941" spans="1:9" x14ac:dyDescent="0.25">
      <c r="A941" s="17">
        <f t="shared" si="98"/>
        <v>81</v>
      </c>
      <c r="B941" t="str">
        <f ca="1">TEXT(DATE(YEAR(Invoer!$A$5),1,1)+INT((ROWS(B$2:B941)-1)/3),"jjjjmmdd")</f>
        <v>19201109</v>
      </c>
      <c r="C941" s="35" t="str">
        <f>IF(MOD(ROWS(C$2:C941)-1,3)=2,"24.00",INDEX(Data,2,2+MOD(ROWS(C$2:C941)-1,3)))</f>
        <v>08.00</v>
      </c>
      <c r="D941" s="23">
        <f t="shared" ca="1" si="104"/>
        <v>748</v>
      </c>
      <c r="E941" s="40">
        <f t="shared" ca="1" si="99"/>
        <v>0</v>
      </c>
      <c r="F941" s="23" t="str">
        <f t="shared" ca="1" si="100"/>
        <v>—</v>
      </c>
      <c r="G941" s="40">
        <f t="shared" ca="1" si="101"/>
        <v>7</v>
      </c>
      <c r="H941" s="23" t="str">
        <f t="shared" ca="1" si="102"/>
        <v>—</v>
      </c>
      <c r="I941" s="40">
        <f t="shared" ca="1" si="103"/>
        <v>7</v>
      </c>
    </row>
    <row r="942" spans="1:9" x14ac:dyDescent="0.25">
      <c r="A942" s="17">
        <f t="shared" si="98"/>
        <v>81</v>
      </c>
      <c r="B942" t="str">
        <f ca="1">TEXT(DATE(YEAR(Invoer!$A$5),1,1)+INT((ROWS(B$2:B942)-1)/3),"jjjjmmdd")</f>
        <v>19201109</v>
      </c>
      <c r="C942" s="35" t="str">
        <f>IF(MOD(ROWS(C$2:C942)-1,3)=2,"24.00",INDEX(Data,2,2+MOD(ROWS(C$2:C942)-1,3)))</f>
        <v>14.00</v>
      </c>
      <c r="D942" s="23">
        <f t="shared" ca="1" si="104"/>
        <v>747.5</v>
      </c>
      <c r="E942" s="40">
        <f t="shared" ca="1" si="99"/>
        <v>0</v>
      </c>
      <c r="F942" s="23" t="str">
        <f t="shared" ca="1" si="100"/>
        <v>—</v>
      </c>
      <c r="G942" s="40">
        <f t="shared" ca="1" si="101"/>
        <v>7</v>
      </c>
      <c r="H942" s="23" t="str">
        <f t="shared" ca="1" si="102"/>
        <v>—</v>
      </c>
      <c r="I942" s="40">
        <f t="shared" ca="1" si="103"/>
        <v>7</v>
      </c>
    </row>
    <row r="943" spans="1:9" x14ac:dyDescent="0.25">
      <c r="A943" s="17">
        <f t="shared" si="98"/>
        <v>81</v>
      </c>
      <c r="B943" t="str">
        <f ca="1">TEXT(DATE(YEAR(Invoer!$A$5),1,1)+INT((ROWS(B$2:B943)-1)/3),"jjjjmmdd")</f>
        <v>19201109</v>
      </c>
      <c r="C943" s="35" t="str">
        <f>IF(MOD(ROWS(C$2:C943)-1,3)=2,"24.00",INDEX(Data,2,2+MOD(ROWS(C$2:C943)-1,3)))</f>
        <v>24.00</v>
      </c>
      <c r="D943" s="23" t="str">
        <f t="shared" ca="1" si="104"/>
        <v>—</v>
      </c>
      <c r="E943" s="40">
        <f t="shared" ca="1" si="99"/>
        <v>7</v>
      </c>
      <c r="F943" s="23">
        <f t="shared" ca="1" si="100"/>
        <v>26</v>
      </c>
      <c r="G943" s="40">
        <f t="shared" ca="1" si="101"/>
        <v>0</v>
      </c>
      <c r="H943" s="23">
        <f t="shared" ca="1" si="102"/>
        <v>29</v>
      </c>
      <c r="I943" s="40">
        <f t="shared" ca="1" si="103"/>
        <v>0</v>
      </c>
    </row>
    <row r="944" spans="1:9" x14ac:dyDescent="0.25">
      <c r="A944" s="17">
        <f t="shared" si="98"/>
        <v>81</v>
      </c>
      <c r="B944" t="str">
        <f ca="1">TEXT(DATE(YEAR(Invoer!$A$5),1,1)+INT((ROWS(B$2:B944)-1)/3),"jjjjmmdd")</f>
        <v>19201110</v>
      </c>
      <c r="C944" s="35" t="str">
        <f>IF(MOD(ROWS(C$2:C944)-1,3)=2,"24.00",INDEX(Data,2,2+MOD(ROWS(C$2:C944)-1,3)))</f>
        <v>08.00</v>
      </c>
      <c r="D944" s="23">
        <f t="shared" ca="1" si="104"/>
        <v>747.5</v>
      </c>
      <c r="E944" s="40">
        <f t="shared" ca="1" si="99"/>
        <v>0</v>
      </c>
      <c r="F944" s="23" t="str">
        <f t="shared" ca="1" si="100"/>
        <v>—</v>
      </c>
      <c r="G944" s="40">
        <f t="shared" ca="1" si="101"/>
        <v>7</v>
      </c>
      <c r="H944" s="23" t="str">
        <f t="shared" ca="1" si="102"/>
        <v>—</v>
      </c>
      <c r="I944" s="40">
        <f t="shared" ca="1" si="103"/>
        <v>7</v>
      </c>
    </row>
    <row r="945" spans="1:9" x14ac:dyDescent="0.25">
      <c r="A945" s="17">
        <f t="shared" si="98"/>
        <v>81</v>
      </c>
      <c r="B945" t="str">
        <f ca="1">TEXT(DATE(YEAR(Invoer!$A$5),1,1)+INT((ROWS(B$2:B945)-1)/3),"jjjjmmdd")</f>
        <v>19201110</v>
      </c>
      <c r="C945" s="35" t="str">
        <f>IF(MOD(ROWS(C$2:C945)-1,3)=2,"24.00",INDEX(Data,2,2+MOD(ROWS(C$2:C945)-1,3)))</f>
        <v>14.00</v>
      </c>
      <c r="D945" s="23">
        <f t="shared" ca="1" si="104"/>
        <v>747</v>
      </c>
      <c r="E945" s="40">
        <f t="shared" ca="1" si="99"/>
        <v>0</v>
      </c>
      <c r="F945" s="23" t="str">
        <f t="shared" ca="1" si="100"/>
        <v>—</v>
      </c>
      <c r="G945" s="40">
        <f t="shared" ca="1" si="101"/>
        <v>7</v>
      </c>
      <c r="H945" s="23" t="str">
        <f t="shared" ca="1" si="102"/>
        <v>—</v>
      </c>
      <c r="I945" s="40">
        <f t="shared" ca="1" si="103"/>
        <v>7</v>
      </c>
    </row>
    <row r="946" spans="1:9" x14ac:dyDescent="0.25">
      <c r="A946" s="17">
        <f t="shared" si="98"/>
        <v>81</v>
      </c>
      <c r="B946" t="str">
        <f ca="1">TEXT(DATE(YEAR(Invoer!$A$5),1,1)+INT((ROWS(B$2:B946)-1)/3),"jjjjmmdd")</f>
        <v>19201110</v>
      </c>
      <c r="C946" s="35" t="str">
        <f>IF(MOD(ROWS(C$2:C946)-1,3)=2,"24.00",INDEX(Data,2,2+MOD(ROWS(C$2:C946)-1,3)))</f>
        <v>24.00</v>
      </c>
      <c r="D946" s="23" t="str">
        <f t="shared" ca="1" si="104"/>
        <v>—</v>
      </c>
      <c r="E946" s="40">
        <f t="shared" ca="1" si="99"/>
        <v>7</v>
      </c>
      <c r="F946" s="23">
        <f t="shared" ca="1" si="100"/>
        <v>26.3</v>
      </c>
      <c r="G946" s="40">
        <f t="shared" ca="1" si="101"/>
        <v>0</v>
      </c>
      <c r="H946" s="23">
        <f t="shared" ca="1" si="102"/>
        <v>28.8</v>
      </c>
      <c r="I946" s="40">
        <f t="shared" ca="1" si="103"/>
        <v>0</v>
      </c>
    </row>
    <row r="947" spans="1:9" x14ac:dyDescent="0.25">
      <c r="A947" s="17">
        <f t="shared" si="98"/>
        <v>81</v>
      </c>
      <c r="B947" t="str">
        <f ca="1">TEXT(DATE(YEAR(Invoer!$A$5),1,1)+INT((ROWS(B$2:B947)-1)/3),"jjjjmmdd")</f>
        <v>19201111</v>
      </c>
      <c r="C947" s="35" t="str">
        <f>IF(MOD(ROWS(C$2:C947)-1,3)=2,"24.00",INDEX(Data,2,2+MOD(ROWS(C$2:C947)-1,3)))</f>
        <v>08.00</v>
      </c>
      <c r="D947" s="23">
        <f t="shared" ca="1" si="104"/>
        <v>747</v>
      </c>
      <c r="E947" s="40">
        <f t="shared" ca="1" si="99"/>
        <v>0</v>
      </c>
      <c r="F947" s="23" t="str">
        <f t="shared" ca="1" si="100"/>
        <v>—</v>
      </c>
      <c r="G947" s="40">
        <f t="shared" ca="1" si="101"/>
        <v>7</v>
      </c>
      <c r="H947" s="23" t="str">
        <f t="shared" ca="1" si="102"/>
        <v>—</v>
      </c>
      <c r="I947" s="40">
        <f t="shared" ca="1" si="103"/>
        <v>7</v>
      </c>
    </row>
    <row r="948" spans="1:9" x14ac:dyDescent="0.25">
      <c r="A948" s="17">
        <f t="shared" si="98"/>
        <v>81</v>
      </c>
      <c r="B948" t="str">
        <f ca="1">TEXT(DATE(YEAR(Invoer!$A$5),1,1)+INT((ROWS(B$2:B948)-1)/3),"jjjjmmdd")</f>
        <v>19201111</v>
      </c>
      <c r="C948" s="35" t="str">
        <f>IF(MOD(ROWS(C$2:C948)-1,3)=2,"24.00",INDEX(Data,2,2+MOD(ROWS(C$2:C948)-1,3)))</f>
        <v>14.00</v>
      </c>
      <c r="D948" s="23">
        <f t="shared" ca="1" si="104"/>
        <v>746.5</v>
      </c>
      <c r="E948" s="40">
        <f t="shared" ca="1" si="99"/>
        <v>0</v>
      </c>
      <c r="F948" s="23" t="str">
        <f t="shared" ca="1" si="100"/>
        <v>—</v>
      </c>
      <c r="G948" s="40">
        <f t="shared" ca="1" si="101"/>
        <v>7</v>
      </c>
      <c r="H948" s="23" t="str">
        <f t="shared" ca="1" si="102"/>
        <v>—</v>
      </c>
      <c r="I948" s="40">
        <f t="shared" ca="1" si="103"/>
        <v>7</v>
      </c>
    </row>
    <row r="949" spans="1:9" x14ac:dyDescent="0.25">
      <c r="A949" s="17">
        <f t="shared" si="98"/>
        <v>81</v>
      </c>
      <c r="B949" t="str">
        <f ca="1">TEXT(DATE(YEAR(Invoer!$A$5),1,1)+INT((ROWS(B$2:B949)-1)/3),"jjjjmmdd")</f>
        <v>19201111</v>
      </c>
      <c r="C949" s="35" t="str">
        <f>IF(MOD(ROWS(C$2:C949)-1,3)=2,"24.00",INDEX(Data,2,2+MOD(ROWS(C$2:C949)-1,3)))</f>
        <v>24.00</v>
      </c>
      <c r="D949" s="23" t="str">
        <f t="shared" ca="1" si="104"/>
        <v>—</v>
      </c>
      <c r="E949" s="40">
        <f t="shared" ca="1" si="99"/>
        <v>7</v>
      </c>
      <c r="F949" s="23">
        <f t="shared" ca="1" si="100"/>
        <v>27</v>
      </c>
      <c r="G949" s="40">
        <f t="shared" ca="1" si="101"/>
        <v>0</v>
      </c>
      <c r="H949" s="23">
        <f t="shared" ca="1" si="102"/>
        <v>29</v>
      </c>
      <c r="I949" s="40">
        <f t="shared" ca="1" si="103"/>
        <v>0</v>
      </c>
    </row>
    <row r="950" spans="1:9" x14ac:dyDescent="0.25">
      <c r="A950" s="17">
        <f t="shared" si="98"/>
        <v>81</v>
      </c>
      <c r="B950" t="str">
        <f ca="1">TEXT(DATE(YEAR(Invoer!$A$5),1,1)+INT((ROWS(B$2:B950)-1)/3),"jjjjmmdd")</f>
        <v>19201112</v>
      </c>
      <c r="C950" s="35" t="str">
        <f>IF(MOD(ROWS(C$2:C950)-1,3)=2,"24.00",INDEX(Data,2,2+MOD(ROWS(C$2:C950)-1,3)))</f>
        <v>08.00</v>
      </c>
      <c r="D950" s="23">
        <f t="shared" ca="1" si="104"/>
        <v>747.6</v>
      </c>
      <c r="E950" s="40">
        <f t="shared" ca="1" si="99"/>
        <v>0</v>
      </c>
      <c r="F950" s="23" t="str">
        <f t="shared" ca="1" si="100"/>
        <v>—</v>
      </c>
      <c r="G950" s="40">
        <f t="shared" ca="1" si="101"/>
        <v>7</v>
      </c>
      <c r="H950" s="23" t="str">
        <f t="shared" ca="1" si="102"/>
        <v>—</v>
      </c>
      <c r="I950" s="40">
        <f t="shared" ca="1" si="103"/>
        <v>7</v>
      </c>
    </row>
    <row r="951" spans="1:9" x14ac:dyDescent="0.25">
      <c r="A951" s="17">
        <f t="shared" si="98"/>
        <v>81</v>
      </c>
      <c r="B951" t="str">
        <f ca="1">TEXT(DATE(YEAR(Invoer!$A$5),1,1)+INT((ROWS(B$2:B951)-1)/3),"jjjjmmdd")</f>
        <v>19201112</v>
      </c>
      <c r="C951" s="35" t="str">
        <f>IF(MOD(ROWS(C$2:C951)-1,3)=2,"24.00",INDEX(Data,2,2+MOD(ROWS(C$2:C951)-1,3)))</f>
        <v>14.00</v>
      </c>
      <c r="D951" s="23">
        <f t="shared" ca="1" si="104"/>
        <v>746</v>
      </c>
      <c r="E951" s="40">
        <f t="shared" ca="1" si="99"/>
        <v>0</v>
      </c>
      <c r="F951" s="23" t="str">
        <f t="shared" ca="1" si="100"/>
        <v>—</v>
      </c>
      <c r="G951" s="40">
        <f t="shared" ca="1" si="101"/>
        <v>7</v>
      </c>
      <c r="H951" s="23" t="str">
        <f t="shared" ca="1" si="102"/>
        <v>—</v>
      </c>
      <c r="I951" s="40">
        <f t="shared" ca="1" si="103"/>
        <v>7</v>
      </c>
    </row>
    <row r="952" spans="1:9" x14ac:dyDescent="0.25">
      <c r="A952" s="17">
        <f t="shared" si="98"/>
        <v>81</v>
      </c>
      <c r="B952" t="str">
        <f ca="1">TEXT(DATE(YEAR(Invoer!$A$5),1,1)+INT((ROWS(B$2:B952)-1)/3),"jjjjmmdd")</f>
        <v>19201112</v>
      </c>
      <c r="C952" s="35" t="str">
        <f>IF(MOD(ROWS(C$2:C952)-1,3)=2,"24.00",INDEX(Data,2,2+MOD(ROWS(C$2:C952)-1,3)))</f>
        <v>24.00</v>
      </c>
      <c r="D952" s="23" t="str">
        <f t="shared" ca="1" si="104"/>
        <v>—</v>
      </c>
      <c r="E952" s="40">
        <f t="shared" ca="1" si="99"/>
        <v>7</v>
      </c>
      <c r="F952" s="23">
        <f t="shared" ca="1" si="100"/>
        <v>26.5</v>
      </c>
      <c r="G952" s="40">
        <f t="shared" ca="1" si="101"/>
        <v>0</v>
      </c>
      <c r="H952" s="23">
        <f t="shared" ca="1" si="102"/>
        <v>29.5</v>
      </c>
      <c r="I952" s="40">
        <f t="shared" ca="1" si="103"/>
        <v>0</v>
      </c>
    </row>
    <row r="953" spans="1:9" x14ac:dyDescent="0.25">
      <c r="A953" s="17">
        <f t="shared" si="98"/>
        <v>81</v>
      </c>
      <c r="B953" t="str">
        <f ca="1">TEXT(DATE(YEAR(Invoer!$A$5),1,1)+INT((ROWS(B$2:B953)-1)/3),"jjjjmmdd")</f>
        <v>19201113</v>
      </c>
      <c r="C953" s="35" t="str">
        <f>IF(MOD(ROWS(C$2:C953)-1,3)=2,"24.00",INDEX(Data,2,2+MOD(ROWS(C$2:C953)-1,3)))</f>
        <v>08.00</v>
      </c>
      <c r="D953" s="23">
        <f t="shared" ca="1" si="104"/>
        <v>747.5</v>
      </c>
      <c r="E953" s="40">
        <f t="shared" ca="1" si="99"/>
        <v>0</v>
      </c>
      <c r="F953" s="23" t="str">
        <f t="shared" ca="1" si="100"/>
        <v>—</v>
      </c>
      <c r="G953" s="40">
        <f t="shared" ca="1" si="101"/>
        <v>7</v>
      </c>
      <c r="H953" s="23" t="str">
        <f t="shared" ca="1" si="102"/>
        <v>—</v>
      </c>
      <c r="I953" s="40">
        <f t="shared" ca="1" si="103"/>
        <v>7</v>
      </c>
    </row>
    <row r="954" spans="1:9" x14ac:dyDescent="0.25">
      <c r="A954" s="17">
        <f t="shared" si="98"/>
        <v>81</v>
      </c>
      <c r="B954" t="str">
        <f ca="1">TEXT(DATE(YEAR(Invoer!$A$5),1,1)+INT((ROWS(B$2:B954)-1)/3),"jjjjmmdd")</f>
        <v>19201113</v>
      </c>
      <c r="C954" s="35" t="str">
        <f>IF(MOD(ROWS(C$2:C954)-1,3)=2,"24.00",INDEX(Data,2,2+MOD(ROWS(C$2:C954)-1,3)))</f>
        <v>14.00</v>
      </c>
      <c r="D954" s="23">
        <f t="shared" ca="1" si="104"/>
        <v>746.6</v>
      </c>
      <c r="E954" s="40">
        <f t="shared" ca="1" si="99"/>
        <v>0</v>
      </c>
      <c r="F954" s="23" t="str">
        <f t="shared" ca="1" si="100"/>
        <v>—</v>
      </c>
      <c r="G954" s="40">
        <f t="shared" ca="1" si="101"/>
        <v>7</v>
      </c>
      <c r="H954" s="23" t="str">
        <f t="shared" ca="1" si="102"/>
        <v>—</v>
      </c>
      <c r="I954" s="40">
        <f t="shared" ca="1" si="103"/>
        <v>7</v>
      </c>
    </row>
    <row r="955" spans="1:9" x14ac:dyDescent="0.25">
      <c r="A955" s="17">
        <f t="shared" si="98"/>
        <v>81</v>
      </c>
      <c r="B955" t="str">
        <f ca="1">TEXT(DATE(YEAR(Invoer!$A$5),1,1)+INT((ROWS(B$2:B955)-1)/3),"jjjjmmdd")</f>
        <v>19201113</v>
      </c>
      <c r="C955" s="35" t="str">
        <f>IF(MOD(ROWS(C$2:C955)-1,3)=2,"24.00",INDEX(Data,2,2+MOD(ROWS(C$2:C955)-1,3)))</f>
        <v>24.00</v>
      </c>
      <c r="D955" s="23" t="str">
        <f t="shared" ca="1" si="104"/>
        <v>—</v>
      </c>
      <c r="E955" s="40">
        <f t="shared" ca="1" si="99"/>
        <v>7</v>
      </c>
      <c r="F955" s="23">
        <f t="shared" ca="1" si="100"/>
        <v>26</v>
      </c>
      <c r="G955" s="40">
        <f t="shared" ca="1" si="101"/>
        <v>0</v>
      </c>
      <c r="H955" s="23">
        <f t="shared" ca="1" si="102"/>
        <v>29.5</v>
      </c>
      <c r="I955" s="40">
        <f t="shared" ca="1" si="103"/>
        <v>0</v>
      </c>
    </row>
    <row r="956" spans="1:9" x14ac:dyDescent="0.25">
      <c r="A956" s="17">
        <f t="shared" si="98"/>
        <v>81</v>
      </c>
      <c r="B956" t="str">
        <f ca="1">TEXT(DATE(YEAR(Invoer!$A$5),1,1)+INT((ROWS(B$2:B956)-1)/3),"jjjjmmdd")</f>
        <v>19201114</v>
      </c>
      <c r="C956" s="35" t="str">
        <f>IF(MOD(ROWS(C$2:C956)-1,3)=2,"24.00",INDEX(Data,2,2+MOD(ROWS(C$2:C956)-1,3)))</f>
        <v>08.00</v>
      </c>
      <c r="D956" s="23">
        <f t="shared" ca="1" si="104"/>
        <v>747.2</v>
      </c>
      <c r="E956" s="40">
        <f t="shared" ca="1" si="99"/>
        <v>0</v>
      </c>
      <c r="F956" s="23" t="str">
        <f t="shared" ca="1" si="100"/>
        <v>—</v>
      </c>
      <c r="G956" s="40">
        <f t="shared" ca="1" si="101"/>
        <v>7</v>
      </c>
      <c r="H956" s="23" t="str">
        <f t="shared" ca="1" si="102"/>
        <v>—</v>
      </c>
      <c r="I956" s="40">
        <f t="shared" ca="1" si="103"/>
        <v>7</v>
      </c>
    </row>
    <row r="957" spans="1:9" x14ac:dyDescent="0.25">
      <c r="A957" s="17">
        <f t="shared" si="98"/>
        <v>81</v>
      </c>
      <c r="B957" t="str">
        <f ca="1">TEXT(DATE(YEAR(Invoer!$A$5),1,1)+INT((ROWS(B$2:B957)-1)/3),"jjjjmmdd")</f>
        <v>19201114</v>
      </c>
      <c r="C957" s="35" t="str">
        <f>IF(MOD(ROWS(C$2:C957)-1,3)=2,"24.00",INDEX(Data,2,2+MOD(ROWS(C$2:C957)-1,3)))</f>
        <v>14.00</v>
      </c>
      <c r="D957" s="23">
        <f t="shared" ca="1" si="104"/>
        <v>746.8</v>
      </c>
      <c r="E957" s="40">
        <f t="shared" ca="1" si="99"/>
        <v>0</v>
      </c>
      <c r="F957" s="23" t="str">
        <f t="shared" ca="1" si="100"/>
        <v>—</v>
      </c>
      <c r="G957" s="40">
        <f t="shared" ca="1" si="101"/>
        <v>7</v>
      </c>
      <c r="H957" s="23" t="str">
        <f t="shared" ca="1" si="102"/>
        <v>—</v>
      </c>
      <c r="I957" s="40">
        <f t="shared" ca="1" si="103"/>
        <v>7</v>
      </c>
    </row>
    <row r="958" spans="1:9" x14ac:dyDescent="0.25">
      <c r="A958" s="17">
        <f t="shared" si="98"/>
        <v>81</v>
      </c>
      <c r="B958" t="str">
        <f ca="1">TEXT(DATE(YEAR(Invoer!$A$5),1,1)+INT((ROWS(B$2:B958)-1)/3),"jjjjmmdd")</f>
        <v>19201114</v>
      </c>
      <c r="C958" s="35" t="str">
        <f>IF(MOD(ROWS(C$2:C958)-1,3)=2,"24.00",INDEX(Data,2,2+MOD(ROWS(C$2:C958)-1,3)))</f>
        <v>24.00</v>
      </c>
      <c r="D958" s="23" t="str">
        <f t="shared" ca="1" si="104"/>
        <v>—</v>
      </c>
      <c r="E958" s="40">
        <f t="shared" ca="1" si="99"/>
        <v>7</v>
      </c>
      <c r="F958" s="23">
        <f t="shared" ca="1" si="100"/>
        <v>26</v>
      </c>
      <c r="G958" s="40">
        <f t="shared" ca="1" si="101"/>
        <v>0</v>
      </c>
      <c r="H958" s="23">
        <f t="shared" ca="1" si="102"/>
        <v>29</v>
      </c>
      <c r="I958" s="40">
        <f t="shared" ca="1" si="103"/>
        <v>0</v>
      </c>
    </row>
    <row r="959" spans="1:9" x14ac:dyDescent="0.25">
      <c r="A959" s="17">
        <f t="shared" si="98"/>
        <v>81</v>
      </c>
      <c r="B959" t="str">
        <f ca="1">TEXT(DATE(YEAR(Invoer!$A$5),1,1)+INT((ROWS(B$2:B959)-1)/3),"jjjjmmdd")</f>
        <v>19201115</v>
      </c>
      <c r="C959" s="35" t="str">
        <f>IF(MOD(ROWS(C$2:C959)-1,3)=2,"24.00",INDEX(Data,2,2+MOD(ROWS(C$2:C959)-1,3)))</f>
        <v>08.00</v>
      </c>
      <c r="D959" s="23">
        <f t="shared" ca="1" si="104"/>
        <v>747</v>
      </c>
      <c r="E959" s="40">
        <f t="shared" ca="1" si="99"/>
        <v>0</v>
      </c>
      <c r="F959" s="23" t="str">
        <f t="shared" ca="1" si="100"/>
        <v>—</v>
      </c>
      <c r="G959" s="40">
        <f t="shared" ca="1" si="101"/>
        <v>7</v>
      </c>
      <c r="H959" s="23" t="str">
        <f t="shared" ca="1" si="102"/>
        <v>—</v>
      </c>
      <c r="I959" s="40">
        <f t="shared" ca="1" si="103"/>
        <v>7</v>
      </c>
    </row>
    <row r="960" spans="1:9" x14ac:dyDescent="0.25">
      <c r="A960" s="17">
        <f t="shared" si="98"/>
        <v>81</v>
      </c>
      <c r="B960" t="str">
        <f ca="1">TEXT(DATE(YEAR(Invoer!$A$5),1,1)+INT((ROWS(B$2:B960)-1)/3),"jjjjmmdd")</f>
        <v>19201115</v>
      </c>
      <c r="C960" s="35" t="str">
        <f>IF(MOD(ROWS(C$2:C960)-1,3)=2,"24.00",INDEX(Data,2,2+MOD(ROWS(C$2:C960)-1,3)))</f>
        <v>14.00</v>
      </c>
      <c r="D960" s="23">
        <f t="shared" ca="1" si="104"/>
        <v>746.5</v>
      </c>
      <c r="E960" s="40">
        <f t="shared" ca="1" si="99"/>
        <v>0</v>
      </c>
      <c r="F960" s="23" t="str">
        <f t="shared" ca="1" si="100"/>
        <v>—</v>
      </c>
      <c r="G960" s="40">
        <f t="shared" ca="1" si="101"/>
        <v>7</v>
      </c>
      <c r="H960" s="23" t="str">
        <f t="shared" ca="1" si="102"/>
        <v>—</v>
      </c>
      <c r="I960" s="40">
        <f t="shared" ca="1" si="103"/>
        <v>7</v>
      </c>
    </row>
    <row r="961" spans="1:9" x14ac:dyDescent="0.25">
      <c r="A961" s="17">
        <f t="shared" si="98"/>
        <v>81</v>
      </c>
      <c r="B961" t="str">
        <f ca="1">TEXT(DATE(YEAR(Invoer!$A$5),1,1)+INT((ROWS(B$2:B961)-1)/3),"jjjjmmdd")</f>
        <v>19201115</v>
      </c>
      <c r="C961" s="35" t="str">
        <f>IF(MOD(ROWS(C$2:C961)-1,3)=2,"24.00",INDEX(Data,2,2+MOD(ROWS(C$2:C961)-1,3)))</f>
        <v>24.00</v>
      </c>
      <c r="D961" s="23" t="str">
        <f t="shared" ca="1" si="104"/>
        <v>—</v>
      </c>
      <c r="E961" s="40">
        <f t="shared" ca="1" si="99"/>
        <v>7</v>
      </c>
      <c r="F961" s="23">
        <f t="shared" ca="1" si="100"/>
        <v>26</v>
      </c>
      <c r="G961" s="40">
        <f t="shared" ca="1" si="101"/>
        <v>0</v>
      </c>
      <c r="H961" s="23">
        <f t="shared" ca="1" si="102"/>
        <v>26.8</v>
      </c>
      <c r="I961" s="40">
        <f t="shared" ca="1" si="103"/>
        <v>0</v>
      </c>
    </row>
    <row r="962" spans="1:9" x14ac:dyDescent="0.25">
      <c r="A962" s="17">
        <f t="shared" ref="A962:A1025" si="105">INDEX(Stations,2,1)</f>
        <v>81</v>
      </c>
      <c r="B962" t="str">
        <f ca="1">TEXT(DATE(YEAR(Invoer!$A$5),1,1)+INT((ROWS(B$2:B962)-1)/3),"jjjjmmdd")</f>
        <v>19201116</v>
      </c>
      <c r="C962" s="35" t="str">
        <f>IF(MOD(ROWS(C$2:C962)-1,3)=2,"24.00",INDEX(Data,2,2+MOD(ROWS(C$2:C962)-1,3)))</f>
        <v>08.00</v>
      </c>
      <c r="D962" s="23">
        <f t="shared" ca="1" si="104"/>
        <v>747.1</v>
      </c>
      <c r="E962" s="40">
        <f t="shared" ref="E962:E1025" ca="1" si="106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 t="str">
        <f t="shared" ref="F962:F1025" ca="1" si="107">IF(OR(ISBLANK(VLOOKUP(DATEVALUE(LEFT($B962,4)&amp;"-"&amp;MID($B962,5,2)&amp;"-"&amp;RIGHT($B962,2)),Data,MATCH(LEFT(VLOOKUP(F$1,Parameters,2,FALSE()),4)&amp;"*",OFFSET(Data,1,0,1),0),FALSE())),ISTEXT(VLOOKUP(DATEVALUE(LEFT($B962,4)&amp;"-"&amp;MID($B962,5,2)&amp;"-"&amp;RIGHT($B962,2)),Data,MATCH(LEFT(VLOOKUP(F$1,Parameters,2,FALSE()),4)&amp;"*",OFFSET(Data,1,0,1),0),FALSE())),NOT(EXACT($C962,"24.00"))),"—",VLOOKUP(DATEVALUE(LEFT($B962,4)&amp;"-"&amp;MID($B962,5,2)&amp;"-"&amp;RIGHT($B962,2)),Data,MATCH(LEFT(VLOOKUP(F$1,Parameters,2,FALSE()),4)&amp;"*",OFFSET(Data,1,0,1),0),FALSE()))</f>
        <v>—</v>
      </c>
      <c r="G962" s="40">
        <f t="shared" ref="G962:G1025" ca="1" si="108">IF(OR(ISBLANK(VLOOKUP(DATEVALUE(LEFT($B962,4)&amp;"-"&amp;MID($B962,5,2)&amp;"-"&amp;RIGHT($B962,2)),Data,MATCH(LEFT(VLOOKUP(MID(G$1,2,LEN(G$1)-1),Parameters,2,FALSE()),4)&amp;"*",OFFSET(Data,1,0,1),0),FALSE())),ISTEXT(VLOOKUP(DATEVALUE(LEFT($B962,4)&amp;"-"&amp;MID($B962,5,2)&amp;"-"&amp;RIGHT($B962,2)),Data,MATCH(LEFT(VLOOKUP(MID(G$1,2,LEN(G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1,0,1),0),FALSE())))</f>
        <v>7</v>
      </c>
      <c r="H962" s="23" t="str">
        <f t="shared" ref="H962:H1025" ca="1" si="109">IF(OR(ISBLANK(VLOOKUP(DATEVALUE(LEFT($B962,4)&amp;"-"&amp;MID($B962,5,2)&amp;"-"&amp;RIGHT($B962,2)),Data,MATCH(LEFT(VLOOKUP(H$1,Parameters,2,FALSE()),4)&amp;"*",OFFSET(Data,1,0,1),0),FALSE())),ISTEXT(VLOOKUP(DATEVALUE(LEFT($B962,4)&amp;"-"&amp;MID($B962,5,2)&amp;"-"&amp;RIGHT($B962,2)),Data,MATCH(LEFT(VLOOKUP(H$1,Parameters,2,FALSE()),4)&amp;"*",OFFSET(Data,1,0,1),0),FALSE())),NOT(EXACT($C962,"24.00"))),"—",VLOOKUP(DATEVALUE(LEFT($B962,4)&amp;"-"&amp;MID($B962,5,2)&amp;"-"&amp;RIGHT($B962,2)),Data,MATCH(LEFT(VLOOKUP(H$1,Parameters,2,FALSE()),4)&amp;"*",OFFSET(Data,1,0,1),0),FALSE()))</f>
        <v>—</v>
      </c>
      <c r="I962" s="40">
        <f t="shared" ref="I962:I1025" ca="1" si="110">IF(OR(ISBLANK(VLOOKUP(DATEVALUE(LEFT($B962,4)&amp;"-"&amp;MID($B962,5,2)&amp;"-"&amp;RIGHT($B962,2)),Data,MATCH(LEFT(VLOOKUP(MID(I$1,2,LEN(I$1)-1),Parameters,2,FALSE()),4)&amp;"*",OFFSET(Data,1,0,1),0),FALSE())),ISTEXT(VLOOKUP(DATEVALUE(LEFT($B962,4)&amp;"-"&amp;MID($B962,5,2)&amp;"-"&amp;RIGHT($B962,2)),Data,MATCH(LEFT(VLOOKUP(MID(I$1,2,LEN(I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I$1,2,LEN(I$1)-1),Parameters,2,FALSE()),4)&amp;"*",OFFSET(Catalogus,1,0,1),0),FALSE())))</f>
        <v>7</v>
      </c>
    </row>
    <row r="963" spans="1:9" x14ac:dyDescent="0.25">
      <c r="A963" s="17">
        <f t="shared" si="105"/>
        <v>81</v>
      </c>
      <c r="B963" t="str">
        <f ca="1">TEXT(DATE(YEAR(Invoer!$A$5),1,1)+INT((ROWS(B$2:B963)-1)/3),"jjjjmmdd")</f>
        <v>19201116</v>
      </c>
      <c r="C963" s="35" t="str">
        <f>IF(MOD(ROWS(C$2:C963)-1,3)=2,"24.00",INDEX(Data,2,2+MOD(ROWS(C$2:C963)-1,3)))</f>
        <v>14.00</v>
      </c>
      <c r="D963" s="23">
        <f t="shared" ref="D963:D1026" ca="1" si="111">IF(OR(ISBLANK(VLOOKUP(DATEVALUE(LEFT($B963,4)&amp;"-"&amp;MID($B963,5,2)&amp;"-"&amp;RIGHT($B963,2)),Data,MATCH(LEFT(VLOOKUP(D$1,Parameters,2,FALSE()),4)&amp;"*",OFFSET(Data,0,0,1),0)+MATCH($C963,OFFSET(Data,1,0,1),0)-2,FALSE())),ISTEXT(VLOOKUP(DATEVALUE(LEFT($B963,4)&amp;"-"&amp;MID($B963,5,2)&amp;"-"&amp;RIGHT($B963,2)),Data,MATCH(LEFT(VLOOKUP(D$1,Parameters,2,FALSE()),4)&amp;"*",OFFSET(Data,0,0,1),0)+MATCH($C963,OFFSET(Data,1,0,1),0)-2,FALSE())),EXACT(C963,"24.00")),"—",VLOOKUP(DATEVALUE(LEFT($B963,4)&amp;"-"&amp;MID($B963,5,2)&amp;"-"&amp;RIGHT($B963,2)),Data,MATCH(LEFT(VLOOKUP(D$1,Parameters,2,FALSE()),4)&amp;"*",OFFSET(Data,0,0,1),0)+MATCH($C963,OFFSET(Data,1,0,1),0)-2,FALSE()))</f>
        <v>746.4</v>
      </c>
      <c r="E963" s="40">
        <f t="shared" ca="1" si="106"/>
        <v>0</v>
      </c>
      <c r="F963" s="23" t="str">
        <f t="shared" ca="1" si="107"/>
        <v>—</v>
      </c>
      <c r="G963" s="40">
        <f t="shared" ca="1" si="108"/>
        <v>7</v>
      </c>
      <c r="H963" s="23" t="str">
        <f t="shared" ca="1" si="109"/>
        <v>—</v>
      </c>
      <c r="I963" s="40">
        <f t="shared" ca="1" si="110"/>
        <v>7</v>
      </c>
    </row>
    <row r="964" spans="1:9" x14ac:dyDescent="0.25">
      <c r="A964" s="17">
        <f t="shared" si="105"/>
        <v>81</v>
      </c>
      <c r="B964" t="str">
        <f ca="1">TEXT(DATE(YEAR(Invoer!$A$5),1,1)+INT((ROWS(B$2:B964)-1)/3),"jjjjmmdd")</f>
        <v>19201116</v>
      </c>
      <c r="C964" s="35" t="str">
        <f>IF(MOD(ROWS(C$2:C964)-1,3)=2,"24.00",INDEX(Data,2,2+MOD(ROWS(C$2:C964)-1,3)))</f>
        <v>24.00</v>
      </c>
      <c r="D964" s="23" t="str">
        <f t="shared" ca="1" si="111"/>
        <v>—</v>
      </c>
      <c r="E964" s="40">
        <f t="shared" ca="1" si="106"/>
        <v>7</v>
      </c>
      <c r="F964" s="23">
        <f t="shared" ca="1" si="107"/>
        <v>27</v>
      </c>
      <c r="G964" s="40">
        <f t="shared" ca="1" si="108"/>
        <v>0</v>
      </c>
      <c r="H964" s="23">
        <f t="shared" ca="1" si="109"/>
        <v>29.8</v>
      </c>
      <c r="I964" s="40">
        <f t="shared" ca="1" si="110"/>
        <v>0</v>
      </c>
    </row>
    <row r="965" spans="1:9" x14ac:dyDescent="0.25">
      <c r="A965" s="17">
        <f t="shared" si="105"/>
        <v>81</v>
      </c>
      <c r="B965" t="str">
        <f ca="1">TEXT(DATE(YEAR(Invoer!$A$5),1,1)+INT((ROWS(B$2:B965)-1)/3),"jjjjmmdd")</f>
        <v>19201117</v>
      </c>
      <c r="C965" s="35" t="str">
        <f>IF(MOD(ROWS(C$2:C965)-1,3)=2,"24.00",INDEX(Data,2,2+MOD(ROWS(C$2:C965)-1,3)))</f>
        <v>08.00</v>
      </c>
      <c r="D965" s="23">
        <f t="shared" ca="1" si="111"/>
        <v>747</v>
      </c>
      <c r="E965" s="40">
        <f t="shared" ca="1" si="106"/>
        <v>0</v>
      </c>
      <c r="F965" s="23" t="str">
        <f t="shared" ca="1" si="107"/>
        <v>—</v>
      </c>
      <c r="G965" s="40">
        <f t="shared" ca="1" si="108"/>
        <v>7</v>
      </c>
      <c r="H965" s="23" t="str">
        <f t="shared" ca="1" si="109"/>
        <v>—</v>
      </c>
      <c r="I965" s="40">
        <f t="shared" ca="1" si="110"/>
        <v>7</v>
      </c>
    </row>
    <row r="966" spans="1:9" x14ac:dyDescent="0.25">
      <c r="A966" s="17">
        <f t="shared" si="105"/>
        <v>81</v>
      </c>
      <c r="B966" t="str">
        <f ca="1">TEXT(DATE(YEAR(Invoer!$A$5),1,1)+INT((ROWS(B$2:B966)-1)/3),"jjjjmmdd")</f>
        <v>19201117</v>
      </c>
      <c r="C966" s="35" t="str">
        <f>IF(MOD(ROWS(C$2:C966)-1,3)=2,"24.00",INDEX(Data,2,2+MOD(ROWS(C$2:C966)-1,3)))</f>
        <v>14.00</v>
      </c>
      <c r="D966" s="23">
        <f t="shared" ca="1" si="111"/>
        <v>746.5</v>
      </c>
      <c r="E966" s="40">
        <f t="shared" ca="1" si="106"/>
        <v>0</v>
      </c>
      <c r="F966" s="23" t="str">
        <f t="shared" ca="1" si="107"/>
        <v>—</v>
      </c>
      <c r="G966" s="40">
        <f t="shared" ca="1" si="108"/>
        <v>7</v>
      </c>
      <c r="H966" s="23" t="str">
        <f t="shared" ca="1" si="109"/>
        <v>—</v>
      </c>
      <c r="I966" s="40">
        <f t="shared" ca="1" si="110"/>
        <v>7</v>
      </c>
    </row>
    <row r="967" spans="1:9" x14ac:dyDescent="0.25">
      <c r="A967" s="17">
        <f t="shared" si="105"/>
        <v>81</v>
      </c>
      <c r="B967" t="str">
        <f ca="1">TEXT(DATE(YEAR(Invoer!$A$5),1,1)+INT((ROWS(B$2:B967)-1)/3),"jjjjmmdd")</f>
        <v>19201117</v>
      </c>
      <c r="C967" s="35" t="str">
        <f>IF(MOD(ROWS(C$2:C967)-1,3)=2,"24.00",INDEX(Data,2,2+MOD(ROWS(C$2:C967)-1,3)))</f>
        <v>24.00</v>
      </c>
      <c r="D967" s="23" t="str">
        <f t="shared" ca="1" si="111"/>
        <v>—</v>
      </c>
      <c r="E967" s="40">
        <f t="shared" ca="1" si="106"/>
        <v>7</v>
      </c>
      <c r="F967" s="23">
        <f t="shared" ca="1" si="107"/>
        <v>27</v>
      </c>
      <c r="G967" s="40">
        <f t="shared" ca="1" si="108"/>
        <v>0</v>
      </c>
      <c r="H967" s="23">
        <f t="shared" ca="1" si="109"/>
        <v>28.5</v>
      </c>
      <c r="I967" s="40">
        <f t="shared" ca="1" si="110"/>
        <v>0</v>
      </c>
    </row>
    <row r="968" spans="1:9" x14ac:dyDescent="0.25">
      <c r="A968" s="17">
        <f t="shared" si="105"/>
        <v>81</v>
      </c>
      <c r="B968" t="str">
        <f ca="1">TEXT(DATE(YEAR(Invoer!$A$5),1,1)+INT((ROWS(B$2:B968)-1)/3),"jjjjmmdd")</f>
        <v>19201118</v>
      </c>
      <c r="C968" s="35" t="str">
        <f>IF(MOD(ROWS(C$2:C968)-1,3)=2,"24.00",INDEX(Data,2,2+MOD(ROWS(C$2:C968)-1,3)))</f>
        <v>08.00</v>
      </c>
      <c r="D968" s="23">
        <f t="shared" ca="1" si="111"/>
        <v>746.9</v>
      </c>
      <c r="E968" s="40">
        <f t="shared" ca="1" si="106"/>
        <v>0</v>
      </c>
      <c r="F968" s="23" t="str">
        <f t="shared" ca="1" si="107"/>
        <v>—</v>
      </c>
      <c r="G968" s="40">
        <f t="shared" ca="1" si="108"/>
        <v>7</v>
      </c>
      <c r="H968" s="23" t="str">
        <f t="shared" ca="1" si="109"/>
        <v>—</v>
      </c>
      <c r="I968" s="40">
        <f t="shared" ca="1" si="110"/>
        <v>7</v>
      </c>
    </row>
    <row r="969" spans="1:9" x14ac:dyDescent="0.25">
      <c r="A969" s="17">
        <f t="shared" si="105"/>
        <v>81</v>
      </c>
      <c r="B969" t="str">
        <f ca="1">TEXT(DATE(YEAR(Invoer!$A$5),1,1)+INT((ROWS(B$2:B969)-1)/3),"jjjjmmdd")</f>
        <v>19201118</v>
      </c>
      <c r="C969" s="35" t="str">
        <f>IF(MOD(ROWS(C$2:C969)-1,3)=2,"24.00",INDEX(Data,2,2+MOD(ROWS(C$2:C969)-1,3)))</f>
        <v>14.00</v>
      </c>
      <c r="D969" s="23">
        <f t="shared" ca="1" si="111"/>
        <v>746.5</v>
      </c>
      <c r="E969" s="40">
        <f t="shared" ca="1" si="106"/>
        <v>0</v>
      </c>
      <c r="F969" s="23" t="str">
        <f t="shared" ca="1" si="107"/>
        <v>—</v>
      </c>
      <c r="G969" s="40">
        <f t="shared" ca="1" si="108"/>
        <v>7</v>
      </c>
      <c r="H969" s="23" t="str">
        <f t="shared" ca="1" si="109"/>
        <v>—</v>
      </c>
      <c r="I969" s="40">
        <f t="shared" ca="1" si="110"/>
        <v>7</v>
      </c>
    </row>
    <row r="970" spans="1:9" x14ac:dyDescent="0.25">
      <c r="A970" s="17">
        <f t="shared" si="105"/>
        <v>81</v>
      </c>
      <c r="B970" t="str">
        <f ca="1">TEXT(DATE(YEAR(Invoer!$A$5),1,1)+INT((ROWS(B$2:B970)-1)/3),"jjjjmmdd")</f>
        <v>19201118</v>
      </c>
      <c r="C970" s="35" t="str">
        <f>IF(MOD(ROWS(C$2:C970)-1,3)=2,"24.00",INDEX(Data,2,2+MOD(ROWS(C$2:C970)-1,3)))</f>
        <v>24.00</v>
      </c>
      <c r="D970" s="23" t="str">
        <f t="shared" ca="1" si="111"/>
        <v>—</v>
      </c>
      <c r="E970" s="40">
        <f t="shared" ca="1" si="106"/>
        <v>7</v>
      </c>
      <c r="F970" s="23">
        <f t="shared" ca="1" si="107"/>
        <v>25.5</v>
      </c>
      <c r="G970" s="40">
        <f t="shared" ca="1" si="108"/>
        <v>0</v>
      </c>
      <c r="H970" s="23">
        <f t="shared" ca="1" si="109"/>
        <v>27</v>
      </c>
      <c r="I970" s="40">
        <f t="shared" ca="1" si="110"/>
        <v>0</v>
      </c>
    </row>
    <row r="971" spans="1:9" x14ac:dyDescent="0.25">
      <c r="A971" s="17">
        <f t="shared" si="105"/>
        <v>81</v>
      </c>
      <c r="B971" t="str">
        <f ca="1">TEXT(DATE(YEAR(Invoer!$A$5),1,1)+INT((ROWS(B$2:B971)-1)/3),"jjjjmmdd")</f>
        <v>19201119</v>
      </c>
      <c r="C971" s="35" t="str">
        <f>IF(MOD(ROWS(C$2:C971)-1,3)=2,"24.00",INDEX(Data,2,2+MOD(ROWS(C$2:C971)-1,3)))</f>
        <v>08.00</v>
      </c>
      <c r="D971" s="23">
        <f t="shared" ca="1" si="111"/>
        <v>746.6</v>
      </c>
      <c r="E971" s="40">
        <f t="shared" ca="1" si="106"/>
        <v>0</v>
      </c>
      <c r="F971" s="23" t="str">
        <f t="shared" ca="1" si="107"/>
        <v>—</v>
      </c>
      <c r="G971" s="40">
        <f t="shared" ca="1" si="108"/>
        <v>7</v>
      </c>
      <c r="H971" s="23" t="str">
        <f t="shared" ca="1" si="109"/>
        <v>—</v>
      </c>
      <c r="I971" s="40">
        <f t="shared" ca="1" si="110"/>
        <v>7</v>
      </c>
    </row>
    <row r="972" spans="1:9" x14ac:dyDescent="0.25">
      <c r="A972" s="17">
        <f t="shared" si="105"/>
        <v>81</v>
      </c>
      <c r="B972" t="str">
        <f ca="1">TEXT(DATE(YEAR(Invoer!$A$5),1,1)+INT((ROWS(B$2:B972)-1)/3),"jjjjmmdd")</f>
        <v>19201119</v>
      </c>
      <c r="C972" s="35" t="str">
        <f>IF(MOD(ROWS(C$2:C972)-1,3)=2,"24.00",INDEX(Data,2,2+MOD(ROWS(C$2:C972)-1,3)))</f>
        <v>14.00</v>
      </c>
      <c r="D972" s="23">
        <f t="shared" ca="1" si="111"/>
        <v>746</v>
      </c>
      <c r="E972" s="40">
        <f t="shared" ca="1" si="106"/>
        <v>0</v>
      </c>
      <c r="F972" s="23" t="str">
        <f t="shared" ca="1" si="107"/>
        <v>—</v>
      </c>
      <c r="G972" s="40">
        <f t="shared" ca="1" si="108"/>
        <v>7</v>
      </c>
      <c r="H972" s="23" t="str">
        <f t="shared" ca="1" si="109"/>
        <v>—</v>
      </c>
      <c r="I972" s="40">
        <f t="shared" ca="1" si="110"/>
        <v>7</v>
      </c>
    </row>
    <row r="973" spans="1:9" x14ac:dyDescent="0.25">
      <c r="A973" s="17">
        <f t="shared" si="105"/>
        <v>81</v>
      </c>
      <c r="B973" t="str">
        <f ca="1">TEXT(DATE(YEAR(Invoer!$A$5),1,1)+INT((ROWS(B$2:B973)-1)/3),"jjjjmmdd")</f>
        <v>19201119</v>
      </c>
      <c r="C973" s="35" t="str">
        <f>IF(MOD(ROWS(C$2:C973)-1,3)=2,"24.00",INDEX(Data,2,2+MOD(ROWS(C$2:C973)-1,3)))</f>
        <v>24.00</v>
      </c>
      <c r="D973" s="23" t="str">
        <f t="shared" ca="1" si="111"/>
        <v>—</v>
      </c>
      <c r="E973" s="40">
        <f t="shared" ca="1" si="106"/>
        <v>7</v>
      </c>
      <c r="F973" s="23">
        <f t="shared" ca="1" si="107"/>
        <v>25.3</v>
      </c>
      <c r="G973" s="40">
        <f t="shared" ca="1" si="108"/>
        <v>0</v>
      </c>
      <c r="H973" s="23">
        <f t="shared" ca="1" si="109"/>
        <v>26.5</v>
      </c>
      <c r="I973" s="40">
        <f t="shared" ca="1" si="110"/>
        <v>0</v>
      </c>
    </row>
    <row r="974" spans="1:9" x14ac:dyDescent="0.25">
      <c r="A974" s="17">
        <f t="shared" si="105"/>
        <v>81</v>
      </c>
      <c r="B974" t="str">
        <f ca="1">TEXT(DATE(YEAR(Invoer!$A$5),1,1)+INT((ROWS(B$2:B974)-1)/3),"jjjjmmdd")</f>
        <v>19201120</v>
      </c>
      <c r="C974" s="35" t="str">
        <f>IF(MOD(ROWS(C$2:C974)-1,3)=2,"24.00",INDEX(Data,2,2+MOD(ROWS(C$2:C974)-1,3)))</f>
        <v>08.00</v>
      </c>
      <c r="D974" s="23">
        <f t="shared" ca="1" si="111"/>
        <v>747</v>
      </c>
      <c r="E974" s="40">
        <f t="shared" ca="1" si="106"/>
        <v>0</v>
      </c>
      <c r="F974" s="23" t="str">
        <f t="shared" ca="1" si="107"/>
        <v>—</v>
      </c>
      <c r="G974" s="40">
        <f t="shared" ca="1" si="108"/>
        <v>7</v>
      </c>
      <c r="H974" s="23" t="str">
        <f t="shared" ca="1" si="109"/>
        <v>—</v>
      </c>
      <c r="I974" s="40">
        <f t="shared" ca="1" si="110"/>
        <v>7</v>
      </c>
    </row>
    <row r="975" spans="1:9" x14ac:dyDescent="0.25">
      <c r="A975" s="17">
        <f t="shared" si="105"/>
        <v>81</v>
      </c>
      <c r="B975" t="str">
        <f ca="1">TEXT(DATE(YEAR(Invoer!$A$5),1,1)+INT((ROWS(B$2:B975)-1)/3),"jjjjmmdd")</f>
        <v>19201120</v>
      </c>
      <c r="C975" s="35" t="str">
        <f>IF(MOD(ROWS(C$2:C975)-1,3)=2,"24.00",INDEX(Data,2,2+MOD(ROWS(C$2:C975)-1,3)))</f>
        <v>14.00</v>
      </c>
      <c r="D975" s="23">
        <f t="shared" ca="1" si="111"/>
        <v>746</v>
      </c>
      <c r="E975" s="40">
        <f t="shared" ca="1" si="106"/>
        <v>0</v>
      </c>
      <c r="F975" s="23" t="str">
        <f t="shared" ca="1" si="107"/>
        <v>—</v>
      </c>
      <c r="G975" s="40">
        <f t="shared" ca="1" si="108"/>
        <v>7</v>
      </c>
      <c r="H975" s="23" t="str">
        <f t="shared" ca="1" si="109"/>
        <v>—</v>
      </c>
      <c r="I975" s="40">
        <f t="shared" ca="1" si="110"/>
        <v>7</v>
      </c>
    </row>
    <row r="976" spans="1:9" x14ac:dyDescent="0.25">
      <c r="A976" s="17">
        <f t="shared" si="105"/>
        <v>81</v>
      </c>
      <c r="B976" t="str">
        <f ca="1">TEXT(DATE(YEAR(Invoer!$A$5),1,1)+INT((ROWS(B$2:B976)-1)/3),"jjjjmmdd")</f>
        <v>19201120</v>
      </c>
      <c r="C976" s="35" t="str">
        <f>IF(MOD(ROWS(C$2:C976)-1,3)=2,"24.00",INDEX(Data,2,2+MOD(ROWS(C$2:C976)-1,3)))</f>
        <v>24.00</v>
      </c>
      <c r="D976" s="23" t="str">
        <f t="shared" ca="1" si="111"/>
        <v>—</v>
      </c>
      <c r="E976" s="40">
        <f t="shared" ca="1" si="106"/>
        <v>7</v>
      </c>
      <c r="F976" s="23">
        <f t="shared" ca="1" si="107"/>
        <v>25</v>
      </c>
      <c r="G976" s="40">
        <f t="shared" ca="1" si="108"/>
        <v>0</v>
      </c>
      <c r="H976" s="23">
        <f t="shared" ca="1" si="109"/>
        <v>28.8</v>
      </c>
      <c r="I976" s="40">
        <f t="shared" ca="1" si="110"/>
        <v>0</v>
      </c>
    </row>
    <row r="977" spans="1:9" x14ac:dyDescent="0.25">
      <c r="A977" s="17">
        <f t="shared" si="105"/>
        <v>81</v>
      </c>
      <c r="B977" t="str">
        <f ca="1">TEXT(DATE(YEAR(Invoer!$A$5),1,1)+INT((ROWS(B$2:B977)-1)/3),"jjjjmmdd")</f>
        <v>19201121</v>
      </c>
      <c r="C977" s="35" t="str">
        <f>IF(MOD(ROWS(C$2:C977)-1,3)=2,"24.00",INDEX(Data,2,2+MOD(ROWS(C$2:C977)-1,3)))</f>
        <v>08.00</v>
      </c>
      <c r="D977" s="23">
        <f t="shared" ca="1" si="111"/>
        <v>748.5</v>
      </c>
      <c r="E977" s="40">
        <f t="shared" ca="1" si="106"/>
        <v>0</v>
      </c>
      <c r="F977" s="23" t="str">
        <f t="shared" ca="1" si="107"/>
        <v>—</v>
      </c>
      <c r="G977" s="40">
        <f t="shared" ca="1" si="108"/>
        <v>7</v>
      </c>
      <c r="H977" s="23" t="str">
        <f t="shared" ca="1" si="109"/>
        <v>—</v>
      </c>
      <c r="I977" s="40">
        <f t="shared" ca="1" si="110"/>
        <v>7</v>
      </c>
    </row>
    <row r="978" spans="1:9" x14ac:dyDescent="0.25">
      <c r="A978" s="17">
        <f t="shared" si="105"/>
        <v>81</v>
      </c>
      <c r="B978" t="str">
        <f ca="1">TEXT(DATE(YEAR(Invoer!$A$5),1,1)+INT((ROWS(B$2:B978)-1)/3),"jjjjmmdd")</f>
        <v>19201121</v>
      </c>
      <c r="C978" s="35" t="str">
        <f>IF(MOD(ROWS(C$2:C978)-1,3)=2,"24.00",INDEX(Data,2,2+MOD(ROWS(C$2:C978)-1,3)))</f>
        <v>14.00</v>
      </c>
      <c r="D978" s="23">
        <f t="shared" ca="1" si="111"/>
        <v>747</v>
      </c>
      <c r="E978" s="40">
        <f t="shared" ca="1" si="106"/>
        <v>0</v>
      </c>
      <c r="F978" s="23" t="str">
        <f t="shared" ca="1" si="107"/>
        <v>—</v>
      </c>
      <c r="G978" s="40">
        <f t="shared" ca="1" si="108"/>
        <v>7</v>
      </c>
      <c r="H978" s="23" t="str">
        <f t="shared" ca="1" si="109"/>
        <v>—</v>
      </c>
      <c r="I978" s="40">
        <f t="shared" ca="1" si="110"/>
        <v>7</v>
      </c>
    </row>
    <row r="979" spans="1:9" x14ac:dyDescent="0.25">
      <c r="A979" s="17">
        <f t="shared" si="105"/>
        <v>81</v>
      </c>
      <c r="B979" t="str">
        <f ca="1">TEXT(DATE(YEAR(Invoer!$A$5),1,1)+INT((ROWS(B$2:B979)-1)/3),"jjjjmmdd")</f>
        <v>19201121</v>
      </c>
      <c r="C979" s="35" t="str">
        <f>IF(MOD(ROWS(C$2:C979)-1,3)=2,"24.00",INDEX(Data,2,2+MOD(ROWS(C$2:C979)-1,3)))</f>
        <v>24.00</v>
      </c>
      <c r="D979" s="23" t="str">
        <f t="shared" ca="1" si="111"/>
        <v>—</v>
      </c>
      <c r="E979" s="40">
        <f t="shared" ca="1" si="106"/>
        <v>7</v>
      </c>
      <c r="F979" s="23">
        <f t="shared" ca="1" si="107"/>
        <v>27</v>
      </c>
      <c r="G979" s="40">
        <f t="shared" ca="1" si="108"/>
        <v>0</v>
      </c>
      <c r="H979" s="23">
        <f t="shared" ca="1" si="109"/>
        <v>29</v>
      </c>
      <c r="I979" s="40">
        <f t="shared" ca="1" si="110"/>
        <v>0</v>
      </c>
    </row>
    <row r="980" spans="1:9" x14ac:dyDescent="0.25">
      <c r="A980" s="17">
        <f t="shared" si="105"/>
        <v>81</v>
      </c>
      <c r="B980" t="str">
        <f ca="1">TEXT(DATE(YEAR(Invoer!$A$5),1,1)+INT((ROWS(B$2:B980)-1)/3),"jjjjmmdd")</f>
        <v>19201122</v>
      </c>
      <c r="C980" s="35" t="str">
        <f>IF(MOD(ROWS(C$2:C980)-1,3)=2,"24.00",INDEX(Data,2,2+MOD(ROWS(C$2:C980)-1,3)))</f>
        <v>08.00</v>
      </c>
      <c r="D980" s="23">
        <f t="shared" ca="1" si="111"/>
        <v>748.6</v>
      </c>
      <c r="E980" s="40">
        <f t="shared" ca="1" si="106"/>
        <v>0</v>
      </c>
      <c r="F980" s="23" t="str">
        <f t="shared" ca="1" si="107"/>
        <v>—</v>
      </c>
      <c r="G980" s="40">
        <f t="shared" ca="1" si="108"/>
        <v>7</v>
      </c>
      <c r="H980" s="23" t="str">
        <f t="shared" ca="1" si="109"/>
        <v>—</v>
      </c>
      <c r="I980" s="40">
        <f t="shared" ca="1" si="110"/>
        <v>7</v>
      </c>
    </row>
    <row r="981" spans="1:9" x14ac:dyDescent="0.25">
      <c r="A981" s="17">
        <f t="shared" si="105"/>
        <v>81</v>
      </c>
      <c r="B981" t="str">
        <f ca="1">TEXT(DATE(YEAR(Invoer!$A$5),1,1)+INT((ROWS(B$2:B981)-1)/3),"jjjjmmdd")</f>
        <v>19201122</v>
      </c>
      <c r="C981" s="35" t="str">
        <f>IF(MOD(ROWS(C$2:C981)-1,3)=2,"24.00",INDEX(Data,2,2+MOD(ROWS(C$2:C981)-1,3)))</f>
        <v>14.00</v>
      </c>
      <c r="D981" s="23">
        <f t="shared" ca="1" si="111"/>
        <v>747</v>
      </c>
      <c r="E981" s="40">
        <f t="shared" ca="1" si="106"/>
        <v>0</v>
      </c>
      <c r="F981" s="23" t="str">
        <f t="shared" ca="1" si="107"/>
        <v>—</v>
      </c>
      <c r="G981" s="40">
        <f t="shared" ca="1" si="108"/>
        <v>7</v>
      </c>
      <c r="H981" s="23" t="str">
        <f t="shared" ca="1" si="109"/>
        <v>—</v>
      </c>
      <c r="I981" s="40">
        <f t="shared" ca="1" si="110"/>
        <v>7</v>
      </c>
    </row>
    <row r="982" spans="1:9" x14ac:dyDescent="0.25">
      <c r="A982" s="17">
        <f t="shared" si="105"/>
        <v>81</v>
      </c>
      <c r="B982" t="str">
        <f ca="1">TEXT(DATE(YEAR(Invoer!$A$5),1,1)+INT((ROWS(B$2:B982)-1)/3),"jjjjmmdd")</f>
        <v>19201122</v>
      </c>
      <c r="C982" s="35" t="str">
        <f>IF(MOD(ROWS(C$2:C982)-1,3)=2,"24.00",INDEX(Data,2,2+MOD(ROWS(C$2:C982)-1,3)))</f>
        <v>24.00</v>
      </c>
      <c r="D982" s="23" t="str">
        <f t="shared" ca="1" si="111"/>
        <v>—</v>
      </c>
      <c r="E982" s="40">
        <f t="shared" ca="1" si="106"/>
        <v>7</v>
      </c>
      <c r="F982" s="23">
        <f t="shared" ca="1" si="107"/>
        <v>27</v>
      </c>
      <c r="G982" s="40">
        <f t="shared" ca="1" si="108"/>
        <v>0</v>
      </c>
      <c r="H982" s="23">
        <f t="shared" ca="1" si="109"/>
        <v>29</v>
      </c>
      <c r="I982" s="40">
        <f t="shared" ca="1" si="110"/>
        <v>0</v>
      </c>
    </row>
    <row r="983" spans="1:9" x14ac:dyDescent="0.25">
      <c r="A983" s="17">
        <f t="shared" si="105"/>
        <v>81</v>
      </c>
      <c r="B983" t="str">
        <f ca="1">TEXT(DATE(YEAR(Invoer!$A$5),1,1)+INT((ROWS(B$2:B983)-1)/3),"jjjjmmdd")</f>
        <v>19201123</v>
      </c>
      <c r="C983" s="35" t="str">
        <f>IF(MOD(ROWS(C$2:C983)-1,3)=2,"24.00",INDEX(Data,2,2+MOD(ROWS(C$2:C983)-1,3)))</f>
        <v>08.00</v>
      </c>
      <c r="D983" s="23">
        <f t="shared" ca="1" si="111"/>
        <v>748.4</v>
      </c>
      <c r="E983" s="40">
        <f t="shared" ca="1" si="106"/>
        <v>0</v>
      </c>
      <c r="F983" s="23" t="str">
        <f t="shared" ca="1" si="107"/>
        <v>—</v>
      </c>
      <c r="G983" s="40">
        <f t="shared" ca="1" si="108"/>
        <v>7</v>
      </c>
      <c r="H983" s="23" t="str">
        <f t="shared" ca="1" si="109"/>
        <v>—</v>
      </c>
      <c r="I983" s="40">
        <f t="shared" ca="1" si="110"/>
        <v>7</v>
      </c>
    </row>
    <row r="984" spans="1:9" x14ac:dyDescent="0.25">
      <c r="A984" s="17">
        <f t="shared" si="105"/>
        <v>81</v>
      </c>
      <c r="B984" t="str">
        <f ca="1">TEXT(DATE(YEAR(Invoer!$A$5),1,1)+INT((ROWS(B$2:B984)-1)/3),"jjjjmmdd")</f>
        <v>19201123</v>
      </c>
      <c r="C984" s="35" t="str">
        <f>IF(MOD(ROWS(C$2:C984)-1,3)=2,"24.00",INDEX(Data,2,2+MOD(ROWS(C$2:C984)-1,3)))</f>
        <v>14.00</v>
      </c>
      <c r="D984" s="23">
        <f t="shared" ca="1" si="111"/>
        <v>747.2</v>
      </c>
      <c r="E984" s="40">
        <f t="shared" ca="1" si="106"/>
        <v>0</v>
      </c>
      <c r="F984" s="23" t="str">
        <f t="shared" ca="1" si="107"/>
        <v>—</v>
      </c>
      <c r="G984" s="40">
        <f t="shared" ca="1" si="108"/>
        <v>7</v>
      </c>
      <c r="H984" s="23" t="str">
        <f t="shared" ca="1" si="109"/>
        <v>—</v>
      </c>
      <c r="I984" s="40">
        <f t="shared" ca="1" si="110"/>
        <v>7</v>
      </c>
    </row>
    <row r="985" spans="1:9" x14ac:dyDescent="0.25">
      <c r="A985" s="17">
        <f t="shared" si="105"/>
        <v>81</v>
      </c>
      <c r="B985" t="str">
        <f ca="1">TEXT(DATE(YEAR(Invoer!$A$5),1,1)+INT((ROWS(B$2:B985)-1)/3),"jjjjmmdd")</f>
        <v>19201123</v>
      </c>
      <c r="C985" s="35" t="str">
        <f>IF(MOD(ROWS(C$2:C985)-1,3)=2,"24.00",INDEX(Data,2,2+MOD(ROWS(C$2:C985)-1,3)))</f>
        <v>24.00</v>
      </c>
      <c r="D985" s="23" t="str">
        <f t="shared" ca="1" si="111"/>
        <v>—</v>
      </c>
      <c r="E985" s="40">
        <f t="shared" ca="1" si="106"/>
        <v>7</v>
      </c>
      <c r="F985" s="23">
        <f t="shared" ca="1" si="107"/>
        <v>26</v>
      </c>
      <c r="G985" s="40">
        <f t="shared" ca="1" si="108"/>
        <v>0</v>
      </c>
      <c r="H985" s="23">
        <f t="shared" ca="1" si="109"/>
        <v>28.5</v>
      </c>
      <c r="I985" s="40">
        <f t="shared" ca="1" si="110"/>
        <v>0</v>
      </c>
    </row>
    <row r="986" spans="1:9" x14ac:dyDescent="0.25">
      <c r="A986" s="17">
        <f t="shared" si="105"/>
        <v>81</v>
      </c>
      <c r="B986" t="str">
        <f ca="1">TEXT(DATE(YEAR(Invoer!$A$5),1,1)+INT((ROWS(B$2:B986)-1)/3),"jjjjmmdd")</f>
        <v>19201124</v>
      </c>
      <c r="C986" s="35" t="str">
        <f>IF(MOD(ROWS(C$2:C986)-1,3)=2,"24.00",INDEX(Data,2,2+MOD(ROWS(C$2:C986)-1,3)))</f>
        <v>08.00</v>
      </c>
      <c r="D986" s="23">
        <f t="shared" ca="1" si="111"/>
        <v>748.5</v>
      </c>
      <c r="E986" s="40">
        <f t="shared" ca="1" si="106"/>
        <v>0</v>
      </c>
      <c r="F986" s="23" t="str">
        <f t="shared" ca="1" si="107"/>
        <v>—</v>
      </c>
      <c r="G986" s="40">
        <f t="shared" ca="1" si="108"/>
        <v>7</v>
      </c>
      <c r="H986" s="23" t="str">
        <f t="shared" ca="1" si="109"/>
        <v>—</v>
      </c>
      <c r="I986" s="40">
        <f t="shared" ca="1" si="110"/>
        <v>7</v>
      </c>
    </row>
    <row r="987" spans="1:9" x14ac:dyDescent="0.25">
      <c r="A987" s="17">
        <f t="shared" si="105"/>
        <v>81</v>
      </c>
      <c r="B987" t="str">
        <f ca="1">TEXT(DATE(YEAR(Invoer!$A$5),1,1)+INT((ROWS(B$2:B987)-1)/3),"jjjjmmdd")</f>
        <v>19201124</v>
      </c>
      <c r="C987" s="35" t="str">
        <f>IF(MOD(ROWS(C$2:C987)-1,3)=2,"24.00",INDEX(Data,2,2+MOD(ROWS(C$2:C987)-1,3)))</f>
        <v>14.00</v>
      </c>
      <c r="D987" s="23">
        <f t="shared" ca="1" si="111"/>
        <v>747</v>
      </c>
      <c r="E987" s="40">
        <f t="shared" ca="1" si="106"/>
        <v>0</v>
      </c>
      <c r="F987" s="23" t="str">
        <f t="shared" ca="1" si="107"/>
        <v>—</v>
      </c>
      <c r="G987" s="40">
        <f t="shared" ca="1" si="108"/>
        <v>7</v>
      </c>
      <c r="H987" s="23" t="str">
        <f t="shared" ca="1" si="109"/>
        <v>—</v>
      </c>
      <c r="I987" s="40">
        <f t="shared" ca="1" si="110"/>
        <v>7</v>
      </c>
    </row>
    <row r="988" spans="1:9" x14ac:dyDescent="0.25">
      <c r="A988" s="17">
        <f t="shared" si="105"/>
        <v>81</v>
      </c>
      <c r="B988" t="str">
        <f ca="1">TEXT(DATE(YEAR(Invoer!$A$5),1,1)+INT((ROWS(B$2:B988)-1)/3),"jjjjmmdd")</f>
        <v>19201124</v>
      </c>
      <c r="C988" s="35" t="str">
        <f>IF(MOD(ROWS(C$2:C988)-1,3)=2,"24.00",INDEX(Data,2,2+MOD(ROWS(C$2:C988)-1,3)))</f>
        <v>24.00</v>
      </c>
      <c r="D988" s="23" t="str">
        <f t="shared" ca="1" si="111"/>
        <v>—</v>
      </c>
      <c r="E988" s="40">
        <f t="shared" ca="1" si="106"/>
        <v>7</v>
      </c>
      <c r="F988" s="23">
        <f t="shared" ca="1" si="107"/>
        <v>27</v>
      </c>
      <c r="G988" s="40">
        <f t="shared" ca="1" si="108"/>
        <v>0</v>
      </c>
      <c r="H988" s="23">
        <f t="shared" ca="1" si="109"/>
        <v>29</v>
      </c>
      <c r="I988" s="40">
        <f t="shared" ca="1" si="110"/>
        <v>0</v>
      </c>
    </row>
    <row r="989" spans="1:9" x14ac:dyDescent="0.25">
      <c r="A989" s="17">
        <f t="shared" si="105"/>
        <v>81</v>
      </c>
      <c r="B989" t="str">
        <f ca="1">TEXT(DATE(YEAR(Invoer!$A$5),1,1)+INT((ROWS(B$2:B989)-1)/3),"jjjjmmdd")</f>
        <v>19201125</v>
      </c>
      <c r="C989" s="35" t="str">
        <f>IF(MOD(ROWS(C$2:C989)-1,3)=2,"24.00",INDEX(Data,2,2+MOD(ROWS(C$2:C989)-1,3)))</f>
        <v>08.00</v>
      </c>
      <c r="D989" s="23">
        <f t="shared" ca="1" si="111"/>
        <v>748.9</v>
      </c>
      <c r="E989" s="40">
        <f t="shared" ca="1" si="106"/>
        <v>0</v>
      </c>
      <c r="F989" s="23" t="str">
        <f t="shared" ca="1" si="107"/>
        <v>—</v>
      </c>
      <c r="G989" s="40">
        <f t="shared" ca="1" si="108"/>
        <v>7</v>
      </c>
      <c r="H989" s="23" t="str">
        <f t="shared" ca="1" si="109"/>
        <v>—</v>
      </c>
      <c r="I989" s="40">
        <f t="shared" ca="1" si="110"/>
        <v>7</v>
      </c>
    </row>
    <row r="990" spans="1:9" x14ac:dyDescent="0.25">
      <c r="A990" s="17">
        <f t="shared" si="105"/>
        <v>81</v>
      </c>
      <c r="B990" t="str">
        <f ca="1">TEXT(DATE(YEAR(Invoer!$A$5),1,1)+INT((ROWS(B$2:B990)-1)/3),"jjjjmmdd")</f>
        <v>19201125</v>
      </c>
      <c r="C990" s="35" t="str">
        <f>IF(MOD(ROWS(C$2:C990)-1,3)=2,"24.00",INDEX(Data,2,2+MOD(ROWS(C$2:C990)-1,3)))</f>
        <v>14.00</v>
      </c>
      <c r="D990" s="23">
        <f t="shared" ca="1" si="111"/>
        <v>747.5</v>
      </c>
      <c r="E990" s="40">
        <f t="shared" ca="1" si="106"/>
        <v>0</v>
      </c>
      <c r="F990" s="23" t="str">
        <f t="shared" ca="1" si="107"/>
        <v>—</v>
      </c>
      <c r="G990" s="40">
        <f t="shared" ca="1" si="108"/>
        <v>7</v>
      </c>
      <c r="H990" s="23" t="str">
        <f t="shared" ca="1" si="109"/>
        <v>—</v>
      </c>
      <c r="I990" s="40">
        <f t="shared" ca="1" si="110"/>
        <v>7</v>
      </c>
    </row>
    <row r="991" spans="1:9" x14ac:dyDescent="0.25">
      <c r="A991" s="17">
        <f t="shared" si="105"/>
        <v>81</v>
      </c>
      <c r="B991" t="str">
        <f ca="1">TEXT(DATE(YEAR(Invoer!$A$5),1,1)+INT((ROWS(B$2:B991)-1)/3),"jjjjmmdd")</f>
        <v>19201125</v>
      </c>
      <c r="C991" s="35" t="str">
        <f>IF(MOD(ROWS(C$2:C991)-1,3)=2,"24.00",INDEX(Data,2,2+MOD(ROWS(C$2:C991)-1,3)))</f>
        <v>24.00</v>
      </c>
      <c r="D991" s="23" t="str">
        <f t="shared" ca="1" si="111"/>
        <v>—</v>
      </c>
      <c r="E991" s="40">
        <f t="shared" ca="1" si="106"/>
        <v>7</v>
      </c>
      <c r="F991" s="23">
        <f t="shared" ca="1" si="107"/>
        <v>27</v>
      </c>
      <c r="G991" s="40">
        <f t="shared" ca="1" si="108"/>
        <v>0</v>
      </c>
      <c r="H991" s="23">
        <f t="shared" ca="1" si="109"/>
        <v>29.3</v>
      </c>
      <c r="I991" s="40">
        <f t="shared" ca="1" si="110"/>
        <v>0</v>
      </c>
    </row>
    <row r="992" spans="1:9" x14ac:dyDescent="0.25">
      <c r="A992" s="17">
        <f t="shared" si="105"/>
        <v>81</v>
      </c>
      <c r="B992" t="str">
        <f ca="1">TEXT(DATE(YEAR(Invoer!$A$5),1,1)+INT((ROWS(B$2:B992)-1)/3),"jjjjmmdd")</f>
        <v>19201126</v>
      </c>
      <c r="C992" s="35" t="str">
        <f>IF(MOD(ROWS(C$2:C992)-1,3)=2,"24.00",INDEX(Data,2,2+MOD(ROWS(C$2:C992)-1,3)))</f>
        <v>08.00</v>
      </c>
      <c r="D992" s="23">
        <f t="shared" ca="1" si="111"/>
        <v>748.3</v>
      </c>
      <c r="E992" s="40">
        <f t="shared" ca="1" si="106"/>
        <v>0</v>
      </c>
      <c r="F992" s="23" t="str">
        <f t="shared" ca="1" si="107"/>
        <v>—</v>
      </c>
      <c r="G992" s="40">
        <f t="shared" ca="1" si="108"/>
        <v>7</v>
      </c>
      <c r="H992" s="23" t="str">
        <f t="shared" ca="1" si="109"/>
        <v>—</v>
      </c>
      <c r="I992" s="40">
        <f t="shared" ca="1" si="110"/>
        <v>7</v>
      </c>
    </row>
    <row r="993" spans="1:9" x14ac:dyDescent="0.25">
      <c r="A993" s="17">
        <f t="shared" si="105"/>
        <v>81</v>
      </c>
      <c r="B993" t="str">
        <f ca="1">TEXT(DATE(YEAR(Invoer!$A$5),1,1)+INT((ROWS(B$2:B993)-1)/3),"jjjjmmdd")</f>
        <v>19201126</v>
      </c>
      <c r="C993" s="35" t="str">
        <f>IF(MOD(ROWS(C$2:C993)-1,3)=2,"24.00",INDEX(Data,2,2+MOD(ROWS(C$2:C993)-1,3)))</f>
        <v>14.00</v>
      </c>
      <c r="D993" s="23">
        <f t="shared" ca="1" si="111"/>
        <v>747.7</v>
      </c>
      <c r="E993" s="40">
        <f t="shared" ca="1" si="106"/>
        <v>0</v>
      </c>
      <c r="F993" s="23" t="str">
        <f t="shared" ca="1" si="107"/>
        <v>—</v>
      </c>
      <c r="G993" s="40">
        <f t="shared" ca="1" si="108"/>
        <v>7</v>
      </c>
      <c r="H993" s="23" t="str">
        <f t="shared" ca="1" si="109"/>
        <v>—</v>
      </c>
      <c r="I993" s="40">
        <f t="shared" ca="1" si="110"/>
        <v>7</v>
      </c>
    </row>
    <row r="994" spans="1:9" x14ac:dyDescent="0.25">
      <c r="A994" s="17">
        <f t="shared" si="105"/>
        <v>81</v>
      </c>
      <c r="B994" t="str">
        <f ca="1">TEXT(DATE(YEAR(Invoer!$A$5),1,1)+INT((ROWS(B$2:B994)-1)/3),"jjjjmmdd")</f>
        <v>19201126</v>
      </c>
      <c r="C994" s="35" t="str">
        <f>IF(MOD(ROWS(C$2:C994)-1,3)=2,"24.00",INDEX(Data,2,2+MOD(ROWS(C$2:C994)-1,3)))</f>
        <v>24.00</v>
      </c>
      <c r="D994" s="23" t="str">
        <f t="shared" ca="1" si="111"/>
        <v>—</v>
      </c>
      <c r="E994" s="40">
        <f t="shared" ca="1" si="106"/>
        <v>7</v>
      </c>
      <c r="F994" s="23">
        <f t="shared" ca="1" si="107"/>
        <v>28</v>
      </c>
      <c r="G994" s="40">
        <f t="shared" ca="1" si="108"/>
        <v>0</v>
      </c>
      <c r="H994" s="23">
        <f t="shared" ca="1" si="109"/>
        <v>30</v>
      </c>
      <c r="I994" s="40">
        <f t="shared" ca="1" si="110"/>
        <v>0</v>
      </c>
    </row>
    <row r="995" spans="1:9" x14ac:dyDescent="0.25">
      <c r="A995" s="17">
        <f t="shared" si="105"/>
        <v>81</v>
      </c>
      <c r="B995" t="str">
        <f ca="1">TEXT(DATE(YEAR(Invoer!$A$5),1,1)+INT((ROWS(B$2:B995)-1)/3),"jjjjmmdd")</f>
        <v>19201127</v>
      </c>
      <c r="C995" s="35" t="str">
        <f>IF(MOD(ROWS(C$2:C995)-1,3)=2,"24.00",INDEX(Data,2,2+MOD(ROWS(C$2:C995)-1,3)))</f>
        <v>08.00</v>
      </c>
      <c r="D995" s="23">
        <f t="shared" ca="1" si="111"/>
        <v>749.6</v>
      </c>
      <c r="E995" s="40">
        <f t="shared" ca="1" si="106"/>
        <v>0</v>
      </c>
      <c r="F995" s="23" t="str">
        <f t="shared" ca="1" si="107"/>
        <v>—</v>
      </c>
      <c r="G995" s="40">
        <f t="shared" ca="1" si="108"/>
        <v>7</v>
      </c>
      <c r="H995" s="23" t="str">
        <f t="shared" ca="1" si="109"/>
        <v>—</v>
      </c>
      <c r="I995" s="40">
        <f t="shared" ca="1" si="110"/>
        <v>7</v>
      </c>
    </row>
    <row r="996" spans="1:9" x14ac:dyDescent="0.25">
      <c r="A996" s="17">
        <f t="shared" si="105"/>
        <v>81</v>
      </c>
      <c r="B996" t="str">
        <f ca="1">TEXT(DATE(YEAR(Invoer!$A$5),1,1)+INT((ROWS(B$2:B996)-1)/3),"jjjjmmdd")</f>
        <v>19201127</v>
      </c>
      <c r="C996" s="35" t="str">
        <f>IF(MOD(ROWS(C$2:C996)-1,3)=2,"24.00",INDEX(Data,2,2+MOD(ROWS(C$2:C996)-1,3)))</f>
        <v>14.00</v>
      </c>
      <c r="D996" s="23">
        <f t="shared" ca="1" si="111"/>
        <v>748.6</v>
      </c>
      <c r="E996" s="40">
        <f t="shared" ca="1" si="106"/>
        <v>0</v>
      </c>
      <c r="F996" s="23" t="str">
        <f t="shared" ca="1" si="107"/>
        <v>—</v>
      </c>
      <c r="G996" s="40">
        <f t="shared" ca="1" si="108"/>
        <v>7</v>
      </c>
      <c r="H996" s="23" t="str">
        <f t="shared" ca="1" si="109"/>
        <v>—</v>
      </c>
      <c r="I996" s="40">
        <f t="shared" ca="1" si="110"/>
        <v>7</v>
      </c>
    </row>
    <row r="997" spans="1:9" x14ac:dyDescent="0.25">
      <c r="A997" s="17">
        <f t="shared" si="105"/>
        <v>81</v>
      </c>
      <c r="B997" t="str">
        <f ca="1">TEXT(DATE(YEAR(Invoer!$A$5),1,1)+INT((ROWS(B$2:B997)-1)/3),"jjjjmmdd")</f>
        <v>19201127</v>
      </c>
      <c r="C997" s="35" t="str">
        <f>IF(MOD(ROWS(C$2:C997)-1,3)=2,"24.00",INDEX(Data,2,2+MOD(ROWS(C$2:C997)-1,3)))</f>
        <v>24.00</v>
      </c>
      <c r="D997" s="23" t="str">
        <f t="shared" ca="1" si="111"/>
        <v>—</v>
      </c>
      <c r="E997" s="40">
        <f t="shared" ca="1" si="106"/>
        <v>7</v>
      </c>
      <c r="F997" s="23">
        <f t="shared" ca="1" si="107"/>
        <v>26.5</v>
      </c>
      <c r="G997" s="40">
        <f t="shared" ca="1" si="108"/>
        <v>0</v>
      </c>
      <c r="H997" s="23">
        <f t="shared" ca="1" si="109"/>
        <v>29</v>
      </c>
      <c r="I997" s="40">
        <f t="shared" ca="1" si="110"/>
        <v>0</v>
      </c>
    </row>
    <row r="998" spans="1:9" x14ac:dyDescent="0.25">
      <c r="A998" s="17">
        <f t="shared" si="105"/>
        <v>81</v>
      </c>
      <c r="B998" t="str">
        <f ca="1">TEXT(DATE(YEAR(Invoer!$A$5),1,1)+INT((ROWS(B$2:B998)-1)/3),"jjjjmmdd")</f>
        <v>19201128</v>
      </c>
      <c r="C998" s="35" t="str">
        <f>IF(MOD(ROWS(C$2:C998)-1,3)=2,"24.00",INDEX(Data,2,2+MOD(ROWS(C$2:C998)-1,3)))</f>
        <v>08.00</v>
      </c>
      <c r="D998" s="23">
        <f t="shared" ca="1" si="111"/>
        <v>749.4</v>
      </c>
      <c r="E998" s="40">
        <f t="shared" ca="1" si="106"/>
        <v>0</v>
      </c>
      <c r="F998" s="23" t="str">
        <f t="shared" ca="1" si="107"/>
        <v>—</v>
      </c>
      <c r="G998" s="40">
        <f t="shared" ca="1" si="108"/>
        <v>7</v>
      </c>
      <c r="H998" s="23" t="str">
        <f t="shared" ca="1" si="109"/>
        <v>—</v>
      </c>
      <c r="I998" s="40">
        <f t="shared" ca="1" si="110"/>
        <v>7</v>
      </c>
    </row>
    <row r="999" spans="1:9" x14ac:dyDescent="0.25">
      <c r="A999" s="17">
        <f t="shared" si="105"/>
        <v>81</v>
      </c>
      <c r="B999" t="str">
        <f ca="1">TEXT(DATE(YEAR(Invoer!$A$5),1,1)+INT((ROWS(B$2:B999)-1)/3),"jjjjmmdd")</f>
        <v>19201128</v>
      </c>
      <c r="C999" s="35" t="str">
        <f>IF(MOD(ROWS(C$2:C999)-1,3)=2,"24.00",INDEX(Data,2,2+MOD(ROWS(C$2:C999)-1,3)))</f>
        <v>14.00</v>
      </c>
      <c r="D999" s="23">
        <f t="shared" ca="1" si="111"/>
        <v>748.5</v>
      </c>
      <c r="E999" s="40">
        <f t="shared" ca="1" si="106"/>
        <v>0</v>
      </c>
      <c r="F999" s="23" t="str">
        <f t="shared" ca="1" si="107"/>
        <v>—</v>
      </c>
      <c r="G999" s="40">
        <f t="shared" ca="1" si="108"/>
        <v>7</v>
      </c>
      <c r="H999" s="23" t="str">
        <f t="shared" ca="1" si="109"/>
        <v>—</v>
      </c>
      <c r="I999" s="40">
        <f t="shared" ca="1" si="110"/>
        <v>7</v>
      </c>
    </row>
    <row r="1000" spans="1:9" x14ac:dyDescent="0.25">
      <c r="A1000" s="17">
        <f t="shared" si="105"/>
        <v>81</v>
      </c>
      <c r="B1000" t="str">
        <f ca="1">TEXT(DATE(YEAR(Invoer!$A$5),1,1)+INT((ROWS(B$2:B1000)-1)/3),"jjjjmmdd")</f>
        <v>19201128</v>
      </c>
      <c r="C1000" s="35" t="str">
        <f>IF(MOD(ROWS(C$2:C1000)-1,3)=2,"24.00",INDEX(Data,2,2+MOD(ROWS(C$2:C1000)-1,3)))</f>
        <v>24.00</v>
      </c>
      <c r="D1000" s="23" t="str">
        <f t="shared" ca="1" si="111"/>
        <v>—</v>
      </c>
      <c r="E1000" s="40">
        <f t="shared" ca="1" si="106"/>
        <v>7</v>
      </c>
      <c r="F1000" s="23">
        <f t="shared" ca="1" si="107"/>
        <v>26</v>
      </c>
      <c r="G1000" s="40">
        <f t="shared" ca="1" si="108"/>
        <v>0</v>
      </c>
      <c r="H1000" s="23">
        <f t="shared" ca="1" si="109"/>
        <v>29</v>
      </c>
      <c r="I1000" s="40">
        <f t="shared" ca="1" si="110"/>
        <v>0</v>
      </c>
    </row>
    <row r="1001" spans="1:9" x14ac:dyDescent="0.25">
      <c r="A1001" s="17">
        <f t="shared" si="105"/>
        <v>81</v>
      </c>
      <c r="B1001" t="str">
        <f ca="1">TEXT(DATE(YEAR(Invoer!$A$5),1,1)+INT((ROWS(B$2:B1001)-1)/3),"jjjjmmdd")</f>
        <v>19201129</v>
      </c>
      <c r="C1001" s="35" t="str">
        <f>IF(MOD(ROWS(C$2:C1001)-1,3)=2,"24.00",INDEX(Data,2,2+MOD(ROWS(C$2:C1001)-1,3)))</f>
        <v>08.00</v>
      </c>
      <c r="D1001" s="23">
        <f t="shared" ca="1" si="111"/>
        <v>749.5</v>
      </c>
      <c r="E1001" s="40">
        <f t="shared" ca="1" si="106"/>
        <v>0</v>
      </c>
      <c r="F1001" s="23" t="str">
        <f t="shared" ca="1" si="107"/>
        <v>—</v>
      </c>
      <c r="G1001" s="40">
        <f t="shared" ca="1" si="108"/>
        <v>7</v>
      </c>
      <c r="H1001" s="23" t="str">
        <f t="shared" ca="1" si="109"/>
        <v>—</v>
      </c>
      <c r="I1001" s="40">
        <f t="shared" ca="1" si="110"/>
        <v>7</v>
      </c>
    </row>
    <row r="1002" spans="1:9" x14ac:dyDescent="0.25">
      <c r="A1002" s="17">
        <f t="shared" si="105"/>
        <v>81</v>
      </c>
      <c r="B1002" t="str">
        <f ca="1">TEXT(DATE(YEAR(Invoer!$A$5),1,1)+INT((ROWS(B$2:B1002)-1)/3),"jjjjmmdd")</f>
        <v>19201129</v>
      </c>
      <c r="C1002" s="35" t="str">
        <f>IF(MOD(ROWS(C$2:C1002)-1,3)=2,"24.00",INDEX(Data,2,2+MOD(ROWS(C$2:C1002)-1,3)))</f>
        <v>14.00</v>
      </c>
      <c r="D1002" s="23">
        <f t="shared" ca="1" si="111"/>
        <v>749</v>
      </c>
      <c r="E1002" s="40">
        <f t="shared" ca="1" si="106"/>
        <v>0</v>
      </c>
      <c r="F1002" s="23" t="str">
        <f t="shared" ca="1" si="107"/>
        <v>—</v>
      </c>
      <c r="G1002" s="40">
        <f t="shared" ca="1" si="108"/>
        <v>7</v>
      </c>
      <c r="H1002" s="23" t="str">
        <f t="shared" ca="1" si="109"/>
        <v>—</v>
      </c>
      <c r="I1002" s="40">
        <f t="shared" ca="1" si="110"/>
        <v>7</v>
      </c>
    </row>
    <row r="1003" spans="1:9" x14ac:dyDescent="0.25">
      <c r="A1003" s="17">
        <f t="shared" si="105"/>
        <v>81</v>
      </c>
      <c r="B1003" t="str">
        <f ca="1">TEXT(DATE(YEAR(Invoer!$A$5),1,1)+INT((ROWS(B$2:B1003)-1)/3),"jjjjmmdd")</f>
        <v>19201129</v>
      </c>
      <c r="C1003" s="35" t="str">
        <f>IF(MOD(ROWS(C$2:C1003)-1,3)=2,"24.00",INDEX(Data,2,2+MOD(ROWS(C$2:C1003)-1,3)))</f>
        <v>24.00</v>
      </c>
      <c r="D1003" s="23" t="str">
        <f t="shared" ca="1" si="111"/>
        <v>—</v>
      </c>
      <c r="E1003" s="40">
        <f t="shared" ca="1" si="106"/>
        <v>7</v>
      </c>
      <c r="F1003" s="23">
        <f t="shared" ca="1" si="107"/>
        <v>26</v>
      </c>
      <c r="G1003" s="40">
        <f t="shared" ca="1" si="108"/>
        <v>0</v>
      </c>
      <c r="H1003" s="23">
        <f t="shared" ca="1" si="109"/>
        <v>29</v>
      </c>
      <c r="I1003" s="40">
        <f t="shared" ca="1" si="110"/>
        <v>0</v>
      </c>
    </row>
    <row r="1004" spans="1:9" x14ac:dyDescent="0.25">
      <c r="A1004" s="17">
        <f t="shared" si="105"/>
        <v>81</v>
      </c>
      <c r="B1004" t="str">
        <f ca="1">TEXT(DATE(YEAR(Invoer!$A$5),1,1)+INT((ROWS(B$2:B1004)-1)/3),"jjjjmmdd")</f>
        <v>19201130</v>
      </c>
      <c r="C1004" s="35" t="str">
        <f>IF(MOD(ROWS(C$2:C1004)-1,3)=2,"24.00",INDEX(Data,2,2+MOD(ROWS(C$2:C1004)-1,3)))</f>
        <v>08.00</v>
      </c>
      <c r="D1004" s="23">
        <f t="shared" ca="1" si="111"/>
        <v>748.5</v>
      </c>
      <c r="E1004" s="40">
        <f t="shared" ca="1" si="106"/>
        <v>0</v>
      </c>
      <c r="F1004" s="23" t="str">
        <f t="shared" ca="1" si="107"/>
        <v>—</v>
      </c>
      <c r="G1004" s="40">
        <f t="shared" ca="1" si="108"/>
        <v>7</v>
      </c>
      <c r="H1004" s="23" t="str">
        <f t="shared" ca="1" si="109"/>
        <v>—</v>
      </c>
      <c r="I1004" s="40">
        <f t="shared" ca="1" si="110"/>
        <v>7</v>
      </c>
    </row>
    <row r="1005" spans="1:9" x14ac:dyDescent="0.25">
      <c r="A1005" s="17">
        <f t="shared" si="105"/>
        <v>81</v>
      </c>
      <c r="B1005" t="str">
        <f ca="1">TEXT(DATE(YEAR(Invoer!$A$5),1,1)+INT((ROWS(B$2:B1005)-1)/3),"jjjjmmdd")</f>
        <v>19201130</v>
      </c>
      <c r="C1005" s="35" t="str">
        <f>IF(MOD(ROWS(C$2:C1005)-1,3)=2,"24.00",INDEX(Data,2,2+MOD(ROWS(C$2:C1005)-1,3)))</f>
        <v>14.00</v>
      </c>
      <c r="D1005" s="23">
        <f t="shared" ca="1" si="111"/>
        <v>748</v>
      </c>
      <c r="E1005" s="40">
        <f t="shared" ca="1" si="106"/>
        <v>0</v>
      </c>
      <c r="F1005" s="23" t="str">
        <f t="shared" ca="1" si="107"/>
        <v>—</v>
      </c>
      <c r="G1005" s="40">
        <f t="shared" ca="1" si="108"/>
        <v>7</v>
      </c>
      <c r="H1005" s="23" t="str">
        <f t="shared" ca="1" si="109"/>
        <v>—</v>
      </c>
      <c r="I1005" s="40">
        <f t="shared" ca="1" si="110"/>
        <v>7</v>
      </c>
    </row>
    <row r="1006" spans="1:9" x14ac:dyDescent="0.25">
      <c r="A1006" s="17">
        <f t="shared" si="105"/>
        <v>81</v>
      </c>
      <c r="B1006" t="str">
        <f ca="1">TEXT(DATE(YEAR(Invoer!$A$5),1,1)+INT((ROWS(B$2:B1006)-1)/3),"jjjjmmdd")</f>
        <v>19201130</v>
      </c>
      <c r="C1006" s="35" t="str">
        <f>IF(MOD(ROWS(C$2:C1006)-1,3)=2,"24.00",INDEX(Data,2,2+MOD(ROWS(C$2:C1006)-1,3)))</f>
        <v>24.00</v>
      </c>
      <c r="D1006" s="23" t="str">
        <f t="shared" ca="1" si="111"/>
        <v>—</v>
      </c>
      <c r="E1006" s="40">
        <f t="shared" ca="1" si="106"/>
        <v>7</v>
      </c>
      <c r="F1006" s="23">
        <f t="shared" ca="1" si="107"/>
        <v>26</v>
      </c>
      <c r="G1006" s="40">
        <f t="shared" ca="1" si="108"/>
        <v>0</v>
      </c>
      <c r="H1006" s="23">
        <f t="shared" ca="1" si="109"/>
        <v>28</v>
      </c>
      <c r="I1006" s="40">
        <f t="shared" ca="1" si="110"/>
        <v>0</v>
      </c>
    </row>
    <row r="1007" spans="1:9" x14ac:dyDescent="0.25">
      <c r="A1007" s="17">
        <f t="shared" si="105"/>
        <v>81</v>
      </c>
      <c r="B1007" t="str">
        <f ca="1">TEXT(DATE(YEAR(Invoer!$A$5),1,1)+INT((ROWS(B$2:B1007)-1)/3),"jjjjmmdd")</f>
        <v>19201201</v>
      </c>
      <c r="C1007" s="35" t="str">
        <f>IF(MOD(ROWS(C$2:C1007)-1,3)=2,"24.00",INDEX(Data,2,2+MOD(ROWS(C$2:C1007)-1,3)))</f>
        <v>08.00</v>
      </c>
      <c r="D1007" s="23">
        <f t="shared" ca="1" si="111"/>
        <v>749</v>
      </c>
      <c r="E1007" s="40">
        <f t="shared" ca="1" si="106"/>
        <v>0</v>
      </c>
      <c r="F1007" s="23" t="str">
        <f t="shared" ca="1" si="107"/>
        <v>—</v>
      </c>
      <c r="G1007" s="40">
        <f t="shared" ca="1" si="108"/>
        <v>7</v>
      </c>
      <c r="H1007" s="23" t="str">
        <f t="shared" ca="1" si="109"/>
        <v>—</v>
      </c>
      <c r="I1007" s="40">
        <f t="shared" ca="1" si="110"/>
        <v>7</v>
      </c>
    </row>
    <row r="1008" spans="1:9" x14ac:dyDescent="0.25">
      <c r="A1008" s="17">
        <f t="shared" si="105"/>
        <v>81</v>
      </c>
      <c r="B1008" t="str">
        <f ca="1">TEXT(DATE(YEAR(Invoer!$A$5),1,1)+INT((ROWS(B$2:B1008)-1)/3),"jjjjmmdd")</f>
        <v>19201201</v>
      </c>
      <c r="C1008" s="35" t="str">
        <f>IF(MOD(ROWS(C$2:C1008)-1,3)=2,"24.00",INDEX(Data,2,2+MOD(ROWS(C$2:C1008)-1,3)))</f>
        <v>14.00</v>
      </c>
      <c r="D1008" s="23">
        <f t="shared" ca="1" si="111"/>
        <v>748.5</v>
      </c>
      <c r="E1008" s="40">
        <f t="shared" ca="1" si="106"/>
        <v>0</v>
      </c>
      <c r="F1008" s="23" t="str">
        <f t="shared" ca="1" si="107"/>
        <v>—</v>
      </c>
      <c r="G1008" s="40">
        <f t="shared" ca="1" si="108"/>
        <v>7</v>
      </c>
      <c r="H1008" s="23" t="str">
        <f t="shared" ca="1" si="109"/>
        <v>—</v>
      </c>
      <c r="I1008" s="40">
        <f t="shared" ca="1" si="110"/>
        <v>7</v>
      </c>
    </row>
    <row r="1009" spans="1:9" x14ac:dyDescent="0.25">
      <c r="A1009" s="17">
        <f t="shared" si="105"/>
        <v>81</v>
      </c>
      <c r="B1009" t="str">
        <f ca="1">TEXT(DATE(YEAR(Invoer!$A$5),1,1)+INT((ROWS(B$2:B1009)-1)/3),"jjjjmmdd")</f>
        <v>19201201</v>
      </c>
      <c r="C1009" s="35" t="str">
        <f>IF(MOD(ROWS(C$2:C1009)-1,3)=2,"24.00",INDEX(Data,2,2+MOD(ROWS(C$2:C1009)-1,3)))</f>
        <v>24.00</v>
      </c>
      <c r="D1009" s="23" t="str">
        <f t="shared" ca="1" si="111"/>
        <v>—</v>
      </c>
      <c r="E1009" s="40">
        <f t="shared" ca="1" si="106"/>
        <v>7</v>
      </c>
      <c r="F1009" s="23">
        <f t="shared" ca="1" si="107"/>
        <v>26</v>
      </c>
      <c r="G1009" s="40">
        <f t="shared" ca="1" si="108"/>
        <v>0</v>
      </c>
      <c r="H1009" s="23">
        <f t="shared" ca="1" si="109"/>
        <v>28</v>
      </c>
      <c r="I1009" s="40">
        <f t="shared" ca="1" si="110"/>
        <v>0</v>
      </c>
    </row>
    <row r="1010" spans="1:9" x14ac:dyDescent="0.25">
      <c r="A1010" s="17">
        <f t="shared" si="105"/>
        <v>81</v>
      </c>
      <c r="B1010" t="str">
        <f ca="1">TEXT(DATE(YEAR(Invoer!$A$5),1,1)+INT((ROWS(B$2:B1010)-1)/3),"jjjjmmdd")</f>
        <v>19201202</v>
      </c>
      <c r="C1010" s="35" t="str">
        <f>IF(MOD(ROWS(C$2:C1010)-1,3)=2,"24.00",INDEX(Data,2,2+MOD(ROWS(C$2:C1010)-1,3)))</f>
        <v>08.00</v>
      </c>
      <c r="D1010" s="23">
        <f t="shared" ca="1" si="111"/>
        <v>748.5</v>
      </c>
      <c r="E1010" s="40">
        <f t="shared" ca="1" si="106"/>
        <v>0</v>
      </c>
      <c r="F1010" s="23" t="str">
        <f t="shared" ca="1" si="107"/>
        <v>—</v>
      </c>
      <c r="G1010" s="40">
        <f t="shared" ca="1" si="108"/>
        <v>7</v>
      </c>
      <c r="H1010" s="23" t="str">
        <f t="shared" ca="1" si="109"/>
        <v>—</v>
      </c>
      <c r="I1010" s="40">
        <f t="shared" ca="1" si="110"/>
        <v>7</v>
      </c>
    </row>
    <row r="1011" spans="1:9" x14ac:dyDescent="0.25">
      <c r="A1011" s="17">
        <f t="shared" si="105"/>
        <v>81</v>
      </c>
      <c r="B1011" t="str">
        <f ca="1">TEXT(DATE(YEAR(Invoer!$A$5),1,1)+INT((ROWS(B$2:B1011)-1)/3),"jjjjmmdd")</f>
        <v>19201202</v>
      </c>
      <c r="C1011" s="35" t="str">
        <f>IF(MOD(ROWS(C$2:C1011)-1,3)=2,"24.00",INDEX(Data,2,2+MOD(ROWS(C$2:C1011)-1,3)))</f>
        <v>14.00</v>
      </c>
      <c r="D1011" s="23">
        <f t="shared" ca="1" si="111"/>
        <v>748</v>
      </c>
      <c r="E1011" s="40">
        <f t="shared" ca="1" si="106"/>
        <v>0</v>
      </c>
      <c r="F1011" s="23" t="str">
        <f t="shared" ca="1" si="107"/>
        <v>—</v>
      </c>
      <c r="G1011" s="40">
        <f t="shared" ca="1" si="108"/>
        <v>7</v>
      </c>
      <c r="H1011" s="23" t="str">
        <f t="shared" ca="1" si="109"/>
        <v>—</v>
      </c>
      <c r="I1011" s="40">
        <f t="shared" ca="1" si="110"/>
        <v>7</v>
      </c>
    </row>
    <row r="1012" spans="1:9" x14ac:dyDescent="0.25">
      <c r="A1012" s="17">
        <f t="shared" si="105"/>
        <v>81</v>
      </c>
      <c r="B1012" t="str">
        <f ca="1">TEXT(DATE(YEAR(Invoer!$A$5),1,1)+INT((ROWS(B$2:B1012)-1)/3),"jjjjmmdd")</f>
        <v>19201202</v>
      </c>
      <c r="C1012" s="35" t="str">
        <f>IF(MOD(ROWS(C$2:C1012)-1,3)=2,"24.00",INDEX(Data,2,2+MOD(ROWS(C$2:C1012)-1,3)))</f>
        <v>24.00</v>
      </c>
      <c r="D1012" s="23" t="str">
        <f t="shared" ca="1" si="111"/>
        <v>—</v>
      </c>
      <c r="E1012" s="40">
        <f t="shared" ca="1" si="106"/>
        <v>7</v>
      </c>
      <c r="F1012" s="23">
        <f t="shared" ca="1" si="107"/>
        <v>26</v>
      </c>
      <c r="G1012" s="40">
        <f t="shared" ca="1" si="108"/>
        <v>0</v>
      </c>
      <c r="H1012" s="23">
        <f t="shared" ca="1" si="109"/>
        <v>28</v>
      </c>
      <c r="I1012" s="40">
        <f t="shared" ca="1" si="110"/>
        <v>0</v>
      </c>
    </row>
    <row r="1013" spans="1:9" x14ac:dyDescent="0.25">
      <c r="A1013" s="17">
        <f t="shared" si="105"/>
        <v>81</v>
      </c>
      <c r="B1013" t="str">
        <f ca="1">TEXT(DATE(YEAR(Invoer!$A$5),1,1)+INT((ROWS(B$2:B1013)-1)/3),"jjjjmmdd")</f>
        <v>19201203</v>
      </c>
      <c r="C1013" s="35" t="str">
        <f>IF(MOD(ROWS(C$2:C1013)-1,3)=2,"24.00",INDEX(Data,2,2+MOD(ROWS(C$2:C1013)-1,3)))</f>
        <v>08.00</v>
      </c>
      <c r="D1013" s="23">
        <f t="shared" ca="1" si="111"/>
        <v>747.5</v>
      </c>
      <c r="E1013" s="40">
        <f t="shared" ca="1" si="106"/>
        <v>0</v>
      </c>
      <c r="F1013" s="23" t="str">
        <f t="shared" ca="1" si="107"/>
        <v>—</v>
      </c>
      <c r="G1013" s="40">
        <f t="shared" ca="1" si="108"/>
        <v>7</v>
      </c>
      <c r="H1013" s="23" t="str">
        <f t="shared" ca="1" si="109"/>
        <v>—</v>
      </c>
      <c r="I1013" s="40">
        <f t="shared" ca="1" si="110"/>
        <v>7</v>
      </c>
    </row>
    <row r="1014" spans="1:9" x14ac:dyDescent="0.25">
      <c r="A1014" s="17">
        <f t="shared" si="105"/>
        <v>81</v>
      </c>
      <c r="B1014" t="str">
        <f ca="1">TEXT(DATE(YEAR(Invoer!$A$5),1,1)+INT((ROWS(B$2:B1014)-1)/3),"jjjjmmdd")</f>
        <v>19201203</v>
      </c>
      <c r="C1014" s="35" t="str">
        <f>IF(MOD(ROWS(C$2:C1014)-1,3)=2,"24.00",INDEX(Data,2,2+MOD(ROWS(C$2:C1014)-1,3)))</f>
        <v>14.00</v>
      </c>
      <c r="D1014" s="23">
        <f t="shared" ca="1" si="111"/>
        <v>747</v>
      </c>
      <c r="E1014" s="40">
        <f t="shared" ca="1" si="106"/>
        <v>0</v>
      </c>
      <c r="F1014" s="23" t="str">
        <f t="shared" ca="1" si="107"/>
        <v>—</v>
      </c>
      <c r="G1014" s="40">
        <f t="shared" ca="1" si="108"/>
        <v>7</v>
      </c>
      <c r="H1014" s="23" t="str">
        <f t="shared" ca="1" si="109"/>
        <v>—</v>
      </c>
      <c r="I1014" s="40">
        <f t="shared" ca="1" si="110"/>
        <v>7</v>
      </c>
    </row>
    <row r="1015" spans="1:9" x14ac:dyDescent="0.25">
      <c r="A1015" s="17">
        <f t="shared" si="105"/>
        <v>81</v>
      </c>
      <c r="B1015" t="str">
        <f ca="1">TEXT(DATE(YEAR(Invoer!$A$5),1,1)+INT((ROWS(B$2:B1015)-1)/3),"jjjjmmdd")</f>
        <v>19201203</v>
      </c>
      <c r="C1015" s="35" t="str">
        <f>IF(MOD(ROWS(C$2:C1015)-1,3)=2,"24.00",INDEX(Data,2,2+MOD(ROWS(C$2:C1015)-1,3)))</f>
        <v>24.00</v>
      </c>
      <c r="D1015" s="23" t="str">
        <f t="shared" ca="1" si="111"/>
        <v>—</v>
      </c>
      <c r="E1015" s="40">
        <f t="shared" ca="1" si="106"/>
        <v>7</v>
      </c>
      <c r="F1015" s="23">
        <f t="shared" ca="1" si="107"/>
        <v>25</v>
      </c>
      <c r="G1015" s="40">
        <f t="shared" ca="1" si="108"/>
        <v>0</v>
      </c>
      <c r="H1015" s="23">
        <f t="shared" ca="1" si="109"/>
        <v>27</v>
      </c>
      <c r="I1015" s="40">
        <f t="shared" ca="1" si="110"/>
        <v>0</v>
      </c>
    </row>
    <row r="1016" spans="1:9" x14ac:dyDescent="0.25">
      <c r="A1016" s="17">
        <f t="shared" si="105"/>
        <v>81</v>
      </c>
      <c r="B1016" t="str">
        <f ca="1">TEXT(DATE(YEAR(Invoer!$A$5),1,1)+INT((ROWS(B$2:B1016)-1)/3),"jjjjmmdd")</f>
        <v>19201204</v>
      </c>
      <c r="C1016" s="35" t="str">
        <f>IF(MOD(ROWS(C$2:C1016)-1,3)=2,"24.00",INDEX(Data,2,2+MOD(ROWS(C$2:C1016)-1,3)))</f>
        <v>08.00</v>
      </c>
      <c r="D1016" s="23">
        <f t="shared" ca="1" si="111"/>
        <v>748.5</v>
      </c>
      <c r="E1016" s="40">
        <f t="shared" ca="1" si="106"/>
        <v>0</v>
      </c>
      <c r="F1016" s="23" t="str">
        <f t="shared" ca="1" si="107"/>
        <v>—</v>
      </c>
      <c r="G1016" s="40">
        <f t="shared" ca="1" si="108"/>
        <v>7</v>
      </c>
      <c r="H1016" s="23" t="str">
        <f t="shared" ca="1" si="109"/>
        <v>—</v>
      </c>
      <c r="I1016" s="40">
        <f t="shared" ca="1" si="110"/>
        <v>7</v>
      </c>
    </row>
    <row r="1017" spans="1:9" x14ac:dyDescent="0.25">
      <c r="A1017" s="17">
        <f t="shared" si="105"/>
        <v>81</v>
      </c>
      <c r="B1017" t="str">
        <f ca="1">TEXT(DATE(YEAR(Invoer!$A$5),1,1)+INT((ROWS(B$2:B1017)-1)/3),"jjjjmmdd")</f>
        <v>19201204</v>
      </c>
      <c r="C1017" s="35" t="str">
        <f>IF(MOD(ROWS(C$2:C1017)-1,3)=2,"24.00",INDEX(Data,2,2+MOD(ROWS(C$2:C1017)-1,3)))</f>
        <v>14.00</v>
      </c>
      <c r="D1017" s="23">
        <f t="shared" ca="1" si="111"/>
        <v>747</v>
      </c>
      <c r="E1017" s="40">
        <f t="shared" ca="1" si="106"/>
        <v>0</v>
      </c>
      <c r="F1017" s="23" t="str">
        <f t="shared" ca="1" si="107"/>
        <v>—</v>
      </c>
      <c r="G1017" s="40">
        <f t="shared" ca="1" si="108"/>
        <v>7</v>
      </c>
      <c r="H1017" s="23" t="str">
        <f t="shared" ca="1" si="109"/>
        <v>—</v>
      </c>
      <c r="I1017" s="40">
        <f t="shared" ca="1" si="110"/>
        <v>7</v>
      </c>
    </row>
    <row r="1018" spans="1:9" x14ac:dyDescent="0.25">
      <c r="A1018" s="17">
        <f t="shared" si="105"/>
        <v>81</v>
      </c>
      <c r="B1018" t="str">
        <f ca="1">TEXT(DATE(YEAR(Invoer!$A$5),1,1)+INT((ROWS(B$2:B1018)-1)/3),"jjjjmmdd")</f>
        <v>19201204</v>
      </c>
      <c r="C1018" s="35" t="str">
        <f>IF(MOD(ROWS(C$2:C1018)-1,3)=2,"24.00",INDEX(Data,2,2+MOD(ROWS(C$2:C1018)-1,3)))</f>
        <v>24.00</v>
      </c>
      <c r="D1018" s="23" t="str">
        <f t="shared" ca="1" si="111"/>
        <v>—</v>
      </c>
      <c r="E1018" s="40">
        <f t="shared" ca="1" si="106"/>
        <v>7</v>
      </c>
      <c r="F1018" s="23">
        <f t="shared" ca="1" si="107"/>
        <v>25</v>
      </c>
      <c r="G1018" s="40">
        <f t="shared" ca="1" si="108"/>
        <v>0</v>
      </c>
      <c r="H1018" s="23">
        <f t="shared" ca="1" si="109"/>
        <v>27</v>
      </c>
      <c r="I1018" s="40">
        <f t="shared" ca="1" si="110"/>
        <v>0</v>
      </c>
    </row>
    <row r="1019" spans="1:9" x14ac:dyDescent="0.25">
      <c r="A1019" s="17">
        <f t="shared" si="105"/>
        <v>81</v>
      </c>
      <c r="B1019" t="str">
        <f ca="1">TEXT(DATE(YEAR(Invoer!$A$5),1,1)+INT((ROWS(B$2:B1019)-1)/3),"jjjjmmdd")</f>
        <v>19201205</v>
      </c>
      <c r="C1019" s="35" t="str">
        <f>IF(MOD(ROWS(C$2:C1019)-1,3)=2,"24.00",INDEX(Data,2,2+MOD(ROWS(C$2:C1019)-1,3)))</f>
        <v>08.00</v>
      </c>
      <c r="D1019" s="23">
        <f t="shared" ca="1" si="111"/>
        <v>746.5</v>
      </c>
      <c r="E1019" s="40">
        <f t="shared" ca="1" si="106"/>
        <v>0</v>
      </c>
      <c r="F1019" s="23" t="str">
        <f t="shared" ca="1" si="107"/>
        <v>—</v>
      </c>
      <c r="G1019" s="40">
        <f t="shared" ca="1" si="108"/>
        <v>7</v>
      </c>
      <c r="H1019" s="23" t="str">
        <f t="shared" ca="1" si="109"/>
        <v>—</v>
      </c>
      <c r="I1019" s="40">
        <f t="shared" ca="1" si="110"/>
        <v>7</v>
      </c>
    </row>
    <row r="1020" spans="1:9" x14ac:dyDescent="0.25">
      <c r="A1020" s="17">
        <f t="shared" si="105"/>
        <v>81</v>
      </c>
      <c r="B1020" t="str">
        <f ca="1">TEXT(DATE(YEAR(Invoer!$A$5),1,1)+INT((ROWS(B$2:B1020)-1)/3),"jjjjmmdd")</f>
        <v>19201205</v>
      </c>
      <c r="C1020" s="35" t="str">
        <f>IF(MOD(ROWS(C$2:C1020)-1,3)=2,"24.00",INDEX(Data,2,2+MOD(ROWS(C$2:C1020)-1,3)))</f>
        <v>14.00</v>
      </c>
      <c r="D1020" s="23">
        <f t="shared" ca="1" si="111"/>
        <v>746</v>
      </c>
      <c r="E1020" s="40">
        <f t="shared" ca="1" si="106"/>
        <v>0</v>
      </c>
      <c r="F1020" s="23" t="str">
        <f t="shared" ca="1" si="107"/>
        <v>—</v>
      </c>
      <c r="G1020" s="40">
        <f t="shared" ca="1" si="108"/>
        <v>7</v>
      </c>
      <c r="H1020" s="23" t="str">
        <f t="shared" ca="1" si="109"/>
        <v>—</v>
      </c>
      <c r="I1020" s="40">
        <f t="shared" ca="1" si="110"/>
        <v>7</v>
      </c>
    </row>
    <row r="1021" spans="1:9" x14ac:dyDescent="0.25">
      <c r="A1021" s="17">
        <f t="shared" si="105"/>
        <v>81</v>
      </c>
      <c r="B1021" t="str">
        <f ca="1">TEXT(DATE(YEAR(Invoer!$A$5),1,1)+INT((ROWS(B$2:B1021)-1)/3),"jjjjmmdd")</f>
        <v>19201205</v>
      </c>
      <c r="C1021" s="35" t="str">
        <f>IF(MOD(ROWS(C$2:C1021)-1,3)=2,"24.00",INDEX(Data,2,2+MOD(ROWS(C$2:C1021)-1,3)))</f>
        <v>24.00</v>
      </c>
      <c r="D1021" s="23" t="str">
        <f t="shared" ca="1" si="111"/>
        <v>—</v>
      </c>
      <c r="E1021" s="40">
        <f t="shared" ca="1" si="106"/>
        <v>7</v>
      </c>
      <c r="F1021" s="23">
        <f t="shared" ca="1" si="107"/>
        <v>26</v>
      </c>
      <c r="G1021" s="40">
        <f t="shared" ca="1" si="108"/>
        <v>0</v>
      </c>
      <c r="H1021" s="23">
        <f t="shared" ca="1" si="109"/>
        <v>29</v>
      </c>
      <c r="I1021" s="40">
        <f t="shared" ca="1" si="110"/>
        <v>0</v>
      </c>
    </row>
    <row r="1022" spans="1:9" x14ac:dyDescent="0.25">
      <c r="A1022" s="17">
        <f t="shared" si="105"/>
        <v>81</v>
      </c>
      <c r="B1022" t="str">
        <f ca="1">TEXT(DATE(YEAR(Invoer!$A$5),1,1)+INT((ROWS(B$2:B1022)-1)/3),"jjjjmmdd")</f>
        <v>19201206</v>
      </c>
      <c r="C1022" s="35" t="str">
        <f>IF(MOD(ROWS(C$2:C1022)-1,3)=2,"24.00",INDEX(Data,2,2+MOD(ROWS(C$2:C1022)-1,3)))</f>
        <v>08.00</v>
      </c>
      <c r="D1022" s="23">
        <f t="shared" ca="1" si="111"/>
        <v>746</v>
      </c>
      <c r="E1022" s="40">
        <f t="shared" ca="1" si="106"/>
        <v>0</v>
      </c>
      <c r="F1022" s="23" t="str">
        <f t="shared" ca="1" si="107"/>
        <v>—</v>
      </c>
      <c r="G1022" s="40">
        <f t="shared" ca="1" si="108"/>
        <v>7</v>
      </c>
      <c r="H1022" s="23" t="str">
        <f t="shared" ca="1" si="109"/>
        <v>—</v>
      </c>
      <c r="I1022" s="40">
        <f t="shared" ca="1" si="110"/>
        <v>7</v>
      </c>
    </row>
    <row r="1023" spans="1:9" x14ac:dyDescent="0.25">
      <c r="A1023" s="17">
        <f t="shared" si="105"/>
        <v>81</v>
      </c>
      <c r="B1023" t="str">
        <f ca="1">TEXT(DATE(YEAR(Invoer!$A$5),1,1)+INT((ROWS(B$2:B1023)-1)/3),"jjjjmmdd")</f>
        <v>19201206</v>
      </c>
      <c r="C1023" s="35" t="str">
        <f>IF(MOD(ROWS(C$2:C1023)-1,3)=2,"24.00",INDEX(Data,2,2+MOD(ROWS(C$2:C1023)-1,3)))</f>
        <v>14.00</v>
      </c>
      <c r="D1023" s="23">
        <f t="shared" ca="1" si="111"/>
        <v>745</v>
      </c>
      <c r="E1023" s="40">
        <f t="shared" ca="1" si="106"/>
        <v>0</v>
      </c>
      <c r="F1023" s="23" t="str">
        <f t="shared" ca="1" si="107"/>
        <v>—</v>
      </c>
      <c r="G1023" s="40">
        <f t="shared" ca="1" si="108"/>
        <v>7</v>
      </c>
      <c r="H1023" s="23" t="str">
        <f t="shared" ca="1" si="109"/>
        <v>—</v>
      </c>
      <c r="I1023" s="40">
        <f t="shared" ca="1" si="110"/>
        <v>7</v>
      </c>
    </row>
    <row r="1024" spans="1:9" x14ac:dyDescent="0.25">
      <c r="A1024" s="17">
        <f t="shared" si="105"/>
        <v>81</v>
      </c>
      <c r="B1024" t="str">
        <f ca="1">TEXT(DATE(YEAR(Invoer!$A$5),1,1)+INT((ROWS(B$2:B1024)-1)/3),"jjjjmmdd")</f>
        <v>19201206</v>
      </c>
      <c r="C1024" s="35" t="str">
        <f>IF(MOD(ROWS(C$2:C1024)-1,3)=2,"24.00",INDEX(Data,2,2+MOD(ROWS(C$2:C1024)-1,3)))</f>
        <v>24.00</v>
      </c>
      <c r="D1024" s="23" t="str">
        <f t="shared" ca="1" si="111"/>
        <v>—</v>
      </c>
      <c r="E1024" s="40">
        <f t="shared" ca="1" si="106"/>
        <v>7</v>
      </c>
      <c r="F1024" s="23">
        <f t="shared" ca="1" si="107"/>
        <v>26</v>
      </c>
      <c r="G1024" s="40">
        <f t="shared" ca="1" si="108"/>
        <v>0</v>
      </c>
      <c r="H1024" s="23">
        <f t="shared" ca="1" si="109"/>
        <v>29</v>
      </c>
      <c r="I1024" s="40">
        <f t="shared" ca="1" si="110"/>
        <v>0</v>
      </c>
    </row>
    <row r="1025" spans="1:9" x14ac:dyDescent="0.25">
      <c r="A1025" s="17">
        <f t="shared" si="105"/>
        <v>81</v>
      </c>
      <c r="B1025" t="str">
        <f ca="1">TEXT(DATE(YEAR(Invoer!$A$5),1,1)+INT((ROWS(B$2:B1025)-1)/3),"jjjjmmdd")</f>
        <v>19201207</v>
      </c>
      <c r="C1025" s="35" t="str">
        <f>IF(MOD(ROWS(C$2:C1025)-1,3)=2,"24.00",INDEX(Data,2,2+MOD(ROWS(C$2:C1025)-1,3)))</f>
        <v>08.00</v>
      </c>
      <c r="D1025" s="23">
        <f t="shared" ca="1" si="111"/>
        <v>746.5</v>
      </c>
      <c r="E1025" s="40">
        <f t="shared" ca="1" si="106"/>
        <v>0</v>
      </c>
      <c r="F1025" s="23" t="str">
        <f t="shared" ca="1" si="107"/>
        <v>—</v>
      </c>
      <c r="G1025" s="40">
        <f t="shared" ca="1" si="108"/>
        <v>7</v>
      </c>
      <c r="H1025" s="23" t="str">
        <f t="shared" ca="1" si="109"/>
        <v>—</v>
      </c>
      <c r="I1025" s="40">
        <f t="shared" ca="1" si="110"/>
        <v>7</v>
      </c>
    </row>
    <row r="1026" spans="1:9" x14ac:dyDescent="0.25">
      <c r="A1026" s="17">
        <f t="shared" ref="A1026:A1089" si="112">INDEX(Stations,2,1)</f>
        <v>81</v>
      </c>
      <c r="B1026" t="str">
        <f ca="1">TEXT(DATE(YEAR(Invoer!$A$5),1,1)+INT((ROWS(B$2:B1026)-1)/3),"jjjjmmdd")</f>
        <v>19201207</v>
      </c>
      <c r="C1026" s="35" t="str">
        <f>IF(MOD(ROWS(C$2:C1026)-1,3)=2,"24.00",INDEX(Data,2,2+MOD(ROWS(C$2:C1026)-1,3)))</f>
        <v>14.00</v>
      </c>
      <c r="D1026" s="23">
        <f t="shared" ca="1" si="111"/>
        <v>746</v>
      </c>
      <c r="E1026" s="40">
        <f t="shared" ref="E1026:E1089" ca="1" si="113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 t="str">
        <f t="shared" ref="F1026:F1089" ca="1" si="114">IF(OR(ISBLANK(VLOOKUP(DATEVALUE(LEFT($B1026,4)&amp;"-"&amp;MID($B1026,5,2)&amp;"-"&amp;RIGHT($B1026,2)),Data,MATCH(LEFT(VLOOKUP(F$1,Parameters,2,FALSE()),4)&amp;"*",OFFSET(Data,1,0,1),0),FALSE())),ISTEXT(VLOOKUP(DATEVALUE(LEFT($B1026,4)&amp;"-"&amp;MID($B1026,5,2)&amp;"-"&amp;RIGHT($B1026,2)),Data,MATCH(LEFT(VLOOKUP(F$1,Parameters,2,FALSE()),4)&amp;"*",OFFSET(Data,1,0,1),0),FALSE())),NOT(EXACT($C1026,"24.00"))),"—",VLOOKUP(DATEVALUE(LEFT($B1026,4)&amp;"-"&amp;MID($B1026,5,2)&amp;"-"&amp;RIGHT($B1026,2)),Data,MATCH(LEFT(VLOOKUP(F$1,Parameters,2,FALSE()),4)&amp;"*",OFFSET(Data,1,0,1),0),FALSE()))</f>
        <v>—</v>
      </c>
      <c r="G1026" s="40">
        <f t="shared" ref="G1026:G1089" ca="1" si="115">IF(OR(ISBLANK(VLOOKUP(DATEVALUE(LEFT($B1026,4)&amp;"-"&amp;MID($B1026,5,2)&amp;"-"&amp;RIGHT($B1026,2)),Data,MATCH(LEFT(VLOOKUP(MID(G$1,2,LEN(G$1)-1),Parameters,2,FALSE()),4)&amp;"*",OFFSET(Data,1,0,1),0),FALSE())),ISTEXT(VLOOKUP(DATEVALUE(LEFT($B1026,4)&amp;"-"&amp;MID($B1026,5,2)&amp;"-"&amp;RIGHT($B1026,2)),Data,MATCH(LEFT(VLOOKUP(MID(G$1,2,LEN(G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1,0,1),0),FALSE())))</f>
        <v>7</v>
      </c>
      <c r="H1026" s="23" t="str">
        <f t="shared" ref="H1026:H1089" ca="1" si="116">IF(OR(ISBLANK(VLOOKUP(DATEVALUE(LEFT($B1026,4)&amp;"-"&amp;MID($B1026,5,2)&amp;"-"&amp;RIGHT($B1026,2)),Data,MATCH(LEFT(VLOOKUP(H$1,Parameters,2,FALSE()),4)&amp;"*",OFFSET(Data,1,0,1),0),FALSE())),ISTEXT(VLOOKUP(DATEVALUE(LEFT($B1026,4)&amp;"-"&amp;MID($B1026,5,2)&amp;"-"&amp;RIGHT($B1026,2)),Data,MATCH(LEFT(VLOOKUP(H$1,Parameters,2,FALSE()),4)&amp;"*",OFFSET(Data,1,0,1),0),FALSE())),NOT(EXACT($C1026,"24.00"))),"—",VLOOKUP(DATEVALUE(LEFT($B1026,4)&amp;"-"&amp;MID($B1026,5,2)&amp;"-"&amp;RIGHT($B1026,2)),Data,MATCH(LEFT(VLOOKUP(H$1,Parameters,2,FALSE()),4)&amp;"*",OFFSET(Data,1,0,1),0),FALSE()))</f>
        <v>—</v>
      </c>
      <c r="I1026" s="40">
        <f t="shared" ref="I1026:I1089" ca="1" si="117">IF(OR(ISBLANK(VLOOKUP(DATEVALUE(LEFT($B1026,4)&amp;"-"&amp;MID($B1026,5,2)&amp;"-"&amp;RIGHT($B1026,2)),Data,MATCH(LEFT(VLOOKUP(MID(I$1,2,LEN(I$1)-1),Parameters,2,FALSE()),4)&amp;"*",OFFSET(Data,1,0,1),0),FALSE())),ISTEXT(VLOOKUP(DATEVALUE(LEFT($B1026,4)&amp;"-"&amp;MID($B1026,5,2)&amp;"-"&amp;RIGHT($B1026,2)),Data,MATCH(LEFT(VLOOKUP(MID(I$1,2,LEN(I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I$1,2,LEN(I$1)-1),Parameters,2,FALSE()),4)&amp;"*",OFFSET(Catalogus,1,0,1),0),FALSE())))</f>
        <v>7</v>
      </c>
    </row>
    <row r="1027" spans="1:9" x14ac:dyDescent="0.25">
      <c r="A1027" s="17">
        <f t="shared" si="112"/>
        <v>81</v>
      </c>
      <c r="B1027" t="str">
        <f ca="1">TEXT(DATE(YEAR(Invoer!$A$5),1,1)+INT((ROWS(B$2:B1027)-1)/3),"jjjjmmdd")</f>
        <v>19201207</v>
      </c>
      <c r="C1027" s="35" t="str">
        <f>IF(MOD(ROWS(C$2:C1027)-1,3)=2,"24.00",INDEX(Data,2,2+MOD(ROWS(C$2:C1027)-1,3)))</f>
        <v>24.00</v>
      </c>
      <c r="D1027" s="23" t="str">
        <f t="shared" ref="D1027:D1090" ca="1" si="118">IF(OR(ISBLANK(VLOOKUP(DATEVALUE(LEFT($B1027,4)&amp;"-"&amp;MID($B1027,5,2)&amp;"-"&amp;RIGHT($B1027,2)),Data,MATCH(LEFT(VLOOKUP(D$1,Parameters,2,FALSE()),4)&amp;"*",OFFSET(Data,0,0,1),0)+MATCH($C1027,OFFSET(Data,1,0,1),0)-2,FALSE())),ISTEXT(VLOOKUP(DATEVALUE(LEFT($B1027,4)&amp;"-"&amp;MID($B1027,5,2)&amp;"-"&amp;RIGHT($B1027,2)),Data,MATCH(LEFT(VLOOKUP(D$1,Parameters,2,FALSE()),4)&amp;"*",OFFSET(Data,0,0,1),0)+MATCH($C1027,OFFSET(Data,1,0,1),0)-2,FALSE())),EXACT(C1027,"24.00")),"—",VLOOKUP(DATEVALUE(LEFT($B1027,4)&amp;"-"&amp;MID($B1027,5,2)&amp;"-"&amp;RIGHT($B1027,2)),Data,MATCH(LEFT(VLOOKUP(D$1,Parameters,2,FALSE()),4)&amp;"*",OFFSET(Data,0,0,1),0)+MATCH($C1027,OFFSET(Data,1,0,1),0)-2,FALSE()))</f>
        <v>—</v>
      </c>
      <c r="E1027" s="40">
        <f t="shared" ca="1" si="113"/>
        <v>7</v>
      </c>
      <c r="F1027" s="23">
        <f t="shared" ca="1" si="114"/>
        <v>26</v>
      </c>
      <c r="G1027" s="40">
        <f t="shared" ca="1" si="115"/>
        <v>0</v>
      </c>
      <c r="H1027" s="23">
        <f t="shared" ca="1" si="116"/>
        <v>29</v>
      </c>
      <c r="I1027" s="40">
        <f t="shared" ca="1" si="117"/>
        <v>0</v>
      </c>
    </row>
    <row r="1028" spans="1:9" x14ac:dyDescent="0.25">
      <c r="A1028" s="17">
        <f t="shared" si="112"/>
        <v>81</v>
      </c>
      <c r="B1028" t="str">
        <f ca="1">TEXT(DATE(YEAR(Invoer!$A$5),1,1)+INT((ROWS(B$2:B1028)-1)/3),"jjjjmmdd")</f>
        <v>19201208</v>
      </c>
      <c r="C1028" s="35" t="str">
        <f>IF(MOD(ROWS(C$2:C1028)-1,3)=2,"24.00",INDEX(Data,2,2+MOD(ROWS(C$2:C1028)-1,3)))</f>
        <v>08.00</v>
      </c>
      <c r="D1028" s="23">
        <f t="shared" ca="1" si="118"/>
        <v>747.5</v>
      </c>
      <c r="E1028" s="40">
        <f t="shared" ca="1" si="113"/>
        <v>0</v>
      </c>
      <c r="F1028" s="23" t="str">
        <f t="shared" ca="1" si="114"/>
        <v>—</v>
      </c>
      <c r="G1028" s="40">
        <f t="shared" ca="1" si="115"/>
        <v>7</v>
      </c>
      <c r="H1028" s="23" t="str">
        <f t="shared" ca="1" si="116"/>
        <v>—</v>
      </c>
      <c r="I1028" s="40">
        <f t="shared" ca="1" si="117"/>
        <v>7</v>
      </c>
    </row>
    <row r="1029" spans="1:9" x14ac:dyDescent="0.25">
      <c r="A1029" s="17">
        <f t="shared" si="112"/>
        <v>81</v>
      </c>
      <c r="B1029" t="str">
        <f ca="1">TEXT(DATE(YEAR(Invoer!$A$5),1,1)+INT((ROWS(B$2:B1029)-1)/3),"jjjjmmdd")</f>
        <v>19201208</v>
      </c>
      <c r="C1029" s="35" t="str">
        <f>IF(MOD(ROWS(C$2:C1029)-1,3)=2,"24.00",INDEX(Data,2,2+MOD(ROWS(C$2:C1029)-1,3)))</f>
        <v>14.00</v>
      </c>
      <c r="D1029" s="23">
        <f t="shared" ca="1" si="118"/>
        <v>747</v>
      </c>
      <c r="E1029" s="40">
        <f t="shared" ca="1" si="113"/>
        <v>0</v>
      </c>
      <c r="F1029" s="23" t="str">
        <f t="shared" ca="1" si="114"/>
        <v>—</v>
      </c>
      <c r="G1029" s="40">
        <f t="shared" ca="1" si="115"/>
        <v>7</v>
      </c>
      <c r="H1029" s="23" t="str">
        <f t="shared" ca="1" si="116"/>
        <v>—</v>
      </c>
      <c r="I1029" s="40">
        <f t="shared" ca="1" si="117"/>
        <v>7</v>
      </c>
    </row>
    <row r="1030" spans="1:9" x14ac:dyDescent="0.25">
      <c r="A1030" s="17">
        <f t="shared" si="112"/>
        <v>81</v>
      </c>
      <c r="B1030" t="str">
        <f ca="1">TEXT(DATE(YEAR(Invoer!$A$5),1,1)+INT((ROWS(B$2:B1030)-1)/3),"jjjjmmdd")</f>
        <v>19201208</v>
      </c>
      <c r="C1030" s="35" t="str">
        <f>IF(MOD(ROWS(C$2:C1030)-1,3)=2,"24.00",INDEX(Data,2,2+MOD(ROWS(C$2:C1030)-1,3)))</f>
        <v>24.00</v>
      </c>
      <c r="D1030" s="23" t="str">
        <f t="shared" ca="1" si="118"/>
        <v>—</v>
      </c>
      <c r="E1030" s="40">
        <f t="shared" ca="1" si="113"/>
        <v>7</v>
      </c>
      <c r="F1030" s="23">
        <f t="shared" ca="1" si="114"/>
        <v>25.5</v>
      </c>
      <c r="G1030" s="40">
        <f t="shared" ca="1" si="115"/>
        <v>0</v>
      </c>
      <c r="H1030" s="23">
        <f t="shared" ca="1" si="116"/>
        <v>28</v>
      </c>
      <c r="I1030" s="40">
        <f t="shared" ca="1" si="117"/>
        <v>0</v>
      </c>
    </row>
    <row r="1031" spans="1:9" x14ac:dyDescent="0.25">
      <c r="A1031" s="17">
        <f t="shared" si="112"/>
        <v>81</v>
      </c>
      <c r="B1031" t="str">
        <f ca="1">TEXT(DATE(YEAR(Invoer!$A$5),1,1)+INT((ROWS(B$2:B1031)-1)/3),"jjjjmmdd")</f>
        <v>19201209</v>
      </c>
      <c r="C1031" s="35" t="str">
        <f>IF(MOD(ROWS(C$2:C1031)-1,3)=2,"24.00",INDEX(Data,2,2+MOD(ROWS(C$2:C1031)-1,3)))</f>
        <v>08.00</v>
      </c>
      <c r="D1031" s="23">
        <f t="shared" ca="1" si="118"/>
        <v>748</v>
      </c>
      <c r="E1031" s="40">
        <f t="shared" ca="1" si="113"/>
        <v>0</v>
      </c>
      <c r="F1031" s="23" t="str">
        <f t="shared" ca="1" si="114"/>
        <v>—</v>
      </c>
      <c r="G1031" s="40">
        <f t="shared" ca="1" si="115"/>
        <v>7</v>
      </c>
      <c r="H1031" s="23" t="str">
        <f t="shared" ca="1" si="116"/>
        <v>—</v>
      </c>
      <c r="I1031" s="40">
        <f t="shared" ca="1" si="117"/>
        <v>7</v>
      </c>
    </row>
    <row r="1032" spans="1:9" x14ac:dyDescent="0.25">
      <c r="A1032" s="17">
        <f t="shared" si="112"/>
        <v>81</v>
      </c>
      <c r="B1032" t="str">
        <f ca="1">TEXT(DATE(YEAR(Invoer!$A$5),1,1)+INT((ROWS(B$2:B1032)-1)/3),"jjjjmmdd")</f>
        <v>19201209</v>
      </c>
      <c r="C1032" s="35" t="str">
        <f>IF(MOD(ROWS(C$2:C1032)-1,3)=2,"24.00",INDEX(Data,2,2+MOD(ROWS(C$2:C1032)-1,3)))</f>
        <v>14.00</v>
      </c>
      <c r="D1032" s="23">
        <f t="shared" ca="1" si="118"/>
        <v>747.5</v>
      </c>
      <c r="E1032" s="40">
        <f t="shared" ca="1" si="113"/>
        <v>0</v>
      </c>
      <c r="F1032" s="23" t="str">
        <f t="shared" ca="1" si="114"/>
        <v>—</v>
      </c>
      <c r="G1032" s="40">
        <f t="shared" ca="1" si="115"/>
        <v>7</v>
      </c>
      <c r="H1032" s="23" t="str">
        <f t="shared" ca="1" si="116"/>
        <v>—</v>
      </c>
      <c r="I1032" s="40">
        <f t="shared" ca="1" si="117"/>
        <v>7</v>
      </c>
    </row>
    <row r="1033" spans="1:9" x14ac:dyDescent="0.25">
      <c r="A1033" s="17">
        <f t="shared" si="112"/>
        <v>81</v>
      </c>
      <c r="B1033" t="str">
        <f ca="1">TEXT(DATE(YEAR(Invoer!$A$5),1,1)+INT((ROWS(B$2:B1033)-1)/3),"jjjjmmdd")</f>
        <v>19201209</v>
      </c>
      <c r="C1033" s="35" t="str">
        <f>IF(MOD(ROWS(C$2:C1033)-1,3)=2,"24.00",INDEX(Data,2,2+MOD(ROWS(C$2:C1033)-1,3)))</f>
        <v>24.00</v>
      </c>
      <c r="D1033" s="23" t="str">
        <f t="shared" ca="1" si="118"/>
        <v>—</v>
      </c>
      <c r="E1033" s="40">
        <f t="shared" ca="1" si="113"/>
        <v>7</v>
      </c>
      <c r="F1033" s="23">
        <f t="shared" ca="1" si="114"/>
        <v>25</v>
      </c>
      <c r="G1033" s="40">
        <f t="shared" ca="1" si="115"/>
        <v>0</v>
      </c>
      <c r="H1033" s="23">
        <f t="shared" ca="1" si="116"/>
        <v>27</v>
      </c>
      <c r="I1033" s="40">
        <f t="shared" ca="1" si="117"/>
        <v>0</v>
      </c>
    </row>
    <row r="1034" spans="1:9" x14ac:dyDescent="0.25">
      <c r="A1034" s="17">
        <f t="shared" si="112"/>
        <v>81</v>
      </c>
      <c r="B1034" t="str">
        <f ca="1">TEXT(DATE(YEAR(Invoer!$A$5),1,1)+INT((ROWS(B$2:B1034)-1)/3),"jjjjmmdd")</f>
        <v>19201210</v>
      </c>
      <c r="C1034" s="35" t="str">
        <f>IF(MOD(ROWS(C$2:C1034)-1,3)=2,"24.00",INDEX(Data,2,2+MOD(ROWS(C$2:C1034)-1,3)))</f>
        <v>08.00</v>
      </c>
      <c r="D1034" s="23">
        <f t="shared" ca="1" si="118"/>
        <v>747.6</v>
      </c>
      <c r="E1034" s="40">
        <f t="shared" ca="1" si="113"/>
        <v>0</v>
      </c>
      <c r="F1034" s="23" t="str">
        <f t="shared" ca="1" si="114"/>
        <v>—</v>
      </c>
      <c r="G1034" s="40">
        <f t="shared" ca="1" si="115"/>
        <v>7</v>
      </c>
      <c r="H1034" s="23" t="str">
        <f t="shared" ca="1" si="116"/>
        <v>—</v>
      </c>
      <c r="I1034" s="40">
        <f t="shared" ca="1" si="117"/>
        <v>7</v>
      </c>
    </row>
    <row r="1035" spans="1:9" x14ac:dyDescent="0.25">
      <c r="A1035" s="17">
        <f t="shared" si="112"/>
        <v>81</v>
      </c>
      <c r="B1035" t="str">
        <f ca="1">TEXT(DATE(YEAR(Invoer!$A$5),1,1)+INT((ROWS(B$2:B1035)-1)/3),"jjjjmmdd")</f>
        <v>19201210</v>
      </c>
      <c r="C1035" s="35" t="str">
        <f>IF(MOD(ROWS(C$2:C1035)-1,3)=2,"24.00",INDEX(Data,2,2+MOD(ROWS(C$2:C1035)-1,3)))</f>
        <v>14.00</v>
      </c>
      <c r="D1035" s="23">
        <f t="shared" ca="1" si="118"/>
        <v>747</v>
      </c>
      <c r="E1035" s="40">
        <f t="shared" ca="1" si="113"/>
        <v>0</v>
      </c>
      <c r="F1035" s="23" t="str">
        <f t="shared" ca="1" si="114"/>
        <v>—</v>
      </c>
      <c r="G1035" s="40">
        <f t="shared" ca="1" si="115"/>
        <v>7</v>
      </c>
      <c r="H1035" s="23" t="str">
        <f t="shared" ca="1" si="116"/>
        <v>—</v>
      </c>
      <c r="I1035" s="40">
        <f t="shared" ca="1" si="117"/>
        <v>7</v>
      </c>
    </row>
    <row r="1036" spans="1:9" x14ac:dyDescent="0.25">
      <c r="A1036" s="17">
        <f t="shared" si="112"/>
        <v>81</v>
      </c>
      <c r="B1036" t="str">
        <f ca="1">TEXT(DATE(YEAR(Invoer!$A$5),1,1)+INT((ROWS(B$2:B1036)-1)/3),"jjjjmmdd")</f>
        <v>19201210</v>
      </c>
      <c r="C1036" s="35" t="str">
        <f>IF(MOD(ROWS(C$2:C1036)-1,3)=2,"24.00",INDEX(Data,2,2+MOD(ROWS(C$2:C1036)-1,3)))</f>
        <v>24.00</v>
      </c>
      <c r="D1036" s="23" t="str">
        <f t="shared" ca="1" si="118"/>
        <v>—</v>
      </c>
      <c r="E1036" s="40">
        <f t="shared" ca="1" si="113"/>
        <v>7</v>
      </c>
      <c r="F1036" s="23">
        <f t="shared" ca="1" si="114"/>
        <v>26</v>
      </c>
      <c r="G1036" s="40">
        <f t="shared" ca="1" si="115"/>
        <v>0</v>
      </c>
      <c r="H1036" s="23">
        <f t="shared" ca="1" si="116"/>
        <v>28</v>
      </c>
      <c r="I1036" s="40">
        <f t="shared" ca="1" si="117"/>
        <v>0</v>
      </c>
    </row>
    <row r="1037" spans="1:9" x14ac:dyDescent="0.25">
      <c r="A1037" s="17">
        <f t="shared" si="112"/>
        <v>81</v>
      </c>
      <c r="B1037" t="str">
        <f ca="1">TEXT(DATE(YEAR(Invoer!$A$5),1,1)+INT((ROWS(B$2:B1037)-1)/3),"jjjjmmdd")</f>
        <v>19201211</v>
      </c>
      <c r="C1037" s="35" t="str">
        <f>IF(MOD(ROWS(C$2:C1037)-1,3)=2,"24.00",INDEX(Data,2,2+MOD(ROWS(C$2:C1037)-1,3)))</f>
        <v>08.00</v>
      </c>
      <c r="D1037" s="23">
        <f t="shared" ca="1" si="118"/>
        <v>747.3</v>
      </c>
      <c r="E1037" s="40">
        <f t="shared" ca="1" si="113"/>
        <v>0</v>
      </c>
      <c r="F1037" s="23" t="str">
        <f t="shared" ca="1" si="114"/>
        <v>—</v>
      </c>
      <c r="G1037" s="40">
        <f t="shared" ca="1" si="115"/>
        <v>7</v>
      </c>
      <c r="H1037" s="23" t="str">
        <f t="shared" ca="1" si="116"/>
        <v>—</v>
      </c>
      <c r="I1037" s="40">
        <f t="shared" ca="1" si="117"/>
        <v>7</v>
      </c>
    </row>
    <row r="1038" spans="1:9" x14ac:dyDescent="0.25">
      <c r="A1038" s="17">
        <f t="shared" si="112"/>
        <v>81</v>
      </c>
      <c r="B1038" t="str">
        <f ca="1">TEXT(DATE(YEAR(Invoer!$A$5),1,1)+INT((ROWS(B$2:B1038)-1)/3),"jjjjmmdd")</f>
        <v>19201211</v>
      </c>
      <c r="C1038" s="35" t="str">
        <f>IF(MOD(ROWS(C$2:C1038)-1,3)=2,"24.00",INDEX(Data,2,2+MOD(ROWS(C$2:C1038)-1,3)))</f>
        <v>14.00</v>
      </c>
      <c r="D1038" s="23">
        <f t="shared" ca="1" si="118"/>
        <v>747</v>
      </c>
      <c r="E1038" s="40">
        <f t="shared" ca="1" si="113"/>
        <v>0</v>
      </c>
      <c r="F1038" s="23" t="str">
        <f t="shared" ca="1" si="114"/>
        <v>—</v>
      </c>
      <c r="G1038" s="40">
        <f t="shared" ca="1" si="115"/>
        <v>7</v>
      </c>
      <c r="H1038" s="23" t="str">
        <f t="shared" ca="1" si="116"/>
        <v>—</v>
      </c>
      <c r="I1038" s="40">
        <f t="shared" ca="1" si="117"/>
        <v>7</v>
      </c>
    </row>
    <row r="1039" spans="1:9" x14ac:dyDescent="0.25">
      <c r="A1039" s="17">
        <f t="shared" si="112"/>
        <v>81</v>
      </c>
      <c r="B1039" t="str">
        <f ca="1">TEXT(DATE(YEAR(Invoer!$A$5),1,1)+INT((ROWS(B$2:B1039)-1)/3),"jjjjmmdd")</f>
        <v>19201211</v>
      </c>
      <c r="C1039" s="35" t="str">
        <f>IF(MOD(ROWS(C$2:C1039)-1,3)=2,"24.00",INDEX(Data,2,2+MOD(ROWS(C$2:C1039)-1,3)))</f>
        <v>24.00</v>
      </c>
      <c r="D1039" s="23" t="str">
        <f t="shared" ca="1" si="118"/>
        <v>—</v>
      </c>
      <c r="E1039" s="40">
        <f t="shared" ca="1" si="113"/>
        <v>7</v>
      </c>
      <c r="F1039" s="23">
        <f t="shared" ca="1" si="114"/>
        <v>24</v>
      </c>
      <c r="G1039" s="40">
        <f t="shared" ca="1" si="115"/>
        <v>0</v>
      </c>
      <c r="H1039" s="23">
        <f t="shared" ca="1" si="116"/>
        <v>27.5</v>
      </c>
      <c r="I1039" s="40">
        <f t="shared" ca="1" si="117"/>
        <v>0</v>
      </c>
    </row>
    <row r="1040" spans="1:9" x14ac:dyDescent="0.25">
      <c r="A1040" s="17">
        <f t="shared" si="112"/>
        <v>81</v>
      </c>
      <c r="B1040" t="str">
        <f ca="1">TEXT(DATE(YEAR(Invoer!$A$5),1,1)+INT((ROWS(B$2:B1040)-1)/3),"jjjjmmdd")</f>
        <v>19201212</v>
      </c>
      <c r="C1040" s="35" t="str">
        <f>IF(MOD(ROWS(C$2:C1040)-1,3)=2,"24.00",INDEX(Data,2,2+MOD(ROWS(C$2:C1040)-1,3)))</f>
        <v>08.00</v>
      </c>
      <c r="D1040" s="23">
        <f t="shared" ca="1" si="118"/>
        <v>747.6</v>
      </c>
      <c r="E1040" s="40">
        <f t="shared" ca="1" si="113"/>
        <v>0</v>
      </c>
      <c r="F1040" s="23" t="str">
        <f t="shared" ca="1" si="114"/>
        <v>—</v>
      </c>
      <c r="G1040" s="40">
        <f t="shared" ca="1" si="115"/>
        <v>7</v>
      </c>
      <c r="H1040" s="23" t="str">
        <f t="shared" ca="1" si="116"/>
        <v>—</v>
      </c>
      <c r="I1040" s="40">
        <f t="shared" ca="1" si="117"/>
        <v>7</v>
      </c>
    </row>
    <row r="1041" spans="1:9" x14ac:dyDescent="0.25">
      <c r="A1041" s="17">
        <f t="shared" si="112"/>
        <v>81</v>
      </c>
      <c r="B1041" t="str">
        <f ca="1">TEXT(DATE(YEAR(Invoer!$A$5),1,1)+INT((ROWS(B$2:B1041)-1)/3),"jjjjmmdd")</f>
        <v>19201212</v>
      </c>
      <c r="C1041" s="35" t="str">
        <f>IF(MOD(ROWS(C$2:C1041)-1,3)=2,"24.00",INDEX(Data,2,2+MOD(ROWS(C$2:C1041)-1,3)))</f>
        <v>14.00</v>
      </c>
      <c r="D1041" s="23">
        <f t="shared" ca="1" si="118"/>
        <v>747.1</v>
      </c>
      <c r="E1041" s="40">
        <f t="shared" ca="1" si="113"/>
        <v>0</v>
      </c>
      <c r="F1041" s="23" t="str">
        <f t="shared" ca="1" si="114"/>
        <v>—</v>
      </c>
      <c r="G1041" s="40">
        <f t="shared" ca="1" si="115"/>
        <v>7</v>
      </c>
      <c r="H1041" s="23" t="str">
        <f t="shared" ca="1" si="116"/>
        <v>—</v>
      </c>
      <c r="I1041" s="40">
        <f t="shared" ca="1" si="117"/>
        <v>7</v>
      </c>
    </row>
    <row r="1042" spans="1:9" x14ac:dyDescent="0.25">
      <c r="A1042" s="17">
        <f t="shared" si="112"/>
        <v>81</v>
      </c>
      <c r="B1042" t="str">
        <f ca="1">TEXT(DATE(YEAR(Invoer!$A$5),1,1)+INT((ROWS(B$2:B1042)-1)/3),"jjjjmmdd")</f>
        <v>19201212</v>
      </c>
      <c r="C1042" s="35" t="str">
        <f>IF(MOD(ROWS(C$2:C1042)-1,3)=2,"24.00",INDEX(Data,2,2+MOD(ROWS(C$2:C1042)-1,3)))</f>
        <v>24.00</v>
      </c>
      <c r="D1042" s="23" t="str">
        <f t="shared" ca="1" si="118"/>
        <v>—</v>
      </c>
      <c r="E1042" s="40">
        <f t="shared" ca="1" si="113"/>
        <v>7</v>
      </c>
      <c r="F1042" s="23">
        <f t="shared" ca="1" si="114"/>
        <v>26</v>
      </c>
      <c r="G1042" s="40">
        <f t="shared" ca="1" si="115"/>
        <v>0</v>
      </c>
      <c r="H1042" s="23">
        <f t="shared" ca="1" si="116"/>
        <v>27</v>
      </c>
      <c r="I1042" s="40">
        <f t="shared" ca="1" si="117"/>
        <v>0</v>
      </c>
    </row>
    <row r="1043" spans="1:9" x14ac:dyDescent="0.25">
      <c r="A1043" s="17">
        <f t="shared" si="112"/>
        <v>81</v>
      </c>
      <c r="B1043" t="str">
        <f ca="1">TEXT(DATE(YEAR(Invoer!$A$5),1,1)+INT((ROWS(B$2:B1043)-1)/3),"jjjjmmdd")</f>
        <v>19201213</v>
      </c>
      <c r="C1043" s="35" t="str">
        <f>IF(MOD(ROWS(C$2:C1043)-1,3)=2,"24.00",INDEX(Data,2,2+MOD(ROWS(C$2:C1043)-1,3)))</f>
        <v>08.00</v>
      </c>
      <c r="D1043" s="23">
        <f t="shared" ca="1" si="118"/>
        <v>747.4</v>
      </c>
      <c r="E1043" s="40">
        <f t="shared" ca="1" si="113"/>
        <v>0</v>
      </c>
      <c r="F1043" s="23" t="str">
        <f t="shared" ca="1" si="114"/>
        <v>—</v>
      </c>
      <c r="G1043" s="40">
        <f t="shared" ca="1" si="115"/>
        <v>7</v>
      </c>
      <c r="H1043" s="23" t="str">
        <f t="shared" ca="1" si="116"/>
        <v>—</v>
      </c>
      <c r="I1043" s="40">
        <f t="shared" ca="1" si="117"/>
        <v>7</v>
      </c>
    </row>
    <row r="1044" spans="1:9" x14ac:dyDescent="0.25">
      <c r="A1044" s="17">
        <f t="shared" si="112"/>
        <v>81</v>
      </c>
      <c r="B1044" t="str">
        <f ca="1">TEXT(DATE(YEAR(Invoer!$A$5),1,1)+INT((ROWS(B$2:B1044)-1)/3),"jjjjmmdd")</f>
        <v>19201213</v>
      </c>
      <c r="C1044" s="35" t="str">
        <f>IF(MOD(ROWS(C$2:C1044)-1,3)=2,"24.00",INDEX(Data,2,2+MOD(ROWS(C$2:C1044)-1,3)))</f>
        <v>14.00</v>
      </c>
      <c r="D1044" s="23">
        <f t="shared" ca="1" si="118"/>
        <v>747</v>
      </c>
      <c r="E1044" s="40">
        <f t="shared" ca="1" si="113"/>
        <v>0</v>
      </c>
      <c r="F1044" s="23" t="str">
        <f t="shared" ca="1" si="114"/>
        <v>—</v>
      </c>
      <c r="G1044" s="40">
        <f t="shared" ca="1" si="115"/>
        <v>7</v>
      </c>
      <c r="H1044" s="23" t="str">
        <f t="shared" ca="1" si="116"/>
        <v>—</v>
      </c>
      <c r="I1044" s="40">
        <f t="shared" ca="1" si="117"/>
        <v>7</v>
      </c>
    </row>
    <row r="1045" spans="1:9" x14ac:dyDescent="0.25">
      <c r="A1045" s="17">
        <f t="shared" si="112"/>
        <v>81</v>
      </c>
      <c r="B1045" t="str">
        <f ca="1">TEXT(DATE(YEAR(Invoer!$A$5),1,1)+INT((ROWS(B$2:B1045)-1)/3),"jjjjmmdd")</f>
        <v>19201213</v>
      </c>
      <c r="C1045" s="35" t="str">
        <f>IF(MOD(ROWS(C$2:C1045)-1,3)=2,"24.00",INDEX(Data,2,2+MOD(ROWS(C$2:C1045)-1,3)))</f>
        <v>24.00</v>
      </c>
      <c r="D1045" s="23" t="str">
        <f t="shared" ca="1" si="118"/>
        <v>—</v>
      </c>
      <c r="E1045" s="40">
        <f t="shared" ca="1" si="113"/>
        <v>7</v>
      </c>
      <c r="F1045" s="23">
        <f t="shared" ca="1" si="114"/>
        <v>26</v>
      </c>
      <c r="G1045" s="40">
        <f t="shared" ca="1" si="115"/>
        <v>0</v>
      </c>
      <c r="H1045" s="23">
        <f t="shared" ca="1" si="116"/>
        <v>27.8</v>
      </c>
      <c r="I1045" s="40">
        <f t="shared" ca="1" si="117"/>
        <v>0</v>
      </c>
    </row>
    <row r="1046" spans="1:9" x14ac:dyDescent="0.25">
      <c r="A1046" s="17">
        <f t="shared" si="112"/>
        <v>81</v>
      </c>
      <c r="B1046" t="str">
        <f ca="1">TEXT(DATE(YEAR(Invoer!$A$5),1,1)+INT((ROWS(B$2:B1046)-1)/3),"jjjjmmdd")</f>
        <v>19201214</v>
      </c>
      <c r="C1046" s="35" t="str">
        <f>IF(MOD(ROWS(C$2:C1046)-1,3)=2,"24.00",INDEX(Data,2,2+MOD(ROWS(C$2:C1046)-1,3)))</f>
        <v>08.00</v>
      </c>
      <c r="D1046" s="23">
        <f t="shared" ca="1" si="118"/>
        <v>747.2</v>
      </c>
      <c r="E1046" s="40">
        <f t="shared" ca="1" si="113"/>
        <v>0</v>
      </c>
      <c r="F1046" s="23" t="str">
        <f t="shared" ca="1" si="114"/>
        <v>—</v>
      </c>
      <c r="G1046" s="40">
        <f t="shared" ca="1" si="115"/>
        <v>7</v>
      </c>
      <c r="H1046" s="23" t="str">
        <f t="shared" ca="1" si="116"/>
        <v>—</v>
      </c>
      <c r="I1046" s="40">
        <f t="shared" ca="1" si="117"/>
        <v>7</v>
      </c>
    </row>
    <row r="1047" spans="1:9" x14ac:dyDescent="0.25">
      <c r="A1047" s="17">
        <f t="shared" si="112"/>
        <v>81</v>
      </c>
      <c r="B1047" t="str">
        <f ca="1">TEXT(DATE(YEAR(Invoer!$A$5),1,1)+INT((ROWS(B$2:B1047)-1)/3),"jjjjmmdd")</f>
        <v>19201214</v>
      </c>
      <c r="C1047" s="35" t="str">
        <f>IF(MOD(ROWS(C$2:C1047)-1,3)=2,"24.00",INDEX(Data,2,2+MOD(ROWS(C$2:C1047)-1,3)))</f>
        <v>14.00</v>
      </c>
      <c r="D1047" s="23">
        <f t="shared" ca="1" si="118"/>
        <v>746.7</v>
      </c>
      <c r="E1047" s="40">
        <f t="shared" ca="1" si="113"/>
        <v>0</v>
      </c>
      <c r="F1047" s="23" t="str">
        <f t="shared" ca="1" si="114"/>
        <v>—</v>
      </c>
      <c r="G1047" s="40">
        <f t="shared" ca="1" si="115"/>
        <v>7</v>
      </c>
      <c r="H1047" s="23" t="str">
        <f t="shared" ca="1" si="116"/>
        <v>—</v>
      </c>
      <c r="I1047" s="40">
        <f t="shared" ca="1" si="117"/>
        <v>7</v>
      </c>
    </row>
    <row r="1048" spans="1:9" x14ac:dyDescent="0.25">
      <c r="A1048" s="17">
        <f t="shared" si="112"/>
        <v>81</v>
      </c>
      <c r="B1048" t="str">
        <f ca="1">TEXT(DATE(YEAR(Invoer!$A$5),1,1)+INT((ROWS(B$2:B1048)-1)/3),"jjjjmmdd")</f>
        <v>19201214</v>
      </c>
      <c r="C1048" s="35" t="str">
        <f>IF(MOD(ROWS(C$2:C1048)-1,3)=2,"24.00",INDEX(Data,2,2+MOD(ROWS(C$2:C1048)-1,3)))</f>
        <v>24.00</v>
      </c>
      <c r="D1048" s="23" t="str">
        <f t="shared" ca="1" si="118"/>
        <v>—</v>
      </c>
      <c r="E1048" s="40">
        <f t="shared" ca="1" si="113"/>
        <v>7</v>
      </c>
      <c r="F1048" s="23">
        <f t="shared" ca="1" si="114"/>
        <v>26</v>
      </c>
      <c r="G1048" s="40">
        <f t="shared" ca="1" si="115"/>
        <v>0</v>
      </c>
      <c r="H1048" s="23">
        <f t="shared" ca="1" si="116"/>
        <v>28</v>
      </c>
      <c r="I1048" s="40">
        <f t="shared" ca="1" si="117"/>
        <v>0</v>
      </c>
    </row>
    <row r="1049" spans="1:9" x14ac:dyDescent="0.25">
      <c r="A1049" s="17">
        <f t="shared" si="112"/>
        <v>81</v>
      </c>
      <c r="B1049" t="str">
        <f ca="1">TEXT(DATE(YEAR(Invoer!$A$5),1,1)+INT((ROWS(B$2:B1049)-1)/3),"jjjjmmdd")</f>
        <v>19201215</v>
      </c>
      <c r="C1049" s="35" t="str">
        <f>IF(MOD(ROWS(C$2:C1049)-1,3)=2,"24.00",INDEX(Data,2,2+MOD(ROWS(C$2:C1049)-1,3)))</f>
        <v>08.00</v>
      </c>
      <c r="D1049" s="23">
        <f t="shared" ca="1" si="118"/>
        <v>747</v>
      </c>
      <c r="E1049" s="40">
        <f t="shared" ca="1" si="113"/>
        <v>0</v>
      </c>
      <c r="F1049" s="23" t="str">
        <f t="shared" ca="1" si="114"/>
        <v>—</v>
      </c>
      <c r="G1049" s="40">
        <f t="shared" ca="1" si="115"/>
        <v>7</v>
      </c>
      <c r="H1049" s="23" t="str">
        <f t="shared" ca="1" si="116"/>
        <v>—</v>
      </c>
      <c r="I1049" s="40">
        <f t="shared" ca="1" si="117"/>
        <v>7</v>
      </c>
    </row>
    <row r="1050" spans="1:9" x14ac:dyDescent="0.25">
      <c r="A1050" s="17">
        <f t="shared" si="112"/>
        <v>81</v>
      </c>
      <c r="B1050" t="str">
        <f ca="1">TEXT(DATE(YEAR(Invoer!$A$5),1,1)+INT((ROWS(B$2:B1050)-1)/3),"jjjjmmdd")</f>
        <v>19201215</v>
      </c>
      <c r="C1050" s="35" t="str">
        <f>IF(MOD(ROWS(C$2:C1050)-1,3)=2,"24.00",INDEX(Data,2,2+MOD(ROWS(C$2:C1050)-1,3)))</f>
        <v>14.00</v>
      </c>
      <c r="D1050" s="23">
        <f t="shared" ca="1" si="118"/>
        <v>746.5</v>
      </c>
      <c r="E1050" s="40">
        <f t="shared" ca="1" si="113"/>
        <v>0</v>
      </c>
      <c r="F1050" s="23" t="str">
        <f t="shared" ca="1" si="114"/>
        <v>—</v>
      </c>
      <c r="G1050" s="40">
        <f t="shared" ca="1" si="115"/>
        <v>7</v>
      </c>
      <c r="H1050" s="23" t="str">
        <f t="shared" ca="1" si="116"/>
        <v>—</v>
      </c>
      <c r="I1050" s="40">
        <f t="shared" ca="1" si="117"/>
        <v>7</v>
      </c>
    </row>
    <row r="1051" spans="1:9" x14ac:dyDescent="0.25">
      <c r="A1051" s="17">
        <f t="shared" si="112"/>
        <v>81</v>
      </c>
      <c r="B1051" t="str">
        <f ca="1">TEXT(DATE(YEAR(Invoer!$A$5),1,1)+INT((ROWS(B$2:B1051)-1)/3),"jjjjmmdd")</f>
        <v>19201215</v>
      </c>
      <c r="C1051" s="35" t="str">
        <f>IF(MOD(ROWS(C$2:C1051)-1,3)=2,"24.00",INDEX(Data,2,2+MOD(ROWS(C$2:C1051)-1,3)))</f>
        <v>24.00</v>
      </c>
      <c r="D1051" s="23" t="str">
        <f t="shared" ca="1" si="118"/>
        <v>—</v>
      </c>
      <c r="E1051" s="40">
        <f t="shared" ca="1" si="113"/>
        <v>7</v>
      </c>
      <c r="F1051" s="23">
        <f t="shared" ca="1" si="114"/>
        <v>25</v>
      </c>
      <c r="G1051" s="40">
        <f t="shared" ca="1" si="115"/>
        <v>0</v>
      </c>
      <c r="H1051" s="23">
        <f t="shared" ca="1" si="116"/>
        <v>27</v>
      </c>
      <c r="I1051" s="40">
        <f t="shared" ca="1" si="117"/>
        <v>0</v>
      </c>
    </row>
    <row r="1052" spans="1:9" x14ac:dyDescent="0.25">
      <c r="A1052" s="17">
        <f t="shared" si="112"/>
        <v>81</v>
      </c>
      <c r="B1052" t="str">
        <f ca="1">TEXT(DATE(YEAR(Invoer!$A$5),1,1)+INT((ROWS(B$2:B1052)-1)/3),"jjjjmmdd")</f>
        <v>19201216</v>
      </c>
      <c r="C1052" s="35" t="str">
        <f>IF(MOD(ROWS(C$2:C1052)-1,3)=2,"24.00",INDEX(Data,2,2+MOD(ROWS(C$2:C1052)-1,3)))</f>
        <v>08.00</v>
      </c>
      <c r="D1052" s="23">
        <f t="shared" ca="1" si="118"/>
        <v>746.5</v>
      </c>
      <c r="E1052" s="40">
        <f t="shared" ca="1" si="113"/>
        <v>0</v>
      </c>
      <c r="F1052" s="23" t="str">
        <f t="shared" ca="1" si="114"/>
        <v>—</v>
      </c>
      <c r="G1052" s="40">
        <f t="shared" ca="1" si="115"/>
        <v>7</v>
      </c>
      <c r="H1052" s="23" t="str">
        <f t="shared" ca="1" si="116"/>
        <v>—</v>
      </c>
      <c r="I1052" s="40">
        <f t="shared" ca="1" si="117"/>
        <v>7</v>
      </c>
    </row>
    <row r="1053" spans="1:9" x14ac:dyDescent="0.25">
      <c r="A1053" s="17">
        <f t="shared" si="112"/>
        <v>81</v>
      </c>
      <c r="B1053" t="str">
        <f ca="1">TEXT(DATE(YEAR(Invoer!$A$5),1,1)+INT((ROWS(B$2:B1053)-1)/3),"jjjjmmdd")</f>
        <v>19201216</v>
      </c>
      <c r="C1053" s="35" t="str">
        <f>IF(MOD(ROWS(C$2:C1053)-1,3)=2,"24.00",INDEX(Data,2,2+MOD(ROWS(C$2:C1053)-1,3)))</f>
        <v>14.00</v>
      </c>
      <c r="D1053" s="23">
        <f t="shared" ca="1" si="118"/>
        <v>746</v>
      </c>
      <c r="E1053" s="40">
        <f t="shared" ca="1" si="113"/>
        <v>0</v>
      </c>
      <c r="F1053" s="23" t="str">
        <f t="shared" ca="1" si="114"/>
        <v>—</v>
      </c>
      <c r="G1053" s="40">
        <f t="shared" ca="1" si="115"/>
        <v>7</v>
      </c>
      <c r="H1053" s="23" t="str">
        <f t="shared" ca="1" si="116"/>
        <v>—</v>
      </c>
      <c r="I1053" s="40">
        <f t="shared" ca="1" si="117"/>
        <v>7</v>
      </c>
    </row>
    <row r="1054" spans="1:9" x14ac:dyDescent="0.25">
      <c r="A1054" s="17">
        <f t="shared" si="112"/>
        <v>81</v>
      </c>
      <c r="B1054" t="str">
        <f ca="1">TEXT(DATE(YEAR(Invoer!$A$5),1,1)+INT((ROWS(B$2:B1054)-1)/3),"jjjjmmdd")</f>
        <v>19201216</v>
      </c>
      <c r="C1054" s="35" t="str">
        <f>IF(MOD(ROWS(C$2:C1054)-1,3)=2,"24.00",INDEX(Data,2,2+MOD(ROWS(C$2:C1054)-1,3)))</f>
        <v>24.00</v>
      </c>
      <c r="D1054" s="23" t="str">
        <f t="shared" ca="1" si="118"/>
        <v>—</v>
      </c>
      <c r="E1054" s="40">
        <f t="shared" ca="1" si="113"/>
        <v>7</v>
      </c>
      <c r="F1054" s="23">
        <f t="shared" ca="1" si="114"/>
        <v>26</v>
      </c>
      <c r="G1054" s="40">
        <f t="shared" ca="1" si="115"/>
        <v>0</v>
      </c>
      <c r="H1054" s="23">
        <f t="shared" ca="1" si="116"/>
        <v>28.5</v>
      </c>
      <c r="I1054" s="40">
        <f t="shared" ca="1" si="117"/>
        <v>0</v>
      </c>
    </row>
    <row r="1055" spans="1:9" x14ac:dyDescent="0.25">
      <c r="A1055" s="17">
        <f t="shared" si="112"/>
        <v>81</v>
      </c>
      <c r="B1055" t="str">
        <f ca="1">TEXT(DATE(YEAR(Invoer!$A$5),1,1)+INT((ROWS(B$2:B1055)-1)/3),"jjjjmmdd")</f>
        <v>19201217</v>
      </c>
      <c r="C1055" s="35" t="str">
        <f>IF(MOD(ROWS(C$2:C1055)-1,3)=2,"24.00",INDEX(Data,2,2+MOD(ROWS(C$2:C1055)-1,3)))</f>
        <v>08.00</v>
      </c>
      <c r="D1055" s="23">
        <f t="shared" ca="1" si="118"/>
        <v>747.5</v>
      </c>
      <c r="E1055" s="40">
        <f t="shared" ca="1" si="113"/>
        <v>0</v>
      </c>
      <c r="F1055" s="23" t="str">
        <f t="shared" ca="1" si="114"/>
        <v>—</v>
      </c>
      <c r="G1055" s="40">
        <f t="shared" ca="1" si="115"/>
        <v>7</v>
      </c>
      <c r="H1055" s="23" t="str">
        <f t="shared" ca="1" si="116"/>
        <v>—</v>
      </c>
      <c r="I1055" s="40">
        <f t="shared" ca="1" si="117"/>
        <v>7</v>
      </c>
    </row>
    <row r="1056" spans="1:9" x14ac:dyDescent="0.25">
      <c r="A1056" s="17">
        <f t="shared" si="112"/>
        <v>81</v>
      </c>
      <c r="B1056" t="str">
        <f ca="1">TEXT(DATE(YEAR(Invoer!$A$5),1,1)+INT((ROWS(B$2:B1056)-1)/3),"jjjjmmdd")</f>
        <v>19201217</v>
      </c>
      <c r="C1056" s="35" t="str">
        <f>IF(MOD(ROWS(C$2:C1056)-1,3)=2,"24.00",INDEX(Data,2,2+MOD(ROWS(C$2:C1056)-1,3)))</f>
        <v>14.00</v>
      </c>
      <c r="D1056" s="23">
        <f t="shared" ca="1" si="118"/>
        <v>747</v>
      </c>
      <c r="E1056" s="40">
        <f t="shared" ca="1" si="113"/>
        <v>0</v>
      </c>
      <c r="F1056" s="23" t="str">
        <f t="shared" ca="1" si="114"/>
        <v>—</v>
      </c>
      <c r="G1056" s="40">
        <f t="shared" ca="1" si="115"/>
        <v>7</v>
      </c>
      <c r="H1056" s="23" t="str">
        <f t="shared" ca="1" si="116"/>
        <v>—</v>
      </c>
      <c r="I1056" s="40">
        <f t="shared" ca="1" si="117"/>
        <v>7</v>
      </c>
    </row>
    <row r="1057" spans="1:9" x14ac:dyDescent="0.25">
      <c r="A1057" s="17">
        <f t="shared" si="112"/>
        <v>81</v>
      </c>
      <c r="B1057" t="str">
        <f ca="1">TEXT(DATE(YEAR(Invoer!$A$5),1,1)+INT((ROWS(B$2:B1057)-1)/3),"jjjjmmdd")</f>
        <v>19201217</v>
      </c>
      <c r="C1057" s="35" t="str">
        <f>IF(MOD(ROWS(C$2:C1057)-1,3)=2,"24.00",INDEX(Data,2,2+MOD(ROWS(C$2:C1057)-1,3)))</f>
        <v>24.00</v>
      </c>
      <c r="D1057" s="23" t="str">
        <f t="shared" ca="1" si="118"/>
        <v>—</v>
      </c>
      <c r="E1057" s="40">
        <f t="shared" ca="1" si="113"/>
        <v>7</v>
      </c>
      <c r="F1057" s="23">
        <f t="shared" ca="1" si="114"/>
        <v>25</v>
      </c>
      <c r="G1057" s="40">
        <f t="shared" ca="1" si="115"/>
        <v>0</v>
      </c>
      <c r="H1057" s="23">
        <f t="shared" ca="1" si="116"/>
        <v>27</v>
      </c>
      <c r="I1057" s="40">
        <f t="shared" ca="1" si="117"/>
        <v>0</v>
      </c>
    </row>
    <row r="1058" spans="1:9" x14ac:dyDescent="0.25">
      <c r="A1058" s="17">
        <f t="shared" si="112"/>
        <v>81</v>
      </c>
      <c r="B1058" t="str">
        <f ca="1">TEXT(DATE(YEAR(Invoer!$A$5),1,1)+INT((ROWS(B$2:B1058)-1)/3),"jjjjmmdd")</f>
        <v>19201218</v>
      </c>
      <c r="C1058" s="35" t="str">
        <f>IF(MOD(ROWS(C$2:C1058)-1,3)=2,"24.00",INDEX(Data,2,2+MOD(ROWS(C$2:C1058)-1,3)))</f>
        <v>08.00</v>
      </c>
      <c r="D1058" s="23">
        <f t="shared" ca="1" si="118"/>
        <v>747.2</v>
      </c>
      <c r="E1058" s="40">
        <f t="shared" ca="1" si="113"/>
        <v>0</v>
      </c>
      <c r="F1058" s="23" t="str">
        <f t="shared" ca="1" si="114"/>
        <v>—</v>
      </c>
      <c r="G1058" s="40">
        <f t="shared" ca="1" si="115"/>
        <v>7</v>
      </c>
      <c r="H1058" s="23" t="str">
        <f t="shared" ca="1" si="116"/>
        <v>—</v>
      </c>
      <c r="I1058" s="40">
        <f t="shared" ca="1" si="117"/>
        <v>7</v>
      </c>
    </row>
    <row r="1059" spans="1:9" x14ac:dyDescent="0.25">
      <c r="A1059" s="17">
        <f t="shared" si="112"/>
        <v>81</v>
      </c>
      <c r="B1059" t="str">
        <f ca="1">TEXT(DATE(YEAR(Invoer!$A$5),1,1)+INT((ROWS(B$2:B1059)-1)/3),"jjjjmmdd")</f>
        <v>19201218</v>
      </c>
      <c r="C1059" s="35" t="str">
        <f>IF(MOD(ROWS(C$2:C1059)-1,3)=2,"24.00",INDEX(Data,2,2+MOD(ROWS(C$2:C1059)-1,3)))</f>
        <v>14.00</v>
      </c>
      <c r="D1059" s="23">
        <f t="shared" ca="1" si="118"/>
        <v>747</v>
      </c>
      <c r="E1059" s="40">
        <f t="shared" ca="1" si="113"/>
        <v>0</v>
      </c>
      <c r="F1059" s="23" t="str">
        <f t="shared" ca="1" si="114"/>
        <v>—</v>
      </c>
      <c r="G1059" s="40">
        <f t="shared" ca="1" si="115"/>
        <v>7</v>
      </c>
      <c r="H1059" s="23" t="str">
        <f t="shared" ca="1" si="116"/>
        <v>—</v>
      </c>
      <c r="I1059" s="40">
        <f t="shared" ca="1" si="117"/>
        <v>7</v>
      </c>
    </row>
    <row r="1060" spans="1:9" x14ac:dyDescent="0.25">
      <c r="A1060" s="17">
        <f t="shared" si="112"/>
        <v>81</v>
      </c>
      <c r="B1060" t="str">
        <f ca="1">TEXT(DATE(YEAR(Invoer!$A$5),1,1)+INT((ROWS(B$2:B1060)-1)/3),"jjjjmmdd")</f>
        <v>19201218</v>
      </c>
      <c r="C1060" s="35" t="str">
        <f>IF(MOD(ROWS(C$2:C1060)-1,3)=2,"24.00",INDEX(Data,2,2+MOD(ROWS(C$2:C1060)-1,3)))</f>
        <v>24.00</v>
      </c>
      <c r="D1060" s="23" t="str">
        <f t="shared" ca="1" si="118"/>
        <v>—</v>
      </c>
      <c r="E1060" s="40">
        <f t="shared" ca="1" si="113"/>
        <v>7</v>
      </c>
      <c r="F1060" s="23">
        <f t="shared" ca="1" si="114"/>
        <v>25.8</v>
      </c>
      <c r="G1060" s="40">
        <f t="shared" ca="1" si="115"/>
        <v>0</v>
      </c>
      <c r="H1060" s="23">
        <f t="shared" ca="1" si="116"/>
        <v>27.5</v>
      </c>
      <c r="I1060" s="40">
        <f t="shared" ca="1" si="117"/>
        <v>0</v>
      </c>
    </row>
    <row r="1061" spans="1:9" x14ac:dyDescent="0.25">
      <c r="A1061" s="17">
        <f t="shared" si="112"/>
        <v>81</v>
      </c>
      <c r="B1061" t="str">
        <f ca="1">TEXT(DATE(YEAR(Invoer!$A$5),1,1)+INT((ROWS(B$2:B1061)-1)/3),"jjjjmmdd")</f>
        <v>19201219</v>
      </c>
      <c r="C1061" s="35" t="str">
        <f>IF(MOD(ROWS(C$2:C1061)-1,3)=2,"24.00",INDEX(Data,2,2+MOD(ROWS(C$2:C1061)-1,3)))</f>
        <v>08.00</v>
      </c>
      <c r="D1061" s="23">
        <f t="shared" ca="1" si="118"/>
        <v>747</v>
      </c>
      <c r="E1061" s="40">
        <f t="shared" ca="1" si="113"/>
        <v>0</v>
      </c>
      <c r="F1061" s="23" t="str">
        <f t="shared" ca="1" si="114"/>
        <v>—</v>
      </c>
      <c r="G1061" s="40">
        <f t="shared" ca="1" si="115"/>
        <v>7</v>
      </c>
      <c r="H1061" s="23" t="str">
        <f t="shared" ca="1" si="116"/>
        <v>—</v>
      </c>
      <c r="I1061" s="40">
        <f t="shared" ca="1" si="117"/>
        <v>7</v>
      </c>
    </row>
    <row r="1062" spans="1:9" x14ac:dyDescent="0.25">
      <c r="A1062" s="17">
        <f t="shared" si="112"/>
        <v>81</v>
      </c>
      <c r="B1062" t="str">
        <f ca="1">TEXT(DATE(YEAR(Invoer!$A$5),1,1)+INT((ROWS(B$2:B1062)-1)/3),"jjjjmmdd")</f>
        <v>19201219</v>
      </c>
      <c r="C1062" s="35" t="str">
        <f>IF(MOD(ROWS(C$2:C1062)-1,3)=2,"24.00",INDEX(Data,2,2+MOD(ROWS(C$2:C1062)-1,3)))</f>
        <v>14.00</v>
      </c>
      <c r="D1062" s="23">
        <f t="shared" ca="1" si="118"/>
        <v>746</v>
      </c>
      <c r="E1062" s="40">
        <f t="shared" ca="1" si="113"/>
        <v>0</v>
      </c>
      <c r="F1062" s="23" t="str">
        <f t="shared" ca="1" si="114"/>
        <v>—</v>
      </c>
      <c r="G1062" s="40">
        <f t="shared" ca="1" si="115"/>
        <v>7</v>
      </c>
      <c r="H1062" s="23" t="str">
        <f t="shared" ca="1" si="116"/>
        <v>—</v>
      </c>
      <c r="I1062" s="40">
        <f t="shared" ca="1" si="117"/>
        <v>7</v>
      </c>
    </row>
    <row r="1063" spans="1:9" x14ac:dyDescent="0.25">
      <c r="A1063" s="17">
        <f t="shared" si="112"/>
        <v>81</v>
      </c>
      <c r="B1063" t="str">
        <f ca="1">TEXT(DATE(YEAR(Invoer!$A$5),1,1)+INT((ROWS(B$2:B1063)-1)/3),"jjjjmmdd")</f>
        <v>19201219</v>
      </c>
      <c r="C1063" s="35" t="str">
        <f>IF(MOD(ROWS(C$2:C1063)-1,3)=2,"24.00",INDEX(Data,2,2+MOD(ROWS(C$2:C1063)-1,3)))</f>
        <v>24.00</v>
      </c>
      <c r="D1063" s="23" t="str">
        <f t="shared" ca="1" si="118"/>
        <v>—</v>
      </c>
      <c r="E1063" s="40">
        <f t="shared" ca="1" si="113"/>
        <v>7</v>
      </c>
      <c r="F1063" s="23">
        <f t="shared" ca="1" si="114"/>
        <v>24</v>
      </c>
      <c r="G1063" s="40">
        <f t="shared" ca="1" si="115"/>
        <v>0</v>
      </c>
      <c r="H1063" s="23">
        <f t="shared" ca="1" si="116"/>
        <v>27</v>
      </c>
      <c r="I1063" s="40">
        <f t="shared" ca="1" si="117"/>
        <v>0</v>
      </c>
    </row>
    <row r="1064" spans="1:9" x14ac:dyDescent="0.25">
      <c r="A1064" s="17">
        <f t="shared" si="112"/>
        <v>81</v>
      </c>
      <c r="B1064" t="str">
        <f ca="1">TEXT(DATE(YEAR(Invoer!$A$5),1,1)+INT((ROWS(B$2:B1064)-1)/3),"jjjjmmdd")</f>
        <v>19201220</v>
      </c>
      <c r="C1064" s="35" t="str">
        <f>IF(MOD(ROWS(C$2:C1064)-1,3)=2,"24.00",INDEX(Data,2,2+MOD(ROWS(C$2:C1064)-1,3)))</f>
        <v>08.00</v>
      </c>
      <c r="D1064" s="23">
        <f t="shared" ca="1" si="118"/>
        <v>747</v>
      </c>
      <c r="E1064" s="40">
        <f t="shared" ca="1" si="113"/>
        <v>0</v>
      </c>
      <c r="F1064" s="23" t="str">
        <f t="shared" ca="1" si="114"/>
        <v>—</v>
      </c>
      <c r="G1064" s="40">
        <f t="shared" ca="1" si="115"/>
        <v>7</v>
      </c>
      <c r="H1064" s="23" t="str">
        <f t="shared" ca="1" si="116"/>
        <v>—</v>
      </c>
      <c r="I1064" s="40">
        <f t="shared" ca="1" si="117"/>
        <v>7</v>
      </c>
    </row>
    <row r="1065" spans="1:9" x14ac:dyDescent="0.25">
      <c r="A1065" s="17">
        <f t="shared" si="112"/>
        <v>81</v>
      </c>
      <c r="B1065" t="str">
        <f ca="1">TEXT(DATE(YEAR(Invoer!$A$5),1,1)+INT((ROWS(B$2:B1065)-1)/3),"jjjjmmdd")</f>
        <v>19201220</v>
      </c>
      <c r="C1065" s="35" t="str">
        <f>IF(MOD(ROWS(C$2:C1065)-1,3)=2,"24.00",INDEX(Data,2,2+MOD(ROWS(C$2:C1065)-1,3)))</f>
        <v>14.00</v>
      </c>
      <c r="D1065" s="23">
        <f t="shared" ca="1" si="118"/>
        <v>746.5</v>
      </c>
      <c r="E1065" s="40">
        <f t="shared" ca="1" si="113"/>
        <v>0</v>
      </c>
      <c r="F1065" s="23" t="str">
        <f t="shared" ca="1" si="114"/>
        <v>—</v>
      </c>
      <c r="G1065" s="40">
        <f t="shared" ca="1" si="115"/>
        <v>7</v>
      </c>
      <c r="H1065" s="23" t="str">
        <f t="shared" ca="1" si="116"/>
        <v>—</v>
      </c>
      <c r="I1065" s="40">
        <f t="shared" ca="1" si="117"/>
        <v>7</v>
      </c>
    </row>
    <row r="1066" spans="1:9" x14ac:dyDescent="0.25">
      <c r="A1066" s="17">
        <f t="shared" si="112"/>
        <v>81</v>
      </c>
      <c r="B1066" t="str">
        <f ca="1">TEXT(DATE(YEAR(Invoer!$A$5),1,1)+INT((ROWS(B$2:B1066)-1)/3),"jjjjmmdd")</f>
        <v>19201220</v>
      </c>
      <c r="C1066" s="35" t="str">
        <f>IF(MOD(ROWS(C$2:C1066)-1,3)=2,"24.00",INDEX(Data,2,2+MOD(ROWS(C$2:C1066)-1,3)))</f>
        <v>24.00</v>
      </c>
      <c r="D1066" s="23" t="str">
        <f t="shared" ca="1" si="118"/>
        <v>—</v>
      </c>
      <c r="E1066" s="40">
        <f t="shared" ca="1" si="113"/>
        <v>7</v>
      </c>
      <c r="F1066" s="23">
        <f t="shared" ca="1" si="114"/>
        <v>25</v>
      </c>
      <c r="G1066" s="40">
        <f t="shared" ca="1" si="115"/>
        <v>0</v>
      </c>
      <c r="H1066" s="23">
        <f t="shared" ca="1" si="116"/>
        <v>27</v>
      </c>
      <c r="I1066" s="40">
        <f t="shared" ca="1" si="117"/>
        <v>0</v>
      </c>
    </row>
    <row r="1067" spans="1:9" x14ac:dyDescent="0.25">
      <c r="A1067" s="17">
        <f t="shared" si="112"/>
        <v>81</v>
      </c>
      <c r="B1067" t="str">
        <f ca="1">TEXT(DATE(YEAR(Invoer!$A$5),1,1)+INT((ROWS(B$2:B1067)-1)/3),"jjjjmmdd")</f>
        <v>19201221</v>
      </c>
      <c r="C1067" s="35" t="str">
        <f>IF(MOD(ROWS(C$2:C1067)-1,3)=2,"24.00",INDEX(Data,2,2+MOD(ROWS(C$2:C1067)-1,3)))</f>
        <v>08.00</v>
      </c>
      <c r="D1067" s="23">
        <f t="shared" ca="1" si="118"/>
        <v>747</v>
      </c>
      <c r="E1067" s="40">
        <f t="shared" ca="1" si="113"/>
        <v>0</v>
      </c>
      <c r="F1067" s="23" t="str">
        <f t="shared" ca="1" si="114"/>
        <v>—</v>
      </c>
      <c r="G1067" s="40">
        <f t="shared" ca="1" si="115"/>
        <v>7</v>
      </c>
      <c r="H1067" s="23" t="str">
        <f t="shared" ca="1" si="116"/>
        <v>—</v>
      </c>
      <c r="I1067" s="40">
        <f t="shared" ca="1" si="117"/>
        <v>7</v>
      </c>
    </row>
    <row r="1068" spans="1:9" x14ac:dyDescent="0.25">
      <c r="A1068" s="17">
        <f t="shared" si="112"/>
        <v>81</v>
      </c>
      <c r="B1068" t="str">
        <f ca="1">TEXT(DATE(YEAR(Invoer!$A$5),1,1)+INT((ROWS(B$2:B1068)-1)/3),"jjjjmmdd")</f>
        <v>19201221</v>
      </c>
      <c r="C1068" s="35" t="str">
        <f>IF(MOD(ROWS(C$2:C1068)-1,3)=2,"24.00",INDEX(Data,2,2+MOD(ROWS(C$2:C1068)-1,3)))</f>
        <v>14.00</v>
      </c>
      <c r="D1068" s="23">
        <f t="shared" ca="1" si="118"/>
        <v>746.4</v>
      </c>
      <c r="E1068" s="40">
        <f t="shared" ca="1" si="113"/>
        <v>0</v>
      </c>
      <c r="F1068" s="23" t="str">
        <f t="shared" ca="1" si="114"/>
        <v>—</v>
      </c>
      <c r="G1068" s="40">
        <f t="shared" ca="1" si="115"/>
        <v>7</v>
      </c>
      <c r="H1068" s="23" t="str">
        <f t="shared" ca="1" si="116"/>
        <v>—</v>
      </c>
      <c r="I1068" s="40">
        <f t="shared" ca="1" si="117"/>
        <v>7</v>
      </c>
    </row>
    <row r="1069" spans="1:9" x14ac:dyDescent="0.25">
      <c r="A1069" s="17">
        <f t="shared" si="112"/>
        <v>81</v>
      </c>
      <c r="B1069" t="str">
        <f ca="1">TEXT(DATE(YEAR(Invoer!$A$5),1,1)+INT((ROWS(B$2:B1069)-1)/3),"jjjjmmdd")</f>
        <v>19201221</v>
      </c>
      <c r="C1069" s="35" t="str">
        <f>IF(MOD(ROWS(C$2:C1069)-1,3)=2,"24.00",INDEX(Data,2,2+MOD(ROWS(C$2:C1069)-1,3)))</f>
        <v>24.00</v>
      </c>
      <c r="D1069" s="23" t="str">
        <f t="shared" ca="1" si="118"/>
        <v>—</v>
      </c>
      <c r="E1069" s="40">
        <f t="shared" ca="1" si="113"/>
        <v>7</v>
      </c>
      <c r="F1069" s="23">
        <f t="shared" ca="1" si="114"/>
        <v>25.5</v>
      </c>
      <c r="G1069" s="40">
        <f t="shared" ca="1" si="115"/>
        <v>0</v>
      </c>
      <c r="H1069" s="23">
        <f t="shared" ca="1" si="116"/>
        <v>27</v>
      </c>
      <c r="I1069" s="40">
        <f t="shared" ca="1" si="117"/>
        <v>0</v>
      </c>
    </row>
    <row r="1070" spans="1:9" x14ac:dyDescent="0.25">
      <c r="A1070" s="17">
        <f t="shared" si="112"/>
        <v>81</v>
      </c>
      <c r="B1070" t="str">
        <f ca="1">TEXT(DATE(YEAR(Invoer!$A$5),1,1)+INT((ROWS(B$2:B1070)-1)/3),"jjjjmmdd")</f>
        <v>19201222</v>
      </c>
      <c r="C1070" s="35" t="str">
        <f>IF(MOD(ROWS(C$2:C1070)-1,3)=2,"24.00",INDEX(Data,2,2+MOD(ROWS(C$2:C1070)-1,3)))</f>
        <v>08.00</v>
      </c>
      <c r="D1070" s="23">
        <f t="shared" ca="1" si="118"/>
        <v>747.6</v>
      </c>
      <c r="E1070" s="40">
        <f t="shared" ca="1" si="113"/>
        <v>0</v>
      </c>
      <c r="F1070" s="23" t="str">
        <f t="shared" ca="1" si="114"/>
        <v>—</v>
      </c>
      <c r="G1070" s="40">
        <f t="shared" ca="1" si="115"/>
        <v>7</v>
      </c>
      <c r="H1070" s="23" t="str">
        <f t="shared" ca="1" si="116"/>
        <v>—</v>
      </c>
      <c r="I1070" s="40">
        <f t="shared" ca="1" si="117"/>
        <v>7</v>
      </c>
    </row>
    <row r="1071" spans="1:9" x14ac:dyDescent="0.25">
      <c r="A1071" s="17">
        <f t="shared" si="112"/>
        <v>81</v>
      </c>
      <c r="B1071" t="str">
        <f ca="1">TEXT(DATE(YEAR(Invoer!$A$5),1,1)+INT((ROWS(B$2:B1071)-1)/3),"jjjjmmdd")</f>
        <v>19201222</v>
      </c>
      <c r="C1071" s="35" t="str">
        <f>IF(MOD(ROWS(C$2:C1071)-1,3)=2,"24.00",INDEX(Data,2,2+MOD(ROWS(C$2:C1071)-1,3)))</f>
        <v>14.00</v>
      </c>
      <c r="D1071" s="23">
        <f t="shared" ca="1" si="118"/>
        <v>747</v>
      </c>
      <c r="E1071" s="40">
        <f t="shared" ca="1" si="113"/>
        <v>0</v>
      </c>
      <c r="F1071" s="23" t="str">
        <f t="shared" ca="1" si="114"/>
        <v>—</v>
      </c>
      <c r="G1071" s="40">
        <f t="shared" ca="1" si="115"/>
        <v>7</v>
      </c>
      <c r="H1071" s="23" t="str">
        <f t="shared" ca="1" si="116"/>
        <v>—</v>
      </c>
      <c r="I1071" s="40">
        <f t="shared" ca="1" si="117"/>
        <v>7</v>
      </c>
    </row>
    <row r="1072" spans="1:9" x14ac:dyDescent="0.25">
      <c r="A1072" s="17">
        <f t="shared" si="112"/>
        <v>81</v>
      </c>
      <c r="B1072" t="str">
        <f ca="1">TEXT(DATE(YEAR(Invoer!$A$5),1,1)+INT((ROWS(B$2:B1072)-1)/3),"jjjjmmdd")</f>
        <v>19201222</v>
      </c>
      <c r="C1072" s="35" t="str">
        <f>IF(MOD(ROWS(C$2:C1072)-1,3)=2,"24.00",INDEX(Data,2,2+MOD(ROWS(C$2:C1072)-1,3)))</f>
        <v>24.00</v>
      </c>
      <c r="D1072" s="23" t="str">
        <f t="shared" ca="1" si="118"/>
        <v>—</v>
      </c>
      <c r="E1072" s="40">
        <f t="shared" ca="1" si="113"/>
        <v>7</v>
      </c>
      <c r="F1072" s="23">
        <f t="shared" ca="1" si="114"/>
        <v>26</v>
      </c>
      <c r="G1072" s="40">
        <f t="shared" ca="1" si="115"/>
        <v>0</v>
      </c>
      <c r="H1072" s="23">
        <f t="shared" ca="1" si="116"/>
        <v>27.3</v>
      </c>
      <c r="I1072" s="40">
        <f t="shared" ca="1" si="117"/>
        <v>0</v>
      </c>
    </row>
    <row r="1073" spans="1:9" x14ac:dyDescent="0.25">
      <c r="A1073" s="17">
        <f t="shared" si="112"/>
        <v>81</v>
      </c>
      <c r="B1073" t="str">
        <f ca="1">TEXT(DATE(YEAR(Invoer!$A$5),1,1)+INT((ROWS(B$2:B1073)-1)/3),"jjjjmmdd")</f>
        <v>19201223</v>
      </c>
      <c r="C1073" s="35" t="str">
        <f>IF(MOD(ROWS(C$2:C1073)-1,3)=2,"24.00",INDEX(Data,2,2+MOD(ROWS(C$2:C1073)-1,3)))</f>
        <v>08.00</v>
      </c>
      <c r="D1073" s="23">
        <f t="shared" ca="1" si="118"/>
        <v>748.6</v>
      </c>
      <c r="E1073" s="40">
        <f t="shared" ca="1" si="113"/>
        <v>0</v>
      </c>
      <c r="F1073" s="23" t="str">
        <f t="shared" ca="1" si="114"/>
        <v>—</v>
      </c>
      <c r="G1073" s="40">
        <f t="shared" ca="1" si="115"/>
        <v>7</v>
      </c>
      <c r="H1073" s="23" t="str">
        <f t="shared" ca="1" si="116"/>
        <v>—</v>
      </c>
      <c r="I1073" s="40">
        <f t="shared" ca="1" si="117"/>
        <v>7</v>
      </c>
    </row>
    <row r="1074" spans="1:9" x14ac:dyDescent="0.25">
      <c r="A1074" s="17">
        <f t="shared" si="112"/>
        <v>81</v>
      </c>
      <c r="B1074" t="str">
        <f ca="1">TEXT(DATE(YEAR(Invoer!$A$5),1,1)+INT((ROWS(B$2:B1074)-1)/3),"jjjjmmdd")</f>
        <v>19201223</v>
      </c>
      <c r="C1074" s="35" t="str">
        <f>IF(MOD(ROWS(C$2:C1074)-1,3)=2,"24.00",INDEX(Data,2,2+MOD(ROWS(C$2:C1074)-1,3)))</f>
        <v>14.00</v>
      </c>
      <c r="D1074" s="23">
        <f t="shared" ca="1" si="118"/>
        <v>748.2</v>
      </c>
      <c r="E1074" s="40">
        <f t="shared" ca="1" si="113"/>
        <v>0</v>
      </c>
      <c r="F1074" s="23" t="str">
        <f t="shared" ca="1" si="114"/>
        <v>—</v>
      </c>
      <c r="G1074" s="40">
        <f t="shared" ca="1" si="115"/>
        <v>7</v>
      </c>
      <c r="H1074" s="23" t="str">
        <f t="shared" ca="1" si="116"/>
        <v>—</v>
      </c>
      <c r="I1074" s="40">
        <f t="shared" ca="1" si="117"/>
        <v>7</v>
      </c>
    </row>
    <row r="1075" spans="1:9" x14ac:dyDescent="0.25">
      <c r="A1075" s="17">
        <f t="shared" si="112"/>
        <v>81</v>
      </c>
      <c r="B1075" t="str">
        <f ca="1">TEXT(DATE(YEAR(Invoer!$A$5),1,1)+INT((ROWS(B$2:B1075)-1)/3),"jjjjmmdd")</f>
        <v>19201223</v>
      </c>
      <c r="C1075" s="35" t="str">
        <f>IF(MOD(ROWS(C$2:C1075)-1,3)=2,"24.00",INDEX(Data,2,2+MOD(ROWS(C$2:C1075)-1,3)))</f>
        <v>24.00</v>
      </c>
      <c r="D1075" s="23" t="str">
        <f t="shared" ca="1" si="118"/>
        <v>—</v>
      </c>
      <c r="E1075" s="40">
        <f t="shared" ca="1" si="113"/>
        <v>7</v>
      </c>
      <c r="F1075" s="23">
        <f t="shared" ca="1" si="114"/>
        <v>24</v>
      </c>
      <c r="G1075" s="40">
        <f t="shared" ca="1" si="115"/>
        <v>0</v>
      </c>
      <c r="H1075" s="23">
        <f t="shared" ca="1" si="116"/>
        <v>26.3</v>
      </c>
      <c r="I1075" s="40">
        <f t="shared" ca="1" si="117"/>
        <v>0</v>
      </c>
    </row>
    <row r="1076" spans="1:9" x14ac:dyDescent="0.25">
      <c r="A1076" s="17">
        <f t="shared" si="112"/>
        <v>81</v>
      </c>
      <c r="B1076" t="str">
        <f ca="1">TEXT(DATE(YEAR(Invoer!$A$5),1,1)+INT((ROWS(B$2:B1076)-1)/3),"jjjjmmdd")</f>
        <v>19201224</v>
      </c>
      <c r="C1076" s="35" t="str">
        <f>IF(MOD(ROWS(C$2:C1076)-1,3)=2,"24.00",INDEX(Data,2,2+MOD(ROWS(C$2:C1076)-1,3)))</f>
        <v>08.00</v>
      </c>
      <c r="D1076" s="23">
        <f t="shared" ca="1" si="118"/>
        <v>749.5</v>
      </c>
      <c r="E1076" s="40">
        <f t="shared" ca="1" si="113"/>
        <v>0</v>
      </c>
      <c r="F1076" s="23" t="str">
        <f t="shared" ca="1" si="114"/>
        <v>—</v>
      </c>
      <c r="G1076" s="40">
        <f t="shared" ca="1" si="115"/>
        <v>7</v>
      </c>
      <c r="H1076" s="23" t="str">
        <f t="shared" ca="1" si="116"/>
        <v>—</v>
      </c>
      <c r="I1076" s="40">
        <f t="shared" ca="1" si="117"/>
        <v>7</v>
      </c>
    </row>
    <row r="1077" spans="1:9" x14ac:dyDescent="0.25">
      <c r="A1077" s="17">
        <f t="shared" si="112"/>
        <v>81</v>
      </c>
      <c r="B1077" t="str">
        <f ca="1">TEXT(DATE(YEAR(Invoer!$A$5),1,1)+INT((ROWS(B$2:B1077)-1)/3),"jjjjmmdd")</f>
        <v>19201224</v>
      </c>
      <c r="C1077" s="35" t="str">
        <f>IF(MOD(ROWS(C$2:C1077)-1,3)=2,"24.00",INDEX(Data,2,2+MOD(ROWS(C$2:C1077)-1,3)))</f>
        <v>14.00</v>
      </c>
      <c r="D1077" s="23">
        <f t="shared" ca="1" si="118"/>
        <v>748.1</v>
      </c>
      <c r="E1077" s="40">
        <f t="shared" ca="1" si="113"/>
        <v>0</v>
      </c>
      <c r="F1077" s="23" t="str">
        <f t="shared" ca="1" si="114"/>
        <v>—</v>
      </c>
      <c r="G1077" s="40">
        <f t="shared" ca="1" si="115"/>
        <v>7</v>
      </c>
      <c r="H1077" s="23" t="str">
        <f t="shared" ca="1" si="116"/>
        <v>—</v>
      </c>
      <c r="I1077" s="40">
        <f t="shared" ca="1" si="117"/>
        <v>7</v>
      </c>
    </row>
    <row r="1078" spans="1:9" x14ac:dyDescent="0.25">
      <c r="A1078" s="17">
        <f t="shared" si="112"/>
        <v>81</v>
      </c>
      <c r="B1078" t="str">
        <f ca="1">TEXT(DATE(YEAR(Invoer!$A$5),1,1)+INT((ROWS(B$2:B1078)-1)/3),"jjjjmmdd")</f>
        <v>19201224</v>
      </c>
      <c r="C1078" s="35" t="str">
        <f>IF(MOD(ROWS(C$2:C1078)-1,3)=2,"24.00",INDEX(Data,2,2+MOD(ROWS(C$2:C1078)-1,3)))</f>
        <v>24.00</v>
      </c>
      <c r="D1078" s="23" t="str">
        <f t="shared" ca="1" si="118"/>
        <v>—</v>
      </c>
      <c r="E1078" s="40">
        <f t="shared" ca="1" si="113"/>
        <v>7</v>
      </c>
      <c r="F1078" s="23">
        <f t="shared" ca="1" si="114"/>
        <v>24</v>
      </c>
      <c r="G1078" s="40">
        <f t="shared" ca="1" si="115"/>
        <v>0</v>
      </c>
      <c r="H1078" s="23">
        <f t="shared" ca="1" si="116"/>
        <v>25.3</v>
      </c>
      <c r="I1078" s="40">
        <f t="shared" ca="1" si="117"/>
        <v>0</v>
      </c>
    </row>
    <row r="1079" spans="1:9" x14ac:dyDescent="0.25">
      <c r="A1079" s="17">
        <f t="shared" si="112"/>
        <v>81</v>
      </c>
      <c r="B1079" t="str">
        <f ca="1">TEXT(DATE(YEAR(Invoer!$A$5),1,1)+INT((ROWS(B$2:B1079)-1)/3),"jjjjmmdd")</f>
        <v>19201225</v>
      </c>
      <c r="C1079" s="35" t="str">
        <f>IF(MOD(ROWS(C$2:C1079)-1,3)=2,"24.00",INDEX(Data,2,2+MOD(ROWS(C$2:C1079)-1,3)))</f>
        <v>08.00</v>
      </c>
      <c r="D1079" s="23">
        <f t="shared" ca="1" si="118"/>
        <v>748.6</v>
      </c>
      <c r="E1079" s="40">
        <f t="shared" ca="1" si="113"/>
        <v>0</v>
      </c>
      <c r="F1079" s="23" t="str">
        <f t="shared" ca="1" si="114"/>
        <v>—</v>
      </c>
      <c r="G1079" s="40">
        <f t="shared" ca="1" si="115"/>
        <v>7</v>
      </c>
      <c r="H1079" s="23" t="str">
        <f t="shared" ca="1" si="116"/>
        <v>—</v>
      </c>
      <c r="I1079" s="40">
        <f t="shared" ca="1" si="117"/>
        <v>7</v>
      </c>
    </row>
    <row r="1080" spans="1:9" x14ac:dyDescent="0.25">
      <c r="A1080" s="17">
        <f t="shared" si="112"/>
        <v>81</v>
      </c>
      <c r="B1080" t="str">
        <f ca="1">TEXT(DATE(YEAR(Invoer!$A$5),1,1)+INT((ROWS(B$2:B1080)-1)/3),"jjjjmmdd")</f>
        <v>19201225</v>
      </c>
      <c r="C1080" s="35" t="str">
        <f>IF(MOD(ROWS(C$2:C1080)-1,3)=2,"24.00",INDEX(Data,2,2+MOD(ROWS(C$2:C1080)-1,3)))</f>
        <v>14.00</v>
      </c>
      <c r="D1080" s="23">
        <f t="shared" ca="1" si="118"/>
        <v>748.2</v>
      </c>
      <c r="E1080" s="40">
        <f t="shared" ca="1" si="113"/>
        <v>0</v>
      </c>
      <c r="F1080" s="23" t="str">
        <f t="shared" ca="1" si="114"/>
        <v>—</v>
      </c>
      <c r="G1080" s="40">
        <f t="shared" ca="1" si="115"/>
        <v>7</v>
      </c>
      <c r="H1080" s="23" t="str">
        <f t="shared" ca="1" si="116"/>
        <v>—</v>
      </c>
      <c r="I1080" s="40">
        <f t="shared" ca="1" si="117"/>
        <v>7</v>
      </c>
    </row>
    <row r="1081" spans="1:9" x14ac:dyDescent="0.25">
      <c r="A1081" s="17">
        <f t="shared" si="112"/>
        <v>81</v>
      </c>
      <c r="B1081" t="str">
        <f ca="1">TEXT(DATE(YEAR(Invoer!$A$5),1,1)+INT((ROWS(B$2:B1081)-1)/3),"jjjjmmdd")</f>
        <v>19201225</v>
      </c>
      <c r="C1081" s="35" t="str">
        <f>IF(MOD(ROWS(C$2:C1081)-1,3)=2,"24.00",INDEX(Data,2,2+MOD(ROWS(C$2:C1081)-1,3)))</f>
        <v>24.00</v>
      </c>
      <c r="D1081" s="23" t="str">
        <f t="shared" ca="1" si="118"/>
        <v>—</v>
      </c>
      <c r="E1081" s="40">
        <f t="shared" ca="1" si="113"/>
        <v>7</v>
      </c>
      <c r="F1081" s="23">
        <f t="shared" ca="1" si="114"/>
        <v>25</v>
      </c>
      <c r="G1081" s="40">
        <f t="shared" ca="1" si="115"/>
        <v>0</v>
      </c>
      <c r="H1081" s="23">
        <f t="shared" ca="1" si="116"/>
        <v>27</v>
      </c>
      <c r="I1081" s="40">
        <f t="shared" ca="1" si="117"/>
        <v>0</v>
      </c>
    </row>
    <row r="1082" spans="1:9" x14ac:dyDescent="0.25">
      <c r="A1082" s="17">
        <f t="shared" si="112"/>
        <v>81</v>
      </c>
      <c r="B1082" t="str">
        <f ca="1">TEXT(DATE(YEAR(Invoer!$A$5),1,1)+INT((ROWS(B$2:B1082)-1)/3),"jjjjmmdd")</f>
        <v>19201226</v>
      </c>
      <c r="C1082" s="35" t="str">
        <f>IF(MOD(ROWS(C$2:C1082)-1,3)=2,"24.00",INDEX(Data,2,2+MOD(ROWS(C$2:C1082)-1,3)))</f>
        <v>08.00</v>
      </c>
      <c r="D1082" s="23">
        <f t="shared" ca="1" si="118"/>
        <v>748.4</v>
      </c>
      <c r="E1082" s="40">
        <f t="shared" ca="1" si="113"/>
        <v>0</v>
      </c>
      <c r="F1082" s="23" t="str">
        <f t="shared" ca="1" si="114"/>
        <v>—</v>
      </c>
      <c r="G1082" s="40">
        <f t="shared" ca="1" si="115"/>
        <v>7</v>
      </c>
      <c r="H1082" s="23" t="str">
        <f t="shared" ca="1" si="116"/>
        <v>—</v>
      </c>
      <c r="I1082" s="40">
        <f t="shared" ca="1" si="117"/>
        <v>7</v>
      </c>
    </row>
    <row r="1083" spans="1:9" x14ac:dyDescent="0.25">
      <c r="A1083" s="17">
        <f t="shared" si="112"/>
        <v>81</v>
      </c>
      <c r="B1083" t="str">
        <f ca="1">TEXT(DATE(YEAR(Invoer!$A$5),1,1)+INT((ROWS(B$2:B1083)-1)/3),"jjjjmmdd")</f>
        <v>19201226</v>
      </c>
      <c r="C1083" s="35" t="str">
        <f>IF(MOD(ROWS(C$2:C1083)-1,3)=2,"24.00",INDEX(Data,2,2+MOD(ROWS(C$2:C1083)-1,3)))</f>
        <v>14.00</v>
      </c>
      <c r="D1083" s="23">
        <f t="shared" ca="1" si="118"/>
        <v>747</v>
      </c>
      <c r="E1083" s="40">
        <f t="shared" ca="1" si="113"/>
        <v>0</v>
      </c>
      <c r="F1083" s="23" t="str">
        <f t="shared" ca="1" si="114"/>
        <v>—</v>
      </c>
      <c r="G1083" s="40">
        <f t="shared" ca="1" si="115"/>
        <v>7</v>
      </c>
      <c r="H1083" s="23" t="str">
        <f t="shared" ca="1" si="116"/>
        <v>—</v>
      </c>
      <c r="I1083" s="40">
        <f t="shared" ca="1" si="117"/>
        <v>7</v>
      </c>
    </row>
    <row r="1084" spans="1:9" x14ac:dyDescent="0.25">
      <c r="A1084" s="17">
        <f t="shared" si="112"/>
        <v>81</v>
      </c>
      <c r="B1084" t="str">
        <f ca="1">TEXT(DATE(YEAR(Invoer!$A$5),1,1)+INT((ROWS(B$2:B1084)-1)/3),"jjjjmmdd")</f>
        <v>19201226</v>
      </c>
      <c r="C1084" s="35" t="str">
        <f>IF(MOD(ROWS(C$2:C1084)-1,3)=2,"24.00",INDEX(Data,2,2+MOD(ROWS(C$2:C1084)-1,3)))</f>
        <v>24.00</v>
      </c>
      <c r="D1084" s="23" t="str">
        <f t="shared" ca="1" si="118"/>
        <v>—</v>
      </c>
      <c r="E1084" s="40">
        <f t="shared" ca="1" si="113"/>
        <v>7</v>
      </c>
      <c r="F1084" s="23">
        <f t="shared" ca="1" si="114"/>
        <v>26</v>
      </c>
      <c r="G1084" s="40">
        <f t="shared" ca="1" si="115"/>
        <v>0</v>
      </c>
      <c r="H1084" s="23">
        <f t="shared" ca="1" si="116"/>
        <v>28</v>
      </c>
      <c r="I1084" s="40">
        <f t="shared" ca="1" si="117"/>
        <v>0</v>
      </c>
    </row>
    <row r="1085" spans="1:9" x14ac:dyDescent="0.25">
      <c r="A1085" s="17">
        <f t="shared" si="112"/>
        <v>81</v>
      </c>
      <c r="B1085" t="str">
        <f ca="1">TEXT(DATE(YEAR(Invoer!$A$5),1,1)+INT((ROWS(B$2:B1085)-1)/3),"jjjjmmdd")</f>
        <v>19201227</v>
      </c>
      <c r="C1085" s="35" t="str">
        <f>IF(MOD(ROWS(C$2:C1085)-1,3)=2,"24.00",INDEX(Data,2,2+MOD(ROWS(C$2:C1085)-1,3)))</f>
        <v>08.00</v>
      </c>
      <c r="D1085" s="23">
        <f t="shared" ca="1" si="118"/>
        <v>748.7</v>
      </c>
      <c r="E1085" s="40">
        <f t="shared" ca="1" si="113"/>
        <v>0</v>
      </c>
      <c r="F1085" s="23" t="str">
        <f t="shared" ca="1" si="114"/>
        <v>—</v>
      </c>
      <c r="G1085" s="40">
        <f t="shared" ca="1" si="115"/>
        <v>7</v>
      </c>
      <c r="H1085" s="23" t="str">
        <f t="shared" ca="1" si="116"/>
        <v>—</v>
      </c>
      <c r="I1085" s="40">
        <f t="shared" ca="1" si="117"/>
        <v>7</v>
      </c>
    </row>
    <row r="1086" spans="1:9" x14ac:dyDescent="0.25">
      <c r="A1086" s="17">
        <f t="shared" si="112"/>
        <v>81</v>
      </c>
      <c r="B1086" t="str">
        <f ca="1">TEXT(DATE(YEAR(Invoer!$A$5),1,1)+INT((ROWS(B$2:B1086)-1)/3),"jjjjmmdd")</f>
        <v>19201227</v>
      </c>
      <c r="C1086" s="35" t="str">
        <f>IF(MOD(ROWS(C$2:C1086)-1,3)=2,"24.00",INDEX(Data,2,2+MOD(ROWS(C$2:C1086)-1,3)))</f>
        <v>14.00</v>
      </c>
      <c r="D1086" s="23">
        <f t="shared" ca="1" si="118"/>
        <v>748.2</v>
      </c>
      <c r="E1086" s="40">
        <f t="shared" ca="1" si="113"/>
        <v>0</v>
      </c>
      <c r="F1086" s="23" t="str">
        <f t="shared" ca="1" si="114"/>
        <v>—</v>
      </c>
      <c r="G1086" s="40">
        <f t="shared" ca="1" si="115"/>
        <v>7</v>
      </c>
      <c r="H1086" s="23" t="str">
        <f t="shared" ca="1" si="116"/>
        <v>—</v>
      </c>
      <c r="I1086" s="40">
        <f t="shared" ca="1" si="117"/>
        <v>7</v>
      </c>
    </row>
    <row r="1087" spans="1:9" x14ac:dyDescent="0.25">
      <c r="A1087" s="17">
        <f t="shared" si="112"/>
        <v>81</v>
      </c>
      <c r="B1087" t="str">
        <f ca="1">TEXT(DATE(YEAR(Invoer!$A$5),1,1)+INT((ROWS(B$2:B1087)-1)/3),"jjjjmmdd")</f>
        <v>19201227</v>
      </c>
      <c r="C1087" s="35" t="str">
        <f>IF(MOD(ROWS(C$2:C1087)-1,3)=2,"24.00",INDEX(Data,2,2+MOD(ROWS(C$2:C1087)-1,3)))</f>
        <v>24.00</v>
      </c>
      <c r="D1087" s="23" t="str">
        <f t="shared" ca="1" si="118"/>
        <v>—</v>
      </c>
      <c r="E1087" s="40">
        <f t="shared" ca="1" si="113"/>
        <v>7</v>
      </c>
      <c r="F1087" s="23">
        <f t="shared" ca="1" si="114"/>
        <v>26</v>
      </c>
      <c r="G1087" s="40">
        <f t="shared" ca="1" si="115"/>
        <v>0</v>
      </c>
      <c r="H1087" s="23">
        <f t="shared" ca="1" si="116"/>
        <v>28</v>
      </c>
      <c r="I1087" s="40">
        <f t="shared" ca="1" si="117"/>
        <v>0</v>
      </c>
    </row>
    <row r="1088" spans="1:9" x14ac:dyDescent="0.25">
      <c r="A1088" s="17">
        <f t="shared" si="112"/>
        <v>81</v>
      </c>
      <c r="B1088" t="str">
        <f ca="1">TEXT(DATE(YEAR(Invoer!$A$5),1,1)+INT((ROWS(B$2:B1088)-1)/3),"jjjjmmdd")</f>
        <v>19201228</v>
      </c>
      <c r="C1088" s="35" t="str">
        <f>IF(MOD(ROWS(C$2:C1088)-1,3)=2,"24.00",INDEX(Data,2,2+MOD(ROWS(C$2:C1088)-1,3)))</f>
        <v>08.00</v>
      </c>
      <c r="D1088" s="23">
        <f t="shared" ca="1" si="118"/>
        <v>747</v>
      </c>
      <c r="E1088" s="40">
        <f t="shared" ca="1" si="113"/>
        <v>0</v>
      </c>
      <c r="F1088" s="23" t="str">
        <f t="shared" ca="1" si="114"/>
        <v>—</v>
      </c>
      <c r="G1088" s="40">
        <f t="shared" ca="1" si="115"/>
        <v>7</v>
      </c>
      <c r="H1088" s="23" t="str">
        <f t="shared" ca="1" si="116"/>
        <v>—</v>
      </c>
      <c r="I1088" s="40">
        <f t="shared" ca="1" si="117"/>
        <v>7</v>
      </c>
    </row>
    <row r="1089" spans="1:9" x14ac:dyDescent="0.25">
      <c r="A1089" s="17">
        <f t="shared" si="112"/>
        <v>81</v>
      </c>
      <c r="B1089" t="str">
        <f ca="1">TEXT(DATE(YEAR(Invoer!$A$5),1,1)+INT((ROWS(B$2:B1089)-1)/3),"jjjjmmdd")</f>
        <v>19201228</v>
      </c>
      <c r="C1089" s="35" t="str">
        <f>IF(MOD(ROWS(C$2:C1089)-1,3)=2,"24.00",INDEX(Data,2,2+MOD(ROWS(C$2:C1089)-1,3)))</f>
        <v>14.00</v>
      </c>
      <c r="D1089" s="23">
        <f t="shared" ca="1" si="118"/>
        <v>747.5</v>
      </c>
      <c r="E1089" s="40">
        <f t="shared" ca="1" si="113"/>
        <v>0</v>
      </c>
      <c r="F1089" s="23" t="str">
        <f t="shared" ca="1" si="114"/>
        <v>—</v>
      </c>
      <c r="G1089" s="40">
        <f t="shared" ca="1" si="115"/>
        <v>7</v>
      </c>
      <c r="H1089" s="23" t="str">
        <f t="shared" ca="1" si="116"/>
        <v>—</v>
      </c>
      <c r="I1089" s="40">
        <f t="shared" ca="1" si="117"/>
        <v>7</v>
      </c>
    </row>
    <row r="1090" spans="1:9" x14ac:dyDescent="0.25">
      <c r="A1090" s="17">
        <f t="shared" ref="A1090:A1099" si="119">INDEX(Stations,2,1)</f>
        <v>81</v>
      </c>
      <c r="B1090" t="str">
        <f ca="1">TEXT(DATE(YEAR(Invoer!$A$5),1,1)+INT((ROWS(B$2:B1090)-1)/3),"jjjjmmdd")</f>
        <v>19201228</v>
      </c>
      <c r="C1090" s="35" t="str">
        <f>IF(MOD(ROWS(C$2:C1090)-1,3)=2,"24.00",INDEX(Data,2,2+MOD(ROWS(C$2:C1090)-1,3)))</f>
        <v>24.00</v>
      </c>
      <c r="D1090" s="23" t="str">
        <f t="shared" ca="1" si="118"/>
        <v>—</v>
      </c>
      <c r="E1090" s="40">
        <f t="shared" ref="E1090:E1099" ca="1" si="120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7</v>
      </c>
      <c r="F1090" s="23">
        <f t="shared" ref="F1090:F1099" ca="1" si="121">IF(OR(ISBLANK(VLOOKUP(DATEVALUE(LEFT($B1090,4)&amp;"-"&amp;MID($B1090,5,2)&amp;"-"&amp;RIGHT($B1090,2)),Data,MATCH(LEFT(VLOOKUP(F$1,Parameters,2,FALSE()),4)&amp;"*",OFFSET(Data,1,0,1),0),FALSE())),ISTEXT(VLOOKUP(DATEVALUE(LEFT($B1090,4)&amp;"-"&amp;MID($B1090,5,2)&amp;"-"&amp;RIGHT($B1090,2)),Data,MATCH(LEFT(VLOOKUP(F$1,Parameters,2,FALSE()),4)&amp;"*",OFFSET(Data,1,0,1),0),FALSE())),NOT(EXACT($C1090,"24.00"))),"—",VLOOKUP(DATEVALUE(LEFT($B1090,4)&amp;"-"&amp;MID($B1090,5,2)&amp;"-"&amp;RIGHT($B1090,2)),Data,MATCH(LEFT(VLOOKUP(F$1,Parameters,2,FALSE()),4)&amp;"*",OFFSET(Data,1,0,1),0),FALSE()))</f>
        <v>24</v>
      </c>
      <c r="G1090" s="40">
        <f t="shared" ref="G1090:G1099" ca="1" si="122">IF(OR(ISBLANK(VLOOKUP(DATEVALUE(LEFT($B1090,4)&amp;"-"&amp;MID($B1090,5,2)&amp;"-"&amp;RIGHT($B1090,2)),Data,MATCH(LEFT(VLOOKUP(MID(G$1,2,LEN(G$1)-1),Parameters,2,FALSE()),4)&amp;"*",OFFSET(Data,1,0,1),0),FALSE())),ISTEXT(VLOOKUP(DATEVALUE(LEFT($B1090,4)&amp;"-"&amp;MID($B1090,5,2)&amp;"-"&amp;RIGHT($B1090,2)),Data,MATCH(LEFT(VLOOKUP(MID(G$1,2,LEN(G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1,0,1),0),FALSE())))</f>
        <v>0</v>
      </c>
      <c r="H1090" s="23">
        <f t="shared" ref="H1090:H1099" ca="1" si="123">IF(OR(ISBLANK(VLOOKUP(DATEVALUE(LEFT($B1090,4)&amp;"-"&amp;MID($B1090,5,2)&amp;"-"&amp;RIGHT($B1090,2)),Data,MATCH(LEFT(VLOOKUP(H$1,Parameters,2,FALSE()),4)&amp;"*",OFFSET(Data,1,0,1),0),FALSE())),ISTEXT(VLOOKUP(DATEVALUE(LEFT($B1090,4)&amp;"-"&amp;MID($B1090,5,2)&amp;"-"&amp;RIGHT($B1090,2)),Data,MATCH(LEFT(VLOOKUP(H$1,Parameters,2,FALSE()),4)&amp;"*",OFFSET(Data,1,0,1),0),FALSE())),NOT(EXACT($C1090,"24.00"))),"—",VLOOKUP(DATEVALUE(LEFT($B1090,4)&amp;"-"&amp;MID($B1090,5,2)&amp;"-"&amp;RIGHT($B1090,2)),Data,MATCH(LEFT(VLOOKUP(H$1,Parameters,2,FALSE()),4)&amp;"*",OFFSET(Data,1,0,1),0),FALSE()))</f>
        <v>26.5</v>
      </c>
      <c r="I1090" s="40">
        <f t="shared" ref="I1090:I1099" ca="1" si="124">IF(OR(ISBLANK(VLOOKUP(DATEVALUE(LEFT($B1090,4)&amp;"-"&amp;MID($B1090,5,2)&amp;"-"&amp;RIGHT($B1090,2)),Data,MATCH(LEFT(VLOOKUP(MID(I$1,2,LEN(I$1)-1),Parameters,2,FALSE()),4)&amp;"*",OFFSET(Data,1,0,1),0),FALSE())),ISTEXT(VLOOKUP(DATEVALUE(LEFT($B1090,4)&amp;"-"&amp;MID($B1090,5,2)&amp;"-"&amp;RIGHT($B1090,2)),Data,MATCH(LEFT(VLOOKUP(MID(I$1,2,LEN(I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I$1,2,LEN(I$1)-1),Parameters,2,FALSE()),4)&amp;"*",OFFSET(Catalogus,1,0,1),0),FALSE())))</f>
        <v>0</v>
      </c>
    </row>
    <row r="1091" spans="1:9" x14ac:dyDescent="0.25">
      <c r="A1091" s="17">
        <f t="shared" si="119"/>
        <v>81</v>
      </c>
      <c r="B1091" t="str">
        <f ca="1">TEXT(DATE(YEAR(Invoer!$A$5),1,1)+INT((ROWS(B$2:B1091)-1)/3),"jjjjmmdd")</f>
        <v>19201229</v>
      </c>
      <c r="C1091" s="35" t="str">
        <f>IF(MOD(ROWS(C$2:C1091)-1,3)=2,"24.00",INDEX(Data,2,2+MOD(ROWS(C$2:C1091)-1,3)))</f>
        <v>08.00</v>
      </c>
      <c r="D1091" s="23">
        <f t="shared" ref="D1091:D1099" ca="1" si="125">IF(OR(ISBLANK(VLOOKUP(DATEVALUE(LEFT($B1091,4)&amp;"-"&amp;MID($B1091,5,2)&amp;"-"&amp;RIGHT($B1091,2)),Data,MATCH(LEFT(VLOOKUP(D$1,Parameters,2,FALSE()),4)&amp;"*",OFFSET(Data,0,0,1),0)+MATCH($C1091,OFFSET(Data,1,0,1),0)-2,FALSE())),ISTEXT(VLOOKUP(DATEVALUE(LEFT($B1091,4)&amp;"-"&amp;MID($B1091,5,2)&amp;"-"&amp;RIGHT($B1091,2)),Data,MATCH(LEFT(VLOOKUP(D$1,Parameters,2,FALSE()),4)&amp;"*",OFFSET(Data,0,0,1),0)+MATCH($C1091,OFFSET(Data,1,0,1),0)-2,FALSE())),EXACT(C1091,"24.00")),"—",VLOOKUP(DATEVALUE(LEFT($B1091,4)&amp;"-"&amp;MID($B1091,5,2)&amp;"-"&amp;RIGHT($B1091,2)),Data,MATCH(LEFT(VLOOKUP(D$1,Parameters,2,FALSE()),4)&amp;"*",OFFSET(Data,0,0,1),0)+MATCH($C1091,OFFSET(Data,1,0,1),0)-2,FALSE()))</f>
        <v>748.5</v>
      </c>
      <c r="E1091" s="40">
        <f t="shared" ca="1" si="120"/>
        <v>0</v>
      </c>
      <c r="F1091" s="23" t="str">
        <f t="shared" ca="1" si="121"/>
        <v>—</v>
      </c>
      <c r="G1091" s="40">
        <f t="shared" ca="1" si="122"/>
        <v>7</v>
      </c>
      <c r="H1091" s="23" t="str">
        <f t="shared" ca="1" si="123"/>
        <v>—</v>
      </c>
      <c r="I1091" s="40">
        <f t="shared" ca="1" si="124"/>
        <v>7</v>
      </c>
    </row>
    <row r="1092" spans="1:9" x14ac:dyDescent="0.25">
      <c r="A1092" s="17">
        <f t="shared" si="119"/>
        <v>81</v>
      </c>
      <c r="B1092" t="str">
        <f ca="1">TEXT(DATE(YEAR(Invoer!$A$5),1,1)+INT((ROWS(B$2:B1092)-1)/3),"jjjjmmdd")</f>
        <v>19201229</v>
      </c>
      <c r="C1092" s="35" t="str">
        <f>IF(MOD(ROWS(C$2:C1092)-1,3)=2,"24.00",INDEX(Data,2,2+MOD(ROWS(C$2:C1092)-1,3)))</f>
        <v>14.00</v>
      </c>
      <c r="D1092" s="23">
        <f t="shared" ca="1" si="125"/>
        <v>747</v>
      </c>
      <c r="E1092" s="40">
        <f t="shared" ca="1" si="120"/>
        <v>0</v>
      </c>
      <c r="F1092" s="23" t="str">
        <f t="shared" ca="1" si="121"/>
        <v>—</v>
      </c>
      <c r="G1092" s="40">
        <f t="shared" ca="1" si="122"/>
        <v>7</v>
      </c>
      <c r="H1092" s="23" t="str">
        <f t="shared" ca="1" si="123"/>
        <v>—</v>
      </c>
      <c r="I1092" s="40">
        <f t="shared" ca="1" si="124"/>
        <v>7</v>
      </c>
    </row>
    <row r="1093" spans="1:9" x14ac:dyDescent="0.25">
      <c r="A1093" s="17">
        <f t="shared" si="119"/>
        <v>81</v>
      </c>
      <c r="B1093" t="str">
        <f ca="1">TEXT(DATE(YEAR(Invoer!$A$5),1,1)+INT((ROWS(B$2:B1093)-1)/3),"jjjjmmdd")</f>
        <v>19201229</v>
      </c>
      <c r="C1093" s="35" t="str">
        <f>IF(MOD(ROWS(C$2:C1093)-1,3)=2,"24.00",INDEX(Data,2,2+MOD(ROWS(C$2:C1093)-1,3)))</f>
        <v>24.00</v>
      </c>
      <c r="D1093" s="23" t="str">
        <f t="shared" ca="1" si="125"/>
        <v>—</v>
      </c>
      <c r="E1093" s="40">
        <f t="shared" ca="1" si="120"/>
        <v>7</v>
      </c>
      <c r="F1093" s="23">
        <f t="shared" ca="1" si="121"/>
        <v>24</v>
      </c>
      <c r="G1093" s="40">
        <f t="shared" ca="1" si="122"/>
        <v>0</v>
      </c>
      <c r="H1093" s="23">
        <f t="shared" ca="1" si="123"/>
        <v>27.5</v>
      </c>
      <c r="I1093" s="40">
        <f t="shared" ca="1" si="124"/>
        <v>0</v>
      </c>
    </row>
    <row r="1094" spans="1:9" x14ac:dyDescent="0.25">
      <c r="A1094" s="17">
        <f t="shared" si="119"/>
        <v>81</v>
      </c>
      <c r="B1094" t="str">
        <f ca="1">TEXT(DATE(YEAR(Invoer!$A$5),1,1)+INT((ROWS(B$2:B1094)-1)/3),"jjjjmmdd")</f>
        <v>19201230</v>
      </c>
      <c r="C1094" s="35" t="str">
        <f>IF(MOD(ROWS(C$2:C1094)-1,3)=2,"24.00",INDEX(Data,2,2+MOD(ROWS(C$2:C1094)-1,3)))</f>
        <v>08.00</v>
      </c>
      <c r="D1094" s="23">
        <f t="shared" ca="1" si="125"/>
        <v>748.5</v>
      </c>
      <c r="E1094" s="40">
        <f t="shared" ca="1" si="120"/>
        <v>0</v>
      </c>
      <c r="F1094" s="23" t="str">
        <f t="shared" ca="1" si="121"/>
        <v>—</v>
      </c>
      <c r="G1094" s="40">
        <f t="shared" ca="1" si="122"/>
        <v>7</v>
      </c>
      <c r="H1094" s="23" t="str">
        <f t="shared" ca="1" si="123"/>
        <v>—</v>
      </c>
      <c r="I1094" s="40">
        <f t="shared" ca="1" si="124"/>
        <v>7</v>
      </c>
    </row>
    <row r="1095" spans="1:9" x14ac:dyDescent="0.25">
      <c r="A1095" s="17">
        <f t="shared" si="119"/>
        <v>81</v>
      </c>
      <c r="B1095" t="str">
        <f ca="1">TEXT(DATE(YEAR(Invoer!$A$5),1,1)+INT((ROWS(B$2:B1095)-1)/3),"jjjjmmdd")</f>
        <v>19201230</v>
      </c>
      <c r="C1095" s="35" t="str">
        <f>IF(MOD(ROWS(C$2:C1095)-1,3)=2,"24.00",INDEX(Data,2,2+MOD(ROWS(C$2:C1095)-1,3)))</f>
        <v>14.00</v>
      </c>
      <c r="D1095" s="23">
        <f t="shared" ca="1" si="125"/>
        <v>747</v>
      </c>
      <c r="E1095" s="40">
        <f t="shared" ca="1" si="120"/>
        <v>0</v>
      </c>
      <c r="F1095" s="23" t="str">
        <f t="shared" ca="1" si="121"/>
        <v>—</v>
      </c>
      <c r="G1095" s="40">
        <f t="shared" ca="1" si="122"/>
        <v>7</v>
      </c>
      <c r="H1095" s="23" t="str">
        <f t="shared" ca="1" si="123"/>
        <v>—</v>
      </c>
      <c r="I1095" s="40">
        <f t="shared" ca="1" si="124"/>
        <v>7</v>
      </c>
    </row>
    <row r="1096" spans="1:9" x14ac:dyDescent="0.25">
      <c r="A1096" s="17">
        <f t="shared" si="119"/>
        <v>81</v>
      </c>
      <c r="B1096" t="str">
        <f ca="1">TEXT(DATE(YEAR(Invoer!$A$5),1,1)+INT((ROWS(B$2:B1096)-1)/3),"jjjjmmdd")</f>
        <v>19201230</v>
      </c>
      <c r="C1096" s="35" t="str">
        <f>IF(MOD(ROWS(C$2:C1096)-1,3)=2,"24.00",INDEX(Data,2,2+MOD(ROWS(C$2:C1096)-1,3)))</f>
        <v>24.00</v>
      </c>
      <c r="D1096" s="23" t="str">
        <f t="shared" ca="1" si="125"/>
        <v>—</v>
      </c>
      <c r="E1096" s="40">
        <f t="shared" ca="1" si="120"/>
        <v>7</v>
      </c>
      <c r="F1096" s="23">
        <f t="shared" ca="1" si="121"/>
        <v>25</v>
      </c>
      <c r="G1096" s="40">
        <f t="shared" ca="1" si="122"/>
        <v>0</v>
      </c>
      <c r="H1096" s="23">
        <f t="shared" ca="1" si="123"/>
        <v>26.5</v>
      </c>
      <c r="I1096" s="40">
        <f t="shared" ca="1" si="124"/>
        <v>0</v>
      </c>
    </row>
    <row r="1097" spans="1:9" x14ac:dyDescent="0.25">
      <c r="A1097" s="17">
        <f t="shared" si="119"/>
        <v>81</v>
      </c>
      <c r="B1097" t="str">
        <f ca="1">TEXT(DATE(YEAR(Invoer!$A$5),1,1)+INT((ROWS(B$2:B1097)-1)/3),"jjjjmmdd")</f>
        <v>19201231</v>
      </c>
      <c r="C1097" s="35" t="str">
        <f>IF(MOD(ROWS(C$2:C1097)-1,3)=2,"24.00",INDEX(Data,2,2+MOD(ROWS(C$2:C1097)-1,3)))</f>
        <v>08.00</v>
      </c>
      <c r="D1097" s="23">
        <f t="shared" ca="1" si="125"/>
        <v>746.2</v>
      </c>
      <c r="E1097" s="40">
        <f t="shared" ca="1" si="120"/>
        <v>0</v>
      </c>
      <c r="F1097" s="23" t="str">
        <f t="shared" ca="1" si="121"/>
        <v>—</v>
      </c>
      <c r="G1097" s="40">
        <f t="shared" ca="1" si="122"/>
        <v>7</v>
      </c>
      <c r="H1097" s="23" t="str">
        <f t="shared" ca="1" si="123"/>
        <v>—</v>
      </c>
      <c r="I1097" s="40">
        <f t="shared" ca="1" si="124"/>
        <v>7</v>
      </c>
    </row>
    <row r="1098" spans="1:9" x14ac:dyDescent="0.25">
      <c r="A1098" s="17">
        <f t="shared" si="119"/>
        <v>81</v>
      </c>
      <c r="B1098" t="str">
        <f ca="1">TEXT(DATE(YEAR(Invoer!$A$5),1,1)+INT((ROWS(B$2:B1098)-1)/3),"jjjjmmdd")</f>
        <v>19201231</v>
      </c>
      <c r="C1098" s="35" t="str">
        <f>IF(MOD(ROWS(C$2:C1098)-1,3)=2,"24.00",INDEX(Data,2,2+MOD(ROWS(C$2:C1098)-1,3)))</f>
        <v>14.00</v>
      </c>
      <c r="D1098" s="23">
        <f t="shared" ca="1" si="125"/>
        <v>746.8</v>
      </c>
      <c r="E1098" s="40">
        <f t="shared" ca="1" si="120"/>
        <v>0</v>
      </c>
      <c r="F1098" s="23" t="str">
        <f t="shared" ca="1" si="121"/>
        <v>—</v>
      </c>
      <c r="G1098" s="40">
        <f t="shared" ca="1" si="122"/>
        <v>7</v>
      </c>
      <c r="H1098" s="23" t="str">
        <f t="shared" ca="1" si="123"/>
        <v>—</v>
      </c>
      <c r="I1098" s="40">
        <f t="shared" ca="1" si="124"/>
        <v>7</v>
      </c>
    </row>
    <row r="1099" spans="1:9" x14ac:dyDescent="0.25">
      <c r="A1099" s="17">
        <f t="shared" si="119"/>
        <v>81</v>
      </c>
      <c r="B1099" t="str">
        <f ca="1">TEXT(DATE(YEAR(Invoer!$A$5),1,1)+INT((ROWS(B$2:B1099)-1)/3),"jjjjmmdd")</f>
        <v>19201231</v>
      </c>
      <c r="C1099" s="35" t="str">
        <f>IF(MOD(ROWS(C$2:C1099)-1,3)=2,"24.00",INDEX(Data,2,2+MOD(ROWS(C$2:C1099)-1,3)))</f>
        <v>24.00</v>
      </c>
      <c r="D1099" s="23" t="str">
        <f t="shared" ca="1" si="125"/>
        <v>—</v>
      </c>
      <c r="E1099" s="40">
        <f t="shared" ca="1" si="120"/>
        <v>7</v>
      </c>
      <c r="F1099" s="23">
        <f t="shared" ca="1" si="121"/>
        <v>26</v>
      </c>
      <c r="G1099" s="40">
        <f t="shared" ca="1" si="122"/>
        <v>0</v>
      </c>
      <c r="H1099" s="23">
        <f t="shared" ca="1" si="123"/>
        <v>28</v>
      </c>
      <c r="I1099" s="40">
        <f t="shared" ca="1" si="124"/>
        <v>0</v>
      </c>
    </row>
  </sheetData>
  <pageMargins left="0.7" right="0.7" top="0.75" bottom="0.75" header="0.3" footer="0.3"/>
  <ignoredErrors>
    <ignoredError sqref="G2 H2 G3:G1099 H3:H109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9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081, 19200101, 1,   48, 00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081, 19200102, 1,    0, 00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081, 19200103, 1,    0, 00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081, 19200104, 1,    0, 00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081, 19200105, 1,    0, 00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081, 19200106, 1,  118, 00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081, 19200107, 1,   24, 00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081, 19200108, 1,    0, 00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081, 19200109, 1,   12, 00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081, 19200110, 1,   18, 00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081, 19200111, 1,    0, 00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081, 19200112, 1,   34, 00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081, 19200113, 1,    0, 00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081, 19200114, 1,    0, 00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081, 19200115, 1,    0, 00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081, 19200116, 1,   35, 00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081, 19200117, 1,    0, 00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081, 19200118, 1,   65, 00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081, 19200119, 1,   42, 00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081, 19200120, 1,    0, 00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081, 19200121, 1,   56, 00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081, 19200122, 1,  127, 00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081, 19200123, 1,   17, 00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081, 19200124, 1,   18, 00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081, 19200125, 1,  102, 00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081, 19200126, 1,   11, 00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081, 19200127, 1,   24, 00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081, 19200128, 1,   16, 00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081, 19200129, 1,   27, 00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081, 19200130, 1,   19, 00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081, 19200131, 1,   67, 00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081, 19200201, 1,   81, 00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081, 19200202, 1,    0, 00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081, 19200203, 1,    0, 00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081, 19200204, 1,   59, 00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081, 19200205, 1,   13, 00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081, 19200206, 1,   39, 00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081, 19200207, 1,    0, 00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081, 19200208, 1,    0, 00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081, 19200209, 1,    0, 00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081, 19200210, 1,    0, 00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081, 19200211, 1,  128, 00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081, 19200212, 1,   31, 00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081, 19200213, 1,   16, 00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081, 19200214, 1,   17, 00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19200215, 1, ////, 07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081, 19200216, 1,   22, 04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081, 19200217, 1,    0, 00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081, 19200218, 1,    0, 00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19200219, 1, ////, 07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081, 19200220, 1,    7, 04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081, 19200221, 1,    0, 00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081, 19200222, 1,    0, 00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081, 19200223, 1,  200, 00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081, 19200224, 1,   10, 00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081, 19200225, 1,    0, 00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081, 19200226, 1,    0, 00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081, 19200227, 1,    0, 00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081, 19200228, 1,    0, 00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081, 19200229, 1,    0, 00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081, 19200301, 1,    0, 00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081, 19200302, 1,    0, 00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081, 19200303, 1,   15, 00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081, 19200304, 1,    0, 00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081, 19200305, 1,    0, 00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081, 19200306, 1,    0, 00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081, 19200307, 1,    0, 00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081, 19200308, 1,   15, 00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081, 19200309, 1,   10, 00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081, 19200310, 1,   12, 00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081, 19200311, 1,   32, 00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081, 19200312, 1,   16, 00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081, 19200313, 1,    5, 00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081, 19200314, 1,    0, 00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081, 19200315, 1,    0, 00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081, 19200316, 1,    0, 00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081, 19200317, 1,   12, 00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081, 19200318, 1,   25, 00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081, 19200319, 1,   13, 00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081, 19200320, 1,   22, 00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081, 19200321, 1,    0, 00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081, 19200322, 1,    0, 00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081, 19200323, 1,    0, 00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081, 19200324, 1,    0, 00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081, 19200325, 1,  118, 00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081, 19200326, 1,  146, 00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081, 19200327, 1,    0, 00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081, 19200328, 1,    0, 00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081, 19200329, 1,   30, 00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081, 19200330, 1,    7, 00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081, 19200331, 1,   48, 00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081, 19200401, 1,    0, 00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081, 19200402, 1,    0, 00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081, 19200403, 1,    0, 00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081, 19200404, 1,    0, 00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081, 19200405, 1,    0, 00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081, 19200406, 1,    3, 00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081, 19200407, 1,    0, 00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081, 19200408, 1,    0, 00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081, 19200409, 1,    0, 00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081, 19200410, 1,    0, 00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081, 19200411, 1,    0, 00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081, 19200412, 1,    0, 00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081, 19200413, 1,    0, 00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081, 19200414, 1,    0, 00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081, 19200415, 1,    0, 00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081, 19200416, 1,    0, 00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081, 19200417, 1,    0, 00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081, 19200418, 1,    0, 00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081, 19200419, 1,    0, 00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081, 19200420, 1,    0, 00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081, 19200421, 1,    0, 00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081, 19200422, 1,    0, 00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081, 19200423, 1,    0, 00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081, 19200424, 1,    0, 00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081, 19200425, 1,    0, 00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081, 19200426, 1,    0, 00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081, 19200427, 1,    0, 00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081, 19200428, 1,    0, 00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081, 19200429, 1,    0, 00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081, 19200430, 1,    0, 00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081, 19200501, 1,    0, 00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081, 19200502, 1,    0, 00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081, 19200503, 1,    0, 00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081, 19200504, 1,    0, 00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081, 19200505, 1,    0, 00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081, 19200506, 1,    0, 00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081, 19200507, 1,    0, 00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081, 19200508, 1,    0, 00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081, 19200509, 1,    0, 00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081, 19200510, 1,    0, 00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081, 19200511, 1,   26, 00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081, 19200512, 1,   20, 00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081, 19200513, 1,   20, 00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081, 19200514, 1,   10, 00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081, 19200515, 1,    0, 00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081, 19200516, 1,   40, 00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081, 19200517, 1,    0, 00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081, 19200518, 1,  132, 00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081, 19200519, 1,    0, 00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081, 19200520, 1,   61, 00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081, 19200521, 1,    0, 00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081, 19200522, 1,    0, 00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081, 19200523, 1,    0, 00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081, 19200524, 1,    0, 00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081, 19200525, 1,  144, 00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081, 19200526, 1,   17, 00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081, 19200527, 1,    0, 00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081, 19200528, 1,    0, 00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081, 19200529, 1,    0, 00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081, 19200530, 1,    0, 00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081, 19200531, 1,    0, 00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081, 19200601, 1,    4, 00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081, 19200602, 1,   10, 00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081, 19200603, 1,    0, 00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081, 19200604, 1,    0, 00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081, 19200605, 1,    9, 00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081, 19200606, 1,    0, 00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081, 19200607, 1,    9, 00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081, 19200608, 1,   40, 00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081, 19200609, 1,    0, 00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081, 19200610, 1,    0, 00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081, 19200611, 1,    0, 00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081, 19200612, 1,    0, 00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081, 19200613, 1,    0, 00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081, 19200614, 1,    0, 00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081, 19200615, 1,   25, 00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081, 19200616, 1,    0, 00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081, 19200617, 1,    7, 00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081, 19200618, 1,    0, 00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081, 19200619, 1,   50, 00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081, 19200620, 1,    0, 00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081, 19200621, 1,    5, 00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081, 19200622, 1,    0, 00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081, 19200623, 1,   14, 00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081, 19200624, 1,   30, 00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081, 19200625, 1,    0, 00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081, 19200626, 1,    0, 00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081, 19200627, 1,  140, 00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081, 19200628, 1,    0, 00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081, 19200629, 1,   10, 00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081, 19200630, 1,   15, 00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081, 19200701, 1,   47, 00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081, 19200702, 1,    0, 00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081, 19200703, 1,    0, 00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081, 19200704, 1,    2, 00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081, 19200705, 1,   30, 00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081, 19200706, 1,    0, 00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081, 19200707, 1,    9, 00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081, 19200708, 1,   35, 00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081, 19200709, 1,    0, 00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081, 19200710, 1,  135, 00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081, 19200711, 1,    0, 00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081, 19200712, 1,    3, 00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081, 19200713, 1,   12, 00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081, 19200714, 1,   40, 00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081, 19200715, 1,   30, 00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081, 19200716, 1,    0, 00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081, 19200717, 1,    0, 00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081, 19200718, 1,    0, 00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081, 19200719, 1,   73, 00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081, 19200720, 1,    0, 00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081, 19200721, 1,    8, 00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081, 19200722, 1,    0, 00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081, 19200723, 1,    0, 00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081, 19200724, 1,    0, 00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081, 19200725, 1,    0, 00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081, 19200726, 1,    0, 00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081, 19200727, 1,    0, 00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081, 19200728, 1,   30, 00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081, 19200729, 1,    0, 00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081, 19200730, 1,    0, 00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081, 19200731, 1,    5, 00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081, 19200801, 1,    0, 00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081, 19200802, 1,    5, 00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081, 19200803, 1,  130, 00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081, 19200804, 1,    1, 00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081, 19200805, 1,    0, 00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081, 19200806, 1,   25, 00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081, 19200807, 1,    0, 00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081, 19200808, 1,    0, 00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081, 19200809, 1,   42, 00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081, 19200810, 1,    0, 00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081, 19200811, 1,    0, 00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081, 19200812, 1,    0, 00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081, 19200813, 1,    0, 00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081, 19200814, 1,    8, 00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081, 19200815, 1,    0, 00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081, 19200816, 1,   38, 00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081, 19200817, 1,    0, 00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081, 19200818, 1,    0, 00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081, 19200819, 1,    0, 00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081, 19200820, 1,    0, 00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081, 19200821, 1,    0, 00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081, 19200822, 1,    0, 00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081, 19200823, 1,    0, 00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081, 19200824, 1,    0, 00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081, 19200825, 1,    0, 00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081, 19200826, 1,   40, 00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081, 19200827, 1,   50, 00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081, 19200828, 1,   60, 00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081, 19200829, 1,  135, 00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081, 19200830, 1,    0, 00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081, 19200831, 1,   55, 00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081, 19200901, 1,    0, 00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081, 19200902, 1,    0, 00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081, 19200903, 1,    5, 00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081, 19200904, 1,    0, 00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081, 19200905, 1,    0, 00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081, 19200906, 1,   42, 00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081, 19200907, 1,   58, 00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081, 19200908, 1,   70, 00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081, 19200909, 1,   58, 00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081, 19200910, 1,    0, 00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081, 19200911, 1,    0, 00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081, 19200912, 1,    0, 00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081, 19200913, 1,    5, 00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081, 19200914, 1,    0, 00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081, 19200915, 1,   76, 00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081, 19200916, 1,    0, 00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081, 19200917, 1,   10, 00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081, 19200918, 1,   36, 00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081, 19200919, 1,   34, 00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081, 19200920, 1,   80, 00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081, 19200921, 1,   60, 00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081, 19200922, 1,   23, 00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081, 19200923, 1,    4, 00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081, 19200924, 1,   42, 00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081, 19200925, 1,    0, 00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081, 19200926, 1,   40, 00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081, 19200927, 1,    0, 00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081, 19200928, 1,    0, 00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081, 19200929, 1,   15, 00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081, 19200930, 1,    0, 00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081, 19201001, 1,    6, 00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081, 19201002, 1,    0, 00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081, 19201003, 1,    0, 00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081, 19201004, 1,    0, 00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081, 19201005, 1,    0, 00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081, 19201006, 1,    0, 00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081, 19201007, 1,    0, 00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081, 19201008, 1,    0, 00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081, 19201009, 1,   37, 00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081, 19201010, 1,   10, 00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081, 19201011, 1,   15, 00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081, 19201012, 1,   45, 00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081, 19201013, 1,    0, 00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081, 19201014, 1,    0, 00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081, 19201015, 1,    0, 00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081, 19201016, 1,    0, 00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081, 19201017, 1,    0, 00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081, 19201018, 1,   30, 00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081, 19201019, 1,    0, 00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081, 19201020, 1,   40, 00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081, 19201021, 1,  143, 00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081, 19201022, 1,    0, 00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081, 19201023, 1,   97, 00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081, 19201024, 1,   19, 00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081, 19201025, 1,    0, 00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081, 19201026, 1,   22, 00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081, 19201027, 1,   13, 00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081, 19201028, 1,   40, 00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081, 19201029, 1,    0, 00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081, 19201030, 1,    0, 00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081, 19201031, 1,  500, 00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081, 19201101, 1,  208, 00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081, 19201102, 1,   88, 00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081, 19201103, 1,  230, 00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081, 19201104, 1,    0, 00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081, 19201105, 1,  250, 00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081, 19201106, 1,    9, 00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081, 19201107, 1,    0, 00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081, 19201108, 1,    0, 00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081, 19201109, 1,   21, 00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081, 19201110, 1,   71, 00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081, 19201111, 1,   35, 00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081, 19201112, 1,   90, 00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081, 19201113, 1,   52, 00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081, 19201114, 1,    0, 00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081, 19201115, 1,   82, 00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081, 19201116, 1,   58, 00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081, 19201117, 1,   72, 00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081, 19201118, 1,  132, 00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081, 19201119, 1,   80, 00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081, 19201120, 1,   15, 00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081, 19201121, 1,    0, 00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081, 19201122, 1,    0, 00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081, 19201123, 1,   11, 00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081, 19201124, 1,    0, 00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081, 19201125, 1,  140, 00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081, 19201126, 1,    0, 00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081, 19201127, 1,    0, 00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081, 19201128, 1,    0, 00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081, 19201129, 1,    6, 00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081, 19201130, 1,   40, 00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081, 19201201, 1,   30, 00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081, 19201202, 1,   35, 00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081, 19201203, 1,   23, 00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081, 19201204, 1,    0, 00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081, 19201205, 1,    0, 00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081, 19201206, 1,    4, 00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081, 19201207, 1,    0, 00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081, 19201208, 1,    8, 00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081, 19201209, 1,   42, 00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081, 19201210, 1,    0, 00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081, 19201211, 1,    0, 00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081, 19201212, 1,  100, 00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081, 19201213, 1,   82, 00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081, 19201214, 1,    0, 00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081, 19201215, 1,    0, 00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081, 19201216, 1,    0, 00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081, 19201217, 1,    0, 00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081, 19201218, 1,   53, 00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081, 19201219, 1,    0, 00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081, 19201220, 1,   55, 00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081, 19201221, 1,    0, 00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081, 19201222, 1,   20, 00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081, 19201223, 1,   16, 00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081, 19201224, 1,  132, 00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081, 19201225, 1,   43, 00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081, 19201226, 1,    0, 00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081, 19201227, 1,    0, 00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081, 19201228, 1,  305, 00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081, 19201229, 1,  312, 00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081, 19201230, 1,    2, 00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081, 19201231, 1,   15, 00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083, 19200101, 1,   14, 00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083, 19200102, 1,    0, 00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083, 19200103, 1,    0, 00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083, 19200104, 1,    0, 00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083, 19200105, 1,   50, 00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083, 19200106, 1,    0, 00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083, 19200107, 1,    0, 00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083, 19200108, 1,    0, 00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083, 19200109, 1,   25, 00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083, 19200110, 1,    0, 00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083, 19200111, 1,    0, 00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083, 19200112, 1,    0, 00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083, 19200113, 1,    0, 00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083, 19200114, 1,   65, 00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083, 19200115, 1,    0, 00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083, 19200116, 1,    0, 00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083, 19200117, 1,    0, 00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083, 19200118, 1,    0, 00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083, 19200119, 1,   78, 00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083, 19200120, 1,    0, 00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083, 19200121, 1,    0, 00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083, 19200122, 1,  119, 00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083, 19200123, 1,   10, 00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083, 19200124, 1,   10, 00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083, 19200125, 1,  120, 00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083, 19200126, 1,   10, 00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083, 19200127, 1,   10, 00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083, 19200128, 1,   15, 00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083, 19200129, 1,    0, 00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083, 19200130, 1,   14, 00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083, 19200131, 1,   72, 00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083, 19200201, 1,   10, 00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083, 19200202, 1,   51, 00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083, 19200203, 1,   21, 00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083, 19200204, 1,   42, 00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083, 19200205, 1,    0, 00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083, 19200206, 1,    0, 00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083, 19200207, 1,    0, 00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083, 19200208, 1,   15, 00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083, 19200209, 1,    0, 00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083, 19200210, 1,  238, 00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083, 19200211, 1,    0, 00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083, 19200212, 1,    0, 00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083, 19200213, 1,    0, 00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083, 19200214, 1,   25, 00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083, 19200215, 1,   11, 00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083, 19200216, 1,    0, 00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083, 19200217, 1,    0, 00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083, 19200218, 1,    0, 00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083, 19200219, 1,    0, 00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083, 19200220, 1,    0, 00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083, 19200221, 1,    0, 00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083, 19200222, 1,  236, 00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083, 19200223, 1,   28, 00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083, 19200224, 1,    0, 00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083, 19200225, 1,    0, 00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083, 19200226, 1,    0, 00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083, 19200227, 1,    3, 00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083, 19200228, 1,    0, 00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083, 19200229, 1,    0, 00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083, 19200301, 1,    0, 00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083, 19200302, 1,   14, 00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083, 19200303, 1,    0, 00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083, 19200304, 1,    0, 00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083, 19200305, 1,    0, 00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083, 19200306, 1,    0, 00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083, 19200307, 1,    0, 00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083, 19200308, 1,   25, 00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083, 19200309, 1,    0, 00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083, 19200310, 1,   13, 00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083, 19200311, 1,   17, 00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083, 19200312, 1,    0, 00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083, 19200313, 1,    0, 00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083, 19200314, 1,    0, 00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083, 19200315, 1,   24, 00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083, 19200316, 1,    0, 00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083, 19200317, 1,    0, 00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083, 19200318, 1,   35, 00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083, 19200319, 1,   12, 00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083, 19200320, 1,    0, 00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083, 19200321, 1,    0, 00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083, 19200322, 1,    0, 00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083, 19200323, 1,    0, 00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083, 19200324, 1,   65, 00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083, 19200325, 1,  233, 00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083, 19200326, 1,    0, 00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083, 19200327, 1,    0, 00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083, 19200328, 1,    0, 00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083, 19200329, 1,   11, 00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083, 19200330, 1,   50, 00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083, 19200331, 1,    0, 00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083, 19200401, 1,    0, 00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083, 19200402, 1,    0, 00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083, 19200403, 1,    3, 00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083, 19200404, 1,    0, 00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083, 19200405, 1,    0, 00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083, 19200406, 1,    0, 00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083, 19200407, 1,    0, 00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083, 19200408, 1,    0, 00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083, 19200409, 1,    0, 00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083, 19200410, 1,    0, 00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083, 19200411, 1,    0, 00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083, 19200412, 1,    0, 00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083, 19200413, 1,    0, 00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083, 19200414, 1,    0, 00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083, 19200415, 1,    0, 00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083, 19200416, 1,    0, 00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083, 19200417, 1,    0, 00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083, 19200418, 1,    0, 00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083, 19200419, 1,    0, 00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083, 19200420, 1,    0, 00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083, 19200421, 1,    0, 00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083, 19200422, 1,    0, 00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083, 19200423, 1,    0, 00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083, 19200424, 1,    0, 00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083, 19200425, 1,    0, 00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083, 19200426, 1,    0, 00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083, 19200427, 1,    0, 00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083, 19200428, 1,    0, 00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083, 19200429, 1,    0, 00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083, 19200430, 1,    0, 00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083, 19200501, 1,    0, 00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083, 19200502, 1,    0, 00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083, 19200503, 1,    0, 00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083, 19200504, 1,    0, 00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083, 19200505, 1,    0, 00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083, 19200506, 1,    0, 00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083, 19200507, 1,    0, 00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083, 19200508, 1,   14, 00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083, 19200509, 1,    0, 00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083, 19200510, 1,   16, 00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083, 19200511, 1,   12, 00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083, 19200512, 1,   20, 00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083, 19200513, 1,   27, 00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083, 19200514, 1,    0, 00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083, 19200515, 1,    0, 00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083, 19200516, 1,   41, 00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083, 19200517, 1,   90, 00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083, 19200518, 1,    0, 00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083, 19200519, 1,   15, 00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083, 19200520, 1,    0, 00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083, 19200521, 1,    0, 00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083, 19200522, 1,    0, 00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083, 19200523, 1,    0, 00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083, 19200524, 1,    0, 00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083, 19200525, 1,   22, 00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083, 19200526, 1,    0, 00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083, 19200527, 1,    0, 00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083, 19200528, 1,    0, 00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083, 19200529, 1,    0, 00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083, 19200530, 1,    0, 00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083, 19200531, 1,    0, 00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083, 19200601, 1,    0, 00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083, 19200602, 1,    0, 00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083, 19200603, 1,    0, 00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083, 19200604, 1,    6, 00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083, 19200605, 1,    0, 00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083, 19200606, 1,    0, 00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083, 19200607, 1,    0, 00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083, 19200608, 1,  110, 00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083, 19200609, 1,    0, 00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083, 19200610, 1,    0, 00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083, 19200611, 1,    0, 00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083, 19200612, 1,    0, 00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083, 19200613, 1,    0, 00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083, 19200614, 1,   57, 00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083, 19200615, 1,    0, 00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083, 19200616, 1,    0, 00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083, 19200617, 1,    8, 00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083, 19200618, 1,   41, 00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083, 19200619, 1,    0, 00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083, 19200620, 1,    0, 00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083, 19200621, 1,    9, 00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083, 19200622, 1,   24, 00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083, 19200623, 1,   25, 00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083, 19200624, 1,    0, 00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083, 19200625, 1,    0, 00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083, 19200626, 1,  152, 00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083, 19200627, 1,    0, 00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083, 19200628, 1,    0, 00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083, 19200629, 1,   11, 00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083, 19200630, 1,   32, 00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083, 19200701, 1,    0, 00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083, 19200702, 1,    0, 00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083, 19200703, 1,    0, 00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083, 19200704, 1,    0, 00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083, 19200705, 1,    0, 00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083, 19200706, 1,   32, 00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083, 19200707, 1,    0, 00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083, 19200708, 1,   21, 00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083, 19200709, 1,  121, 00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083, 19200710, 1,    0, 00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083, 19200711, 1,    2, 00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083, 19200712, 1,    4, 00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083, 19200713, 1,   25, 00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083, 19200714, 1,   65, 00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083, 19200715, 1,    0, 00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083, 19200716, 1,    0, 00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083, 19200717, 1,    3, 00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083, 19200718, 1,   32, 00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083, 19200719, 1,    0, 00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083, 19200720, 1,   11, 00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083, 19200721, 1,    0, 00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083, 19200722, 1,    0, 00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083, 19200723, 1,    0, 00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083, 19200724, 1,    0, 00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083, 19200725, 1,    0, 00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083, 19200726, 1,    0, 00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083, 19200727, 1,    0, 00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083, 19200728, 1,    3, 00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083, 19200729, 1,    8, 00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083, 19200730, 1,    0, 00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083, 19200731, 1,    0, 00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083, 19200801, 1,    4, 00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083, 19200802, 1,   33, 00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083, 19200803, 1,    5, 00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083, 19200804, 1,    0, 00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083, 19200805, 1,   28, 00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083, 19200806, 1,    0, 00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083, 19200807, 1,    6, 00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083, 19200808, 1,   20, 00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083, 19200809, 1,    0, 00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083, 19200810, 1,    0, 00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083, 19200811, 1,    0, 00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083, 19200812, 1,    0, 00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083, 19200813, 1,    0, 00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083, 19200814, 1,    9, 00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083, 19200815, 1,    0, 00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083, 19200816, 1,   17, 00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083, 19200817, 1,   15, 00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083, 19200818, 1,    0, 00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083, 19200819, 1,    0, 00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083, 19200820, 1,    0, 00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083, 19200821, 1,    3, 00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083, 19200822, 1,   16, 00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083, 19200823, 1,    2, 00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083, 19200824, 1,    0, 00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083, 19200825, 1,   48, 00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083, 19200826, 1,   23, 00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083, 19200827, 1,   42, 00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083, 19200828, 1,   74, 00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083, 19200829, 1,   36, 00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083, 19200830, 1,    0, 00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083, 19200831, 1,   32, 00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083, 19200901, 1,    0, 00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083, 19200902, 1,    3, 00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083, 19200903, 1,    0, 00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083, 19200904, 1,    0, 00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083, 19200905, 1,   42, 00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083, 19200906, 1,    8, 00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083, 19200907, 1,   97, 00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083, 19200908, 1,   68, 00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083, 19200909, 1,   11, 00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083, 19200910, 1,    0, 00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083, 19200911, 1,    0, 00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083, 19200912, 1,    0, 00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083, 19200913, 1,   14, 00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083, 19200914, 1,    0, 00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083, 19200915, 1,   54, 00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083, 19200916, 1,    6, 00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083, 19200917, 1,   35, 00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083, 19200918, 1,    3, 00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083, 19200919, 1,   81, 00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083, 19200920, 1,   47, 00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083, 19200921, 1,   45, 00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083, 19200922, 1,    0, 00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083, 19200923, 1,   30, 00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083, 19200924, 1,    0, 00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083, 19200925, 1,   56, 00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083, 19200926, 1,    0, 00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083, 19200927, 1,    0, 00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083, 19200928, 1,    0, 00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083, 19200929, 1,   37, 00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083, 19200930, 1,    2, 00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083, 19201001, 1,    0, 00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083, 19201002, 1,    0, 00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083, 19201003, 1,    0, 00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083, 19201004, 1,    0, 00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083, 19201005, 1,    0, 00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083, 19201006, 1,    7, 00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083, 19201007, 1,    0, 00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083, 19201008, 1,    0, 00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083, 19201009, 1,   32, 00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083, 19201010, 1,   56, 00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083, 19201011, 1,   21, 00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083, 19201012, 1,    0, 00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083, 19201013, 1,    0, 00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083, 19201014, 1,    0, 00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083, 19201015, 1,    0, 00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083, 19201016, 1,    0, 00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083, 19201017, 1,    0, 00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083, 19201018, 1,    0, 00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083, 19201019, 1,   41, 00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083, 19201020, 1,   52, 00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083, 19201021, 1,    4, 00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083, 19201022, 1,    0, 00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083, 19201023, 1,  198, 00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083, 19201024, 1,    0, 00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083, 19201025, 1,   30, 00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083, 19201026, 1,    9, 00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083, 19201027, 1,   94, 00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083, 19201028, 1,    0, 00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083, 19201029, 1,   25, 00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083, 19201030, 1,    0, 00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083, 19201031, 1, 1311, 00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083, 19201101, 1,  128, 00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083, 19201102, 1,    5, 00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083, 19201103, 1,  110, 00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083, 19201104, 1,  224, 00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083, 19201105, 1,   14, 00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083, 19201106, 1,    4, 00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083, 19201107, 1,    1, 00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083, 19201108, 1,    0, 00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083, 19201109, 1,   77, 00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083, 19201110, 1,   38, 00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083, 19201111, 1,   17, 00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083, 19201112, 1,   78, 00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083, 19201113, 1,    6, 00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083, 19201114, 1,   74, 00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083, 19201115, 1,   43, 00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083, 19201116, 1,   95, 00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083, 19201117, 1,   48, 00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083, 19201118, 1,  125, 00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083, 19201119, 1,   21, 00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083, 19201120, 1,    0, 00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083, 19201121, 1,   28, 00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083, 19201122, 1,    1, 00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083, 19201123, 1,   85, 00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083, 19201124, 1,    0, 00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083, 19201125, 1,    0, 00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083, 19201126, 1,    0, 00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083, 19201127, 1,    0, 00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083, 19201128, 1,    1, 00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083, 19201129, 1,   28, 00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083, 19201130, 1,    0, 00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083, 19201201, 1,   34, 00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083, 19201202, 1,   40, 00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083, 19201203, 1,    0, 00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083, 19201204, 1,    0, 00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083, 19201205, 1,    0, 00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083, 19201206, 1,    0, 00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083, 19201207, 1,    0, 00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083, 19201208, 1,   31, 00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083, 19201209, 1,    0, 00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083, 19201210, 1,    0, 00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083, 19201211, 1,   61, 00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083, 19201212, 1,   46, 00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083, 19201213, 1,    7, 00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083, 19201214, 1,    0, 00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083, 19201215, 1,    0, 00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083, 19201216, 1,    1, 00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083, 19201217, 1,   46, 00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083, 19201218, 1,   15, 00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083, 19201219, 1,    0, 00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083, 19201220, 1,   25, 00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083, 19201221, 1,    1, 00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083, 19201222, 1,    0, 00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083, 19201223, 1,   83, 00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083, 19201224, 1,   27, 00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083, 19201225, 1,    0, 00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083, 19201226, 1,    0, 00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083, 19201227, 1,   26, 00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083, 19201228, 1,  308, 00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083, 19201229, 1,    0, 00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083, 19201230, 1,    0, 00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083, 19201231, 1,    0, 00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082, 19200101, 1,    0, 00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082, 19200102, 1,    0, 00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082, 19200103, 1,    0, 00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082, 19200104, 1,    0, 00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082, 19200105, 1,    0, 00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082, 19200106, 1,    0, 00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082, 19200107, 1,    0, 00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082, 19200108, 1,    0, 00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082, 19200109, 1,    0, 00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082, 19200110, 1,    0, 00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082, 19200111, 1,    0, 00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082, 19200112, 1,   68, 00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082, 19200113, 1,    0, 00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082, 19200114, 1,    0, 00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082, 19200115, 1,    0, 00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082, 19200116, 1,    0, 00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082, 19200117, 1,   65, 00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082, 19200118, 1,    0, 00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082, 19200119, 1,   82, 00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082, 19200120, 1,   70, 00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082, 19200121, 1,   48, 00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082, 19200122, 1,    0, 00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082, 19200123, 1,  160, 00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082, 19200124, 1,    0, 00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082, 19200125, 1,    0, 00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082, 19200126, 1,   80, 00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082, 19200127, 1,   70, 00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082, 19200128, 1,    0, 00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082, 19200129, 1,    0, 00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082, 19200130, 1,    0, 00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082, 19200131, 1,   60, 00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082, 19200201, 1,    0, 00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082, 19200202, 1,    0, 00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082, 19200203, 1,    0, 00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082, 19200204, 1,    0, 00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082, 19200205, 1,   43, 00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082, 19200206, 1,    0, 00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082, 19200207, 1,    0, 00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082, 19200208, 1,    0, 00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082, 19200209, 1,    0, 00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082, 19200210, 1,    0, 00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082, 19200211, 1,   68, 00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082, 19200212, 1,    0, 00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082, 19200213, 1,    0, 00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082, 19200214, 1,    0, 00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082, 19200215, 1,    0, 00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082, 19200216, 1,    0, 00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082, 19200217, 1,    0, 00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082, 19200218, 1,    0, 00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082, 19200219, 1,    0, 00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082, 19200220, 1,    0, 00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082, 19200221, 1,    0, 00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082, 19200222, 1,  120, 00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082, 19200223, 1,  190, 00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082, 19200224, 1,    0, 00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082, 19200225, 1,    0, 00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082, 19200226, 1,    0, 00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082, 19200227, 1,    0, 00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082, 19200228, 1,    0, 00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082, 19200229, 1,    0, 00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082, 19200301, 1,    0, 00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082, 19200302, 1,    0, 00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082, 19200303, 1,    0, 00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082, 19200304, 1,  110, 00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082, 19200305, 1,    0, 00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082, 19200306, 1,    0, 00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082, 19200307, 1,    0, 00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082, 19200308, 1,    0, 00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082, 19200309, 1,    0, 00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082, 19200310, 1,   78, 00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082, 19200311, 1,    0, 00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082, 19200312, 1,    0, 00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082, 19200313, 1,    0, 00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082, 19200314, 1,    0, 00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082, 19200315, 1,    0, 00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082, 19200316, 1,    0, 00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082, 19200317, 1,    0, 00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082, 19200318, 1,   42, 00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082, 19200319, 1,    0, 00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082, 19200320, 1,    0, 00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082, 19200321, 1,    0, 00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082, 19200322, 1,    0, 00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082, 19200323, 1,    0, 00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082, 19200324, 1,    0, 00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082, 19200325, 1,  140, 00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082, 19200326, 1,    0, 00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082, 19200327, 1,    0, 00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082, 19200328, 1,    0, 00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082, 19200329, 1,   75, 00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082, 19200330, 1,   15, 00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082, 19200331, 1,   78, 00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082, 19200401, 1,    0, 00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082, 19200402, 1,    0, 00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082, 19200403, 1,    0, 00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082, 19200404, 1,    0, 00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082, 19200405, 1,    0, 00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082, 19200406, 1,    0, 00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082, 19200407, 1,    0, 00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082, 19200408, 1,    0, 00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082, 19200409, 1,    0, 00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082, 19200410, 1,    0, 00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082, 19200411, 1,    0, 00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082, 19200412, 1,    0, 00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082, 19200413, 1,    0, 00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082, 19200414, 1,    0, 00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082, 19200415, 1,    0, 00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082, 19200416, 1,    0, 00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082, 19200417, 1,    0, 00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082, 19200418, 1,    0, 00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082, 19200419, 1,    0, 00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082, 19200420, 1,    0, 00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082, 19200421, 1,    0, 00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082, 19200422, 1,    0, 00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082, 19200423, 1,    0, 00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082, 19200424, 1,    0, 00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082, 19200425, 1,    0, 00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082, 19200426, 1,    0, 00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082, 19200427, 1,    0, 00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082, 19200428, 1,    0, 00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082, 19200429, 1,    0, 00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082, 19200430, 1,    0, 00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082, 19200501, 1,    0, 00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082, 19200502, 1,    0, 00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082, 19200503, 1,    0, 00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082, 19200504, 1,    0, 00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082, 19200505, 1,    0, 00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082, 19200506, 1,    0, 00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082, 19200507, 1,    0, 00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082, 19200508, 1,    0, 00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082, 19200509, 1,    0, 00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082, 19200510, 1,    0, 00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082, 19200511, 1,    0, 00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082, 19200512, 1,    0, 00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082, 19200513, 1,    0, 00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082, 19200514, 1,    0, 00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082, 19200515, 1,    0, 00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082, 19200516, 1,    0, 00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082, 19200517, 1,    0, 00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082, 19200518, 1,    0, 00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082, 19200519, 1,    0, 00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082, 19200520, 1,    0, 00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082, 19200521, 1,    0, 00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082, 19200522, 1,    0, 00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082, 19200523, 1,    0, 00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082, 19200524, 1,    0, 00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082, 19200525, 1,    0, 00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082, 19200526, 1,    0, 00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082, 19200527, 1,    0, 00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082, 19200528, 1,    0, 00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082, 19200529, 1,    0, 00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082, 19200530, 1,    0, 00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082, 19200531, 1,    0, 00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082, 19200601, 1,    0, 00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082, 19200602, 1,    0, 00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082, 19200603, 1,    0, 00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082, 19200604, 1,    0, 00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082, 19200605, 1,   40, 00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082, 19200606, 1,    0, 00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082, 19200607, 1,   16, 00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082, 19200608, 1,   60, 00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082, 19200609, 1,    0, 00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082, 19200610, 1,    0, 00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082, 19200611, 1,    0, 00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082, 19200612, 1,    0, 00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082, 19200613, 1,    0, 00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082, 19200614, 1,    0, 00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082, 19200615, 1,    0, 00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082, 19200616, 1,    0, 00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082, 19200617, 1,    0, 00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082, 19200618, 1,    0, 00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082, 19200619, 1,   90, 00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082, 19200620, 1,    0, 00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082, 19200621, 1,    0, 00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082, 19200622, 1,    0, 00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082, 19200623, 1,    0, 00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082, 19200624, 1,    0, 00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082, 19200625, 1,    0, 00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082, 19200626, 1,    0, 00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082, 19200627, 1,  180, 00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082, 19200628, 1,    0, 00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082, 19200629, 1,    0, 00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082, 19200630, 1,   75, 00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082, 19200701, 1,    0, 00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082, 19200702, 1,    0, 00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082, 19200703, 1,    0, 00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082, 19200704, 1,    0, 00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082, 19200705, 1,    0, 00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082, 19200706, 1,    0, 00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082, 19200707, 1,    0, 00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082, 19200708, 1,    0, 00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082, 19200709, 1,    0, 00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082, 19200710, 1,  145, 00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082, 19200711, 1,    0, 00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082, 19200712, 1,    0, 00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082, 19200713, 1,    0, 00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082, 19200714, 1,    0, 00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082, 19200715, 1,    0, 00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082, 19200716, 1,    0, 00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082, 19200717, 1,    0, 00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082, 19200718, 1,   90, 00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082, 19200719, 1,   60, 00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082, 19200720, 1,    0, 00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082, 19200721, 1,    0, 00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082, 19200722, 1,    0, 00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082, 19200723, 1,    0, 00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082, 19200724, 1,    0, 00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082, 19200725, 1,    0, 00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082, 19200726, 1,    0, 00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082, 19200727, 1,    0, 00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082, 19200728, 1,    0, 00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082, 19200729, 1,    0, 00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082, 19200730, 1,    0, 00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082, 19200731, 1,    0, 00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082, 19200801, 1,    0, 00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082, 19200802, 1,    0, 00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082, 19200803, 1,    0, 00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082, 19200804, 1,    0, 00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082, 19200805, 1,    0, 00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082, 19200806, 1,   40, 00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082, 19200807, 1,    0, 00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082, 19200808, 1,    0, 00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082, 19200809, 1,    0, 00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082, 19200810, 1,    0, 00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082, 19200811, 1,    0, 00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082, 19200812, 1,    0, 00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082, 19200813, 1,    0, 00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082, 19200814, 1,    0, 00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082, 19200815, 1,    0, 00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082, 19200816, 1,    0, 00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082, 19200817, 1,    0, 00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082, 19200818, 1,    0, 00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082, 19200819, 1,    0, 00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082, 19200820, 1,    0, 00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082, 19200821, 1,    0, 00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082, 19200822, 1,    0, 00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082, 19200823, 1,    0, 00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082, 19200824, 1,    0, 00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082, 19200825, 1,   50, 00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082, 19200826, 1,    0, 00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082, 19200827, 1,    0, 00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082, 19200828, 1,   70, 00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082, 19200829, 1,  100, 00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082, 19200830, 1,   65, 00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082, 19200831, 1,   75, 00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082, 19200901, 1,    0, 00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082, 19200902, 1,    0, 00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082, 19200903, 1,    0, 00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082, 19200904, 1,    0, 00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082, 19200905, 1,    0, 00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082, 19200906, 1,    0, 00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082, 19200907, 1,   70, 00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082, 19200908, 1,  100, 00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082, 19200909, 1,    0, 00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082, 19200910, 1,    0, 00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082, 19200911, 1,    0, 00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082, 19200912, 1,    0, 00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082, 19200913, 1,    0, 00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082, 19200914, 1,    0, 00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082, 19200915, 1,  120, 00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082, 19200916, 1,    0, 00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082, 19200917, 1,    0, 00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082, 19200918, 1,   30, 00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082, 19200919, 1,    0, 00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082, 19200920, 1,  160, 00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082, 19200921, 1,    0, 00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082, 19200922, 1,    0, 00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082, 19200923, 1,   93, 00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082, 19200924, 1,   42, 00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082, 19200925, 1,    0, 00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082, 19200926, 1,   40, 00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082, 19200927, 1,    0, 00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082, 19200928, 1,    0, 00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082, 19200929, 1,    0, 00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082, 19200930, 1,   40, 00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082, 19201001, 1,    0, 00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082, 19201002, 1,    0, 00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082, 19201003, 1,    0, 00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082, 19201004, 1,    0, 00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082, 19201005, 1,    0, 00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082, 19201006, 1,    0, 00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082, 19201007, 1,    0, 00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082, 19201008, 1,   80, 00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082, 19201009, 1,    0, 00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082, 19201010, 1,    0, 00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082, 19201011, 1,    0, 00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082, 19201012, 1,  150, 00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082, 19201013, 1,    0, 00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082, 19201014, 1,    0, 00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082, 19201015, 1,    0, 00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082, 19201016, 1,    0, 00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082, 19201017, 1,   70, 00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082, 19201018, 1,    0, 00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082, 19201019, 1,   48, 00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082, 19201020, 1,    0, 00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082, 19201021, 1,   60, 00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082, 19201022, 1,    0, 00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082, 19201023, 1,    0, 00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082, 19201024, 1,   57, 00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082, 19201025, 1,    0, 00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082, 19201026, 1,    0, 00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082, 19201027, 1,   20, 00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082, 19201028, 1,   30, 00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082, 19201029, 1,    0, 00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082, 19201030, 1,    0, 00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082, 19201031, 1,    0, 00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082, 19201101, 1,  152, 00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082, 19201102, 1,    0, 00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082, 19201103, 1,  160, 00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082, 19201104, 1,  101, 00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082, 19201105, 1,   98, 00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082, 19201106, 1,    0, 00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082, 19201107, 1,    0, 00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082, 19201108, 1,    0, 00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082, 19201109, 1,   80, 00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082, 19201110, 1,   11, 00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082, 19201111, 1,   12, 00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082, 19201112, 1,   55, 00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082, 19201113, 1,    0, 00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082, 19201114, 1,   82, 00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082, 19201115, 1,    5, 00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082, 19201116, 1,   43, 00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082, 19201117, 1,   12, 00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082, 19201118, 1,  124, 00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082, 19201119, 1,    0, 00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082, 19201120, 1,    7, 00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082, 19201121, 1,   15, 00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082, 19201122, 1,    0, 00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082, 19201123, 1,   21, 00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082, 19201124, 1,    0, 00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082, 19201125, 1,    0, 00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082, 19201126, 1,    0, 00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082, 19201127, 1,    6, 00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082, 19201128, 1,    0, 00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082, 19201129, 1,   10, 00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082, 19201130, 1,    0, 00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082, 19201201, 1,   21, 00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082, 19201202, 1,   30, 00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082, 19201203, 1,   12, 00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082, 19201204, 1,    0, 00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082, 19201205, 1,    0, 00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082, 19201206, 1,    8, 00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082, 19201207, 1,    0, 00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082, 19201208, 1,    0, 00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082, 19201209, 1,   23, 00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082, 19201210, 1,    0, 00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082, 19201211, 1,    0, 00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082, 19201212, 1,   57, 00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082, 19201213, 1,   61, 00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082, 19201214, 1,    0, 00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082, 19201215, 1,    0, 00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082, 19201216, 1,    0, 00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082, 19201217, 1,    0, 00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082, 19201218, 1,   30, 00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082, 19201219, 1,    0, 00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082, 19201220, 1,   48, 00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082, 19201221, 1,    0, 00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082, 19201222, 1,    0, 00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082, 19201223, 1,    9, 00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082, 19201224, 1,  103, 00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082, 19201225, 1,   14, 00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082, 19201226, 1,    0, 00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082, 19201227, 1,    0, 00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082, 19201228, 1,  280, 00</v>
      </c>
    </row>
    <row r="1097" spans="1:1" x14ac:dyDescent="0.25">
      <c r="A1097" s="25" t="str">
        <f ca="1">TEXT(Regen!A1097,"000\,")&amp;TEXT(Regen!B1097,"?00000000")&amp;TEXT(Regen!C1097,""",""?0")&amp;SUBSTITUTE(TEXT(Regen!D1097,""",""????0;"",""???-0;"",""????0;"", ////"""),"'","""")&amp;SUBSTITUTE(TEXT(Regen!E1097,""",""?00;"",""?-00;"",""?00;"", //"""),"'","""")</f>
        <v>082, 19201229, 1,  279, 00</v>
      </c>
    </row>
    <row r="1098" spans="1:1" x14ac:dyDescent="0.25">
      <c r="A1098" s="25" t="str">
        <f ca="1">TEXT(Regen!A1098,"000\,")&amp;TEXT(Regen!B1098,"?00000000")&amp;TEXT(Regen!C1098,""",""?0")&amp;SUBSTITUTE(TEXT(Regen!D1098,""",""????0;"",""???-0;"",""????0;"", ////"""),"'","""")&amp;SUBSTITUTE(TEXT(Regen!E1098,""",""?00;"",""?-00;"",""?00;"", //"""),"'","""")</f>
        <v>082, 19201230, 1,    0, 00</v>
      </c>
    </row>
    <row r="1099" spans="1:1" x14ac:dyDescent="0.25">
      <c r="A1099" s="25" t="str">
        <f ca="1">TEXT(Regen!A1099,"000\,")&amp;TEXT(Regen!B1099,"?00000000")&amp;TEXT(Regen!C1099,""",""?0")&amp;SUBSTITUTE(TEXT(Regen!D1099,""",""????0;"",""???-0;"",""????0;"", ////"""),"'","""")&amp;SUBSTITUTE(TEXT(Regen!E1099,""",""?00;"",""?-00;"",""?00;"", //"""),"'","""")</f>
        <v>082, 19201231, 1,    6, 00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9"/>
  <sheetViews>
    <sheetView workbookViewId="0"/>
  </sheetViews>
  <sheetFormatPr defaultRowHeight="15" x14ac:dyDescent="0.25"/>
  <cols>
    <col min="1" max="1" width="70.4257812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"""&amp;Overig!G1&amp;""", """&amp;Overig!H1&amp;""", """&amp;Overig!I1&amp;""""</f>
        <v>"Stn", "Datum", "Tijd", "P", "qP", "Tn", "qTn", "Tx", "qTx"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//"""),"'","""")&amp;SUBSTITUTE(TEXT(IF(ISTEXT(Overig!H2),Overig!H2,10*Overig!H2),""",""????0;"",""???-0;"",""????0;"", ////"""),"'","""")&amp;SUBSTITUTE(TEXT(Overig!I2,""",""?00;"",""?-00;"",""?00;"", //"""),"'","""")</f>
        <v>081, 19200101, 08.00, 7490, 00, ////, 07, ////, 07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//"""),"'","""")&amp;SUBSTITUTE(TEXT(IF(ISTEXT(Overig!H3),Overig!H3,10*Overig!H3),""",""????0;"",""???-0;"",""????0;"", ////"""),"'","""")&amp;SUBSTITUTE(TEXT(Overig!I3,""",""?00;"",""?-00;"",""?00;"", //"""),"'","""")</f>
        <v>081, 19200101, 14.00, 7480, 00, ////, 07, ////, 07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//"""),"'","""")&amp;SUBSTITUTE(TEXT(IF(ISTEXT(Overig!H4),Overig!H4,10*Overig!H4),""",""????0;"",""???-0;"",""????0;"", ////"""),"'","""")&amp;SUBSTITUTE(TEXT(Overig!I4,""",""?00;"",""?-00;"",""?00;"", //"""),"'","""")</f>
        <v>081, 19200101, 24.00, ////, 07,  250, 00,  270,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//"""),"'","""")&amp;SUBSTITUTE(TEXT(IF(ISTEXT(Overig!H5),Overig!H5,10*Overig!H5),""",""????0;"",""???-0;"",""????0;"", ////"""),"'","""")&amp;SUBSTITUTE(TEXT(Overig!I5,""",""?00;"",""?-00;"",""?00;"", //"""),"'","""")</f>
        <v>081, 19200102, 08.00, 7495, 00, ////, 07, ////, 07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//"""),"'","""")&amp;SUBSTITUTE(TEXT(IF(ISTEXT(Overig!H6),Overig!H6,10*Overig!H6),""",""????0;"",""???-0;"",""????0;"", ////"""),"'","""")&amp;SUBSTITUTE(TEXT(Overig!I6,""",""?00;"",""?-00;"",""?00;"", //"""),"'","""")</f>
        <v>081, 19200102, 14.00, 7480, 00, ////, 07, ////, 07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//"""),"'","""")&amp;SUBSTITUTE(TEXT(IF(ISTEXT(Overig!H7),Overig!H7,10*Overig!H7),""",""????0;"",""???-0;"",""????0;"", ////"""),"'","""")&amp;SUBSTITUTE(TEXT(Overig!I7,""",""?00;"",""?-00;"",""?00;"", //"""),"'","""")</f>
        <v>081, 19200102, 24.00, ////, 07,  258, 00,  280,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//"""),"'","""")&amp;SUBSTITUTE(TEXT(IF(ISTEXT(Overig!H8),Overig!H8,10*Overig!H8),""",""????0;"",""???-0;"",""????0;"", ////"""),"'","""")&amp;SUBSTITUTE(TEXT(Overig!I8,""",""?00;"",""?-00;"",""?00;"", //"""),"'","""")</f>
        <v>081, 19200103, 08.00, 7483, 00, ////, 07, ////, 07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//"""),"'","""")&amp;SUBSTITUTE(TEXT(IF(ISTEXT(Overig!H9),Overig!H9,10*Overig!H9),""",""????0;"",""???-0;"",""????0;"", ////"""),"'","""")&amp;SUBSTITUTE(TEXT(Overig!I9,""",""?00;"",""?-00;"",""?00;"", //"""),"'","""")</f>
        <v>081, 19200103, 14.00, 7480, 00, ////, 07, ////, 07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//"""),"'","""")&amp;SUBSTITUTE(TEXT(IF(ISTEXT(Overig!H10),Overig!H10,10*Overig!H10),""",""????0;"",""???-0;"",""????0;"", ////"""),"'","""")&amp;SUBSTITUTE(TEXT(Overig!I10,""",""?00;"",""?-00;"",""?00;"", //"""),"'","""")</f>
        <v>081, 19200103, 24.00, ////, 07,  255, 00,  290,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//"""),"'","""")&amp;SUBSTITUTE(TEXT(IF(ISTEXT(Overig!H11),Overig!H11,10*Overig!H11),""",""????0;"",""???-0;"",""????0;"", ////"""),"'","""")&amp;SUBSTITUTE(TEXT(Overig!I11,""",""?00;"",""?-00;"",""?00;"", //"""),"'","""")</f>
        <v>081, 19200104, 08.00, 7485, 00, ////, 07, ////, 07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//"""),"'","""")&amp;SUBSTITUTE(TEXT(IF(ISTEXT(Overig!H12),Overig!H12,10*Overig!H12),""",""????0;"",""???-0;"",""????0;"", ////"""),"'","""")&amp;SUBSTITUTE(TEXT(Overig!I12,""",""?00;"",""?-00;"",""?00;"", //"""),"'","""")</f>
        <v>081, 19200104, 14.00, 7485, 00, ////, 07, ////, 07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//"""),"'","""")&amp;SUBSTITUTE(TEXT(IF(ISTEXT(Overig!H13),Overig!H13,10*Overig!H13),""",""????0;"",""???-0;"",""????0;"", ////"""),"'","""")&amp;SUBSTITUTE(TEXT(Overig!I13,""",""?00;"",""?-00;"",""?00;"", //"""),"'","""")</f>
        <v>081, 19200104, 24.00, ////, 07,  255, 00,  290,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//"""),"'","""")&amp;SUBSTITUTE(TEXT(IF(ISTEXT(Overig!H14),Overig!H14,10*Overig!H14),""",""????0;"",""???-0;"",""????0;"", ////"""),"'","""")&amp;SUBSTITUTE(TEXT(Overig!I14,""",""?00;"",""?-00;"",""?00;"", //"""),"'","""")</f>
        <v>081, 19200105, 08.00, 7482, 00, ////, 07, ////, 07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//"""),"'","""")&amp;SUBSTITUTE(TEXT(IF(ISTEXT(Overig!H15),Overig!H15,10*Overig!H15),""",""????0;"",""???-0;"",""????0;"", ////"""),"'","""")&amp;SUBSTITUTE(TEXT(Overig!I15,""",""?00;"",""?-00;"",""?00;"", //"""),"'","""")</f>
        <v>081, 19200105, 14.00, 7477, 00, ////, 07, ////, 07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//"""),"'","""")&amp;SUBSTITUTE(TEXT(IF(ISTEXT(Overig!H16),Overig!H16,10*Overig!H16),""",""????0;"",""???-0;"",""????0;"", ////"""),"'","""")&amp;SUBSTITUTE(TEXT(Overig!I16,""",""?00;"",""?-00;"",""?00;"", //"""),"'","""")</f>
        <v>081, 19200105, 24.00, ////, 07,  255, 00,  283,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//"""),"'","""")&amp;SUBSTITUTE(TEXT(IF(ISTEXT(Overig!H17),Overig!H17,10*Overig!H17),""",""????0;"",""???-0;"",""????0;"", ////"""),"'","""")&amp;SUBSTITUTE(TEXT(Overig!I17,""",""?00;"",""?-00;"",""?00;"", //"""),"'","""")</f>
        <v>081, 19200106, 08.00, 7480, 00, ////, 07, ////, 07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//"""),"'","""")&amp;SUBSTITUTE(TEXT(IF(ISTEXT(Overig!H18),Overig!H18,10*Overig!H18),""",""????0;"",""???-0;"",""????0;"", ////"""),"'","""")&amp;SUBSTITUTE(TEXT(Overig!I18,""",""?00;"",""?-00;"",""?00;"", //"""),"'","""")</f>
        <v>081, 19200106, 14.00, 7475, 00, ////, 07, ////, 07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//"""),"'","""")&amp;SUBSTITUTE(TEXT(IF(ISTEXT(Overig!H19),Overig!H19,10*Overig!H19),""",""????0;"",""???-0;"",""????0;"", ////"""),"'","""")&amp;SUBSTITUTE(TEXT(Overig!I19,""",""?00;"",""?-00;"",""?00;"", //"""),"'","""")</f>
        <v>081, 19200106, 24.00, ////, 07,  230, 00,  235,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//"""),"'","""")&amp;SUBSTITUTE(TEXT(IF(ISTEXT(Overig!H20),Overig!H20,10*Overig!H20),""",""????0;"",""???-0;"",""????0;"", ////"""),"'","""")&amp;SUBSTITUTE(TEXT(Overig!I20,""",""?00;"",""?-00;"",""?00;"", //"""),"'","""")</f>
        <v>081, 19200107, 08.00, 7490, 00, ////, 07, ////, 07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//"""),"'","""")&amp;SUBSTITUTE(TEXT(IF(ISTEXT(Overig!H21),Overig!H21,10*Overig!H21),""",""????0;"",""???-0;"",""????0;"", ////"""),"'","""")&amp;SUBSTITUTE(TEXT(Overig!I21,""",""?00;"",""?-00;"",""?00;"", //"""),"'","""")</f>
        <v>081, 19200107, 14.00, 7475, 00, ////, 07, ////, 07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//"""),"'","""")&amp;SUBSTITUTE(TEXT(IF(ISTEXT(Overig!H22),Overig!H22,10*Overig!H22),""",""????0;"",""???-0;"",""????0;"", ////"""),"'","""")&amp;SUBSTITUTE(TEXT(Overig!I22,""",""?00;"",""?-00;"",""?00;"", //"""),"'","""")</f>
        <v>081, 19200107, 24.00, ////, 07,  230, 00,  250,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//"""),"'","""")&amp;SUBSTITUTE(TEXT(IF(ISTEXT(Overig!H23),Overig!H23,10*Overig!H23),""",""????0;"",""???-0;"",""????0;"", ////"""),"'","""")&amp;SUBSTITUTE(TEXT(Overig!I23,""",""?00;"",""?-00;"",""?00;"", //"""),"'","""")</f>
        <v>081, 19200108, 08.00, 7490, 00, ////, 07, ////, 07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//"""),"'","""")&amp;SUBSTITUTE(TEXT(IF(ISTEXT(Overig!H24),Overig!H24,10*Overig!H24),""",""????0;"",""???-0;"",""????0;"", ////"""),"'","""")&amp;SUBSTITUTE(TEXT(Overig!I24,""",""?00;"",""?-00;"",""?00;"", //"""),"'","""")</f>
        <v>081, 19200108, 14.00, 7480, 00, ////, 07, ////, 07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//"""),"'","""")&amp;SUBSTITUTE(TEXT(IF(ISTEXT(Overig!H25),Overig!H25,10*Overig!H25),""",""????0;"",""???-0;"",""????0;"", ////"""),"'","""")&amp;SUBSTITUTE(TEXT(Overig!I25,""",""?00;"",""?-00;"",""?00;"", //"""),"'","""")</f>
        <v>081, 19200108, 24.00, ////, 07,  225, 00,  250,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//"""),"'","""")&amp;SUBSTITUTE(TEXT(IF(ISTEXT(Overig!H26),Overig!H26,10*Overig!H26),""",""????0;"",""???-0;"",""????0;"", ////"""),"'","""")&amp;SUBSTITUTE(TEXT(Overig!I26,""",""?00;"",""?-00;"",""?00;"", //"""),"'","""")</f>
        <v>081, 19200109, 08.00, 7485, 00, ////, 07, ////, 07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//"""),"'","""")&amp;SUBSTITUTE(TEXT(IF(ISTEXT(Overig!H27),Overig!H27,10*Overig!H27),""",""????0;"",""???-0;"",""????0;"", ////"""),"'","""")&amp;SUBSTITUTE(TEXT(Overig!I27,""",""?00;"",""?-00;"",""?00;"", //"""),"'","""")</f>
        <v>081, 19200109, 14.00, 7475, 00, ////, 07, ////, 07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//"""),"'","""")&amp;SUBSTITUTE(TEXT(IF(ISTEXT(Overig!H28),Overig!H28,10*Overig!H28),""",""????0;"",""???-0;"",""????0;"", ////"""),"'","""")&amp;SUBSTITUTE(TEXT(Overig!I28,""",""?00;"",""?-00;"",""?00;"", //"""),"'","""")</f>
        <v>081, 19200109, 24.00, ////, 07,  230, 00,  250,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//"""),"'","""")&amp;SUBSTITUTE(TEXT(IF(ISTEXT(Overig!H29),Overig!H29,10*Overig!H29),""",""????0;"",""???-0;"",""????0;"", ////"""),"'","""")&amp;SUBSTITUTE(TEXT(Overig!I29,""",""?00;"",""?-00;"",""?00;"", //"""),"'","""")</f>
        <v>081, 19200110, 08.00, 7480, 00, ////, 07, ////, 07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//"""),"'","""")&amp;SUBSTITUTE(TEXT(IF(ISTEXT(Overig!H30),Overig!H30,10*Overig!H30),""",""????0;"",""???-0;"",""????0;"", ////"""),"'","""")&amp;SUBSTITUTE(TEXT(Overig!I30,""",""?00;"",""?-00;"",""?00;"", //"""),"'","""")</f>
        <v>081, 19200110, 14.00, 7468, 00, ////, 07, ////, 07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//"""),"'","""")&amp;SUBSTITUTE(TEXT(IF(ISTEXT(Overig!H31),Overig!H31,10*Overig!H31),""",""????0;"",""???-0;"",""????0;"", ////"""),"'","""")&amp;SUBSTITUTE(TEXT(Overig!I31,""",""?00;"",""?-00;"",""?00;"", //"""),"'","""")</f>
        <v>081, 19200110, 24.00, ////, 07,  230, 00,  255,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//"""),"'","""")&amp;SUBSTITUTE(TEXT(IF(ISTEXT(Overig!H32),Overig!H32,10*Overig!H32),""",""????0;"",""???-0;"",""????0;"", ////"""),"'","""")&amp;SUBSTITUTE(TEXT(Overig!I32,""",""?00;"",""?-00;"",""?00;"", //"""),"'","""")</f>
        <v>081, 19200111, 08.00, 7480, 00, ////, 07, ////, 07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//"""),"'","""")&amp;SUBSTITUTE(TEXT(IF(ISTEXT(Overig!H33),Overig!H33,10*Overig!H33),""",""????0;"",""???-0;"",""????0;"", ////"""),"'","""")&amp;SUBSTITUTE(TEXT(Overig!I33,""",""?00;"",""?-00;"",""?00;"", //"""),"'","""")</f>
        <v>081, 19200111, 14.00, 7470, 00, ////, 07, ////, 07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//"""),"'","""")&amp;SUBSTITUTE(TEXT(IF(ISTEXT(Overig!H34),Overig!H34,10*Overig!H34),""",""????0;"",""???-0;"",""????0;"", ////"""),"'","""")&amp;SUBSTITUTE(TEXT(Overig!I34,""",""?00;"",""?-00;"",""?00;"", //"""),"'","""")</f>
        <v>081, 19200111, 24.00, ////, 07,  240, 00,  260,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//"""),"'","""")&amp;SUBSTITUTE(TEXT(IF(ISTEXT(Overig!H35),Overig!H35,10*Overig!H35),""",""????0;"",""???-0;"",""????0;"", ////"""),"'","""")&amp;SUBSTITUTE(TEXT(Overig!I35,""",""?00;"",""?-00;"",""?00;"", //"""),"'","""")</f>
        <v>081, 19200112, 08.00, 7474, 00, ////, 07, ////, 07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//"""),"'","""")&amp;SUBSTITUTE(TEXT(IF(ISTEXT(Overig!H36),Overig!H36,10*Overig!H36),""",""????0;"",""???-0;"",""????0;"", ////"""),"'","""")&amp;SUBSTITUTE(TEXT(Overig!I36,""",""?00;"",""?-00;"",""?00;"", //"""),"'","""")</f>
        <v>081, 19200112, 14.00, 7471, 00, ////, 07, ////, 07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//"""),"'","""")&amp;SUBSTITUTE(TEXT(IF(ISTEXT(Overig!H37),Overig!H37,10*Overig!H37),""",""????0;"",""???-0;"",""????0;"", ////"""),"'","""")&amp;SUBSTITUTE(TEXT(Overig!I37,""",""?00;"",""?-00;"",""?00;"", //"""),"'","""")</f>
        <v>081, 19200112, 24.00, ////, 07,  240, 00,  270,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//"""),"'","""")&amp;SUBSTITUTE(TEXT(IF(ISTEXT(Overig!H38),Overig!H38,10*Overig!H38),""",""????0;"",""???-0;"",""????0;"", ////"""),"'","""")&amp;SUBSTITUTE(TEXT(Overig!I38,""",""?00;"",""?-00;"",""?00;"", //"""),"'","""")</f>
        <v>081, 19200113, 08.00, 7490, 00, ////, 07, ////, 07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//"""),"'","""")&amp;SUBSTITUTE(TEXT(IF(ISTEXT(Overig!H39),Overig!H39,10*Overig!H39),""",""????0;"",""???-0;"",""????0;"", ////"""),"'","""")&amp;SUBSTITUTE(TEXT(Overig!I39,""",""?00;"",""?-00;"",""?00;"", //"""),"'","""")</f>
        <v>081, 19200113, 14.00, 7486, 00, ////, 07, ////, 07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//"""),"'","""")&amp;SUBSTITUTE(TEXT(IF(ISTEXT(Overig!H40),Overig!H40,10*Overig!H40),""",""????0;"",""???-0;"",""????0;"", ////"""),"'","""")&amp;SUBSTITUTE(TEXT(Overig!I40,""",""?00;"",""?-00;"",""?00;"", //"""),"'","""")</f>
        <v>081, 19200113, 24.00, ////, 07,  240, 00,  270,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//"""),"'","""")&amp;SUBSTITUTE(TEXT(IF(ISTEXT(Overig!H41),Overig!H41,10*Overig!H41),""",""????0;"",""???-0;"",""????0;"", ////"""),"'","""")&amp;SUBSTITUTE(TEXT(Overig!I41,""",""?00;"",""?-00;"",""?00;"", //"""),"'","""")</f>
        <v>081, 19200114, 08.00, 7490, 00, ////, 07, ////, 07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//"""),"'","""")&amp;SUBSTITUTE(TEXT(IF(ISTEXT(Overig!H42),Overig!H42,10*Overig!H42),""",""????0;"",""???-0;"",""????0;"", ////"""),"'","""")&amp;SUBSTITUTE(TEXT(Overig!I42,""",""?00;"",""?-00;"",""?00;"", //"""),"'","""")</f>
        <v>081, 19200114, 14.00, 7475, 00, ////, 07, ////, 07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//"""),"'","""")&amp;SUBSTITUTE(TEXT(IF(ISTEXT(Overig!H43),Overig!H43,10*Overig!H43),""",""????0;"",""???-0;"",""????0;"", ////"""),"'","""")&amp;SUBSTITUTE(TEXT(Overig!I43,""",""?00;"",""?-00;"",""?00;"", //"""),"'","""")</f>
        <v>081, 19200114, 24.00, ////, 07,  240, 00,  270,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//"""),"'","""")&amp;SUBSTITUTE(TEXT(IF(ISTEXT(Overig!H44),Overig!H44,10*Overig!H44),""",""????0;"",""???-0;"",""????0;"", ////"""),"'","""")&amp;SUBSTITUTE(TEXT(Overig!I44,""",""?00;"",""?-00;"",""?00;"", //"""),"'","""")</f>
        <v>081, 19200115, 08.00, 7490, 00, ////, 07, ////, 07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//"""),"'","""")&amp;SUBSTITUTE(TEXT(IF(ISTEXT(Overig!H45),Overig!H45,10*Overig!H45),""",""????0;"",""???-0;"",""????0;"", ////"""),"'","""")&amp;SUBSTITUTE(TEXT(Overig!I45,""",""?00;"",""?-00;"",""?00;"", //"""),"'","""")</f>
        <v>081, 19200115, 14.00, 7477, 00, ////, 07, ////, 07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//"""),"'","""")&amp;SUBSTITUTE(TEXT(IF(ISTEXT(Overig!H46),Overig!H46,10*Overig!H46),""",""????0;"",""???-0;"",""????0;"", ////"""),"'","""")&amp;SUBSTITUTE(TEXT(Overig!I46,""",""?00;"",""?-00;"",""?00;"", //"""),"'","""")</f>
        <v>081, 19200115, 24.00, ////, 07,  240, 00,  250,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//"""),"'","""")&amp;SUBSTITUTE(TEXT(IF(ISTEXT(Overig!H47),Overig!H47,10*Overig!H47),""",""????0;"",""???-0;"",""????0;"", ////"""),"'","""")&amp;SUBSTITUTE(TEXT(Overig!I47,""",""?00;"",""?-00;"",""?00;"", //"""),"'","""")</f>
        <v>081, 19200116, 08.00, 7490, 00, ////, 07, ////, 07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//"""),"'","""")&amp;SUBSTITUTE(TEXT(IF(ISTEXT(Overig!H48),Overig!H48,10*Overig!H48),""",""????0;"",""???-0;"",""????0;"", ////"""),"'","""")&amp;SUBSTITUTE(TEXT(Overig!I48,""",""?00;"",""?-00;"",""?00;"", //"""),"'","""")</f>
        <v>081, 19200116, 14.00, 7480, 00, ////, 07, ////, 07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//"""),"'","""")&amp;SUBSTITUTE(TEXT(IF(ISTEXT(Overig!H49),Overig!H49,10*Overig!H49),""",""????0;"",""???-0;"",""????0;"", ////"""),"'","""")&amp;SUBSTITUTE(TEXT(Overig!I49,""",""?00;"",""?-00;"",""?00;"", //"""),"'","""")</f>
        <v>081, 19200116, 24.00, ////, 07,  240, 00,  270,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//"""),"'","""")&amp;SUBSTITUTE(TEXT(IF(ISTEXT(Overig!H50),Overig!H50,10*Overig!H50),""",""????0;"",""???-0;"",""????0;"", ////"""),"'","""")&amp;SUBSTITUTE(TEXT(Overig!I50,""",""?00;"",""?-00;"",""?00;"", //"""),"'","""")</f>
        <v>081, 19200117, 08.00, 7500, 00, ////, 07, ////, 07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//"""),"'","""")&amp;SUBSTITUTE(TEXT(IF(ISTEXT(Overig!H51),Overig!H51,10*Overig!H51),""",""????0;"",""???-0;"",""????0;"", ////"""),"'","""")&amp;SUBSTITUTE(TEXT(Overig!I51,""",""?00;"",""?-00;"",""?00;"", //"""),"'","""")</f>
        <v>081, 19200117, 14.00, 7497, 00, ////, 07, ////, 07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//"""),"'","""")&amp;SUBSTITUTE(TEXT(IF(ISTEXT(Overig!H52),Overig!H52,10*Overig!H52),""",""????0;"",""???-0;"",""????0;"", ////"""),"'","""")&amp;SUBSTITUTE(TEXT(Overig!I52,""",""?00;"",""?-00;"",""?00;"", //"""),"'","""")</f>
        <v>081, 19200117, 24.00, ////, 07,  240, 00,  255,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//"""),"'","""")&amp;SUBSTITUTE(TEXT(IF(ISTEXT(Overig!H53),Overig!H53,10*Overig!H53),""",""????0;"",""???-0;"",""????0;"", ////"""),"'","""")&amp;SUBSTITUTE(TEXT(Overig!I53,""",""?00;"",""?-00;"",""?00;"", //"""),"'","""")</f>
        <v>081, 19200118, 08.00, 7500, 00, ////, 07, ////, 07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//"""),"'","""")&amp;SUBSTITUTE(TEXT(IF(ISTEXT(Overig!H54),Overig!H54,10*Overig!H54),""",""????0;"",""???-0;"",""????0;"", ////"""),"'","""")&amp;SUBSTITUTE(TEXT(Overig!I54,""",""?00;"",""?-00;"",""?00;"", //"""),"'","""")</f>
        <v>081, 19200118, 14.00, 7492, 00, ////, 07, ////, 07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//"""),"'","""")&amp;SUBSTITUTE(TEXT(IF(ISTEXT(Overig!H55),Overig!H55,10*Overig!H55),""",""????0;"",""???-0;"",""????0;"", ////"""),"'","""")&amp;SUBSTITUTE(TEXT(Overig!I55,""",""?00;"",""?-00;"",""?00;"", //"""),"'","""")</f>
        <v>081, 19200118, 24.00, ////, 07,  240, 00,  260,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//"""),"'","""")&amp;SUBSTITUTE(TEXT(IF(ISTEXT(Overig!H56),Overig!H56,10*Overig!H56),""",""????0;"",""???-0;"",""????0;"", ////"""),"'","""")&amp;SUBSTITUTE(TEXT(Overig!I56,""",""?00;"",""?-00;"",""?00;"", //"""),"'","""")</f>
        <v>081, 19200119, 08.00, 7500, 00, ////, 07, ////, 07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//"""),"'","""")&amp;SUBSTITUTE(TEXT(IF(ISTEXT(Overig!H57),Overig!H57,10*Overig!H57),""",""????0;"",""???-0;"",""????0;"", ////"""),"'","""")&amp;SUBSTITUTE(TEXT(Overig!I57,""",""?00;"",""?-00;"",""?00;"", //"""),"'","""")</f>
        <v>081, 19200119, 14.00, 7490, 00, ////, 07, ////, 07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//"""),"'","""")&amp;SUBSTITUTE(TEXT(IF(ISTEXT(Overig!H58),Overig!H58,10*Overig!H58),""",""????0;"",""???-0;"",""????0;"", ////"""),"'","""")&amp;SUBSTITUTE(TEXT(Overig!I58,""",""?00;"",""?-00;"",""?00;"", //"""),"'","""")</f>
        <v>081, 19200119, 24.00, ////, 07,  238, 00,  268,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//"""),"'","""")&amp;SUBSTITUTE(TEXT(IF(ISTEXT(Overig!H59),Overig!H59,10*Overig!H59),""",""????0;"",""???-0;"",""????0;"", ////"""),"'","""")&amp;SUBSTITUTE(TEXT(Overig!I59,""",""?00;"",""?-00;"",""?00;"", //"""),"'","""")</f>
        <v>081, 19200120, 08.00, 7500, 00, ////, 07, ////, 07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//"""),"'","""")&amp;SUBSTITUTE(TEXT(IF(ISTEXT(Overig!H60),Overig!H60,10*Overig!H60),""",""????0;"",""???-0;"",""????0;"", ////"""),"'","""")&amp;SUBSTITUTE(TEXT(Overig!I60,""",""?00;"",""?-00;"",""?00;"", //"""),"'","""")</f>
        <v>081, 19200120, 14.00, 7490, 00, ////, 07, ////, 07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//"""),"'","""")&amp;SUBSTITUTE(TEXT(IF(ISTEXT(Overig!H61),Overig!H61,10*Overig!H61),""",""????0;"",""???-0;"",""????0;"", ////"""),"'","""")&amp;SUBSTITUTE(TEXT(Overig!I61,""",""?00;"",""?-00;"",""?00;"", //"""),"'","""")</f>
        <v>081, 19200120, 24.00, ////, 07,  233, 00,  260,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//"""),"'","""")&amp;SUBSTITUTE(TEXT(IF(ISTEXT(Overig!H62),Overig!H62,10*Overig!H62),""",""????0;"",""???-0;"",""????0;"", ////"""),"'","""")&amp;SUBSTITUTE(TEXT(Overig!I62,""",""?00;"",""?-00;"",""?00;"", //"""),"'","""")</f>
        <v>081, 19200121, 08.00, 7510, 00, ////, 07, ////, 07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//"""),"'","""")&amp;SUBSTITUTE(TEXT(IF(ISTEXT(Overig!H63),Overig!H63,10*Overig!H63),""",""????0;"",""???-0;"",""????0;"", ////"""),"'","""")&amp;SUBSTITUTE(TEXT(Overig!I63,""",""?00;"",""?-00;"",""?00;"", //"""),"'","""")</f>
        <v>081, 19200121, 14.00, 7490, 00, ////, 07, ////, 07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//"""),"'","""")&amp;SUBSTITUTE(TEXT(IF(ISTEXT(Overig!H64),Overig!H64,10*Overig!H64),""",""????0;"",""???-0;"",""????0;"", ////"""),"'","""")&amp;SUBSTITUTE(TEXT(Overig!I64,""",""?00;"",""?-00;"",""?00;"", //"""),"'","""")</f>
        <v>081, 19200121, 24.00, ////, 07,  230, 00,  250,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//"""),"'","""")&amp;SUBSTITUTE(TEXT(IF(ISTEXT(Overig!H65),Overig!H65,10*Overig!H65),""",""????0;"",""???-0;"",""????0;"", ////"""),"'","""")&amp;SUBSTITUTE(TEXT(Overig!I65,""",""?00;"",""?-00;"",""?00;"", //"""),"'","""")</f>
        <v>081, 19200122, 08.00, 7507, 00, ////, 07, ////, 07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//"""),"'","""")&amp;SUBSTITUTE(TEXT(IF(ISTEXT(Overig!H66),Overig!H66,10*Overig!H66),""",""????0;"",""???-0;"",""????0;"", ////"""),"'","""")&amp;SUBSTITUTE(TEXT(Overig!I66,""",""?00;"",""?-00;"",""?00;"", //"""),"'","""")</f>
        <v>081, 19200122, 14.00, 7490, 00, ////, 07, ////, 07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//"""),"'","""")&amp;SUBSTITUTE(TEXT(IF(ISTEXT(Overig!H67),Overig!H67,10*Overig!H67),""",""????0;"",""???-0;"",""????0;"", ////"""),"'","""")&amp;SUBSTITUTE(TEXT(Overig!I67,""",""?00;"",""?-00;"",""?00;"", //"""),"'","""")</f>
        <v>081, 19200122, 24.00, ////, 07,  230, 00,  240,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//"""),"'","""")&amp;SUBSTITUTE(TEXT(IF(ISTEXT(Overig!H68),Overig!H68,10*Overig!H68),""",""????0;"",""???-0;"",""????0;"", ////"""),"'","""")&amp;SUBSTITUTE(TEXT(Overig!I68,""",""?00;"",""?-00;"",""?00;"", //"""),"'","""")</f>
        <v>081, 19200123, 08.00, 7506, 00, ////, 07, ////, 07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//"""),"'","""")&amp;SUBSTITUTE(TEXT(IF(ISTEXT(Overig!H69),Overig!H69,10*Overig!H69),""",""????0;"",""???-0;"",""????0;"", ////"""),"'","""")&amp;SUBSTITUTE(TEXT(Overig!I69,""",""?00;"",""?-00;"",""?00;"", //"""),"'","""")</f>
        <v>081, 19200123, 14.00, 7495, 00, ////, 07, ////, 07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//"""),"'","""")&amp;SUBSTITUTE(TEXT(IF(ISTEXT(Overig!H70),Overig!H70,10*Overig!H70),""",""????0;"",""???-0;"",""????0;"", ////"""),"'","""")&amp;SUBSTITUTE(TEXT(Overig!I70,""",""?00;"",""?-00;"",""?00;"", //"""),"'","""")</f>
        <v>081, 19200123, 24.00, ////, 07,  235, 00,  255,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//"""),"'","""")&amp;SUBSTITUTE(TEXT(IF(ISTEXT(Overig!H71),Overig!H71,10*Overig!H71),""",""????0;"",""???-0;"",""????0;"", ////"""),"'","""")&amp;SUBSTITUTE(TEXT(Overig!I71,""",""?00;"",""?-00;"",""?00;"", //"""),"'","""")</f>
        <v>081, 19200124, 08.00, 7500, 00, ////, 07, ////, 07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//"""),"'","""")&amp;SUBSTITUTE(TEXT(IF(ISTEXT(Overig!H72),Overig!H72,10*Overig!H72),""",""????0;"",""???-0;"",""????0;"", ////"""),"'","""")&amp;SUBSTITUTE(TEXT(Overig!I72,""",""?00;"",""?-00;"",""?00;"", //"""),"'","""")</f>
        <v>081, 19200124, 14.00, 7490, 00, ////, 07, ////, 07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//"""),"'","""")&amp;SUBSTITUTE(TEXT(IF(ISTEXT(Overig!H73),Overig!H73,10*Overig!H73),""",""????0;"",""???-0;"",""????0;"", ////"""),"'","""")&amp;SUBSTITUTE(TEXT(Overig!I73,""",""?00;"",""?-00;"",""?00;"", //"""),"'","""")</f>
        <v>081, 19200124, 24.00, ////, 07,  240, 00,  270,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//"""),"'","""")&amp;SUBSTITUTE(TEXT(IF(ISTEXT(Overig!H74),Overig!H74,10*Overig!H74),""",""????0;"",""???-0;"",""????0;"", ////"""),"'","""")&amp;SUBSTITUTE(TEXT(Overig!I74,""",""?00;"",""?-00;"",""?00;"", //"""),"'","""")</f>
        <v>081, 19200125, 08.00, 7500, 00, ////, 07, ////, 07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//"""),"'","""")&amp;SUBSTITUTE(TEXT(IF(ISTEXT(Overig!H75),Overig!H75,10*Overig!H75),""",""????0;"",""???-0;"",""????0;"", ////"""),"'","""")&amp;SUBSTITUTE(TEXT(Overig!I75,""",""?00;"",""?-00;"",""?00;"", //"""),"'","""")</f>
        <v>081, 19200125, 14.00, 7490, 00, ////, 07, ////, 07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//"""),"'","""")&amp;SUBSTITUTE(TEXT(IF(ISTEXT(Overig!H76),Overig!H76,10*Overig!H76),""",""????0;"",""???-0;"",""????0;"", ////"""),"'","""")&amp;SUBSTITUTE(TEXT(Overig!I76,""",""?00;"",""?-00;"",""?00;"", //"""),"'","""")</f>
        <v>081, 19200125, 24.00, ////, 07,  240, 00,  270,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//"""),"'","""")&amp;SUBSTITUTE(TEXT(IF(ISTEXT(Overig!H77),Overig!H77,10*Overig!H77),""",""????0;"",""???-0;"",""????0;"", ////"""),"'","""")&amp;SUBSTITUTE(TEXT(Overig!I77,""",""?00;"",""?-00;"",""?00;"", //"""),"'","""")</f>
        <v>081, 19200126, 08.00, 7500, 00, ////, 07, ////, 07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//"""),"'","""")&amp;SUBSTITUTE(TEXT(IF(ISTEXT(Overig!H78),Overig!H78,10*Overig!H78),""",""????0;"",""???-0;"",""????0;"", ////"""),"'","""")&amp;SUBSTITUTE(TEXT(Overig!I78,""",""?00;"",""?-00;"",""?00;"", //"""),"'","""")</f>
        <v>081, 19200126, 14.00, 7490, 00, ////, 07, ////, 07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//"""),"'","""")&amp;SUBSTITUTE(TEXT(IF(ISTEXT(Overig!H79),Overig!H79,10*Overig!H79),""",""????0;"",""???-0;"",""????0;"", ////"""),"'","""")&amp;SUBSTITUTE(TEXT(Overig!I79,""",""?00;"",""?-00;"",""?00;"", //"""),"'","""")</f>
        <v>081, 19200126, 24.00, ////, 07,  230, 00,  250,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//"""),"'","""")&amp;SUBSTITUTE(TEXT(IF(ISTEXT(Overig!H80),Overig!H80,10*Overig!H80),""",""????0;"",""???-0;"",""????0;"", ////"""),"'","""")&amp;SUBSTITUTE(TEXT(Overig!I80,""",""?00;"",""?-00;"",""?00;"", //"""),"'","""")</f>
        <v>081, 19200127, 08.00, 7500, 00, ////, 07, ////, 07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//"""),"'","""")&amp;SUBSTITUTE(TEXT(IF(ISTEXT(Overig!H81),Overig!H81,10*Overig!H81),""",""????0;"",""???-0;"",""????0;"", ////"""),"'","""")&amp;SUBSTITUTE(TEXT(Overig!I81,""",""?00;"",""?-00;"",""?00;"", //"""),"'","""")</f>
        <v>081, 19200127, 14.00, 7495, 00, ////, 07, ////, 07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//"""),"'","""")&amp;SUBSTITUTE(TEXT(IF(ISTEXT(Overig!H82),Overig!H82,10*Overig!H82),""",""????0;"",""???-0;"",""????0;"", ////"""),"'","""")&amp;SUBSTITUTE(TEXT(Overig!I82,""",""?00;"",""?-00;"",""?00;"", //"""),"'","""")</f>
        <v>081, 19200127, 24.00, ////, 07,  240, 00,  258,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//"""),"'","""")&amp;SUBSTITUTE(TEXT(IF(ISTEXT(Overig!H83),Overig!H83,10*Overig!H83),""",""????0;"",""???-0;"",""????0;"", ////"""),"'","""")&amp;SUBSTITUTE(TEXT(Overig!I83,""",""?00;"",""?-00;"",""?00;"", //"""),"'","""")</f>
        <v>081, 19200128, 08.00, 7500, 00, ////, 07, ////, 07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//"""),"'","""")&amp;SUBSTITUTE(TEXT(IF(ISTEXT(Overig!H84),Overig!H84,10*Overig!H84),""",""????0;"",""???-0;"",""????0;"", ////"""),"'","""")&amp;SUBSTITUTE(TEXT(Overig!I84,""",""?00;"",""?-00;"",""?00;"", //"""),"'","""")</f>
        <v>081, 19200128, 14.00, 7487, 00, ////, 07, ////, 07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//"""),"'","""")&amp;SUBSTITUTE(TEXT(IF(ISTEXT(Overig!H85),Overig!H85,10*Overig!H85),""",""????0;"",""???-0;"",""????0;"", ////"""),"'","""")&amp;SUBSTITUTE(TEXT(Overig!I85,""",""?00;"",""?-00;"",""?00;"", //"""),"'","""")</f>
        <v>081, 19200128, 24.00, ////, 07,  235, 00,  260,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//"""),"'","""")&amp;SUBSTITUTE(TEXT(IF(ISTEXT(Overig!H86),Overig!H86,10*Overig!H86),""",""????0;"",""???-0;"",""????0;"", ////"""),"'","""")&amp;SUBSTITUTE(TEXT(Overig!I86,""",""?00;"",""?-00;"",""?00;"", //"""),"'","""")</f>
        <v>081, 19200129, 08.00, 7490, 00, ////, 07, ////, 07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//"""),"'","""")&amp;SUBSTITUTE(TEXT(IF(ISTEXT(Overig!H87),Overig!H87,10*Overig!H87),""",""????0;"",""???-0;"",""????0;"", ////"""),"'","""")&amp;SUBSTITUTE(TEXT(Overig!I87,""",""?00;"",""?-00;"",""?00;"", //"""),"'","""")</f>
        <v>081, 19200129, 14.00, 7485, 00, ////, 07, ////, 07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//"""),"'","""")&amp;SUBSTITUTE(TEXT(IF(ISTEXT(Overig!H88),Overig!H88,10*Overig!H88),""",""????0;"",""???-0;"",""????0;"", ////"""),"'","""")&amp;SUBSTITUTE(TEXT(Overig!I88,""",""?00;"",""?-00;"",""?00;"", //"""),"'","""")</f>
        <v>081, 19200129, 24.00, ////, 07,  238, 00,  275,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//"""),"'","""")&amp;SUBSTITUTE(TEXT(IF(ISTEXT(Overig!H89),Overig!H89,10*Overig!H89),""",""????0;"",""???-0;"",""????0;"", ////"""),"'","""")&amp;SUBSTITUTE(TEXT(Overig!I89,""",""?00;"",""?-00;"",""?00;"", //"""),"'","""")</f>
        <v>081, 19200130, 08.00, 7486, 00, ////, 07, ////, 07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//"""),"'","""")&amp;SUBSTITUTE(TEXT(IF(ISTEXT(Overig!H90),Overig!H90,10*Overig!H90),""",""????0;"",""???-0;"",""????0;"", ////"""),"'","""")&amp;SUBSTITUTE(TEXT(Overig!I90,""",""?00;"",""?-00;"",""?00;"", //"""),"'","""")</f>
        <v>081, 19200130, 14.00, 7475, 00, ////, 07, ////, 07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//"""),"'","""")&amp;SUBSTITUTE(TEXT(IF(ISTEXT(Overig!H91),Overig!H91,10*Overig!H91),""",""????0;"",""???-0;"",""????0;"", ////"""),"'","""")&amp;SUBSTITUTE(TEXT(Overig!I91,""",""?00;"",""?-00;"",""?00;"", //"""),"'","""")</f>
        <v>081, 19200130, 24.00, ////, 07,  230, 00,  238,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//"""),"'","""")&amp;SUBSTITUTE(TEXT(IF(ISTEXT(Overig!H92),Overig!H92,10*Overig!H92),""",""????0;"",""???-0;"",""????0;"", ////"""),"'","""")&amp;SUBSTITUTE(TEXT(Overig!I92,""",""?00;"",""?-00;"",""?00;"", //"""),"'","""")</f>
        <v>081, 19200131, 08.00, 7480, 00, ////, 07, ////, 07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//"""),"'","""")&amp;SUBSTITUTE(TEXT(IF(ISTEXT(Overig!H93),Overig!H93,10*Overig!H93),""",""????0;"",""???-0;"",""????0;"", ////"""),"'","""")&amp;SUBSTITUTE(TEXT(Overig!I93,""",""?00;"",""?-00;"",""?00;"", //"""),"'","""")</f>
        <v>081, 19200131, 14.00, 7472, 00, ////, 07, ////, 07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//"""),"'","""")&amp;SUBSTITUTE(TEXT(IF(ISTEXT(Overig!H94),Overig!H94,10*Overig!H94),""",""????0;"",""???-0;"",""????0;"", ////"""),"'","""")&amp;SUBSTITUTE(TEXT(Overig!I94,""",""?00;"",""?-00;"",""?00;"", //"""),"'","""")</f>
        <v>081, 19200131, 24.00, ////, 07,  240, 00,  275,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//"""),"'","""")&amp;SUBSTITUTE(TEXT(IF(ISTEXT(Overig!H95),Overig!H95,10*Overig!H95),""",""????0;"",""???-0;"",""????0;"", ////"""),"'","""")&amp;SUBSTITUTE(TEXT(Overig!I95,""",""?00;"",""?-00;"",""?00;"", //"""),"'","""")</f>
        <v>081, 19200201, 08.00, 7470, 00, ////, 07, ////, 07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//"""),"'","""")&amp;SUBSTITUTE(TEXT(IF(ISTEXT(Overig!H96),Overig!H96,10*Overig!H96),""",""????0;"",""???-0;"",""????0;"", ////"""),"'","""")&amp;SUBSTITUTE(TEXT(Overig!I96,""",""?00;"",""?-00;"",""?00;"", //"""),"'","""")</f>
        <v>081, 19200201, 14.00, 7465, 00, ////, 07, ////, 07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//"""),"'","""")&amp;SUBSTITUTE(TEXT(IF(ISTEXT(Overig!H97),Overig!H97,10*Overig!H97),""",""????0;"",""???-0;"",""????0;"", ////"""),"'","""")&amp;SUBSTITUTE(TEXT(Overig!I97,""",""?00;"",""?-00;"",""?00;"", //"""),"'","""")</f>
        <v>081, 19200201, 24.00, ////, 07,  240, 00,  260,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//"""),"'","""")&amp;SUBSTITUTE(TEXT(IF(ISTEXT(Overig!H98),Overig!H98,10*Overig!H98),""",""????0;"",""???-0;"",""????0;"", ////"""),"'","""")&amp;SUBSTITUTE(TEXT(Overig!I98,""",""?00;"",""?-00;"",""?00;"", //"""),"'","""")</f>
        <v>081, 19200202, 08.00, 7477, 00, ////, 07, ////, 07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//"""),"'","""")&amp;SUBSTITUTE(TEXT(IF(ISTEXT(Overig!H99),Overig!H99,10*Overig!H99),""",""????0;"",""???-0;"",""????0;"", ////"""),"'","""")&amp;SUBSTITUTE(TEXT(Overig!I99,""",""?00;"",""?-00;"",""?00;"", //"""),"'","""")</f>
        <v>081, 19200202, 14.00, 7472, 00, ////, 07, ////, 07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//"""),"'","""")&amp;SUBSTITUTE(TEXT(IF(ISTEXT(Overig!H100),Overig!H100,10*Overig!H100),""",""????0;"",""???-0;"",""????0;"", ////"""),"'","""")&amp;SUBSTITUTE(TEXT(Overig!I100,""",""?00;"",""?-00;"",""?00;"", //"""),"'","""")</f>
        <v>081, 19200202, 24.00, ////, 07,  240, 00,  265,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//"""),"'","""")&amp;SUBSTITUTE(TEXT(IF(ISTEXT(Overig!H101),Overig!H101,10*Overig!H101),""",""????0;"",""???-0;"",""????0;"", ////"""),"'","""")&amp;SUBSTITUTE(TEXT(Overig!I101,""",""?00;"",""?-00;"",""?00;"", //"""),"'","""")</f>
        <v>081, 19200203, 08.00, 7480, 00, ////, 07, ////, 07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//"""),"'","""")&amp;SUBSTITUTE(TEXT(IF(ISTEXT(Overig!H102),Overig!H102,10*Overig!H102),""",""????0;"",""???-0;"",""????0;"", ////"""),"'","""")&amp;SUBSTITUTE(TEXT(Overig!I102,""",""?00;"",""?-00;"",""?00;"", //"""),"'","""")</f>
        <v>081, 19200203, 14.00, 7470, 00, ////, 07, ////, 07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//"""),"'","""")&amp;SUBSTITUTE(TEXT(IF(ISTEXT(Overig!H103),Overig!H103,10*Overig!H103),""",""????0;"",""???-0;"",""????0;"", ////"""),"'","""")&amp;SUBSTITUTE(TEXT(Overig!I103,""",""?00;"",""?-00;"",""?00;"", //"""),"'","""")</f>
        <v>081, 19200203, 24.00, ////, 07,  240, 00,  268,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//"""),"'","""")&amp;SUBSTITUTE(TEXT(IF(ISTEXT(Overig!H104),Overig!H104,10*Overig!H104),""",""????0;"",""???-0;"",""????0;"", ////"""),"'","""")&amp;SUBSTITUTE(TEXT(Overig!I104,""",""?00;"",""?-00;"",""?00;"", //"""),"'","""")</f>
        <v>081, 19200204, 08.00, 7470, 00, ////, 07, ////, 07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//"""),"'","""")&amp;SUBSTITUTE(TEXT(IF(ISTEXT(Overig!H105),Overig!H105,10*Overig!H105),""",""????0;"",""???-0;"",""????0;"", ////"""),"'","""")&amp;SUBSTITUTE(TEXT(Overig!I105,""",""?00;"",""?-00;"",""?00;"", //"""),"'","""")</f>
        <v>081, 19200204, 14.00, 7465, 00, ////, 07, ////, 07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//"""),"'","""")&amp;SUBSTITUTE(TEXT(IF(ISTEXT(Overig!H106),Overig!H106,10*Overig!H106),""",""????0;"",""???-0;"",""????0;"", ////"""),"'","""")&amp;SUBSTITUTE(TEXT(Overig!I106,""",""?00;"",""?-00;"",""?00;"", //"""),"'","""")</f>
        <v>081, 19200204, 24.00, ////, 07,  233, 00,  270,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//"""),"'","""")&amp;SUBSTITUTE(TEXT(IF(ISTEXT(Overig!H107),Overig!H107,10*Overig!H107),""",""????0;"",""???-0;"",""????0;"", ////"""),"'","""")&amp;SUBSTITUTE(TEXT(Overig!I107,""",""?00;"",""?-00;"",""?00;"", //"""),"'","""")</f>
        <v>081, 19200205, 08.00, 7460, 00, ////, 07, ////, 07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//"""),"'","""")&amp;SUBSTITUTE(TEXT(IF(ISTEXT(Overig!H108),Overig!H108,10*Overig!H108),""",""????0;"",""???-0;"",""????0;"", ////"""),"'","""")&amp;SUBSTITUTE(TEXT(Overig!I108,""",""?00;"",""?-00;"",""?00;"", //"""),"'","""")</f>
        <v>081, 19200205, 14.00, 7455, 00, ////, 07, ////, 07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//"""),"'","""")&amp;SUBSTITUTE(TEXT(IF(ISTEXT(Overig!H109),Overig!H109,10*Overig!H109),""",""????0;"",""???-0;"",""????0;"", ////"""),"'","""")&amp;SUBSTITUTE(TEXT(Overig!I109,""",""?00;"",""?-00;"",""?00;"", //"""),"'","""")</f>
        <v>081, 19200205, 24.00, ////, 07,  238, 00,  240,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//"""),"'","""")&amp;SUBSTITUTE(TEXT(IF(ISTEXT(Overig!H110),Overig!H110,10*Overig!H110),""",""????0;"",""???-0;"",""????0;"", ////"""),"'","""")&amp;SUBSTITUTE(TEXT(Overig!I110,""",""?00;"",""?-00;"",""?00;"", //"""),"'","""")</f>
        <v>081, 19200206, 08.00, 7460, 00, ////, 07, ////, 07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//"""),"'","""")&amp;SUBSTITUTE(TEXT(IF(ISTEXT(Overig!H111),Overig!H111,10*Overig!H111),""",""????0;"",""???-0;"",""????0;"", ////"""),"'","""")&amp;SUBSTITUTE(TEXT(Overig!I111,""",""?00;"",""?-00;"",""?00;"", //"""),"'","""")</f>
        <v>081, 19200206, 14.00, 7450, 00, ////, 07, ////, 07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//"""),"'","""")&amp;SUBSTITUTE(TEXT(IF(ISTEXT(Overig!H112),Overig!H112,10*Overig!H112),""",""????0;"",""???-0;"",""????0;"", ////"""),"'","""")&amp;SUBSTITUTE(TEXT(Overig!I112,""",""?00;"",""?-00;"",""?00;"", //"""),"'","""")</f>
        <v>081, 19200206, 24.00, ////, 07,  238, 00,  258,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//"""),"'","""")&amp;SUBSTITUTE(TEXT(IF(ISTEXT(Overig!H113),Overig!H113,10*Overig!H113),""",""????0;"",""???-0;"",""????0;"", ////"""),"'","""")&amp;SUBSTITUTE(TEXT(Overig!I113,""",""?00;"",""?-00;"",""?00;"", //"""),"'","""")</f>
        <v>081, 19200207, 08.00, 7467, 00, ////, 07, ////, 07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//"""),"'","""")&amp;SUBSTITUTE(TEXT(IF(ISTEXT(Overig!H114),Overig!H114,10*Overig!H114),""",""????0;"",""???-0;"",""????0;"", ////"""),"'","""")&amp;SUBSTITUTE(TEXT(Overig!I114,""",""?00;"",""?-00;"",""?00;"", //"""),"'","""")</f>
        <v>081, 19200207, 14.00, 7465, 00, ////, 07, ////, 07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//"""),"'","""")&amp;SUBSTITUTE(TEXT(IF(ISTEXT(Overig!H115),Overig!H115,10*Overig!H115),""",""????0;"",""???-0;"",""????0;"", ////"""),"'","""")&amp;SUBSTITUTE(TEXT(Overig!I115,""",""?00;"",""?-00;"",""?00;"", //"""),"'","""")</f>
        <v>081, 19200207, 24.00, ////, 07,  240, 00,  270,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//"""),"'","""")&amp;SUBSTITUTE(TEXT(IF(ISTEXT(Overig!H116),Overig!H116,10*Overig!H116),""",""????0;"",""???-0;"",""????0;"", ////"""),"'","""")&amp;SUBSTITUTE(TEXT(Overig!I116,""",""?00;"",""?-00;"",""?00;"", //"""),"'","""")</f>
        <v>081, 19200208, 08.00, 7473, 00, ////, 07, ////, 07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//"""),"'","""")&amp;SUBSTITUTE(TEXT(IF(ISTEXT(Overig!H117),Overig!H117,10*Overig!H117),""",""????0;"",""???-0;"",""????0;"", ////"""),"'","""")&amp;SUBSTITUTE(TEXT(Overig!I117,""",""?00;"",""?-00;"",""?00;"", //"""),"'","""")</f>
        <v>081, 19200208, 14.00, 7465, 00, ////, 07, ////, 07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//"""),"'","""")&amp;SUBSTITUTE(TEXT(IF(ISTEXT(Overig!H118),Overig!H118,10*Overig!H118),""",""????0;"",""???-0;"",""????0;"", ////"""),"'","""")&amp;SUBSTITUTE(TEXT(Overig!I118,""",""?00;"",""?-00;"",""?00;"", //"""),"'","""")</f>
        <v>081, 19200208, 24.00, ////, 07,  240, 00,  270,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//"""),"'","""")&amp;SUBSTITUTE(TEXT(IF(ISTEXT(Overig!H119),Overig!H119,10*Overig!H119),""",""????0;"",""???-0;"",""????0;"", ////"""),"'","""")&amp;SUBSTITUTE(TEXT(Overig!I119,""",""?00;"",""?-00;"",""?00;"", //"""),"'","""")</f>
        <v>081, 19200209, 08.00, 7474, 00, ////, 07, ////, 07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//"""),"'","""")&amp;SUBSTITUTE(TEXT(IF(ISTEXT(Overig!H120),Overig!H120,10*Overig!H120),""",""????0;"",""???-0;"",""????0;"", ////"""),"'","""")&amp;SUBSTITUTE(TEXT(Overig!I120,""",""?00;"",""?-00;"",""?00;"", //"""),"'","""")</f>
        <v>081, 19200209, 14.00, 7468, 00, ////, 07, ////, 07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//"""),"'","""")&amp;SUBSTITUTE(TEXT(IF(ISTEXT(Overig!H121),Overig!H121,10*Overig!H121),""",""????0;"",""???-0;"",""????0;"", ////"""),"'","""")&amp;SUBSTITUTE(TEXT(Overig!I121,""",""?00;"",""?-00;"",""?00;"", //"""),"'","""")</f>
        <v>081, 19200209, 24.00, ////, 07,  240, 00,  270,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//"""),"'","""")&amp;SUBSTITUTE(TEXT(IF(ISTEXT(Overig!H122),Overig!H122,10*Overig!H122),""",""????0;"",""???-0;"",""????0;"", ////"""),"'","""")&amp;SUBSTITUTE(TEXT(Overig!I122,""",""?00;"",""?-00;"",""?00;"", //"""),"'","""")</f>
        <v>081, 19200210, 08.00, 7480, 00, ////, 07, ////, 07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//"""),"'","""")&amp;SUBSTITUTE(TEXT(IF(ISTEXT(Overig!H123),Overig!H123,10*Overig!H123),""",""????0;"",""???-0;"",""????0;"", ////"""),"'","""")&amp;SUBSTITUTE(TEXT(Overig!I123,""",""?00;"",""?-00;"",""?00;"", //"""),"'","""")</f>
        <v>081, 19200210, 14.00, 7470, 00, ////, 07, ////, 07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//"""),"'","""")&amp;SUBSTITUTE(TEXT(IF(ISTEXT(Overig!H124),Overig!H124,10*Overig!H124),""",""????0;"",""???-0;"",""????0;"", ////"""),"'","""")&amp;SUBSTITUTE(TEXT(Overig!I124,""",""?00;"",""?-00;"",""?00;"", //"""),"'","""")</f>
        <v>081, 19200210, 24.00, ////, 07,  240, 00,  260,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//"""),"'","""")&amp;SUBSTITUTE(TEXT(IF(ISTEXT(Overig!H125),Overig!H125,10*Overig!H125),""",""????0;"",""???-0;"",""????0;"", ////"""),"'","""")&amp;SUBSTITUTE(TEXT(Overig!I125,""",""?00;"",""?-00;"",""?00;"", //"""),"'","""")</f>
        <v>081, 19200211, 08.00, 7475, 00, ////, 07, ////, 07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//"""),"'","""")&amp;SUBSTITUTE(TEXT(IF(ISTEXT(Overig!H126),Overig!H126,10*Overig!H126),""",""????0;"",""???-0;"",""????0;"", ////"""),"'","""")&amp;SUBSTITUTE(TEXT(Overig!I126,""",""?00;"",""?-00;"",""?00;"", //"""),"'","""")</f>
        <v>081, 19200211, 14.00, 7467, 00, ////, 07, ////, 07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//"""),"'","""")&amp;SUBSTITUTE(TEXT(IF(ISTEXT(Overig!H127),Overig!H127,10*Overig!H127),""",""????0;"",""???-0;"",""????0;"", ////"""),"'","""")&amp;SUBSTITUTE(TEXT(Overig!I127,""",""?00;"",""?-00;"",""?00;"", //"""),"'","""")</f>
        <v>081, 19200211, 24.00, ////, 07,  230, 00,  250,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//"""),"'","""")&amp;SUBSTITUTE(TEXT(IF(ISTEXT(Overig!H128),Overig!H128,10*Overig!H128),""",""????0;"",""???-0;"",""????0;"", ////"""),"'","""")&amp;SUBSTITUTE(TEXT(Overig!I128,""",""?00;"",""?-00;"",""?00;"", //"""),"'","""")</f>
        <v>081, 19200212, 08.00, 7485, 00, ////, 07, ////, 07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//"""),"'","""")&amp;SUBSTITUTE(TEXT(IF(ISTEXT(Overig!H129),Overig!H129,10*Overig!H129),""",""????0;"",""???-0;"",""????0;"", ////"""),"'","""")&amp;SUBSTITUTE(TEXT(Overig!I129,""",""?00;"",""?-00;"",""?00;"", //"""),"'","""")</f>
        <v>081, 19200212, 14.00, 7477, 00, ////, 07, ////, 07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//"""),"'","""")&amp;SUBSTITUTE(TEXT(IF(ISTEXT(Overig!H130),Overig!H130,10*Overig!H130),""",""????0;"",""???-0;"",""????0;"", ////"""),"'","""")&amp;SUBSTITUTE(TEXT(Overig!I130,""",""?00;"",""?-00;"",""?00;"", //"""),"'","""")</f>
        <v>081, 19200212, 24.00, ////, 07,  240, 00,  280,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//"""),"'","""")&amp;SUBSTITUTE(TEXT(IF(ISTEXT(Overig!H131),Overig!H131,10*Overig!H131),""",""????0;"",""???-0;"",""????0;"", ////"""),"'","""")&amp;SUBSTITUTE(TEXT(Overig!I131,""",""?00;"",""?-00;"",""?00;"", //"""),"'","""")</f>
        <v>081, 19200213, 08.00, 7500, 00, ////, 07, ////, 07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//"""),"'","""")&amp;SUBSTITUTE(TEXT(IF(ISTEXT(Overig!H132),Overig!H132,10*Overig!H132),""",""????0;"",""???-0;"",""????0;"", ////"""),"'","""")&amp;SUBSTITUTE(TEXT(Overig!I132,""",""?00;"",""?-00;"",""?00;"", //"""),"'","""")</f>
        <v>081, 19200213, 14.00, 7495, 00, ////, 07, ////, 07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//"""),"'","""")&amp;SUBSTITUTE(TEXT(IF(ISTEXT(Overig!H133),Overig!H133,10*Overig!H133),""",""????0;"",""???-0;"",""????0;"", ////"""),"'","""")&amp;SUBSTITUTE(TEXT(Overig!I133,""",""?00;"",""?-00;"",""?00;"", //"""),"'","""")</f>
        <v>081, 19200213, 24.00, ////, 07,  245, 00,  270,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//"""),"'","""")&amp;SUBSTITUTE(TEXT(IF(ISTEXT(Overig!H134),Overig!H134,10*Overig!H134),""",""????0;"",""???-0;"",""????0;"", ////"""),"'","""")&amp;SUBSTITUTE(TEXT(Overig!I134,""",""?00;"",""?-00;"",""?00;"", //"""),"'","""")</f>
        <v>081, 19200214, 08.00, 7500, 00, ////, 07, ////, 07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//"""),"'","""")&amp;SUBSTITUTE(TEXT(IF(ISTEXT(Overig!H135),Overig!H135,10*Overig!H135),""",""????0;"",""???-0;"",""????0;"", ////"""),"'","""")&amp;SUBSTITUTE(TEXT(Overig!I135,""",""?00;"",""?-00;"",""?00;"", //"""),"'","""")</f>
        <v>081, 19200214, 14.00, 7482, 00, ////, 07, ////, 07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//"""),"'","""")&amp;SUBSTITUTE(TEXT(IF(ISTEXT(Overig!H136),Overig!H136,10*Overig!H136),""",""????0;"",""???-0;"",""????0;"", ////"""),"'","""")&amp;SUBSTITUTE(TEXT(Overig!I136,""",""?00;"",""?-00;"",""?00;"", //"""),"'","""")</f>
        <v>081, 19200214, 24.00, ////, 07,  230, 00,  260,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//"""),"'","""")&amp;SUBSTITUTE(TEXT(IF(ISTEXT(Overig!H137),Overig!H137,10*Overig!H137),""",""????0;"",""???-0;"",""????0;"", ////"""),"'","""")&amp;SUBSTITUTE(TEXT(Overig!I137,""",""?00;"",""?-00;"",""?00;"", //"""),"'","""")</f>
        <v>081, 19200215, 08.00, 7490, 00, ////, 07, ////, 07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//"""),"'","""")&amp;SUBSTITUTE(TEXT(IF(ISTEXT(Overig!H138),Overig!H138,10*Overig!H138),""",""????0;"",""???-0;"",""????0;"", ////"""),"'","""")&amp;SUBSTITUTE(TEXT(Overig!I138,""",""?00;"",""?-00;"",""?00;"", //"""),"'","""")</f>
        <v>081, 19200215, 14.00, 7480, 00, ////, 07, ////, 07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//"""),"'","""")&amp;SUBSTITUTE(TEXT(IF(ISTEXT(Overig!H139),Overig!H139,10*Overig!H139),""",""????0;"",""???-0;"",""????0;"", ////"""),"'","""")&amp;SUBSTITUTE(TEXT(Overig!I139,""",""?00;"",""?-00;"",""?00;"", //"""),"'","""")</f>
        <v>081, 19200215, 24.00, ////, 07,  240, 00,  260,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//"""),"'","""")&amp;SUBSTITUTE(TEXT(IF(ISTEXT(Overig!H140),Overig!H140,10*Overig!H140),""",""????0;"",""???-0;"",""????0;"", ////"""),"'","""")&amp;SUBSTITUTE(TEXT(Overig!I140,""",""?00;"",""?-00;"",""?00;"", //"""),"'","""")</f>
        <v>081, 19200216, 08.00, 7480, 00, ////, 07, ////, 07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//"""),"'","""")&amp;SUBSTITUTE(TEXT(IF(ISTEXT(Overig!H141),Overig!H141,10*Overig!H141),""",""????0;"",""???-0;"",""????0;"", ////"""),"'","""")&amp;SUBSTITUTE(TEXT(Overig!I141,""",""?00;"",""?-00;"",""?00;"", //"""),"'","""")</f>
        <v>081, 19200216, 14.00, 7472, 00, ////, 07, ////, 07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//"""),"'","""")&amp;SUBSTITUTE(TEXT(IF(ISTEXT(Overig!H142),Overig!H142,10*Overig!H142),""",""????0;"",""???-0;"",""????0;"", ////"""),"'","""")&amp;SUBSTITUTE(TEXT(Overig!I142,""",""?00;"",""?-00;"",""?00;"", //"""),"'","""")</f>
        <v>081, 19200216, 24.00, ////, 07,  245, 00,  280,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//"""),"'","""")&amp;SUBSTITUTE(TEXT(IF(ISTEXT(Overig!H143),Overig!H143,10*Overig!H143),""",""????0;"",""???-0;"",""????0;"", ////"""),"'","""")&amp;SUBSTITUTE(TEXT(Overig!I143,""",""?00;"",""?-00;"",""?00;"", //"""),"'","""")</f>
        <v>081, 19200217, 08.00, 7470, 00, ////, 07, ////, 07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//"""),"'","""")&amp;SUBSTITUTE(TEXT(IF(ISTEXT(Overig!H144),Overig!H144,10*Overig!H144),""",""????0;"",""???-0;"",""????0;"", ////"""),"'","""")&amp;SUBSTITUTE(TEXT(Overig!I144,""",""?00;"",""?-00;"",""?00;"", //"""),"'","""")</f>
        <v>081, 19200217, 14.00, 7469, 00, ////, 07, ////, 07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//"""),"'","""")&amp;SUBSTITUTE(TEXT(IF(ISTEXT(Overig!H145),Overig!H145,10*Overig!H145),""",""????0;"",""???-0;"",""????0;"", ////"""),"'","""")&amp;SUBSTITUTE(TEXT(Overig!I145,""",""?00;"",""?-00;"",""?00;"", //"""),"'","""")</f>
        <v>081, 19200217, 24.00, ////, 07,  240, 00,  270,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//"""),"'","""")&amp;SUBSTITUTE(TEXT(IF(ISTEXT(Overig!H146),Overig!H146,10*Overig!H146),""",""????0;"",""???-0;"",""????0;"", ////"""),"'","""")&amp;SUBSTITUTE(TEXT(Overig!I146,""",""?00;"",""?-00;"",""?00;"", //"""),"'","""")</f>
        <v>081, 19200218, 08.00, 7480, 00, ////, 07, ////, 07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//"""),"'","""")&amp;SUBSTITUTE(TEXT(IF(ISTEXT(Overig!H147),Overig!H147,10*Overig!H147),""",""????0;"",""???-0;"",""????0;"", ////"""),"'","""")&amp;SUBSTITUTE(TEXT(Overig!I147,""",""?00;"",""?-00;"",""?00;"", //"""),"'","""")</f>
        <v>081, 19200218, 14.00, 7473, 00, ////, 07, ////, 07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//"""),"'","""")&amp;SUBSTITUTE(TEXT(IF(ISTEXT(Overig!H148),Overig!H148,10*Overig!H148),""",""????0;"",""???-0;"",""????0;"", ////"""),"'","""")&amp;SUBSTITUTE(TEXT(Overig!I148,""",""?00;"",""?-00;"",""?00;"", //"""),"'","""")</f>
        <v>081, 19200218, 24.00, ////, 07,  245, 00,  270,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//"""),"'","""")&amp;SUBSTITUTE(TEXT(IF(ISTEXT(Overig!H149),Overig!H149,10*Overig!H149),""",""????0;"",""???-0;"",""????0;"", ////"""),"'","""")&amp;SUBSTITUTE(TEXT(Overig!I149,""",""?00;"",""?-00;"",""?00;"", //"""),"'","""")</f>
        <v>081, 19200219, 08.00, 7472, 00, ////, 07, ////, 07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//"""),"'","""")&amp;SUBSTITUTE(TEXT(IF(ISTEXT(Overig!H150),Overig!H150,10*Overig!H150),""",""????0;"",""???-0;"",""????0;"", ////"""),"'","""")&amp;SUBSTITUTE(TEXT(Overig!I150,""",""?00;"",""?-00;"",""?00;"", //"""),"'","""")</f>
        <v>081, 19200219, 14.00, 7469, 00, ////, 07, ////, 07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//"""),"'","""")&amp;SUBSTITUTE(TEXT(IF(ISTEXT(Overig!H151),Overig!H151,10*Overig!H151),""",""????0;"",""???-0;"",""????0;"", ////"""),"'","""")&amp;SUBSTITUTE(TEXT(Overig!I151,""",""?00;"",""?-00;"",""?00;"", //"""),"'","""")</f>
        <v>081, 19200219, 24.00, ////, 07,  240, 00,  270,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//"""),"'","""")&amp;SUBSTITUTE(TEXT(IF(ISTEXT(Overig!H152),Overig!H152,10*Overig!H152),""",""????0;"",""???-0;"",""????0;"", ////"""),"'","""")&amp;SUBSTITUTE(TEXT(Overig!I152,""",""?00;"",""?-00;"",""?00;"", //"""),"'","""")</f>
        <v>081, 19200220, 08.00, 7490, 00, ////, 07, ////, 07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//"""),"'","""")&amp;SUBSTITUTE(TEXT(IF(ISTEXT(Overig!H153),Overig!H153,10*Overig!H153),""",""????0;"",""???-0;"",""????0;"", ////"""),"'","""")&amp;SUBSTITUTE(TEXT(Overig!I153,""",""?00;"",""?-00;"",""?00;"", //"""),"'","""")</f>
        <v>081, 19200220, 14.00, 7480, 00, ////, 07, ////, 07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//"""),"'","""")&amp;SUBSTITUTE(TEXT(IF(ISTEXT(Overig!H154),Overig!H154,10*Overig!H154),""",""????0;"",""???-0;"",""????0;"", ////"""),"'","""")&amp;SUBSTITUTE(TEXT(Overig!I154,""",""?00;"",""?-00;"",""?00;"", //"""),"'","""")</f>
        <v>081, 19200220, 24.00, ////, 07,  240, 00,  270,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//"""),"'","""")&amp;SUBSTITUTE(TEXT(IF(ISTEXT(Overig!H155),Overig!H155,10*Overig!H155),""",""????0;"",""???-0;"",""????0;"", ////"""),"'","""")&amp;SUBSTITUTE(TEXT(Overig!I155,""",""?00;"",""?-00;"",""?00;"", //"""),"'","""")</f>
        <v>081, 19200221, 08.00, 7480, 00, ////, 07, ////, 07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//"""),"'","""")&amp;SUBSTITUTE(TEXT(IF(ISTEXT(Overig!H156),Overig!H156,10*Overig!H156),""",""????0;"",""???-0;"",""????0;"", ////"""),"'","""")&amp;SUBSTITUTE(TEXT(Overig!I156,""",""?00;"",""?-00;"",""?00;"", //"""),"'","""")</f>
        <v>081, 19200221, 14.00, 7476, 00, ////, 07, ////, 07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//"""),"'","""")&amp;SUBSTITUTE(TEXT(IF(ISTEXT(Overig!H157),Overig!H157,10*Overig!H157),""",""????0;"",""???-0;"",""????0;"", ////"""),"'","""")&amp;SUBSTITUTE(TEXT(Overig!I157,""",""?00;"",""?-00;"",""?00;"", //"""),"'","""")</f>
        <v>081, 19200221, 24.00, ////, 07,  245, 00,  273,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//"""),"'","""")&amp;SUBSTITUTE(TEXT(IF(ISTEXT(Overig!H158),Overig!H158,10*Overig!H158),""",""????0;"",""???-0;"",""????0;"", ////"""),"'","""")&amp;SUBSTITUTE(TEXT(Overig!I158,""",""?00;"",""?-00;"",""?00;"", //"""),"'","""")</f>
        <v>081, 19200222, 08.00, 7450, 00, ////, 07, ////, 07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//"""),"'","""")&amp;SUBSTITUTE(TEXT(IF(ISTEXT(Overig!H159),Overig!H159,10*Overig!H159),""",""????0;"",""???-0;"",""????0;"", ////"""),"'","""")&amp;SUBSTITUTE(TEXT(Overig!I159,""",""?00;"",""?-00;"",""?00;"", //"""),"'","""")</f>
        <v>081, 19200222, 14.00, 7440, 00, ////, 07, ////, 07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//"""),"'","""")&amp;SUBSTITUTE(TEXT(IF(ISTEXT(Overig!H160),Overig!H160,10*Overig!H160),""",""????0;"",""???-0;"",""????0;"", ////"""),"'","""")&amp;SUBSTITUTE(TEXT(Overig!I160,""",""?00;"",""?-00;"",""?00;"", //"""),"'","""")</f>
        <v>081, 19200222, 24.00, ////, 07,  230, 00,  240,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//"""),"'","""")&amp;SUBSTITUTE(TEXT(IF(ISTEXT(Overig!H161),Overig!H161,10*Overig!H161),""",""????0;"",""???-0;"",""????0;"", ////"""),"'","""")&amp;SUBSTITUTE(TEXT(Overig!I161,""",""?00;"",""?-00;"",""?00;"", //"""),"'","""")</f>
        <v>081, 19200223, 08.00, 7440, 00, ////, 07, ////, 07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//"""),"'","""")&amp;SUBSTITUTE(TEXT(IF(ISTEXT(Overig!H162),Overig!H162,10*Overig!H162),""",""????0;"",""???-0;"",""????0;"", ////"""),"'","""")&amp;SUBSTITUTE(TEXT(Overig!I162,""",""?00;"",""?-00;"",""?00;"", //"""),"'","""")</f>
        <v>081, 19200223, 14.00, 7436, 00, ////, 07, ////, 07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//"""),"'","""")&amp;SUBSTITUTE(TEXT(IF(ISTEXT(Overig!H163),Overig!H163,10*Overig!H163),""",""????0;"",""???-0;"",""????0;"", ////"""),"'","""")&amp;SUBSTITUTE(TEXT(Overig!I163,""",""?00;"",""?-00;"",""?00;"", //"""),"'","""")</f>
        <v>081, 19200223, 24.00, ////, 07,  230, 00,  260,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//"""),"'","""")&amp;SUBSTITUTE(TEXT(IF(ISTEXT(Overig!H164),Overig!H164,10*Overig!H164),""",""????0;"",""???-0;"",""????0;"", ////"""),"'","""")&amp;SUBSTITUTE(TEXT(Overig!I164,""",""?00;"",""?-00;"",""?00;"", //"""),"'","""")</f>
        <v>081, 19200224, 08.00, 7460, 00, ////, 07, ////, 07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//"""),"'","""")&amp;SUBSTITUTE(TEXT(IF(ISTEXT(Overig!H165),Overig!H165,10*Overig!H165),""",""????0;"",""???-0;"",""????0;"", ////"""),"'","""")&amp;SUBSTITUTE(TEXT(Overig!I165,""",""?00;"",""?-00;"",""?00;"", //"""),"'","""")</f>
        <v>081, 19200224, 14.00, 7457, 00, ////, 07, ////, 07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//"""),"'","""")&amp;SUBSTITUTE(TEXT(IF(ISTEXT(Overig!H166),Overig!H166,10*Overig!H166),""",""????0;"",""???-0;"",""????0;"", ////"""),"'","""")&amp;SUBSTITUTE(TEXT(Overig!I166,""",""?00;"",""?-00;"",""?00;"", //"""),"'","""")</f>
        <v>081, 19200224, 24.00, ////, 07,  240, 00,  275,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//"""),"'","""")&amp;SUBSTITUTE(TEXT(IF(ISTEXT(Overig!H167),Overig!H167,10*Overig!H167),""",""????0;"",""???-0;"",""????0;"", ////"""),"'","""")&amp;SUBSTITUTE(TEXT(Overig!I167,""",""?00;"",""?-00;"",""?00;"", //"""),"'","""")</f>
        <v>081, 19200225, 08.00, 7472, 00, ////, 07, ////, 07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//"""),"'","""")&amp;SUBSTITUTE(TEXT(IF(ISTEXT(Overig!H168),Overig!H168,10*Overig!H168),""",""????0;"",""???-0;"",""????0;"", ////"""),"'","""")&amp;SUBSTITUTE(TEXT(Overig!I168,""",""?00;"",""?-00;"",""?00;"", //"""),"'","""")</f>
        <v>081, 19200225, 14.00, 7470, 00, ////, 07, ////, 07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//"""),"'","""")&amp;SUBSTITUTE(TEXT(IF(ISTEXT(Overig!H169),Overig!H169,10*Overig!H169),""",""????0;"",""???-0;"",""????0;"", ////"""),"'","""")&amp;SUBSTITUTE(TEXT(Overig!I169,""",""?00;"",""?-00;"",""?00;"", //"""),"'","""")</f>
        <v>081, 19200225, 24.00, ////, 07,  255, 00,  290,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//"""),"'","""")&amp;SUBSTITUTE(TEXT(IF(ISTEXT(Overig!H170),Overig!H170,10*Overig!H170),""",""????0;"",""???-0;"",""????0;"", ////"""),"'","""")&amp;SUBSTITUTE(TEXT(Overig!I170,""",""?00;"",""?-00;"",""?00;"", //"""),"'","""")</f>
        <v>081, 19200226, 08.00, 7490, 00, ////, 07, ////, 07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//"""),"'","""")&amp;SUBSTITUTE(TEXT(IF(ISTEXT(Overig!H171),Overig!H171,10*Overig!H171),""",""????0;"",""???-0;"",""????0;"", ////"""),"'","""")&amp;SUBSTITUTE(TEXT(Overig!I171,""",""?00;"",""?-00;"",""?00;"", //"""),"'","""")</f>
        <v>081, 19200226, 14.00, 7487, 00, ////, 07, ////, 07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//"""),"'","""")&amp;SUBSTITUTE(TEXT(IF(ISTEXT(Overig!H172),Overig!H172,10*Overig!H172),""",""????0;"",""???-0;"",""????0;"", ////"""),"'","""")&amp;SUBSTITUTE(TEXT(Overig!I172,""",""?00;"",""?-00;"",""?00;"", //"""),"'","""")</f>
        <v>081, 19200226, 24.00, ////, 07,  260, 00,  290,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//"""),"'","""")&amp;SUBSTITUTE(TEXT(IF(ISTEXT(Overig!H173),Overig!H173,10*Overig!H173),""",""????0;"",""???-0;"",""????0;"", ////"""),"'","""")&amp;SUBSTITUTE(TEXT(Overig!I173,""",""?00;"",""?-00;"",""?00;"", //"""),"'","""")</f>
        <v>081, 19200227, 08.00, 7510, 00, ////, 07, ////, 07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//"""),"'","""")&amp;SUBSTITUTE(TEXT(IF(ISTEXT(Overig!H174),Overig!H174,10*Overig!H174),""",""????0;"",""???-0;"",""????0;"", ////"""),"'","""")&amp;SUBSTITUTE(TEXT(Overig!I174,""",""?00;"",""?-00;"",""?00;"", //"""),"'","""")</f>
        <v>081, 19200227, 14.00, 7500, 00, ////, 07, ////, 07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//"""),"'","""")&amp;SUBSTITUTE(TEXT(IF(ISTEXT(Overig!H175),Overig!H175,10*Overig!H175),""",""????0;"",""???-0;"",""????0;"", ////"""),"'","""")&amp;SUBSTITUTE(TEXT(Overig!I175,""",""?00;"",""?-00;"",""?00;"", //"""),"'","""")</f>
        <v>081, 19200227, 24.00, ////, 07,  250, 00,  270,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//"""),"'","""")&amp;SUBSTITUTE(TEXT(IF(ISTEXT(Overig!H176),Overig!H176,10*Overig!H176),""",""????0;"",""???-0;"",""????0;"", ////"""),"'","""")&amp;SUBSTITUTE(TEXT(Overig!I176,""",""?00;"",""?-00;"",""?00;"", //"""),"'","""")</f>
        <v>081, 19200228, 08.00, 7500, 00, ////, 07, ////, 07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//"""),"'","""")&amp;SUBSTITUTE(TEXT(IF(ISTEXT(Overig!H177),Overig!H177,10*Overig!H177),""",""????0;"",""???-0;"",""????0;"", ////"""),"'","""")&amp;SUBSTITUTE(TEXT(Overig!I177,""",""?00;"",""?-00;"",""?00;"", //"""),"'","""")</f>
        <v>081, 19200228, 14.00, 7497, 00, ////, 07, ////, 07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//"""),"'","""")&amp;SUBSTITUTE(TEXT(IF(ISTEXT(Overig!H178),Overig!H178,10*Overig!H178),""",""????0;"",""???-0;"",""????0;"", ////"""),"'","""")&amp;SUBSTITUTE(TEXT(Overig!I178,""",""?00;"",""?-00;"",""?00;"", //"""),"'","""")</f>
        <v>081, 19200228, 24.00, ////, 07,  240, 00,  280,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//"""),"'","""")&amp;SUBSTITUTE(TEXT(IF(ISTEXT(Overig!H179),Overig!H179,10*Overig!H179),""",""????0;"",""???-0;"",""????0;"", ////"""),"'","""")&amp;SUBSTITUTE(TEXT(Overig!I179,""",""?00;"",""?-00;"",""?00;"", //"""),"'","""")</f>
        <v>081, 19200229, 08.00, 7480, 00, ////, 07, ////, 07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//"""),"'","""")&amp;SUBSTITUTE(TEXT(IF(ISTEXT(Overig!H180),Overig!H180,10*Overig!H180),""",""????0;"",""???-0;"",""????0;"", ////"""),"'","""")&amp;SUBSTITUTE(TEXT(Overig!I180,""",""?00;"",""?-00;"",""?00;"", //"""),"'","""")</f>
        <v>081, 19200229, 14.00, 7470, 00, ////, 07, ////, 07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//"""),"'","""")&amp;SUBSTITUTE(TEXT(IF(ISTEXT(Overig!H181),Overig!H181,10*Overig!H181),""",""????0;"",""???-0;"",""????0;"", ////"""),"'","""")&amp;SUBSTITUTE(TEXT(Overig!I181,""",""?00;"",""?-00;"",""?00;"", //"""),"'","""")</f>
        <v>081, 19200229, 24.00, ////, 07,  250, 00,  280,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//"""),"'","""")&amp;SUBSTITUTE(TEXT(IF(ISTEXT(Overig!H182),Overig!H182,10*Overig!H182),""",""????0;"",""???-0;"",""????0;"", ////"""),"'","""")&amp;SUBSTITUTE(TEXT(Overig!I182,""",""?00;"",""?-00;"",""?00;"", //"""),"'","""")</f>
        <v>081, 19200301, 08.00, 7465, 00, ////, 07, ////, 07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//"""),"'","""")&amp;SUBSTITUTE(TEXT(IF(ISTEXT(Overig!H183),Overig!H183,10*Overig!H183),""",""????0;"",""???-0;"",""????0;"", ////"""),"'","""")&amp;SUBSTITUTE(TEXT(Overig!I183,""",""?00;"",""?-00;"",""?00;"", //"""),"'","""")</f>
        <v>081, 19200301, 14.00, 7462, 00, ////, 07, ////, 07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//"""),"'","""")&amp;SUBSTITUTE(TEXT(IF(ISTEXT(Overig!H184),Overig!H184,10*Overig!H184),""",""????0;"",""???-0;"",""????0;"", ////"""),"'","""")&amp;SUBSTITUTE(TEXT(Overig!I184,""",""?00;"",""?-00;"",""?00;"", //"""),"'","""")</f>
        <v>081, 19200301, 24.00, ////, 07,  250, 00,  278,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//"""),"'","""")&amp;SUBSTITUTE(TEXT(IF(ISTEXT(Overig!H185),Overig!H185,10*Overig!H185),""",""????0;"",""???-0;"",""????0;"", ////"""),"'","""")&amp;SUBSTITUTE(TEXT(Overig!I185,""",""?00;"",""?-00;"",""?00;"", //"""),"'","""")</f>
        <v>081, 19200302, 08.00, 7480, 00, ////, 07, ////, 07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//"""),"'","""")&amp;SUBSTITUTE(TEXT(IF(ISTEXT(Overig!H186),Overig!H186,10*Overig!H186),""",""????0;"",""???-0;"",""????0;"", ////"""),"'","""")&amp;SUBSTITUTE(TEXT(Overig!I186,""",""?00;"",""?-00;"",""?00;"", //"""),"'","""")</f>
        <v>081, 19200302, 14.00, 7478, 00, ////, 07, ////, 07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//"""),"'","""")&amp;SUBSTITUTE(TEXT(IF(ISTEXT(Overig!H187),Overig!H187,10*Overig!H187),""",""????0;"",""???-0;"",""????0;"", ////"""),"'","""")&amp;SUBSTITUTE(TEXT(Overig!I187,""",""?00;"",""?-00;"",""?00;"", //"""),"'","""")</f>
        <v>081, 19200302, 24.00, ////, 07,  260, 00,  265,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//"""),"'","""")&amp;SUBSTITUTE(TEXT(IF(ISTEXT(Overig!H188),Overig!H188,10*Overig!H188),""",""????0;"",""???-0;"",""????0;"", ////"""),"'","""")&amp;SUBSTITUTE(TEXT(Overig!I188,""",""?00;"",""?-00;"",""?00;"", //"""),"'","""")</f>
        <v>081, 19200303, 08.00, 7490, 00, ////, 07, ////, 07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//"""),"'","""")&amp;SUBSTITUTE(TEXT(IF(ISTEXT(Overig!H189),Overig!H189,10*Overig!H189),""",""????0;"",""???-0;"",""????0;"", ////"""),"'","""")&amp;SUBSTITUTE(TEXT(Overig!I189,""",""?00;"",""?-00;"",""?00;"", //"""),"'","""")</f>
        <v>081, 19200303, 14.00, 7483, 00, ////, 07, ////, 07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//"""),"'","""")&amp;SUBSTITUTE(TEXT(IF(ISTEXT(Overig!H190),Overig!H190,10*Overig!H190),""",""????0;"",""???-0;"",""????0;"", ////"""),"'","""")&amp;SUBSTITUTE(TEXT(Overig!I190,""",""?00;"",""?-00;"",""?00;"", //"""),"'","""")</f>
        <v>081, 19200303, 24.00, ////, 07,  250, 00,  283,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//"""),"'","""")&amp;SUBSTITUTE(TEXT(IF(ISTEXT(Overig!H191),Overig!H191,10*Overig!H191),""",""????0;"",""???-0;"",""????0;"", ////"""),"'","""")&amp;SUBSTITUTE(TEXT(Overig!I191,""",""?00;"",""?-00;"",""?00;"", //"""),"'","""")</f>
        <v>081, 19200304, 08.00, 7470, 00, ////, 07, ////, 07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//"""),"'","""")&amp;SUBSTITUTE(TEXT(IF(ISTEXT(Overig!H192),Overig!H192,10*Overig!H192),""",""????0;"",""???-0;"",""????0;"", ////"""),"'","""")&amp;SUBSTITUTE(TEXT(Overig!I192,""",""?00;"",""?-00;"",""?00;"", //"""),"'","""")</f>
        <v>081, 19200304, 14.00, 7464, 00, ////, 07, ////, 07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//"""),"'","""")&amp;SUBSTITUTE(TEXT(IF(ISTEXT(Overig!H193),Overig!H193,10*Overig!H193),""",""????0;"",""???-0;"",""????0;"", ////"""),"'","""")&amp;SUBSTITUTE(TEXT(Overig!I193,""",""?00;"",""?-00;"",""?00;"", //"""),"'","""")</f>
        <v>081, 19200304, 24.00, ////, 07,  248, 00,  280,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//"""),"'","""")&amp;SUBSTITUTE(TEXT(IF(ISTEXT(Overig!H194),Overig!H194,10*Overig!H194),""",""????0;"",""???-0;"",""????0;"", ////"""),"'","""")&amp;SUBSTITUTE(TEXT(Overig!I194,""",""?00;"",""?-00;"",""?00;"", //"""),"'","""")</f>
        <v>081, 19200305, 08.00, 7460, 00, ////, 07, ////, 07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//"""),"'","""")&amp;SUBSTITUTE(TEXT(IF(ISTEXT(Overig!H195),Overig!H195,10*Overig!H195),""",""????0;"",""???-0;"",""????0;"", ////"""),"'","""")&amp;SUBSTITUTE(TEXT(Overig!I195,""",""?00;"",""?-00;"",""?00;"", //"""),"'","""")</f>
        <v>081, 19200305, 14.00, 7457, 00, ////, 07, ////, 07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//"""),"'","""")&amp;SUBSTITUTE(TEXT(IF(ISTEXT(Overig!H196),Overig!H196,10*Overig!H196),""",""????0;"",""???-0;"",""????0;"", ////"""),"'","""")&amp;SUBSTITUTE(TEXT(Overig!I196,""",""?00;"",""?-00;"",""?00;"", //"""),"'","""")</f>
        <v>081, 19200305, 24.00, ////, 07,  250, 00,  273,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//"""),"'","""")&amp;SUBSTITUTE(TEXT(IF(ISTEXT(Overig!H197),Overig!H197,10*Overig!H197),""",""????0;"",""???-0;"",""????0;"", ////"""),"'","""")&amp;SUBSTITUTE(TEXT(Overig!I197,""",""?00;"",""?-00;"",""?00;"", //"""),"'","""")</f>
        <v>081, 19200306, 08.00, 7480, 00, ////, 07, ////, 07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//"""),"'","""")&amp;SUBSTITUTE(TEXT(IF(ISTEXT(Overig!H198),Overig!H198,10*Overig!H198),""",""????0;"",""???-0;"",""????0;"", ////"""),"'","""")&amp;SUBSTITUTE(TEXT(Overig!I198,""",""?00;"",""?-00;"",""?00;"", //"""),"'","""")</f>
        <v>081, 19200306, 14.00, 7478, 00, ////, 07, ////, 07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//"""),"'","""")&amp;SUBSTITUTE(TEXT(IF(ISTEXT(Overig!H199),Overig!H199,10*Overig!H199),""",""????0;"",""???-0;"",""????0;"", ////"""),"'","""")&amp;SUBSTITUTE(TEXT(Overig!I199,""",""?00;"",""?-00;"",""?00;"", //"""),"'","""")</f>
        <v>081, 19200306, 24.00, ////, 07,  255, 00,  283,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//"""),"'","""")&amp;SUBSTITUTE(TEXT(IF(ISTEXT(Overig!H200),Overig!H200,10*Overig!H200),""",""????0;"",""???-0;"",""????0;"", ////"""),"'","""")&amp;SUBSTITUTE(TEXT(Overig!I200,""",""?00;"",""?-00;"",""?00;"", //"""),"'","""")</f>
        <v>081, 19200307, 08.00, 7485, 00, ////, 07, ////, 07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//"""),"'","""")&amp;SUBSTITUTE(TEXT(IF(ISTEXT(Overig!H201),Overig!H201,10*Overig!H201),""",""????0;"",""???-0;"",""????0;"", ////"""),"'","""")&amp;SUBSTITUTE(TEXT(Overig!I201,""",""?00;"",""?-00;"",""?00;"", //"""),"'","""")</f>
        <v>081, 19200307, 14.00, 7470, 00, ////, 07, ////, 07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//"""),"'","""")&amp;SUBSTITUTE(TEXT(IF(ISTEXT(Overig!H202),Overig!H202,10*Overig!H202),""",""????0;"",""???-0;"",""????0;"", ////"""),"'","""")&amp;SUBSTITUTE(TEXT(Overig!I202,""",""?00;"",""?-00;"",""?00;"", //"""),"'","""")</f>
        <v>081, 19200307, 24.00, ////, 07,  240, 00,  270,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//"""),"'","""")&amp;SUBSTITUTE(TEXT(IF(ISTEXT(Overig!H203),Overig!H203,10*Overig!H203),""",""????0;"",""???-0;"",""????0;"", ////"""),"'","""")&amp;SUBSTITUTE(TEXT(Overig!I203,""",""?00;"",""?-00;"",""?00;"", //"""),"'","""")</f>
        <v>081, 19200308, 08.00, 7470, 00, ////, 07, ////, 07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//"""),"'","""")&amp;SUBSTITUTE(TEXT(IF(ISTEXT(Overig!H204),Overig!H204,10*Overig!H204),""",""????0;"",""???-0;"",""????0;"", ////"""),"'","""")&amp;SUBSTITUTE(TEXT(Overig!I204,""",""?00;"",""?-00;"",""?00;"", //"""),"'","""")</f>
        <v>081, 19200308, 14.00, 7464, 00, ////, 07, ////, 07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//"""),"'","""")&amp;SUBSTITUTE(TEXT(IF(ISTEXT(Overig!H205),Overig!H205,10*Overig!H205),""",""????0;"",""???-0;"",""????0;"", ////"""),"'","""")&amp;SUBSTITUTE(TEXT(Overig!I205,""",""?00;"",""?-00;"",""?00;"", //"""),"'","""")</f>
        <v>081, 19200308, 24.00, ////, 07,  238, 00,  265,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//"""),"'","""")&amp;SUBSTITUTE(TEXT(IF(ISTEXT(Overig!H206),Overig!H206,10*Overig!H206),""",""????0;"",""???-0;"",""????0;"", ////"""),"'","""")&amp;SUBSTITUTE(TEXT(Overig!I206,""",""?00;"",""?-00;"",""?00;"", //"""),"'","""")</f>
        <v>081, 19200309, 08.00, 7510, 00, ////, 07, ////, 07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//"""),"'","""")&amp;SUBSTITUTE(TEXT(IF(ISTEXT(Overig!H207),Overig!H207,10*Overig!H207),""",""????0;"",""???-0;"",""????0;"", ////"""),"'","""")&amp;SUBSTITUTE(TEXT(Overig!I207,""",""?00;"",""?-00;"",""?00;"", //"""),"'","""")</f>
        <v>081, 19200309, 14.00, 7500, 00, ////, 07, ////, 07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//"""),"'","""")&amp;SUBSTITUTE(TEXT(IF(ISTEXT(Overig!H208),Overig!H208,10*Overig!H208),""",""????0;"",""???-0;"",""????0;"", ////"""),"'","""")&amp;SUBSTITUTE(TEXT(Overig!I208,""",""?00;"",""?-00;"",""?00;"", //"""),"'","""")</f>
        <v>081, 19200309, 24.00, ////, 07,  245, 00,  275,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//"""),"'","""")&amp;SUBSTITUTE(TEXT(IF(ISTEXT(Overig!H209),Overig!H209,10*Overig!H209),""",""????0;"",""???-0;"",""????0;"", ////"""),"'","""")&amp;SUBSTITUTE(TEXT(Overig!I209,""",""?00;"",""?-00;"",""?00;"", //"""),"'","""")</f>
        <v>081, 19200310, 08.00, 7500, 00, ////, 07, ////, 07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//"""),"'","""")&amp;SUBSTITUTE(TEXT(IF(ISTEXT(Overig!H210),Overig!H210,10*Overig!H210),""",""????0;"",""???-0;"",""????0;"", ////"""),"'","""")&amp;SUBSTITUTE(TEXT(Overig!I210,""",""?00;"",""?-00;"",""?00;"", //"""),"'","""")</f>
        <v>081, 19200310, 14.00, 7490, 00, ////, 07, ////, 07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//"""),"'","""")&amp;SUBSTITUTE(TEXT(IF(ISTEXT(Overig!H211),Overig!H211,10*Overig!H211),""",""????0;"",""???-0;"",""????0;"", ////"""),"'","""")&amp;SUBSTITUTE(TEXT(Overig!I211,""",""?00;"",""?-00;"",""?00;"", //"""),"'","""")</f>
        <v>081, 19200310, 24.00, ////, 07,  240, 00,  270,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//"""),"'","""")&amp;SUBSTITUTE(TEXT(IF(ISTEXT(Overig!H212),Overig!H212,10*Overig!H212),""",""????0;"",""???-0;"",""????0;"", ////"""),"'","""")&amp;SUBSTITUTE(TEXT(Overig!I212,""",""?00;"",""?-00;"",""?00;"", //"""),"'","""")</f>
        <v>081, 19200311, 08.00, 7500, 00, ////, 07, ////, 07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//"""),"'","""")&amp;SUBSTITUTE(TEXT(IF(ISTEXT(Overig!H213),Overig!H213,10*Overig!H213),""",""????0;"",""???-0;"",""????0;"", ////"""),"'","""")&amp;SUBSTITUTE(TEXT(Overig!I213,""",""?00;"",""?-00;"",""?00;"", //"""),"'","""")</f>
        <v>081, 19200311, 14.00, 7490, 00, ////, 07, ////, 07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//"""),"'","""")&amp;SUBSTITUTE(TEXT(IF(ISTEXT(Overig!H214),Overig!H214,10*Overig!H214),""",""????0;"",""???-0;"",""????0;"", ////"""),"'","""")&amp;SUBSTITUTE(TEXT(Overig!I214,""",""?00;"",""?-00;"",""?00;"", //"""),"'","""")</f>
        <v>081, 19200311, 24.00, ////, 07,  230, 00,  260,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//"""),"'","""")&amp;SUBSTITUTE(TEXT(IF(ISTEXT(Overig!H215),Overig!H215,10*Overig!H215),""",""????0;"",""???-0;"",""????0;"", ////"""),"'","""")&amp;SUBSTITUTE(TEXT(Overig!I215,""",""?00;"",""?-00;"",""?00;"", //"""),"'","""")</f>
        <v>081, 19200312, 08.00, 7495, 00, ////, 07, ////, 07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//"""),"'","""")&amp;SUBSTITUTE(TEXT(IF(ISTEXT(Overig!H216),Overig!H216,10*Overig!H216),""",""????0;"",""???-0;"",""????0;"", ////"""),"'","""")&amp;SUBSTITUTE(TEXT(Overig!I216,""",""?00;"",""?-00;"",""?00;"", //"""),"'","""")</f>
        <v>081, 19200312, 14.00, 7490, 00, ////, 07, ////, 07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//"""),"'","""")&amp;SUBSTITUTE(TEXT(IF(ISTEXT(Overig!H217),Overig!H217,10*Overig!H217),""",""????0;"",""???-0;"",""????0;"", ////"""),"'","""")&amp;SUBSTITUTE(TEXT(Overig!I217,""",""?00;"",""?-00;"",""?00;"", //"""),"'","""")</f>
        <v>081, 19200312, 24.00, ////, 07,  240, 00,  273,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//"""),"'","""")&amp;SUBSTITUTE(TEXT(IF(ISTEXT(Overig!H218),Overig!H218,10*Overig!H218),""",""????0;"",""???-0;"",""????0;"", ////"""),"'","""")&amp;SUBSTITUTE(TEXT(Overig!I218,""",""?00;"",""?-00;"",""?00;"", //"""),"'","""")</f>
        <v>081, 19200313, 08.00, 7485, 00, ////, 07, ////, 07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//"""),"'","""")&amp;SUBSTITUTE(TEXT(IF(ISTEXT(Overig!H219),Overig!H219,10*Overig!H219),""",""????0;"",""???-0;"",""????0;"", ////"""),"'","""")&amp;SUBSTITUTE(TEXT(Overig!I219,""",""?00;"",""?-00;"",""?00;"", //"""),"'","""")</f>
        <v>081, 19200313, 14.00, 7480, 00, ////, 07, ////, 07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//"""),"'","""")&amp;SUBSTITUTE(TEXT(IF(ISTEXT(Overig!H220),Overig!H220,10*Overig!H220),""",""????0;"",""???-0;"",""????0;"", ////"""),"'","""")&amp;SUBSTITUTE(TEXT(Overig!I220,""",""?00;"",""?-00;"",""?00;"", //"""),"'","""")</f>
        <v>081, 19200313, 24.00, ////, 07,  240, 00,  268,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//"""),"'","""")&amp;SUBSTITUTE(TEXT(IF(ISTEXT(Overig!H221),Overig!H221,10*Overig!H221),""",""????0;"",""???-0;"",""????0;"", ////"""),"'","""")&amp;SUBSTITUTE(TEXT(Overig!I221,""",""?00;"",""?-00;"",""?00;"", //"""),"'","""")</f>
        <v>081, 19200314, 08.00, 7490, 00, ////, 07, ////, 07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//"""),"'","""")&amp;SUBSTITUTE(TEXT(IF(ISTEXT(Overig!H222),Overig!H222,10*Overig!H222),""",""????0;"",""???-0;"",""????0;"", ////"""),"'","""")&amp;SUBSTITUTE(TEXT(Overig!I222,""",""?00;"",""?-00;"",""?00;"", //"""),"'","""")</f>
        <v>081, 19200314, 14.00, 7480, 00, ////, 07, ////, 07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//"""),"'","""")&amp;SUBSTITUTE(TEXT(IF(ISTEXT(Overig!H223),Overig!H223,10*Overig!H223),""",""????0;"",""???-0;"",""????0;"", ////"""),"'","""")&amp;SUBSTITUTE(TEXT(Overig!I223,""",""?00;"",""?-00;"",""?00;"", //"""),"'","""")</f>
        <v>081, 19200314, 24.00, ////, 07,  240, 00,  270,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//"""),"'","""")&amp;SUBSTITUTE(TEXT(IF(ISTEXT(Overig!H224),Overig!H224,10*Overig!H224),""",""????0;"",""???-0;"",""????0;"", ////"""),"'","""")&amp;SUBSTITUTE(TEXT(Overig!I224,""",""?00;"",""?-00;"",""?00;"", //"""),"'","""")</f>
        <v>081, 19200315, 08.00, 7490, 00, ////, 07, ////, 07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//"""),"'","""")&amp;SUBSTITUTE(TEXT(IF(ISTEXT(Overig!H225),Overig!H225,10*Overig!H225),""",""????0;"",""???-0;"",""????0;"", ////"""),"'","""")&amp;SUBSTITUTE(TEXT(Overig!I225,""",""?00;"",""?-00;"",""?00;"", //"""),"'","""")</f>
        <v>081, 19200315, 14.00, 7480, 00, ////, 07, ////, 07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//"""),"'","""")&amp;SUBSTITUTE(TEXT(IF(ISTEXT(Overig!H226),Overig!H226,10*Overig!H226),""",""????0;"",""???-0;"",""????0;"", ////"""),"'","""")&amp;SUBSTITUTE(TEXT(Overig!I226,""",""?00;"",""?-00;"",""?00;"", //"""),"'","""")</f>
        <v>081, 19200315, 24.00, ////, 07,  250, 00,  270,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//"""),"'","""")&amp;SUBSTITUTE(TEXT(IF(ISTEXT(Overig!H227),Overig!H227,10*Overig!H227),""",""????0;"",""???-0;"",""????0;"", ////"""),"'","""")&amp;SUBSTITUTE(TEXT(Overig!I227,""",""?00;"",""?-00;"",""?00;"", //"""),"'","""")</f>
        <v>081, 19200316, 08.00, 7500, 00, ////, 07, ////, 07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//"""),"'","""")&amp;SUBSTITUTE(TEXT(IF(ISTEXT(Overig!H228),Overig!H228,10*Overig!H228),""",""????0;"",""???-0;"",""????0;"", ////"""),"'","""")&amp;SUBSTITUTE(TEXT(Overig!I228,""",""?00;"",""?-00;"",""?00;"", //"""),"'","""")</f>
        <v>081, 19200316, 14.00, 7490, 00, ////, 07, ////, 07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//"""),"'","""")&amp;SUBSTITUTE(TEXT(IF(ISTEXT(Overig!H229),Overig!H229,10*Overig!H229),""",""????0;"",""???-0;"",""????0;"", ////"""),"'","""")&amp;SUBSTITUTE(TEXT(Overig!I229,""",""?00;"",""?-00;"",""?00;"", //"""),"'","""")</f>
        <v>081, 19200316, 24.00, ////, 07,  250, 00,  275,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//"""),"'","""")&amp;SUBSTITUTE(TEXT(IF(ISTEXT(Overig!H230),Overig!H230,10*Overig!H230),""",""????0;"",""???-0;"",""????0;"", ////"""),"'","""")&amp;SUBSTITUTE(TEXT(Overig!I230,""",""?00;"",""?-00;"",""?00;"", //"""),"'","""")</f>
        <v>081, 19200317, 08.00, 7510, 00, ////, 07, ////, 07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//"""),"'","""")&amp;SUBSTITUTE(TEXT(IF(ISTEXT(Overig!H231),Overig!H231,10*Overig!H231),""",""????0;"",""???-0;"",""????0;"", ////"""),"'","""")&amp;SUBSTITUTE(TEXT(Overig!I231,""",""?00;"",""?-00;"",""?00;"", //"""),"'","""")</f>
        <v>081, 19200317, 14.00, 7500, 00, ////, 07, ////, 07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//"""),"'","""")&amp;SUBSTITUTE(TEXT(IF(ISTEXT(Overig!H232),Overig!H232,10*Overig!H232),""",""????0;"",""???-0;"",""????0;"", ////"""),"'","""")&amp;SUBSTITUTE(TEXT(Overig!I232,""",""?00;"",""?-00;"",""?00;"", //"""),"'","""")</f>
        <v>081, 19200317, 24.00, ////, 07,  240, 00,  275,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//"""),"'","""")&amp;SUBSTITUTE(TEXT(IF(ISTEXT(Overig!H233),Overig!H233,10*Overig!H233),""",""????0;"",""???-0;"",""????0;"", ////"""),"'","""")&amp;SUBSTITUTE(TEXT(Overig!I233,""",""?00;"",""?-00;"",""?00;"", //"""),"'","""")</f>
        <v>081, 19200318, 08.00, 7495, 00, ////, 07, ////, 07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//"""),"'","""")&amp;SUBSTITUTE(TEXT(IF(ISTEXT(Overig!H234),Overig!H234,10*Overig!H234),""",""????0;"",""???-0;"",""????0;"", ////"""),"'","""")&amp;SUBSTITUTE(TEXT(Overig!I234,""",""?00;"",""?-00;"",""?00;"", //"""),"'","""")</f>
        <v>081, 19200318, 14.00, 7480, 00, ////, 07, ////, 07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//"""),"'","""")&amp;SUBSTITUTE(TEXT(IF(ISTEXT(Overig!H235),Overig!H235,10*Overig!H235),""",""????0;"",""???-0;"",""????0;"", ////"""),"'","""")&amp;SUBSTITUTE(TEXT(Overig!I235,""",""?00;"",""?-00;"",""?00;"", //"""),"'","""")</f>
        <v>081, 19200318, 24.00, ////, 07,  240, 00,  260,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//"""),"'","""")&amp;SUBSTITUTE(TEXT(IF(ISTEXT(Overig!H236),Overig!H236,10*Overig!H236),""",""????0;"",""???-0;"",""????0;"", ////"""),"'","""")&amp;SUBSTITUTE(TEXT(Overig!I236,""",""?00;"",""?-00;"",""?00;"", //"""),"'","""")</f>
        <v>081, 19200319, 08.00, 7470, 00, ////, 07, ////, 07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//"""),"'","""")&amp;SUBSTITUTE(TEXT(IF(ISTEXT(Overig!H237),Overig!H237,10*Overig!H237),""",""????0;"",""???-0;"",""????0;"", ////"""),"'","""")&amp;SUBSTITUTE(TEXT(Overig!I237,""",""?00;"",""?-00;"",""?00;"", //"""),"'","""")</f>
        <v>081, 19200319, 14.00, 7465, 00, ////, 07, ////, 07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//"""),"'","""")&amp;SUBSTITUTE(TEXT(IF(ISTEXT(Overig!H238),Overig!H238,10*Overig!H238),""",""????0;"",""???-0;"",""????0;"", ////"""),"'","""")&amp;SUBSTITUTE(TEXT(Overig!I238,""",""?00;"",""?-00;"",""?00;"", //"""),"'","""")</f>
        <v>081, 19200319, 24.00, ////, 07,  230, 00,  238,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//"""),"'","""")&amp;SUBSTITUTE(TEXT(IF(ISTEXT(Overig!H239),Overig!H239,10*Overig!H239),""",""????0;"",""???-0;"",""????0;"", ////"""),"'","""")&amp;SUBSTITUTE(TEXT(Overig!I239,""",""?00;"",""?-00;"",""?00;"", //"""),"'","""")</f>
        <v>081, 19200320, 08.00, 7480, 00, ////, 07, ////, 07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//"""),"'","""")&amp;SUBSTITUTE(TEXT(IF(ISTEXT(Overig!H240),Overig!H240,10*Overig!H240),""",""????0;"",""???-0;"",""????0;"", ////"""),"'","""")&amp;SUBSTITUTE(TEXT(Overig!I240,""",""?00;"",""?-00;"",""?00;"", //"""),"'","""")</f>
        <v>081, 19200320, 14.00, 7477, 00, ////, 07, ////, 07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//"""),"'","""")&amp;SUBSTITUTE(TEXT(IF(ISTEXT(Overig!H241),Overig!H241,10*Overig!H241),""",""????0;"",""???-0;"",""????0;"", ////"""),"'","""")&amp;SUBSTITUTE(TEXT(Overig!I241,""",""?00;"",""?-00;"",""?00;"", //"""),"'","""")</f>
        <v>081, 19200320, 24.00, ////, 07,  235, 00,  270,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//"""),"'","""")&amp;SUBSTITUTE(TEXT(IF(ISTEXT(Overig!H242),Overig!H242,10*Overig!H242),""",""????0;"",""???-0;"",""????0;"", ////"""),"'","""")&amp;SUBSTITUTE(TEXT(Overig!I242,""",""?00;"",""?-00;"",""?00;"", //"""),"'","""")</f>
        <v>081, 19200321, 08.00, 7490, 00, ////, 07, ////, 07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//"""),"'","""")&amp;SUBSTITUTE(TEXT(IF(ISTEXT(Overig!H243),Overig!H243,10*Overig!H243),""",""????0;"",""???-0;"",""????0;"", ////"""),"'","""")&amp;SUBSTITUTE(TEXT(Overig!I243,""",""?00;"",""?-00;"",""?00;"", //"""),"'","""")</f>
        <v>081, 19200321, 14.00, 7480, 00, ////, 07, ////, 07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//"""),"'","""")&amp;SUBSTITUTE(TEXT(IF(ISTEXT(Overig!H244),Overig!H244,10*Overig!H244),""",""????0;"",""???-0;"",""????0;"", ////"""),"'","""")&amp;SUBSTITUTE(TEXT(Overig!I244,""",""?00;"",""?-00;"",""?00;"", //"""),"'","""")</f>
        <v>081, 19200321, 24.00, ////, 07,  250, 00,  270,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//"""),"'","""")&amp;SUBSTITUTE(TEXT(IF(ISTEXT(Overig!H245),Overig!H245,10*Overig!H245),""",""????0;"",""???-0;"",""????0;"", ////"""),"'","""")&amp;SUBSTITUTE(TEXT(Overig!I245,""",""?00;"",""?-00;"",""?00;"", //"""),"'","""")</f>
        <v>081, 19200322, 08.00, 7500, 00, ////, 07, ////, 07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//"""),"'","""")&amp;SUBSTITUTE(TEXT(IF(ISTEXT(Overig!H246),Overig!H246,10*Overig!H246),""",""????0;"",""???-0;"",""????0;"", ////"""),"'","""")&amp;SUBSTITUTE(TEXT(Overig!I246,""",""?00;"",""?-00;"",""?00;"", //"""),"'","""")</f>
        <v>081, 19200322, 14.00, 7496, 00, ////, 07, ////, 07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//"""),"'","""")&amp;SUBSTITUTE(TEXT(IF(ISTEXT(Overig!H247),Overig!H247,10*Overig!H247),""",""????0;"",""???-0;"",""????0;"", ////"""),"'","""")&amp;SUBSTITUTE(TEXT(Overig!I247,""",""?00;"",""?-00;"",""?00;"", //"""),"'","""")</f>
        <v>081, 19200322, 24.00, ////, 07,  248, 00,  270,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//"""),"'","""")&amp;SUBSTITUTE(TEXT(IF(ISTEXT(Overig!H248),Overig!H248,10*Overig!H248),""",""????0;"",""???-0;"",""????0;"", ////"""),"'","""")&amp;SUBSTITUTE(TEXT(Overig!I248,""",""?00;"",""?-00;"",""?00;"", //"""),"'","""")</f>
        <v>081, 19200323, 08.00, 7490, 00, ////, 07, ////, 07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//"""),"'","""")&amp;SUBSTITUTE(TEXT(IF(ISTEXT(Overig!H249),Overig!H249,10*Overig!H249),""",""????0;"",""???-0;"",""????0;"", ////"""),"'","""")&amp;SUBSTITUTE(TEXT(Overig!I249,""",""?00;"",""?-00;"",""?00;"", //"""),"'","""")</f>
        <v>081, 19200323, 14.00, 7485, 00, ////, 07, ////, 07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//"""),"'","""")&amp;SUBSTITUTE(TEXT(IF(ISTEXT(Overig!H250),Overig!H250,10*Overig!H250),""",""????0;"",""???-0;"",""????0;"", ////"""),"'","""")&amp;SUBSTITUTE(TEXT(Overig!I250,""",""?00;"",""?-00;"",""?00;"", //"""),"'","""")</f>
        <v>081, 19200323, 24.00, ////, 07,  240, 00,  280,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//"""),"'","""")&amp;SUBSTITUTE(TEXT(IF(ISTEXT(Overig!H251),Overig!H251,10*Overig!H251),""",""????0;"",""???-0;"",""????0;"", ////"""),"'","""")&amp;SUBSTITUTE(TEXT(Overig!I251,""",""?00;"",""?-00;"",""?00;"", //"""),"'","""")</f>
        <v>081, 19200324, 08.00, 7490, 00, ////, 07, ////, 07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//"""),"'","""")&amp;SUBSTITUTE(TEXT(IF(ISTEXT(Overig!H252),Overig!H252,10*Overig!H252),""",""????0;"",""???-0;"",""????0;"", ////"""),"'","""")&amp;SUBSTITUTE(TEXT(Overig!I252,""",""?00;"",""?-00;"",""?00;"", //"""),"'","""")</f>
        <v>081, 19200324, 14.00, 7480, 00, ////, 07, ////, 07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//"""),"'","""")&amp;SUBSTITUTE(TEXT(IF(ISTEXT(Overig!H253),Overig!H253,10*Overig!H253),""",""????0;"",""???-0;"",""????0;"", ////"""),"'","""")&amp;SUBSTITUTE(TEXT(Overig!I253,""",""?00;"",""?-00;"",""?00;"", //"""),"'","""")</f>
        <v>081, 19200324, 24.00, ////, 07,  255, 00,  270,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//"""),"'","""")&amp;SUBSTITUTE(TEXT(IF(ISTEXT(Overig!H254),Overig!H254,10*Overig!H254),""",""????0;"",""???-0;"",""????0;"", ////"""),"'","""")&amp;SUBSTITUTE(TEXT(Overig!I254,""",""?00;"",""?-00;"",""?00;"", //"""),"'","""")</f>
        <v>081, 19200325, 08.00, 7480, 00, ////, 07, ////, 07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//"""),"'","""")&amp;SUBSTITUTE(TEXT(IF(ISTEXT(Overig!H255),Overig!H255,10*Overig!H255),""",""????0;"",""???-0;"",""????0;"", ////"""),"'","""")&amp;SUBSTITUTE(TEXT(Overig!I255,""",""?00;"",""?-00;"",""?00;"", //"""),"'","""")</f>
        <v>081, 19200325, 14.00, 7478, 00, ////, 07, ////, 07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//"""),"'","""")&amp;SUBSTITUTE(TEXT(IF(ISTEXT(Overig!H256),Overig!H256,10*Overig!H256),""",""????0;"",""???-0;"",""????0;"", ////"""),"'","""")&amp;SUBSTITUTE(TEXT(Overig!I256,""",""?00;"",""?-00;"",""?00;"", //"""),"'","""")</f>
        <v>081, 19200325, 24.00, ////, 07,  223, 00,  225,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//"""),"'","""")&amp;SUBSTITUTE(TEXT(IF(ISTEXT(Overig!H257),Overig!H257,10*Overig!H257),""",""????0;"",""???-0;"",""????0;"", ////"""),"'","""")&amp;SUBSTITUTE(TEXT(Overig!I257,""",""?00;"",""?-00;"",""?00;"", //"""),"'","""")</f>
        <v>081, 19200326, 08.00, 7490, 00, ////, 07, ////, 07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//"""),"'","""")&amp;SUBSTITUTE(TEXT(IF(ISTEXT(Overig!H258),Overig!H258,10*Overig!H258),""",""????0;"",""???-0;"",""????0;"", ////"""),"'","""")&amp;SUBSTITUTE(TEXT(Overig!I258,""",""?00;"",""?-00;"",""?00;"", //"""),"'","""")</f>
        <v>081, 19200326, 14.00, 7488, 00, ////, 07, ////, 07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//"""),"'","""")&amp;SUBSTITUTE(TEXT(IF(ISTEXT(Overig!H259),Overig!H259,10*Overig!H259),""",""????0;"",""???-0;"",""????0;"", ////"""),"'","""")&amp;SUBSTITUTE(TEXT(Overig!I259,""",""?00;"",""?-00;"",""?00;"", //"""),"'","""")</f>
        <v>081, 19200326, 24.00, ////, 07,  245, 00,  270,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//"""),"'","""")&amp;SUBSTITUTE(TEXT(IF(ISTEXT(Overig!H260),Overig!H260,10*Overig!H260),""",""????0;"",""???-0;"",""????0;"", ////"""),"'","""")&amp;SUBSTITUTE(TEXT(Overig!I260,""",""?00;"",""?-00;"",""?00;"", //"""),"'","""")</f>
        <v>081, 19200327, 08.00, 7490, 00, ////, 07, ////, 07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//"""),"'","""")&amp;SUBSTITUTE(TEXT(IF(ISTEXT(Overig!H261),Overig!H261,10*Overig!H261),""",""????0;"",""???-0;"",""????0;"", ////"""),"'","""")&amp;SUBSTITUTE(TEXT(Overig!I261,""",""?00;"",""?-00;"",""?00;"", //"""),"'","""")</f>
        <v>081, 19200327, 14.00, 7486, 00, ////, 07, ////, 07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//"""),"'","""")&amp;SUBSTITUTE(TEXT(IF(ISTEXT(Overig!H262),Overig!H262,10*Overig!H262),""",""????0;"",""???-0;"",""????0;"", ////"""),"'","""")&amp;SUBSTITUTE(TEXT(Overig!I262,""",""?00;"",""?-00;"",""?00;"", //"""),"'","""")</f>
        <v>081, 19200327, 24.00, ////, 07,  240, 00,  278,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//"""),"'","""")&amp;SUBSTITUTE(TEXT(IF(ISTEXT(Overig!H263),Overig!H263,10*Overig!H263),""",""????0;"",""???-0;"",""????0;"", ////"""),"'","""")&amp;SUBSTITUTE(TEXT(Overig!I263,""",""?00;"",""?-00;"",""?00;"", //"""),"'","""")</f>
        <v>081, 19200328, 08.00, 7490, 00, ////, 07, ////, 07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//"""),"'","""")&amp;SUBSTITUTE(TEXT(IF(ISTEXT(Overig!H264),Overig!H264,10*Overig!H264),""",""????0;"",""???-0;"",""????0;"", ////"""),"'","""")&amp;SUBSTITUTE(TEXT(Overig!I264,""",""?00;"",""?-00;"",""?00;"", //"""),"'","""")</f>
        <v>081, 19200328, 14.00, 7480, 00, ////, 07, ////, 07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//"""),"'","""")&amp;SUBSTITUTE(TEXT(IF(ISTEXT(Overig!H265),Overig!H265,10*Overig!H265),""",""????0;"",""???-0;"",""????0;"", ////"""),"'","""")&amp;SUBSTITUTE(TEXT(Overig!I265,""",""?00;"",""?-00;"",""?00;"", //"""),"'","""")</f>
        <v>081, 19200328, 24.00, ////, 07,  240, 00,  270,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//"""),"'","""")&amp;SUBSTITUTE(TEXT(IF(ISTEXT(Overig!H266),Overig!H266,10*Overig!H266),""",""????0;"",""???-0;"",""????0;"", ////"""),"'","""")&amp;SUBSTITUTE(TEXT(Overig!I266,""",""?00;"",""?-00;"",""?00;"", //"""),"'","""")</f>
        <v>081, 19200329, 08.00, 7500, 00, ////, 07, ////, 07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//"""),"'","""")&amp;SUBSTITUTE(TEXT(IF(ISTEXT(Overig!H267),Overig!H267,10*Overig!H267),""",""????0;"",""???-0;"",""????0;"", ////"""),"'","""")&amp;SUBSTITUTE(TEXT(Overig!I267,""",""?00;"",""?-00;"",""?00;"", //"""),"'","""")</f>
        <v>081, 19200329, 14.00, 7490, 00, ////, 07, ////, 07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//"""),"'","""")&amp;SUBSTITUTE(TEXT(IF(ISTEXT(Overig!H268),Overig!H268,10*Overig!H268),""",""????0;"",""???-0;"",""????0;"", ////"""),"'","""")&amp;SUBSTITUTE(TEXT(Overig!I268,""",""?00;"",""?-00;"",""?00;"", //"""),"'","""")</f>
        <v>081, 19200329, 24.00, ////, 07,  238, 00,  270,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//"""),"'","""")&amp;SUBSTITUTE(TEXT(IF(ISTEXT(Overig!H269),Overig!H269,10*Overig!H269),""",""????0;"",""???-0;"",""????0;"", ////"""),"'","""")&amp;SUBSTITUTE(TEXT(Overig!I269,""",""?00;"",""?-00;"",""?00;"", //"""),"'","""")</f>
        <v>081, 19200330, 08.00, 7500, 00, ////, 07, ////, 07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//"""),"'","""")&amp;SUBSTITUTE(TEXT(IF(ISTEXT(Overig!H270),Overig!H270,10*Overig!H270),""",""????0;"",""???-0;"",""????0;"", ////"""),"'","""")&amp;SUBSTITUTE(TEXT(Overig!I270,""",""?00;"",""?-00;"",""?00;"", //"""),"'","""")</f>
        <v>081, 19200330, 14.00, 7489, 00, ////, 07, ////, 07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//"""),"'","""")&amp;SUBSTITUTE(TEXT(IF(ISTEXT(Overig!H271),Overig!H271,10*Overig!H271),""",""????0;"",""???-0;"",""????0;"", ////"""),"'","""")&amp;SUBSTITUTE(TEXT(Overig!I271,""",""?00;"",""?-00;"",""?00;"", //"""),"'","""")</f>
        <v>081, 19200330, 24.00, ////, 07,  240, 00,  270,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//"""),"'","""")&amp;SUBSTITUTE(TEXT(IF(ISTEXT(Overig!H272),Overig!H272,10*Overig!H272),""",""????0;"",""???-0;"",""????0;"", ////"""),"'","""")&amp;SUBSTITUTE(TEXT(Overig!I272,""",""?00;"",""?-00;"",""?00;"", //"""),"'","""")</f>
        <v>081, 19200331, 08.00, 7490, 00, ////, 07, ////, 07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//"""),"'","""")&amp;SUBSTITUTE(TEXT(IF(ISTEXT(Overig!H273),Overig!H273,10*Overig!H273),""",""????0;"",""???-0;"",""????0;"", ////"""),"'","""")&amp;SUBSTITUTE(TEXT(Overig!I273,""",""?00;"",""?-00;"",""?00;"", //"""),"'","""")</f>
        <v>081, 19200331, 14.00, 7489, 00, ////, 07, ////, 07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//"""),"'","""")&amp;SUBSTITUTE(TEXT(IF(ISTEXT(Overig!H274),Overig!H274,10*Overig!H274),""",""????0;"",""???-0;"",""????0;"", ////"""),"'","""")&amp;SUBSTITUTE(TEXT(Overig!I274,""",""?00;"",""?-00;"",""?00;"", //"""),"'","""")</f>
        <v>081, 19200331, 24.00, ////, 07,  230, 00,  278,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//"""),"'","""")&amp;SUBSTITUTE(TEXT(IF(ISTEXT(Overig!H275),Overig!H275,10*Overig!H275),""",""????0;"",""???-0;"",""????0;"", ////"""),"'","""")&amp;SUBSTITUTE(TEXT(Overig!I275,""",""?00;"",""?-00;"",""?00;"", //"""),"'","""")</f>
        <v>081, 19200401, 08.00, 7490, 00, ////, 07, ////, 07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//"""),"'","""")&amp;SUBSTITUTE(TEXT(IF(ISTEXT(Overig!H276),Overig!H276,10*Overig!H276),""",""????0;"",""???-0;"",""????0;"", ////"""),"'","""")&amp;SUBSTITUTE(TEXT(Overig!I276,""",""?00;"",""?-00;"",""?00;"", //"""),"'","""")</f>
        <v>081, 19200401, 14.00, 7483, 00, ////, 07, ////, 07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//"""),"'","""")&amp;SUBSTITUTE(TEXT(IF(ISTEXT(Overig!H277),Overig!H277,10*Overig!H277),""",""????0;"",""???-0;"",""????0;"", ////"""),"'","""")&amp;SUBSTITUTE(TEXT(Overig!I277,""",""?00;"",""?-00;"",""?00;"", //"""),"'","""")</f>
        <v>081, 19200401, 24.00, ////, 07,  243, 00,  275,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//"""),"'","""")&amp;SUBSTITUTE(TEXT(IF(ISTEXT(Overig!H278),Overig!H278,10*Overig!H278),""",""????0;"",""???-0;"",""????0;"", ////"""),"'","""")&amp;SUBSTITUTE(TEXT(Overig!I278,""",""?00;"",""?-00;"",""?00;"", //"""),"'","""")</f>
        <v>081, 19200402, 08.00, 7490, 00, ////, 07, ////, 07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//"""),"'","""")&amp;SUBSTITUTE(TEXT(IF(ISTEXT(Overig!H279),Overig!H279,10*Overig!H279),""",""????0;"",""???-0;"",""????0;"", ////"""),"'","""")&amp;SUBSTITUTE(TEXT(Overig!I279,""",""?00;"",""?-00;"",""?00;"", //"""),"'","""")</f>
        <v>081, 19200402, 14.00, 7485, 00, ////, 07, ////, 07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//"""),"'","""")&amp;SUBSTITUTE(TEXT(IF(ISTEXT(Overig!H280),Overig!H280,10*Overig!H280),""",""????0;"",""???-0;"",""????0;"", ////"""),"'","""")&amp;SUBSTITUTE(TEXT(Overig!I280,""",""?00;"",""?-00;"",""?00;"", //"""),"'","""")</f>
        <v>081, 19200402, 24.00, ////, 07,  245, 00,  280,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//"""),"'","""")&amp;SUBSTITUTE(TEXT(IF(ISTEXT(Overig!H281),Overig!H281,10*Overig!H281),""",""????0;"",""???-0;"",""????0;"", ////"""),"'","""")&amp;SUBSTITUTE(TEXT(Overig!I281,""",""?00;"",""?-00;"",""?00;"", //"""),"'","""")</f>
        <v>081, 19200403, 08.00, 7490, 00, ////, 07, ////, 07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//"""),"'","""")&amp;SUBSTITUTE(TEXT(IF(ISTEXT(Overig!H282),Overig!H282,10*Overig!H282),""",""????0;"",""???-0;"",""????0;"", ////"""),"'","""")&amp;SUBSTITUTE(TEXT(Overig!I282,""",""?00;"",""?-00;"",""?00;"", //"""),"'","""")</f>
        <v>081, 19200403, 14.00, 7486, 00, ////, 07, ////, 07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//"""),"'","""")&amp;SUBSTITUTE(TEXT(IF(ISTEXT(Overig!H283),Overig!H283,10*Overig!H283),""",""????0;"",""???-0;"",""????0;"", ////"""),"'","""")&amp;SUBSTITUTE(TEXT(Overig!I283,""",""?00;"",""?-00;"",""?00;"", //"""),"'","""")</f>
        <v>081, 19200403, 24.00, ////, 07,  245, 00,  285,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//"""),"'","""")&amp;SUBSTITUTE(TEXT(IF(ISTEXT(Overig!H284),Overig!H284,10*Overig!H284),""",""????0;"",""???-0;"",""????0;"", ////"""),"'","""")&amp;SUBSTITUTE(TEXT(Overig!I284,""",""?00;"",""?-00;"",""?00;"", //"""),"'","""")</f>
        <v>081, 19200404, 08.00, 7490, 00, ////, 07, ////, 07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//"""),"'","""")&amp;SUBSTITUTE(TEXT(IF(ISTEXT(Overig!H285),Overig!H285,10*Overig!H285),""",""????0;"",""???-0;"",""????0;"", ////"""),"'","""")&amp;SUBSTITUTE(TEXT(Overig!I285,""",""?00;"",""?-00;"",""?00;"", //"""),"'","""")</f>
        <v>081, 19200404, 14.00, 7480, 00, ////, 07, ////, 07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//"""),"'","""")&amp;SUBSTITUTE(TEXT(IF(ISTEXT(Overig!H286),Overig!H286,10*Overig!H286),""",""????0;"",""???-0;"",""????0;"", ////"""),"'","""")&amp;SUBSTITUTE(TEXT(Overig!I286,""",""?00;"",""?-00;"",""?00;"", //"""),"'","""")</f>
        <v>081, 19200404, 24.00, ////, 07,  243, 00,  280,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//"""),"'","""")&amp;SUBSTITUTE(TEXT(IF(ISTEXT(Overig!H287),Overig!H287,10*Overig!H287),""",""????0;"",""???-0;"",""????0;"", ////"""),"'","""")&amp;SUBSTITUTE(TEXT(Overig!I287,""",""?00;"",""?-00;"",""?00;"", //"""),"'","""")</f>
        <v>081, 19200405, 08.00, 7487, 00, ////, 07, ////, 07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//"""),"'","""")&amp;SUBSTITUTE(TEXT(IF(ISTEXT(Overig!H288),Overig!H288,10*Overig!H288),""",""????0;"",""???-0;"",""????0;"", ////"""),"'","""")&amp;SUBSTITUTE(TEXT(Overig!I288,""",""?00;"",""?-00;"",""?00;"", //"""),"'","""")</f>
        <v>081, 19200405, 14.00, 7482, 00, ////, 07, ////, 07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//"""),"'","""")&amp;SUBSTITUTE(TEXT(IF(ISTEXT(Overig!H289),Overig!H289,10*Overig!H289),""",""????0;"",""???-0;"",""????0;"", ////"""),"'","""")&amp;SUBSTITUTE(TEXT(Overig!I289,""",""?00;"",""?-00;"",""?00;"", //"""),"'","""")</f>
        <v>081, 19200405, 24.00, ////, 07,  240, 00,  280,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//"""),"'","""")&amp;SUBSTITUTE(TEXT(IF(ISTEXT(Overig!H290),Overig!H290,10*Overig!H290),""",""????0;"",""???-0;"",""????0;"", ////"""),"'","""")&amp;SUBSTITUTE(TEXT(Overig!I290,""",""?00;"",""?-00;"",""?00;"", //"""),"'","""")</f>
        <v>081, 19200406, 08.00, 7490, 00, ////, 07, ////, 07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//"""),"'","""")&amp;SUBSTITUTE(TEXT(IF(ISTEXT(Overig!H291),Overig!H291,10*Overig!H291),""",""????0;"",""???-0;"",""????0;"", ////"""),"'","""")&amp;SUBSTITUTE(TEXT(Overig!I291,""",""?00;"",""?-00;"",""?00;"", //"""),"'","""")</f>
        <v>081, 19200406, 14.00, 7487, 00, ////, 07, ////, 07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//"""),"'","""")&amp;SUBSTITUTE(TEXT(IF(ISTEXT(Overig!H292),Overig!H292,10*Overig!H292),""",""????0;"",""???-0;"",""????0;"", ////"""),"'","""")&amp;SUBSTITUTE(TEXT(Overig!I292,""",""?00;"",""?-00;"",""?00;"", //"""),"'","""")</f>
        <v>081, 19200406, 24.00, ////, 07,  240, 00,  280,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//"""),"'","""")&amp;SUBSTITUTE(TEXT(IF(ISTEXT(Overig!H293),Overig!H293,10*Overig!H293),""",""????0;"",""???-0;"",""????0;"", ////"""),"'","""")&amp;SUBSTITUTE(TEXT(Overig!I293,""",""?00;"",""?-00;"",""?00;"", //"""),"'","""")</f>
        <v>081, 19200407, 08.00, 7483, 00, ////, 07, ////, 07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//"""),"'","""")&amp;SUBSTITUTE(TEXT(IF(ISTEXT(Overig!H294),Overig!H294,10*Overig!H294),""",""????0;"",""???-0;"",""????0;"", ////"""),"'","""")&amp;SUBSTITUTE(TEXT(Overig!I294,""",""?00;"",""?-00;"",""?00;"", //"""),"'","""")</f>
        <v>081, 19200407, 14.00, 7480, 00, ////, 07, ////, 07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//"""),"'","""")&amp;SUBSTITUTE(TEXT(IF(ISTEXT(Overig!H295),Overig!H295,10*Overig!H295),""",""????0;"",""???-0;"",""????0;"", ////"""),"'","""")&amp;SUBSTITUTE(TEXT(Overig!I295,""",""?00;"",""?-00;"",""?00;"", //"""),"'","""")</f>
        <v>081, 19200407, 24.00, ////, 07,  250, 00,  280,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//"""),"'","""")&amp;SUBSTITUTE(TEXT(IF(ISTEXT(Overig!H296),Overig!H296,10*Overig!H296),""",""????0;"",""???-0;"",""????0;"", ////"""),"'","""")&amp;SUBSTITUTE(TEXT(Overig!I296,""",""?00;"",""?-00;"",""?00;"", //"""),"'","""")</f>
        <v>081, 19200408, 08.00, 7480, 00, ////, 07, ////, 07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//"""),"'","""")&amp;SUBSTITUTE(TEXT(IF(ISTEXT(Overig!H297),Overig!H297,10*Overig!H297),""",""????0;"",""???-0;"",""????0;"", ////"""),"'","""")&amp;SUBSTITUTE(TEXT(Overig!I297,""",""?00;"",""?-00;"",""?00;"", //"""),"'","""")</f>
        <v>081, 19200408, 14.00, 7477, 00, ////, 07, ////, 07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//"""),"'","""")&amp;SUBSTITUTE(TEXT(IF(ISTEXT(Overig!H298),Overig!H298,10*Overig!H298),""",""????0;"",""???-0;"",""????0;"", ////"""),"'","""")&amp;SUBSTITUTE(TEXT(Overig!I298,""",""?00;"",""?-00;"",""?00;"", //"""),"'","""")</f>
        <v>081, 19200408, 24.00, ////, 07,  250, 00,  285,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//"""),"'","""")&amp;SUBSTITUTE(TEXT(IF(ISTEXT(Overig!H299),Overig!H299,10*Overig!H299),""",""????0;"",""???-0;"",""????0;"", ////"""),"'","""")&amp;SUBSTITUTE(TEXT(Overig!I299,""",""?00;"",""?-00;"",""?00;"", //"""),"'","""")</f>
        <v>081, 19200409, 08.00, 7475, 00, ////, 07, ////, 07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//"""),"'","""")&amp;SUBSTITUTE(TEXT(IF(ISTEXT(Overig!H300),Overig!H300,10*Overig!H300),""",""????0;"",""???-0;"",""????0;"", ////"""),"'","""")&amp;SUBSTITUTE(TEXT(Overig!I300,""",""?00;"",""?-00;"",""?00;"", //"""),"'","""")</f>
        <v>081, 19200409, 14.00, 7473, 00, ////, 07, ////, 07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//"""),"'","""")&amp;SUBSTITUTE(TEXT(IF(ISTEXT(Overig!H301),Overig!H301,10*Overig!H301),""",""????0;"",""???-0;"",""????0;"", ////"""),"'","""")&amp;SUBSTITUTE(TEXT(Overig!I301,""",""?00;"",""?-00;"",""?00;"", //"""),"'","""")</f>
        <v>081, 19200409, 24.00, ////, 07,  250, 00,  275,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//"""),"'","""")&amp;SUBSTITUTE(TEXT(IF(ISTEXT(Overig!H302),Overig!H302,10*Overig!H302),""",""????0;"",""???-0;"",""????0;"", ////"""),"'","""")&amp;SUBSTITUTE(TEXT(Overig!I302,""",""?00;"",""?-00;"",""?00;"", //"""),"'","""")</f>
        <v>081, 19200410, 08.00, 7480, 00, ////, 07, ////, 07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//"""),"'","""")&amp;SUBSTITUTE(TEXT(IF(ISTEXT(Overig!H303),Overig!H303,10*Overig!H303),""",""????0;"",""???-0;"",""????0;"", ////"""),"'","""")&amp;SUBSTITUTE(TEXT(Overig!I303,""",""?00;"",""?-00;"",""?00;"", //"""),"'","""")</f>
        <v>081, 19200410, 14.00, 7477, 00, ////, 07, ////, 07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//"""),"'","""")&amp;SUBSTITUTE(TEXT(IF(ISTEXT(Overig!H304),Overig!H304,10*Overig!H304),""",""????0;"",""???-0;"",""????0;"", ////"""),"'","""")&amp;SUBSTITUTE(TEXT(Overig!I304,""",""?00;"",""?-00;"",""?00;"", //"""),"'","""")</f>
        <v>081, 19200410, 24.00, ////, 07,  250, 00,  273,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//"""),"'","""")&amp;SUBSTITUTE(TEXT(IF(ISTEXT(Overig!H305),Overig!H305,10*Overig!H305),""",""????0;"",""???-0;"",""????0;"", ////"""),"'","""")&amp;SUBSTITUTE(TEXT(Overig!I305,""",""?00;"",""?-00;"",""?00;"", //"""),"'","""")</f>
        <v>081, 19200411, 08.00, 7480, 00, ////, 07, ////, 07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//"""),"'","""")&amp;SUBSTITUTE(TEXT(IF(ISTEXT(Overig!H306),Overig!H306,10*Overig!H306),""",""????0;"",""???-0;"",""????0;"", ////"""),"'","""")&amp;SUBSTITUTE(TEXT(Overig!I306,""",""?00;"",""?-00;"",""?00;"", //"""),"'","""")</f>
        <v>081, 19200411, 14.00, 7475, 00, ////, 07, ////, 07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//"""),"'","""")&amp;SUBSTITUTE(TEXT(IF(ISTEXT(Overig!H307),Overig!H307,10*Overig!H307),""",""????0;"",""???-0;"",""????0;"", ////"""),"'","""")&amp;SUBSTITUTE(TEXT(Overig!I307,""",""?00;"",""?-00;"",""?00;"", //"""),"'","""")</f>
        <v>081, 19200411, 24.00, ////, 07,  250, 00,  275,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//"""),"'","""")&amp;SUBSTITUTE(TEXT(IF(ISTEXT(Overig!H308),Overig!H308,10*Overig!H308),""",""????0;"",""???-0;"",""????0;"", ////"""),"'","""")&amp;SUBSTITUTE(TEXT(Overig!I308,""",""?00;"",""?-00;"",""?00;"", //"""),"'","""")</f>
        <v>081, 19200412, 08.00, 7480, 00, ////, 07, ////, 07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//"""),"'","""")&amp;SUBSTITUTE(TEXT(IF(ISTEXT(Overig!H309),Overig!H309,10*Overig!H309),""",""????0;"",""???-0;"",""????0;"", ////"""),"'","""")&amp;SUBSTITUTE(TEXT(Overig!I309,""",""?00;"",""?-00;"",""?00;"", //"""),"'","""")</f>
        <v>081, 19200412, 14.00, 7475, 00, ////, 07, ////, 07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//"""),"'","""")&amp;SUBSTITUTE(TEXT(IF(ISTEXT(Overig!H310),Overig!H310,10*Overig!H310),""",""????0;"",""???-0;"",""????0;"", ////"""),"'","""")&amp;SUBSTITUTE(TEXT(Overig!I310,""",""?00;"",""?-00;"",""?00;"", //"""),"'","""")</f>
        <v>081, 19200412, 24.00, ////, 07,  250, 00,  285,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//"""),"'","""")&amp;SUBSTITUTE(TEXT(IF(ISTEXT(Overig!H311),Overig!H311,10*Overig!H311),""",""????0;"",""???-0;"",""????0;"", ////"""),"'","""")&amp;SUBSTITUTE(TEXT(Overig!I311,""",""?00;"",""?-00;"",""?00;"", //"""),"'","""")</f>
        <v>081, 19200413, 08.00, 7480, 00, ////, 07, ////, 07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//"""),"'","""")&amp;SUBSTITUTE(TEXT(IF(ISTEXT(Overig!H312),Overig!H312,10*Overig!H312),""",""????0;"",""???-0;"",""????0;"", ////"""),"'","""")&amp;SUBSTITUTE(TEXT(Overig!I312,""",""?00;"",""?-00;"",""?00;"", //"""),"'","""")</f>
        <v>081, 19200413, 14.00, 7475, 00, ////, 07, ////, 07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//"""),"'","""")&amp;SUBSTITUTE(TEXT(IF(ISTEXT(Overig!H313),Overig!H313,10*Overig!H313),""",""????0;"",""???-0;"",""????0;"", ////"""),"'","""")&amp;SUBSTITUTE(TEXT(Overig!I313,""",""?00;"",""?-00;"",""?00;"", //"""),"'","""")</f>
        <v>081, 19200413, 24.00, ////, 07,  270, 00,  280,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//"""),"'","""")&amp;SUBSTITUTE(TEXT(IF(ISTEXT(Overig!H314),Overig!H314,10*Overig!H314),""",""????0;"",""???-0;"",""????0;"", ////"""),"'","""")&amp;SUBSTITUTE(TEXT(Overig!I314,""",""?00;"",""?-00;"",""?00;"", //"""),"'","""")</f>
        <v>081, 19200414, 08.00, 7480, 00, ////, 07, ////, 07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//"""),"'","""")&amp;SUBSTITUTE(TEXT(IF(ISTEXT(Overig!H315),Overig!H315,10*Overig!H315),""",""????0;"",""???-0;"",""????0;"", ////"""),"'","""")&amp;SUBSTITUTE(TEXT(Overig!I315,""",""?00;"",""?-00;"",""?00;"", //"""),"'","""")</f>
        <v>081, 19200414, 14.00, 7477, 00, ////, 07, ////, 07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//"""),"'","""")&amp;SUBSTITUTE(TEXT(IF(ISTEXT(Overig!H316),Overig!H316,10*Overig!H316),""",""????0;"",""???-0;"",""????0;"", ////"""),"'","""")&amp;SUBSTITUTE(TEXT(Overig!I316,""",""?00;"",""?-00;"",""?00;"", //"""),"'","""")</f>
        <v>081, 19200414, 24.00, ////, 07,  260, 00,  280,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//"""),"'","""")&amp;SUBSTITUTE(TEXT(IF(ISTEXT(Overig!H317),Overig!H317,10*Overig!H317),""",""????0;"",""???-0;"",""????0;"", ////"""),"'","""")&amp;SUBSTITUTE(TEXT(Overig!I317,""",""?00;"",""?-00;"",""?00;"", //"""),"'","""")</f>
        <v>081, 19200415, 08.00, 7480, 00, ////, 07, ////, 07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//"""),"'","""")&amp;SUBSTITUTE(TEXT(IF(ISTEXT(Overig!H318),Overig!H318,10*Overig!H318),""",""????0;"",""???-0;"",""????0;"", ////"""),"'","""")&amp;SUBSTITUTE(TEXT(Overig!I318,""",""?00;"",""?-00;"",""?00;"", //"""),"'","""")</f>
        <v>081, 19200415, 14.00, 7475, 00, ////, 07, ////, 07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//"""),"'","""")&amp;SUBSTITUTE(TEXT(IF(ISTEXT(Overig!H319),Overig!H319,10*Overig!H319),""",""????0;"",""???-0;"",""????0;"", ////"""),"'","""")&amp;SUBSTITUTE(TEXT(Overig!I319,""",""?00;"",""?-00;"",""?00;"", //"""),"'","""")</f>
        <v>081, 19200415, 24.00, ////, 07,  250, 00,  280,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//"""),"'","""")&amp;SUBSTITUTE(TEXT(IF(ISTEXT(Overig!H320),Overig!H320,10*Overig!H320),""",""????0;"",""???-0;"",""????0;"", ////"""),"'","""")&amp;SUBSTITUTE(TEXT(Overig!I320,""",""?00;"",""?-00;"",""?00;"", //"""),"'","""")</f>
        <v>081, 19200416, 08.00, 7485, 00, ////, 07, ////, 07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//"""),"'","""")&amp;SUBSTITUTE(TEXT(IF(ISTEXT(Overig!H321),Overig!H321,10*Overig!H321),""",""????0;"",""???-0;"",""????0;"", ////"""),"'","""")&amp;SUBSTITUTE(TEXT(Overig!I321,""",""?00;"",""?-00;"",""?00;"", //"""),"'","""")</f>
        <v>081, 19200416, 14.00, 7480, 00, ////, 07, ////, 07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//"""),"'","""")&amp;SUBSTITUTE(TEXT(IF(ISTEXT(Overig!H322),Overig!H322,10*Overig!H322),""",""????0;"",""???-0;"",""????0;"", ////"""),"'","""")&amp;SUBSTITUTE(TEXT(Overig!I322,""",""?00;"",""?-00;"",""?00;"", //"""),"'","""")</f>
        <v>081, 19200416, 24.00, ////, 07,  270, 00,  300,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//"""),"'","""")&amp;SUBSTITUTE(TEXT(IF(ISTEXT(Overig!H323),Overig!H323,10*Overig!H323),""",""????0;"",""???-0;"",""????0;"", ////"""),"'","""")&amp;SUBSTITUTE(TEXT(Overig!I323,""",""?00;"",""?-00;"",""?00;"", //"""),"'","""")</f>
        <v>081, 19200417, 08.00, 7476, 00, ////, 07, ////, 07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//"""),"'","""")&amp;SUBSTITUTE(TEXT(IF(ISTEXT(Overig!H324),Overig!H324,10*Overig!H324),""",""????0;"",""???-0;"",""????0;"", ////"""),"'","""")&amp;SUBSTITUTE(TEXT(Overig!I324,""",""?00;"",""?-00;"",""?00;"", //"""),"'","""")</f>
        <v>081, 19200417, 14.00, 7471, 00, ////, 07, ////, 07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//"""),"'","""")&amp;SUBSTITUTE(TEXT(IF(ISTEXT(Overig!H325),Overig!H325,10*Overig!H325),""",""????0;"",""???-0;"",""????0;"", ////"""),"'","""")&amp;SUBSTITUTE(TEXT(Overig!I325,""",""?00;"",""?-00;"",""?00;"", //"""),"'","""")</f>
        <v>081, 19200417, 24.00, ////, 07,  260, 00,  290,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//"""),"'","""")&amp;SUBSTITUTE(TEXT(IF(ISTEXT(Overig!H326),Overig!H326,10*Overig!H326),""",""????0;"",""???-0;"",""????0;"", ////"""),"'","""")&amp;SUBSTITUTE(TEXT(Overig!I326,""",""?00;"",""?-00;"",""?00;"", //"""),"'","""")</f>
        <v>081, 19200418, 08.00, 7474, 00, ////, 07, ////, 07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//"""),"'","""")&amp;SUBSTITUTE(TEXT(IF(ISTEXT(Overig!H327),Overig!H327,10*Overig!H327),""",""????0;"",""???-0;"",""????0;"", ////"""),"'","""")&amp;SUBSTITUTE(TEXT(Overig!I327,""",""?00;"",""?-00;"",""?00;"", //"""),"'","""")</f>
        <v>081, 19200418, 14.00, 7470, 00, ////, 07, ////, 07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//"""),"'","""")&amp;SUBSTITUTE(TEXT(IF(ISTEXT(Overig!H328),Overig!H328,10*Overig!H328),""",""????0;"",""???-0;"",""????0;"", ////"""),"'","""")&amp;SUBSTITUTE(TEXT(Overig!I328,""",""?00;"",""?-00;"",""?00;"", //"""),"'","""")</f>
        <v>081, 19200418, 24.00, ////, 07,  260, 00,  290,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//"""),"'","""")&amp;SUBSTITUTE(TEXT(IF(ISTEXT(Overig!H329),Overig!H329,10*Overig!H329),""",""????0;"",""???-0;"",""????0;"", ////"""),"'","""")&amp;SUBSTITUTE(TEXT(Overig!I329,""",""?00;"",""?-00;"",""?00;"", //"""),"'","""")</f>
        <v>081, 19200419, 08.00, 7473, 00, ////, 07, ////, 07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//"""),"'","""")&amp;SUBSTITUTE(TEXT(IF(ISTEXT(Overig!H330),Overig!H330,10*Overig!H330),""",""????0;"",""???-0;"",""????0;"", ////"""),"'","""")&amp;SUBSTITUTE(TEXT(Overig!I330,""",""?00;"",""?-00;"",""?00;"", //"""),"'","""")</f>
        <v>081, 19200419, 14.00, 7471, 00, ////, 07, ////, 07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//"""),"'","""")&amp;SUBSTITUTE(TEXT(IF(ISTEXT(Overig!H331),Overig!H331,10*Overig!H331),""",""????0;"",""???-0;"",""????0;"", ////"""),"'","""")&amp;SUBSTITUTE(TEXT(Overig!I331,""",""?00;"",""?-00;"",""?00;"", //"""),"'","""")</f>
        <v>081, 19200419, 24.00, ////, 07,  260, 00,  300,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//"""),"'","""")&amp;SUBSTITUTE(TEXT(IF(ISTEXT(Overig!H332),Overig!H332,10*Overig!H332),""",""????0;"",""???-0;"",""????0;"", ////"""),"'","""")&amp;SUBSTITUTE(TEXT(Overig!I332,""",""?00;"",""?-00;"",""?00;"", //"""),"'","""")</f>
        <v>081, 19200420, 08.00, 7487, 00, ////, 07, ////, 07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//"""),"'","""")&amp;SUBSTITUTE(TEXT(IF(ISTEXT(Overig!H333),Overig!H333,10*Overig!H333),""",""????0;"",""???-0;"",""????0;"", ////"""),"'","""")&amp;SUBSTITUTE(TEXT(Overig!I333,""",""?00;"",""?-00;"",""?00;"", //"""),"'","""")</f>
        <v>081, 19200420, 14.00, 7484, 00, ////, 07, ////, 07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//"""),"'","""")&amp;SUBSTITUTE(TEXT(IF(ISTEXT(Overig!H334),Overig!H334,10*Overig!H334),""",""????0;"",""???-0;"",""????0;"", ////"""),"'","""")&amp;SUBSTITUTE(TEXT(Overig!I334,""",""?00;"",""?-00;"",""?00;"", //"""),"'","""")</f>
        <v>081, 19200420, 24.00, ////, 07,  268, 00,  280,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//"""),"'","""")&amp;SUBSTITUTE(TEXT(IF(ISTEXT(Overig!H335),Overig!H335,10*Overig!H335),""",""????0;"",""???-0;"",""????0;"", ////"""),"'","""")&amp;SUBSTITUTE(TEXT(Overig!I335,""",""?00;"",""?-00;"",""?00;"", //"""),"'","""")</f>
        <v>081, 19200421, 08.00, 7505, 00, ////, 07, ////, 07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//"""),"'","""")&amp;SUBSTITUTE(TEXT(IF(ISTEXT(Overig!H336),Overig!H336,10*Overig!H336),""",""????0;"",""???-0;"",""????0;"", ////"""),"'","""")&amp;SUBSTITUTE(TEXT(Overig!I336,""",""?00;"",""?-00;"",""?00;"", //"""),"'","""")</f>
        <v>081, 19200421, 14.00, 7500, 00, ////, 07, ////, 07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//"""),"'","""")&amp;SUBSTITUTE(TEXT(IF(ISTEXT(Overig!H337),Overig!H337,10*Overig!H337),""",""????0;"",""???-0;"",""????0;"", ////"""),"'","""")&amp;SUBSTITUTE(TEXT(Overig!I337,""",""?00;"",""?-00;"",""?00;"", //"""),"'","""")</f>
        <v>081, 19200421, 24.00, ////, 07,  260, 00,  290,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//"""),"'","""")&amp;SUBSTITUTE(TEXT(IF(ISTEXT(Overig!H338),Overig!H338,10*Overig!H338),""",""????0;"",""???-0;"",""????0;"", ////"""),"'","""")&amp;SUBSTITUTE(TEXT(Overig!I338,""",""?00;"",""?-00;"",""?00;"", //"""),"'","""")</f>
        <v>081, 19200422, 08.00, 7490, 00, ////, 07, ////, 07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//"""),"'","""")&amp;SUBSTITUTE(TEXT(IF(ISTEXT(Overig!H339),Overig!H339,10*Overig!H339),""",""????0;"",""???-0;"",""????0;"", ////"""),"'","""")&amp;SUBSTITUTE(TEXT(Overig!I339,""",""?00;"",""?-00;"",""?00;"", //"""),"'","""")</f>
        <v>081, 19200422, 14.00, 7488, 00, ////, 07, ////, 07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//"""),"'","""")&amp;SUBSTITUTE(TEXT(IF(ISTEXT(Overig!H340),Overig!H340,10*Overig!H340),""",""????0;"",""???-0;"",""????0;"", ////"""),"'","""")&amp;SUBSTITUTE(TEXT(Overig!I340,""",""?00;"",""?-00;"",""?00;"", //"""),"'","""")</f>
        <v>081, 19200422, 24.00, ////, 07,  260, 00,  275,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//"""),"'","""")&amp;SUBSTITUTE(TEXT(IF(ISTEXT(Overig!H341),Overig!H341,10*Overig!H341),""",""????0;"",""???-0;"",""????0;"", ////"""),"'","""")&amp;SUBSTITUTE(TEXT(Overig!I341,""",""?00;"",""?-00;"",""?00;"", //"""),"'","""")</f>
        <v>081, 19200423, 08.00, 7490, 00, ////, 07, ////, 07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//"""),"'","""")&amp;SUBSTITUTE(TEXT(IF(ISTEXT(Overig!H342),Overig!H342,10*Overig!H342),""",""????0;"",""???-0;"",""????0;"", ////"""),"'","""")&amp;SUBSTITUTE(TEXT(Overig!I342,""",""?00;"",""?-00;"",""?00;"", //"""),"'","""")</f>
        <v>081, 19200423, 14.00, 7485, 00, ////, 07, ////, 07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//"""),"'","""")&amp;SUBSTITUTE(TEXT(IF(ISTEXT(Overig!H343),Overig!H343,10*Overig!H343),""",""????0;"",""???-0;"",""????0;"", ////"""),"'","""")&amp;SUBSTITUTE(TEXT(Overig!I343,""",""?00;"",""?-00;"",""?00;"", //"""),"'","""")</f>
        <v>081, 19200423, 24.00, ////, 07,  250, 00,  270,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//"""),"'","""")&amp;SUBSTITUTE(TEXT(IF(ISTEXT(Overig!H344),Overig!H344,10*Overig!H344),""",""????0;"",""???-0;"",""????0;"", ////"""),"'","""")&amp;SUBSTITUTE(TEXT(Overig!I344,""",""?00;"",""?-00;"",""?00;"", //"""),"'","""")</f>
        <v>081, 19200424, 08.00, 7490, 00, ////, 07, ////, 07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//"""),"'","""")&amp;SUBSTITUTE(TEXT(IF(ISTEXT(Overig!H345),Overig!H345,10*Overig!H345),""",""????0;"",""???-0;"",""????0;"", ////"""),"'","""")&amp;SUBSTITUTE(TEXT(Overig!I345,""",""?00;"",""?-00;"",""?00;"", //"""),"'","""")</f>
        <v>081, 19200424, 14.00, 7485, 00, ////, 07, ////, 07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//"""),"'","""")&amp;SUBSTITUTE(TEXT(IF(ISTEXT(Overig!H346),Overig!H346,10*Overig!H346),""",""????0;"",""???-0;"",""????0;"", ////"""),"'","""")&amp;SUBSTITUTE(TEXT(Overig!I346,""",""?00;"",""?-00;"",""?00;"", //"""),"'","""")</f>
        <v>081, 19200424, 24.00, ////, 07,  250, 00,  285,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//"""),"'","""")&amp;SUBSTITUTE(TEXT(IF(ISTEXT(Overig!H347),Overig!H347,10*Overig!H347),""",""????0;"",""???-0;"",""????0;"", ////"""),"'","""")&amp;SUBSTITUTE(TEXT(Overig!I347,""",""?00;"",""?-00;"",""?00;"", //"""),"'","""")</f>
        <v>081, 19200425, 08.00, 7492, 00, ////, 07, ////, 07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//"""),"'","""")&amp;SUBSTITUTE(TEXT(IF(ISTEXT(Overig!H348),Overig!H348,10*Overig!H348),""",""????0;"",""???-0;"",""????0;"", ////"""),"'","""")&amp;SUBSTITUTE(TEXT(Overig!I348,""",""?00;"",""?-00;"",""?00;"", //"""),"'","""")</f>
        <v>081, 19200425, 14.00, 7481, 00, ////, 07, ////, 07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//"""),"'","""")&amp;SUBSTITUTE(TEXT(IF(ISTEXT(Overig!H349),Overig!H349,10*Overig!H349),""",""????0;"",""???-0;"",""????0;"", ////"""),"'","""")&amp;SUBSTITUTE(TEXT(Overig!I349,""",""?00;"",""?-00;"",""?00;"", //"""),"'","""")</f>
        <v>081, 19200425, 24.00, ////, 07,  260, 00,  290,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//"""),"'","""")&amp;SUBSTITUTE(TEXT(IF(ISTEXT(Overig!H350),Overig!H350,10*Overig!H350),""",""????0;"",""???-0;"",""????0;"", ////"""),"'","""")&amp;SUBSTITUTE(TEXT(Overig!I350,""",""?00;"",""?-00;"",""?00;"", //"""),"'","""")</f>
        <v>081, 19200426, 08.00, 7495, 00, ////, 07, ////, 07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//"""),"'","""")&amp;SUBSTITUTE(TEXT(IF(ISTEXT(Overig!H351),Overig!H351,10*Overig!H351),""",""????0;"",""???-0;"",""????0;"", ////"""),"'","""")&amp;SUBSTITUTE(TEXT(Overig!I351,""",""?00;"",""?-00;"",""?00;"", //"""),"'","""")</f>
        <v>081, 19200426, 14.00, 7481, 00, ////, 07, ////, 07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//"""),"'","""")&amp;SUBSTITUTE(TEXT(IF(ISTEXT(Overig!H352),Overig!H352,10*Overig!H352),""",""????0;"",""???-0;"",""????0;"", ////"""),"'","""")&amp;SUBSTITUTE(TEXT(Overig!I352,""",""?00;"",""?-00;"",""?00;"", //"""),"'","""")</f>
        <v>081, 19200426, 24.00, ////, 07,  260, 00,  290,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//"""),"'","""")&amp;SUBSTITUTE(TEXT(IF(ISTEXT(Overig!H353),Overig!H353,10*Overig!H353),""",""????0;"",""???-0;"",""????0;"", ////"""),"'","""")&amp;SUBSTITUTE(TEXT(Overig!I353,""",""?00;"",""?-00;"",""?00;"", //"""),"'","""")</f>
        <v>081, 19200427, 08.00, 7490, 00, ////, 07, ////, 07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//"""),"'","""")&amp;SUBSTITUTE(TEXT(IF(ISTEXT(Overig!H354),Overig!H354,10*Overig!H354),""",""????0;"",""???-0;"",""????0;"", ////"""),"'","""")&amp;SUBSTITUTE(TEXT(Overig!I354,""",""?00;"",""?-00;"",""?00;"", //"""),"'","""")</f>
        <v>081, 19200427, 14.00, 7486, 00, ////, 07, ////, 07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//"""),"'","""")&amp;SUBSTITUTE(TEXT(IF(ISTEXT(Overig!H355),Overig!H355,10*Overig!H355),""",""????0;"",""???-0;"",""????0;"", ////"""),"'","""")&amp;SUBSTITUTE(TEXT(Overig!I355,""",""?00;"",""?-00;"",""?00;"", //"""),"'","""")</f>
        <v>081, 19200427, 24.00, ////, 07,  270, 00,  295,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//"""),"'","""")&amp;SUBSTITUTE(TEXT(IF(ISTEXT(Overig!H356),Overig!H356,10*Overig!H356),""",""????0;"",""???-0;"",""????0;"", ////"""),"'","""")&amp;SUBSTITUTE(TEXT(Overig!I356,""",""?00;"",""?-00;"",""?00;"", //"""),"'","""")</f>
        <v>081, 19200428, 08.00, 7490, 00, ////, 07, ////, 07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//"""),"'","""")&amp;SUBSTITUTE(TEXT(IF(ISTEXT(Overig!H357),Overig!H357,10*Overig!H357),""",""????0;"",""???-0;"",""????0;"", ////"""),"'","""")&amp;SUBSTITUTE(TEXT(Overig!I357,""",""?00;"",""?-00;"",""?00;"", //"""),"'","""")</f>
        <v>081, 19200428, 14.00, 7485, 00, ////, 07, ////, 07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//"""),"'","""")&amp;SUBSTITUTE(TEXT(IF(ISTEXT(Overig!H358),Overig!H358,10*Overig!H358),""",""????0;"",""???-0;"",""????0;"", ////"""),"'","""")&amp;SUBSTITUTE(TEXT(Overig!I358,""",""?00;"",""?-00;"",""?00;"", //"""),"'","""")</f>
        <v>081, 19200428, 24.00, ////, 07,  260, 00,  288,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//"""),"'","""")&amp;SUBSTITUTE(TEXT(IF(ISTEXT(Overig!H359),Overig!H359,10*Overig!H359),""",""????0;"",""???-0;"",""????0;"", ////"""),"'","""")&amp;SUBSTITUTE(TEXT(Overig!I359,""",""?00;"",""?-00;"",""?00;"", //"""),"'","""")</f>
        <v>081, 19200429, 08.00, 7500, 00, ////, 07, ////, 07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//"""),"'","""")&amp;SUBSTITUTE(TEXT(IF(ISTEXT(Overig!H360),Overig!H360,10*Overig!H360),""",""????0;"",""???-0;"",""????0;"", ////"""),"'","""")&amp;SUBSTITUTE(TEXT(Overig!I360,""",""?00;"",""?-00;"",""?00;"", //"""),"'","""")</f>
        <v>081, 19200429, 14.00, 7493, 00, ////, 07, ////, 07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//"""),"'","""")&amp;SUBSTITUTE(TEXT(IF(ISTEXT(Overig!H361),Overig!H361,10*Overig!H361),""",""????0;"",""???-0;"",""????0;"", ////"""),"'","""")&amp;SUBSTITUTE(TEXT(Overig!I361,""",""?00;"",""?-00;"",""?00;"", //"""),"'","""")</f>
        <v>081, 19200429, 24.00, ////, 07,  250, 00,  285,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//"""),"'","""")&amp;SUBSTITUTE(TEXT(IF(ISTEXT(Overig!H362),Overig!H362,10*Overig!H362),""",""????0;"",""???-0;"",""????0;"", ////"""),"'","""")&amp;SUBSTITUTE(TEXT(Overig!I362,""",""?00;"",""?-00;"",""?00;"", //"""),"'","""")</f>
        <v>081, 19200430, 08.00, 7500, 00, ////, 07, ////, 07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//"""),"'","""")&amp;SUBSTITUTE(TEXT(IF(ISTEXT(Overig!H363),Overig!H363,10*Overig!H363),""",""????0;"",""???-0;"",""????0;"", ////"""),"'","""")&amp;SUBSTITUTE(TEXT(Overig!I363,""",""?00;"",""?-00;"",""?00;"", //"""),"'","""")</f>
        <v>081, 19200430, 14.00, 7490, 00, ////, 07, ////, 07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//"""),"'","""")&amp;SUBSTITUTE(TEXT(IF(ISTEXT(Overig!H364),Overig!H364,10*Overig!H364),""",""????0;"",""???-0;"",""????0;"", ////"""),"'","""")&amp;SUBSTITUTE(TEXT(Overig!I364,""",""?00;"",""?-00;"",""?00;"", //"""),"'","""")</f>
        <v>081, 19200430, 24.00, ////, 07,  260, 00,  285,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//"""),"'","""")&amp;SUBSTITUTE(TEXT(IF(ISTEXT(Overig!H365),Overig!H365,10*Overig!H365),""",""????0;"",""???-0;"",""????0;"", ////"""),"'","""")&amp;SUBSTITUTE(TEXT(Overig!I365,""",""?00;"",""?-00;"",""?00;"", //"""),"'","""")</f>
        <v>081, 19200501, 08.00, 7480, 00, ////, 07, ////, 07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//"""),"'","""")&amp;SUBSTITUTE(TEXT(IF(ISTEXT(Overig!H366),Overig!H366,10*Overig!H366),""",""????0;"",""???-0;"",""????0;"", ////"""),"'","""")&amp;SUBSTITUTE(TEXT(Overig!I366,""",""?00;"",""?-00;"",""?00;"", //"""),"'","""")</f>
        <v>081, 19200501, 14.00, 7476, 00, ////, 07, ////, 07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//"""),"'","""")&amp;SUBSTITUTE(TEXT(IF(ISTEXT(Overig!H367),Overig!H367,10*Overig!H367),""",""????0;"",""???-0;"",""????0;"", ////"""),"'","""")&amp;SUBSTITUTE(TEXT(Overig!I367,""",""?00;"",""?-00;"",""?00;"", //"""),"'","""")</f>
        <v>081, 19200501, 24.00, ////, 07,  260, 00,  275,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//"""),"'","""")&amp;SUBSTITUTE(TEXT(IF(ISTEXT(Overig!H368),Overig!H368,10*Overig!H368),""",""????0;"",""???-0;"",""????0;"", ////"""),"'","""")&amp;SUBSTITUTE(TEXT(Overig!I368,""",""?00;"",""?-00;"",""?00;"", //"""),"'","""")</f>
        <v>081, 19200502, 08.00, 7475, 00, ////, 07, ////, 07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//"""),"'","""")&amp;SUBSTITUTE(TEXT(IF(ISTEXT(Overig!H369),Overig!H369,10*Overig!H369),""",""????0;"",""???-0;"",""????0;"", ////"""),"'","""")&amp;SUBSTITUTE(TEXT(Overig!I369,""",""?00;"",""?-00;"",""?00;"", //"""),"'","""")</f>
        <v>081, 19200502, 14.00, 7470, 00, ////, 07, ////, 07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//"""),"'","""")&amp;SUBSTITUTE(TEXT(IF(ISTEXT(Overig!H370),Overig!H370,10*Overig!H370),""",""????0;"",""???-0;"",""????0;"", ////"""),"'","""")&amp;SUBSTITUTE(TEXT(Overig!I370,""",""?00;"",""?-00;"",""?00;"", //"""),"'","""")</f>
        <v>081, 19200502, 24.00, ////, 07,  260, 00,  275,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//"""),"'","""")&amp;SUBSTITUTE(TEXT(IF(ISTEXT(Overig!H371),Overig!H371,10*Overig!H371),""",""????0;"",""???-0;"",""????0;"", ////"""),"'","""")&amp;SUBSTITUTE(TEXT(Overig!I371,""",""?00;"",""?-00;"",""?00;"", //"""),"'","""")</f>
        <v>081, 19200503, 08.00, 7470, 00, ////, 07, ////, 07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//"""),"'","""")&amp;SUBSTITUTE(TEXT(IF(ISTEXT(Overig!H372),Overig!H372,10*Overig!H372),""",""????0;"",""???-0;"",""????0;"", ////"""),"'","""")&amp;SUBSTITUTE(TEXT(Overig!I372,""",""?00;"",""?-00;"",""?00;"", //"""),"'","""")</f>
        <v>081, 19200503, 14.00, 7467, 00, ////, 07, ////, 07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//"""),"'","""")&amp;SUBSTITUTE(TEXT(IF(ISTEXT(Overig!H373),Overig!H373,10*Overig!H373),""",""????0;"",""???-0;"",""????0;"", ////"""),"'","""")&amp;SUBSTITUTE(TEXT(Overig!I373,""",""?00;"",""?-00;"",""?00;"", //"""),"'","""")</f>
        <v>081, 19200503, 24.00, ////, 07,  260, 00,  278,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//"""),"'","""")&amp;SUBSTITUTE(TEXT(IF(ISTEXT(Overig!H374),Overig!H374,10*Overig!H374),""",""????0;"",""???-0;"",""????0;"", ////"""),"'","""")&amp;SUBSTITUTE(TEXT(Overig!I374,""",""?00;"",""?-00;"",""?00;"", //"""),"'","""")</f>
        <v>081, 19200504, 08.00, 7480, 00, ////, 07, ////, 07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//"""),"'","""")&amp;SUBSTITUTE(TEXT(IF(ISTEXT(Overig!H375),Overig!H375,10*Overig!H375),""",""????0;"",""???-0;"",""????0;"", ////"""),"'","""")&amp;SUBSTITUTE(TEXT(Overig!I375,""",""?00;"",""?-00;"",""?00;"", //"""),"'","""")</f>
        <v>081, 19200504, 14.00, 7475, 00, ////, 07, ////, 07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//"""),"'","""")&amp;SUBSTITUTE(TEXT(IF(ISTEXT(Overig!H376),Overig!H376,10*Overig!H376),""",""????0;"",""???-0;"",""????0;"", ////"""),"'","""")&amp;SUBSTITUTE(TEXT(Overig!I376,""",""?00;"",""?-00;"",""?00;"", //"""),"'","""")</f>
        <v>081, 19200504, 24.00, ////, 07,  253, 00,  280,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//"""),"'","""")&amp;SUBSTITUTE(TEXT(IF(ISTEXT(Overig!H377),Overig!H377,10*Overig!H377),""",""????0;"",""???-0;"",""????0;"", ////"""),"'","""")&amp;SUBSTITUTE(TEXT(Overig!I377,""",""?00;"",""?-00;"",""?00;"", //"""),"'","""")</f>
        <v>081, 19200505, 08.00, 7490, 00, ////, 07, ////, 07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//"""),"'","""")&amp;SUBSTITUTE(TEXT(IF(ISTEXT(Overig!H378),Overig!H378,10*Overig!H378),""",""????0;"",""???-0;"",""????0;"", ////"""),"'","""")&amp;SUBSTITUTE(TEXT(Overig!I378,""",""?00;"",""?-00;"",""?00;"", //"""),"'","""")</f>
        <v>081, 19200505, 14.00, 7486, 00, ////, 07, ////, 07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//"""),"'","""")&amp;SUBSTITUTE(TEXT(IF(ISTEXT(Overig!H379),Overig!H379,10*Overig!H379),""",""????0;"",""???-0;"",""????0;"", ////"""),"'","""")&amp;SUBSTITUTE(TEXT(Overig!I379,""",""?00;"",""?-00;"",""?00;"", //"""),"'","""")</f>
        <v>081, 19200505, 24.00, ////, 07,  270, 00,  280,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//"""),"'","""")&amp;SUBSTITUTE(TEXT(IF(ISTEXT(Overig!H380),Overig!H380,10*Overig!H380),""",""????0;"",""???-0;"",""????0;"", ////"""),"'","""")&amp;SUBSTITUTE(TEXT(Overig!I380,""",""?00;"",""?-00;"",""?00;"", //"""),"'","""")</f>
        <v>081, 19200506, 08.00, 7485, 00, ////, 07, ////, 07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//"""),"'","""")&amp;SUBSTITUTE(TEXT(IF(ISTEXT(Overig!H381),Overig!H381,10*Overig!H381),""",""????0;"",""???-0;"",""????0;"", ////"""),"'","""")&amp;SUBSTITUTE(TEXT(Overig!I381,""",""?00;"",""?-00;"",""?00;"", //"""),"'","""")</f>
        <v>081, 19200506, 14.00, 7481, 00, ////, 07, ////, 07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//"""),"'","""")&amp;SUBSTITUTE(TEXT(IF(ISTEXT(Overig!H382),Overig!H382,10*Overig!H382),""",""????0;"",""???-0;"",""????0;"", ////"""),"'","""")&amp;SUBSTITUTE(TEXT(Overig!I382,""",""?00;"",""?-00;"",""?00;"", //"""),"'","""")</f>
        <v>081, 19200506, 24.00, ////, 07,  260, 00,  283,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//"""),"'","""")&amp;SUBSTITUTE(TEXT(IF(ISTEXT(Overig!H383),Overig!H383,10*Overig!H383),""",""????0;"",""???-0;"",""????0;"", ////"""),"'","""")&amp;SUBSTITUTE(TEXT(Overig!I383,""",""?00;"",""?-00;"",""?00;"", //"""),"'","""")</f>
        <v>081, 19200507, 08.00, 7490, 00, ////, 07, ////, 07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//"""),"'","""")&amp;SUBSTITUTE(TEXT(IF(ISTEXT(Overig!H384),Overig!H384,10*Overig!H384),""",""????0;"",""???-0;"",""????0;"", ////"""),"'","""")&amp;SUBSTITUTE(TEXT(Overig!I384,""",""?00;"",""?-00;"",""?00;"", //"""),"'","""")</f>
        <v>081, 19200507, 14.00, 7486, 00, ////, 07, ////, 07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//"""),"'","""")&amp;SUBSTITUTE(TEXT(IF(ISTEXT(Overig!H385),Overig!H385,10*Overig!H385),""",""????0;"",""???-0;"",""????0;"", ////"""),"'","""")&amp;SUBSTITUTE(TEXT(Overig!I385,""",""?00;"",""?-00;"",""?00;"", //"""),"'","""")</f>
        <v>081, 19200507, 24.00, ////, 07,  260, 00,  285,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//"""),"'","""")&amp;SUBSTITUTE(TEXT(IF(ISTEXT(Overig!H386),Overig!H386,10*Overig!H386),""",""????0;"",""???-0;"",""????0;"", ////"""),"'","""")&amp;SUBSTITUTE(TEXT(Overig!I386,""",""?00;"",""?-00;"",""?00;"", //"""),"'","""")</f>
        <v>081, 19200508, 08.00, 7490, 00, ////, 07, ////, 07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//"""),"'","""")&amp;SUBSTITUTE(TEXT(IF(ISTEXT(Overig!H387),Overig!H387,10*Overig!H387),""",""????0;"",""???-0;"",""????0;"", ////"""),"'","""")&amp;SUBSTITUTE(TEXT(Overig!I387,""",""?00;"",""?-00;"",""?00;"", //"""),"'","""")</f>
        <v>081, 19200508, 14.00, 7483, 00, ////, 07, ////, 07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//"""),"'","""")&amp;SUBSTITUTE(TEXT(IF(ISTEXT(Overig!H388),Overig!H388,10*Overig!H388),""",""????0;"",""???-0;"",""????0;"", ////"""),"'","""")&amp;SUBSTITUTE(TEXT(Overig!I388,""",""?00;"",""?-00;"",""?00;"", //"""),"'","""")</f>
        <v>081, 19200508, 24.00, ////, 07,  263, 00,  285,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//"""),"'","""")&amp;SUBSTITUTE(TEXT(IF(ISTEXT(Overig!H389),Overig!H389,10*Overig!H389),""",""????0;"",""???-0;"",""????0;"", ////"""),"'","""")&amp;SUBSTITUTE(TEXT(Overig!I389,""",""?00;"",""?-00;"",""?00;"", //"""),"'","""")</f>
        <v>081, 19200509, 08.00, 7490, 00, ////, 07, ////, 07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//"""),"'","""")&amp;SUBSTITUTE(TEXT(IF(ISTEXT(Overig!H390),Overig!H390,10*Overig!H390),""",""????0;"",""???-0;"",""????0;"", ////"""),"'","""")&amp;SUBSTITUTE(TEXT(Overig!I390,""",""?00;"",""?-00;"",""?00;"", //"""),"'","""")</f>
        <v>081, 19200509, 14.00, 7486, 00, ////, 07, ////, 07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//"""),"'","""")&amp;SUBSTITUTE(TEXT(IF(ISTEXT(Overig!H391),Overig!H391,10*Overig!H391),""",""????0;"",""???-0;"",""????0;"", ////"""),"'","""")&amp;SUBSTITUTE(TEXT(Overig!I391,""",""?00;"",""?-00;"",""?00;"", //"""),"'","""")</f>
        <v>081, 19200509, 24.00, ////, 07,  265, 00,  280,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//"""),"'","""")&amp;SUBSTITUTE(TEXT(IF(ISTEXT(Overig!H392),Overig!H392,10*Overig!H392),""",""????0;"",""???-0;"",""????0;"", ////"""),"'","""")&amp;SUBSTITUTE(TEXT(Overig!I392,""",""?00;"",""?-00;"",""?00;"", //"""),"'","""")</f>
        <v>081, 19200510, 08.00, 7490, 00, ////, 07, ////, 07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//"""),"'","""")&amp;SUBSTITUTE(TEXT(IF(ISTEXT(Overig!H393),Overig!H393,10*Overig!H393),""",""????0;"",""???-0;"",""????0;"", ////"""),"'","""")&amp;SUBSTITUTE(TEXT(Overig!I393,""",""?00;"",""?-00;"",""?00;"", //"""),"'","""")</f>
        <v>081, 19200510, 14.00, 7485, 00, ////, 07, ////, 07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//"""),"'","""")&amp;SUBSTITUTE(TEXT(IF(ISTEXT(Overig!H394),Overig!H394,10*Overig!H394),""",""????0;"",""???-0;"",""????0;"", ////"""),"'","""")&amp;SUBSTITUTE(TEXT(Overig!I394,""",""?00;"",""?-00;"",""?00;"", //"""),"'","""")</f>
        <v>081, 19200510, 24.00, ////, 07,  265, 00,  280,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//"""),"'","""")&amp;SUBSTITUTE(TEXT(IF(ISTEXT(Overig!H395),Overig!H395,10*Overig!H395),""",""????0;"",""???-0;"",""????0;"", ////"""),"'","""")&amp;SUBSTITUTE(TEXT(Overig!I395,""",""?00;"",""?-00;"",""?00;"", //"""),"'","""")</f>
        <v>081, 19200511, 08.00, 7490, 00, ////, 07, ////, 07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//"""),"'","""")&amp;SUBSTITUTE(TEXT(IF(ISTEXT(Overig!H396),Overig!H396,10*Overig!H396),""",""????0;"",""???-0;"",""????0;"", ////"""),"'","""")&amp;SUBSTITUTE(TEXT(Overig!I396,""",""?00;"",""?-00;"",""?00;"", //"""),"'","""")</f>
        <v>081, 19200511, 14.00, 7481, 00, ////, 07, ////, 07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//"""),"'","""")&amp;SUBSTITUTE(TEXT(IF(ISTEXT(Overig!H397),Overig!H397,10*Overig!H397),""",""????0;"",""???-0;"",""????0;"", ////"""),"'","""")&amp;SUBSTITUTE(TEXT(Overig!I397,""",""?00;"",""?-00;"",""?00;"", //"""),"'","""")</f>
        <v>081, 19200511, 24.00, ////, 07,  255, 00,  280,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//"""),"'","""")&amp;SUBSTITUTE(TEXT(IF(ISTEXT(Overig!H398),Overig!H398,10*Overig!H398),""",""????0;"",""???-0;"",""????0;"", ////"""),"'","""")&amp;SUBSTITUTE(TEXT(Overig!I398,""",""?00;"",""?-00;"",""?00;"", //"""),"'","""")</f>
        <v>081, 19200512, 08.00, 7490, 00, ////, 07, ////, 07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//"""),"'","""")&amp;SUBSTITUTE(TEXT(IF(ISTEXT(Overig!H399),Overig!H399,10*Overig!H399),""",""????0;"",""???-0;"",""????0;"", ////"""),"'","""")&amp;SUBSTITUTE(TEXT(Overig!I399,""",""?00;"",""?-00;"",""?00;"", //"""),"'","""")</f>
        <v>081, 19200512, 14.00, 7475, 00, ////, 07, ////, 07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//"""),"'","""")&amp;SUBSTITUTE(TEXT(IF(ISTEXT(Overig!H400),Overig!H400,10*Overig!H400),""",""????0;"",""???-0;"",""????0;"", ////"""),"'","""")&amp;SUBSTITUTE(TEXT(Overig!I400,""",""?00;"",""?-00;"",""?00;"", //"""),"'","""")</f>
        <v>081, 19200512, 24.00, ////, 07,  250, 00,  280,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//"""),"'","""")&amp;SUBSTITUTE(TEXT(IF(ISTEXT(Overig!H401),Overig!H401,10*Overig!H401),""",""????0;"",""???-0;"",""????0;"", ////"""),"'","""")&amp;SUBSTITUTE(TEXT(Overig!I401,""",""?00;"",""?-00;"",""?00;"", //"""),"'","""")</f>
        <v>081, 19200513, 08.00, 7480, 00, ////, 07, ////, 07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//"""),"'","""")&amp;SUBSTITUTE(TEXT(IF(ISTEXT(Overig!H402),Overig!H402,10*Overig!H402),""",""????0;"",""???-0;"",""????0;"", ////"""),"'","""")&amp;SUBSTITUTE(TEXT(Overig!I402,""",""?00;"",""?-00;"",""?00;"", //"""),"'","""")</f>
        <v>081, 19200513, 14.00, 7472, 00, ////, 07, ////, 07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//"""),"'","""")&amp;SUBSTITUTE(TEXT(IF(ISTEXT(Overig!H403),Overig!H403,10*Overig!H403),""",""????0;"",""???-0;"",""????0;"", ////"""),"'","""")&amp;SUBSTITUTE(TEXT(Overig!I403,""",""?00;"",""?-00;"",""?00;"", //"""),"'","""")</f>
        <v>081, 19200513, 24.00, ////, 07,  250, 00,  270,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//"""),"'","""")&amp;SUBSTITUTE(TEXT(IF(ISTEXT(Overig!H404),Overig!H404,10*Overig!H404),""",""????0;"",""???-0;"",""????0;"", ////"""),"'","""")&amp;SUBSTITUTE(TEXT(Overig!I404,""",""?00;"",""?-00;"",""?00;"", //"""),"'","""")</f>
        <v>081, 19200514, 08.00, 7475, 00, ////, 07, ////, 07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//"""),"'","""")&amp;SUBSTITUTE(TEXT(IF(ISTEXT(Overig!H405),Overig!H405,10*Overig!H405),""",""????0;"",""???-0;"",""????0;"", ////"""),"'","""")&amp;SUBSTITUTE(TEXT(Overig!I405,""",""?00;"",""?-00;"",""?00;"", //"""),"'","""")</f>
        <v>081, 19200514, 14.00, 7470, 00, ////, 07, ////, 07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//"""),"'","""")&amp;SUBSTITUTE(TEXT(IF(ISTEXT(Overig!H406),Overig!H406,10*Overig!H406),""",""????0;"",""???-0;"",""????0;"", ////"""),"'","""")&amp;SUBSTITUTE(TEXT(Overig!I406,""",""?00;"",""?-00;"",""?00;"", //"""),"'","""")</f>
        <v>081, 19200514, 24.00, ////, 07,  250, 00,  273,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//"""),"'","""")&amp;SUBSTITUTE(TEXT(IF(ISTEXT(Overig!H407),Overig!H407,10*Overig!H407),""",""????0;"",""???-0;"",""????0;"", ////"""),"'","""")&amp;SUBSTITUTE(TEXT(Overig!I407,""",""?00;"",""?-00;"",""?00;"", //"""),"'","""")</f>
        <v>081, 19200515, 08.00, 7475, 00, ////, 07, ////, 07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//"""),"'","""")&amp;SUBSTITUTE(TEXT(IF(ISTEXT(Overig!H408),Overig!H408,10*Overig!H408),""",""????0;"",""???-0;"",""????0;"", ////"""),"'","""")&amp;SUBSTITUTE(TEXT(Overig!I408,""",""?00;"",""?-00;"",""?00;"", //"""),"'","""")</f>
        <v>081, 19200515, 14.00, 7470, 00, ////, 07, ////, 07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//"""),"'","""")&amp;SUBSTITUTE(TEXT(IF(ISTEXT(Overig!H409),Overig!H409,10*Overig!H409),""",""????0;"",""???-0;"",""????0;"", ////"""),"'","""")&amp;SUBSTITUTE(TEXT(Overig!I409,""",""?00;"",""?-00;"",""?00;"", //"""),"'","""")</f>
        <v>081, 19200515, 24.00, ////, 07,  250, 00,  280,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//"""),"'","""")&amp;SUBSTITUTE(TEXT(IF(ISTEXT(Overig!H410),Overig!H410,10*Overig!H410),""",""????0;"",""???-0;"",""????0;"", ////"""),"'","""")&amp;SUBSTITUTE(TEXT(Overig!I410,""",""?00;"",""?-00;"",""?00;"", //"""),"'","""")</f>
        <v>081, 19200516, 08.00, 7475, 00, ////, 07, ////, 07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//"""),"'","""")&amp;SUBSTITUTE(TEXT(IF(ISTEXT(Overig!H411),Overig!H411,10*Overig!H411),""",""????0;"",""???-0;"",""????0;"", ////"""),"'","""")&amp;SUBSTITUTE(TEXT(Overig!I411,""",""?00;"",""?-00;"",""?00;"", //"""),"'","""")</f>
        <v>081, 19200516, 14.00, 7470, 00, ////, 07, ////, 07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//"""),"'","""")&amp;SUBSTITUTE(TEXT(IF(ISTEXT(Overig!H412),Overig!H412,10*Overig!H412),""",""????0;"",""???-0;"",""????0;"", ////"""),"'","""")&amp;SUBSTITUTE(TEXT(Overig!I412,""",""?00;"",""?-00;"",""?00;"", //"""),"'","""")</f>
        <v>081, 19200516, 24.00, ////, 07,  255, 00,  280,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//"""),"'","""")&amp;SUBSTITUTE(TEXT(IF(ISTEXT(Overig!H413),Overig!H413,10*Overig!H413),""",""????0;"",""???-0;"",""????0;"", ////"""),"'","""")&amp;SUBSTITUTE(TEXT(Overig!I413,""",""?00;"",""?-00;"",""?00;"", //"""),"'","""")</f>
        <v>081, 19200517, 08.00, 7470, 00, ////, 07, ////, 07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//"""),"'","""")&amp;SUBSTITUTE(TEXT(IF(ISTEXT(Overig!H414),Overig!H414,10*Overig!H414),""",""????0;"",""???-0;"",""????0;"", ////"""),"'","""")&amp;SUBSTITUTE(TEXT(Overig!I414,""",""?00;"",""?-00;"",""?00;"", //"""),"'","""")</f>
        <v>081, 19200517, 14.00, 7469, 00, ////, 07, ////, 07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//"""),"'","""")&amp;SUBSTITUTE(TEXT(IF(ISTEXT(Overig!H415),Overig!H415,10*Overig!H415),""",""????0;"",""???-0;"",""????0;"", ////"""),"'","""")&amp;SUBSTITUTE(TEXT(Overig!I415,""",""?00;"",""?-00;"",""?00;"", //"""),"'","""")</f>
        <v>081, 19200517, 24.00, ////, 07,  258, 00,  280,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//"""),"'","""")&amp;SUBSTITUTE(TEXT(IF(ISTEXT(Overig!H416),Overig!H416,10*Overig!H416),""",""????0;"",""???-0;"",""????0;"", ////"""),"'","""")&amp;SUBSTITUTE(TEXT(Overig!I416,""",""?00;"",""?-00;"",""?00;"", //"""),"'","""")</f>
        <v>081, 19200518, 08.00, 7470, 00, ////, 07, ////, 07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//"""),"'","""")&amp;SUBSTITUTE(TEXT(IF(ISTEXT(Overig!H417),Overig!H417,10*Overig!H417),""",""????0;"",""???-0;"",""????0;"", ////"""),"'","""")&amp;SUBSTITUTE(TEXT(Overig!I417,""",""?00;"",""?-00;"",""?00;"", //"""),"'","""")</f>
        <v>081, 19200518, 14.00, 7465, 00, ////, 07, ////, 07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//"""),"'","""")&amp;SUBSTITUTE(TEXT(IF(ISTEXT(Overig!H418),Overig!H418,10*Overig!H418),""",""????0;"",""???-0;"",""????0;"", ////"""),"'","""")&amp;SUBSTITUTE(TEXT(Overig!I418,""",""?00;"",""?-00;"",""?00;"", //"""),"'","""")</f>
        <v>081, 19200518, 24.00, ////, 07,  250, 00,  280,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//"""),"'","""")&amp;SUBSTITUTE(TEXT(IF(ISTEXT(Overig!H419),Overig!H419,10*Overig!H419),""",""????0;"",""???-0;"",""????0;"", ////"""),"'","""")&amp;SUBSTITUTE(TEXT(Overig!I419,""",""?00;"",""?-00;"",""?00;"", //"""),"'","""")</f>
        <v>081, 19200519, 08.00, 7470, 00, ////, 07, ////, 07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//"""),"'","""")&amp;SUBSTITUTE(TEXT(IF(ISTEXT(Overig!H420),Overig!H420,10*Overig!H420),""",""????0;"",""???-0;"",""????0;"", ////"""),"'","""")&amp;SUBSTITUTE(TEXT(Overig!I420,""",""?00;"",""?-00;"",""?00;"", //"""),"'","""")</f>
        <v>081, 19200519, 14.00, 7468, 00, ////, 07, ////, 07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//"""),"'","""")&amp;SUBSTITUTE(TEXT(IF(ISTEXT(Overig!H421),Overig!H421,10*Overig!H421),""",""????0;"",""???-0;"",""????0;"", ////"""),"'","""")&amp;SUBSTITUTE(TEXT(Overig!I421,""",""?00;"",""?-00;"",""?00;"", //"""),"'","""")</f>
        <v>081, 19200519, 24.00, ////, 07,  260, 00,  273,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//"""),"'","""")&amp;SUBSTITUTE(TEXT(IF(ISTEXT(Overig!H422),Overig!H422,10*Overig!H422),""",""????0;"",""???-0;"",""????0;"", ////"""),"'","""")&amp;SUBSTITUTE(TEXT(Overig!I422,""",""?00;"",""?-00;"",""?00;"", //"""),"'","""")</f>
        <v>081, 19200520, 08.00, 7470, 00, ////, 07, ////, 07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//"""),"'","""")&amp;SUBSTITUTE(TEXT(IF(ISTEXT(Overig!H423),Overig!H423,10*Overig!H423),""",""????0;"",""???-0;"",""????0;"", ////"""),"'","""")&amp;SUBSTITUTE(TEXT(Overig!I423,""",""?00;"",""?-00;"",""?00;"", //"""),"'","""")</f>
        <v>081, 19200520, 14.00, 7468, 00, ////, 07, ////, 07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//"""),"'","""")&amp;SUBSTITUTE(TEXT(IF(ISTEXT(Overig!H424),Overig!H424,10*Overig!H424),""",""????0;"",""???-0;"",""????0;"", ////"""),"'","""")&amp;SUBSTITUTE(TEXT(Overig!I424,""",""?00;"",""?-00;"",""?00;"", //"""),"'","""")</f>
        <v>081, 19200520, 24.00, ////, 07,  253, 00,  278,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//"""),"'","""")&amp;SUBSTITUTE(TEXT(IF(ISTEXT(Overig!H425),Overig!H425,10*Overig!H425),""",""????0;"",""???-0;"",""????0;"", ////"""),"'","""")&amp;SUBSTITUTE(TEXT(Overig!I425,""",""?00;"",""?-00;"",""?00;"", //"""),"'","""")</f>
        <v>081, 19200521, 08.00, 7470, 00, ////, 07, ////, 07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//"""),"'","""")&amp;SUBSTITUTE(TEXT(IF(ISTEXT(Overig!H426),Overig!H426,10*Overig!H426),""",""????0;"",""???-0;"",""????0;"", ////"""),"'","""")&amp;SUBSTITUTE(TEXT(Overig!I426,""",""?00;"",""?-00;"",""?00;"", //"""),"'","""")</f>
        <v>081, 19200521, 14.00, 7467, 00, ////, 07, ////, 07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//"""),"'","""")&amp;SUBSTITUTE(TEXT(IF(ISTEXT(Overig!H427),Overig!H427,10*Overig!H427),""",""????0;"",""???-0;"",""????0;"", ////"""),"'","""")&amp;SUBSTITUTE(TEXT(Overig!I427,""",""?00;"",""?-00;"",""?00;"", //"""),"'","""")</f>
        <v>081, 19200521, 24.00, ////, 07,  270, 00,  280,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//"""),"'","""")&amp;SUBSTITUTE(TEXT(IF(ISTEXT(Overig!H428),Overig!H428,10*Overig!H428),""",""????0;"",""???-0;"",""????0;"", ////"""),"'","""")&amp;SUBSTITUTE(TEXT(Overig!I428,""",""?00;"",""?-00;"",""?00;"", //"""),"'","""")</f>
        <v>081, 19200522, 08.00, 7464, 00, ////, 07, ////, 07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//"""),"'","""")&amp;SUBSTITUTE(TEXT(IF(ISTEXT(Overig!H429),Overig!H429,10*Overig!H429),""",""????0;"",""???-0;"",""????0;"", ////"""),"'","""")&amp;SUBSTITUTE(TEXT(Overig!I429,""",""?00;"",""?-00;"",""?00;"", //"""),"'","""")</f>
        <v>081, 19200522, 14.00, 7460, 00, ////, 07, ////, 07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//"""),"'","""")&amp;SUBSTITUTE(TEXT(IF(ISTEXT(Overig!H430),Overig!H430,10*Overig!H430),""",""????0;"",""???-0;"",""????0;"", ////"""),"'","""")&amp;SUBSTITUTE(TEXT(Overig!I430,""",""?00;"",""?-00;"",""?00;"", //"""),"'","""")</f>
        <v>081, 19200522, 24.00, ////, 07,  260, 00,  283,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//"""),"'","""")&amp;SUBSTITUTE(TEXT(IF(ISTEXT(Overig!H431),Overig!H431,10*Overig!H431),""",""????0;"",""???-0;"",""????0;"", ////"""),"'","""")&amp;SUBSTITUTE(TEXT(Overig!I431,""",""?00;"",""?-00;"",""?00;"", //"""),"'","""")</f>
        <v>081, 19200523, 08.00, 7464, 00, ////, 07, ////, 07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//"""),"'","""")&amp;SUBSTITUTE(TEXT(IF(ISTEXT(Overig!H432),Overig!H432,10*Overig!H432),""",""????0;"",""???-0;"",""????0;"", ////"""),"'","""")&amp;SUBSTITUTE(TEXT(Overig!I432,""",""?00;"",""?-00;"",""?00;"", //"""),"'","""")</f>
        <v>081, 19200523, 14.00, 7460, 00, ////, 07, ////, 07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//"""),"'","""")&amp;SUBSTITUTE(TEXT(IF(ISTEXT(Overig!H433),Overig!H433,10*Overig!H433),""",""????0;"",""???-0;"",""????0;"", ////"""),"'","""")&amp;SUBSTITUTE(TEXT(Overig!I433,""",""?00;"",""?-00;"",""?00;"", //"""),"'","""")</f>
        <v>081, 19200523, 24.00, ////, 07,  260, 00,  280,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//"""),"'","""")&amp;SUBSTITUTE(TEXT(IF(ISTEXT(Overig!H434),Overig!H434,10*Overig!H434),""",""????0;"",""???-0;"",""????0;"", ////"""),"'","""")&amp;SUBSTITUTE(TEXT(Overig!I434,""",""?00;"",""?-00;"",""?00;"", //"""),"'","""")</f>
        <v>081, 19200524, 08.00, 7463, 00, ////, 07, ////, 07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//"""),"'","""")&amp;SUBSTITUTE(TEXT(IF(ISTEXT(Overig!H435),Overig!H435,10*Overig!H435),""",""????0;"",""???-0;"",""????0;"", ////"""),"'","""")&amp;SUBSTITUTE(TEXT(Overig!I435,""",""?00;"",""?-00;"",""?00;"", //"""),"'","""")</f>
        <v>081, 19200524, 14.00, 7450, 00, ////, 07, ////, 07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//"""),"'","""")&amp;SUBSTITUTE(TEXT(IF(ISTEXT(Overig!H436),Overig!H436,10*Overig!H436),""",""????0;"",""???-0;"",""????0;"", ////"""),"'","""")&amp;SUBSTITUTE(TEXT(Overig!I436,""",""?00;"",""?-00;"",""?00;"", //"""),"'","""")</f>
        <v>081, 19200524, 24.00, ////, 07,  260, 00,  260,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//"""),"'","""")&amp;SUBSTITUTE(TEXT(IF(ISTEXT(Overig!H437),Overig!H437,10*Overig!H437),""",""????0;"",""???-0;"",""????0;"", ////"""),"'","""")&amp;SUBSTITUTE(TEXT(Overig!I437,""",""?00;"",""?-00;"",""?00;"", //"""),"'","""")</f>
        <v>081, 19200525, 08.00, 7450, 00, ////, 07, ////, 07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//"""),"'","""")&amp;SUBSTITUTE(TEXT(IF(ISTEXT(Overig!H438),Overig!H438,10*Overig!H438),""",""????0;"",""???-0;"",""????0;"", ////"""),"'","""")&amp;SUBSTITUTE(TEXT(Overig!I438,""",""?00;"",""?-00;"",""?00;"", //"""),"'","""")</f>
        <v>081, 19200525, 14.00, 7440, 00, ////, 07, ////, 07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//"""),"'","""")&amp;SUBSTITUTE(TEXT(IF(ISTEXT(Overig!H439),Overig!H439,10*Overig!H439),""",""????0;"",""???-0;"",""????0;"", ////"""),"'","""")&amp;SUBSTITUTE(TEXT(Overig!I439,""",""?00;"",""?-00;"",""?00;"", //"""),"'","""")</f>
        <v>081, 19200525, 24.00, ////, 07,  240, 00,  265,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//"""),"'","""")&amp;SUBSTITUTE(TEXT(IF(ISTEXT(Overig!H440),Overig!H440,10*Overig!H440),""",""????0;"",""???-0;"",""????0;"", ////"""),"'","""")&amp;SUBSTITUTE(TEXT(Overig!I440,""",""?00;"",""?-00;"",""?00;"", //"""),"'","""")</f>
        <v>081, 19200526, 08.00, 7450, 00, ////, 07, ////, 07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//"""),"'","""")&amp;SUBSTITUTE(TEXT(IF(ISTEXT(Overig!H441),Overig!H441,10*Overig!H441),""",""????0;"",""???-0;"",""????0;"", ////"""),"'","""")&amp;SUBSTITUTE(TEXT(Overig!I441,""",""?00;"",""?-00;"",""?00;"", //"""),"'","""")</f>
        <v>081, 19200526, 14.00, 7448, 00, ////, 07, ////, 07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//"""),"'","""")&amp;SUBSTITUTE(TEXT(IF(ISTEXT(Overig!H442),Overig!H442,10*Overig!H442),""",""????0;"",""???-0;"",""????0;"", ////"""),"'","""")&amp;SUBSTITUTE(TEXT(Overig!I442,""",""?00;"",""?-00;"",""?00;"", //"""),"'","""")</f>
        <v>081, 19200526, 24.00, ////, 07,  255, 00,  270,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//"""),"'","""")&amp;SUBSTITUTE(TEXT(IF(ISTEXT(Overig!H443),Overig!H443,10*Overig!H443),""",""????0;"",""???-0;"",""????0;"", ////"""),"'","""")&amp;SUBSTITUTE(TEXT(Overig!I443,""",""?00;"",""?-00;"",""?00;"", //"""),"'","""")</f>
        <v>081, 19200527, 08.00, 7470, 00, ////, 07, ////, 07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//"""),"'","""")&amp;SUBSTITUTE(TEXT(IF(ISTEXT(Overig!H444),Overig!H444,10*Overig!H444),""",""????0;"",""???-0;"",""????0;"", ////"""),"'","""")&amp;SUBSTITUTE(TEXT(Overig!I444,""",""?00;"",""?-00;"",""?00;"", //"""),"'","""")</f>
        <v>081, 19200527, 14.00, 7460, 00, ////, 07, ////, 07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//"""),"'","""")&amp;SUBSTITUTE(TEXT(IF(ISTEXT(Overig!H445),Overig!H445,10*Overig!H445),""",""????0;"",""???-0;"",""????0;"", ////"""),"'","""")&amp;SUBSTITUTE(TEXT(Overig!I445,""",""?00;"",""?-00;"",""?00;"", //"""),"'","""")</f>
        <v>081, 19200527, 24.00, ////, 07,  265, 00,  270,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//"""),"'","""")&amp;SUBSTITUTE(TEXT(IF(ISTEXT(Overig!H446),Overig!H446,10*Overig!H446),""",""????0;"",""???-0;"",""????0;"", ////"""),"'","""")&amp;SUBSTITUTE(TEXT(Overig!I446,""",""?00;"",""?-00;"",""?00;"", //"""),"'","""")</f>
        <v>081, 19200528, 08.00, 7468, 00, ////, 07, ////, 07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//"""),"'","""")&amp;SUBSTITUTE(TEXT(IF(ISTEXT(Overig!H447),Overig!H447,10*Overig!H447),""",""????0;"",""???-0;"",""????0;"", ////"""),"'","""")&amp;SUBSTITUTE(TEXT(Overig!I447,""",""?00;"",""?-00;"",""?00;"", //"""),"'","""")</f>
        <v>081, 19200528, 14.00, 7465, 00, ////, 07, ////, 07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//"""),"'","""")&amp;SUBSTITUTE(TEXT(IF(ISTEXT(Overig!H448),Overig!H448,10*Overig!H448),""",""????0;"",""???-0;"",""????0;"", ////"""),"'","""")&amp;SUBSTITUTE(TEXT(Overig!I448,""",""?00;"",""?-00;"",""?00;"", //"""),"'","""")</f>
        <v>081, 19200528, 24.00, ////, 07,  263, 00,  280,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//"""),"'","""")&amp;SUBSTITUTE(TEXT(IF(ISTEXT(Overig!H449),Overig!H449,10*Overig!H449),""",""????0;"",""???-0;"",""????0;"", ////"""),"'","""")&amp;SUBSTITUTE(TEXT(Overig!I449,""",""?00;"",""?-00;"",""?00;"", //"""),"'","""")</f>
        <v>081, 19200529, 08.00, 7470, 00, ////, 07, ////, 07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//"""),"'","""")&amp;SUBSTITUTE(TEXT(IF(ISTEXT(Overig!H450),Overig!H450,10*Overig!H450),""",""????0;"",""???-0;"",""????0;"", ////"""),"'","""")&amp;SUBSTITUTE(TEXT(Overig!I450,""",""?00;"",""?-00;"",""?00;"", //"""),"'","""")</f>
        <v>081, 19200529, 14.00, 7460, 00, ////, 07, ////, 07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//"""),"'","""")&amp;SUBSTITUTE(TEXT(IF(ISTEXT(Overig!H451),Overig!H451,10*Overig!H451),""",""????0;"",""???-0;"",""????0;"", ////"""),"'","""")&amp;SUBSTITUTE(TEXT(Overig!I451,""",""?00;"",""?-00;"",""?00;"", //"""),"'","""")</f>
        <v>081, 19200529, 24.00, ////, 07,  260, 00,  285,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//"""),"'","""")&amp;SUBSTITUTE(TEXT(IF(ISTEXT(Overig!H452),Overig!H452,10*Overig!H452),""",""????0;"",""???-0;"",""????0;"", ////"""),"'","""")&amp;SUBSTITUTE(TEXT(Overig!I452,""",""?00;"",""?-00;"",""?00;"", //"""),"'","""")</f>
        <v>081, 19200530, 08.00, 7470, 00, ////, 07, ////, 07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//"""),"'","""")&amp;SUBSTITUTE(TEXT(IF(ISTEXT(Overig!H453),Overig!H453,10*Overig!H453),""",""????0;"",""???-0;"",""????0;"", ////"""),"'","""")&amp;SUBSTITUTE(TEXT(Overig!I453,""",""?00;"",""?-00;"",""?00;"", //"""),"'","""")</f>
        <v>081, 19200530, 14.00, 7460, 00, ////, 07, ////, 07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//"""),"'","""")&amp;SUBSTITUTE(TEXT(IF(ISTEXT(Overig!H454),Overig!H454,10*Overig!H454),""",""????0;"",""???-0;"",""????0;"", ////"""),"'","""")&amp;SUBSTITUTE(TEXT(Overig!I454,""",""?00;"",""?-00;"",""?00;"", //"""),"'","""")</f>
        <v>081, 19200530, 24.00, ////, 07,  260, 00,  280,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//"""),"'","""")&amp;SUBSTITUTE(TEXT(IF(ISTEXT(Overig!H455),Overig!H455,10*Overig!H455),""",""????0;"",""???-0;"",""????0;"", ////"""),"'","""")&amp;SUBSTITUTE(TEXT(Overig!I455,""",""?00;"",""?-00;"",""?00;"", //"""),"'","""")</f>
        <v>081, 19200531, 08.00, 7470, 00, ////, 07, ////, 07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//"""),"'","""")&amp;SUBSTITUTE(TEXT(IF(ISTEXT(Overig!H456),Overig!H456,10*Overig!H456),""",""????0;"",""???-0;"",""????0;"", ////"""),"'","""")&amp;SUBSTITUTE(TEXT(Overig!I456,""",""?00;"",""?-00;"",""?00;"", //"""),"'","""")</f>
        <v>081, 19200531, 14.00, 7465, 00, ////, 07, ////, 07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//"""),"'","""")&amp;SUBSTITUTE(TEXT(IF(ISTEXT(Overig!H457),Overig!H457,10*Overig!H457),""",""????0;"",""???-0;"",""????0;"", ////"""),"'","""")&amp;SUBSTITUTE(TEXT(Overig!I457,""",""?00;"",""?-00;"",""?00;"", //"""),"'","""")</f>
        <v>081, 19200531, 24.00, ////, 07,  263, 00,  290,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//"""),"'","""")&amp;SUBSTITUTE(TEXT(IF(ISTEXT(Overig!H458),Overig!H458,10*Overig!H458),""",""????0;"",""???-0;"",""????0;"", ////"""),"'","""")&amp;SUBSTITUTE(TEXT(Overig!I458,""",""?00;"",""?-00;"",""?00;"", //"""),"'","""")</f>
        <v>081, 19200601, 08.00, 7480, 00, ////, 07, ////, 07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//"""),"'","""")&amp;SUBSTITUTE(TEXT(IF(ISTEXT(Overig!H459),Overig!H459,10*Overig!H459),""",""????0;"",""???-0;"",""????0;"", ////"""),"'","""")&amp;SUBSTITUTE(TEXT(Overig!I459,""",""?00;"",""?-00;"",""?00;"", //"""),"'","""")</f>
        <v>081, 19200601, 14.00, 7475, 00, ////, 07, ////, 07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//"""),"'","""")&amp;SUBSTITUTE(TEXT(IF(ISTEXT(Overig!H460),Overig!H460,10*Overig!H460),""",""????0;"",""???-0;"",""????0;"", ////"""),"'","""")&amp;SUBSTITUTE(TEXT(Overig!I460,""",""?00;"",""?-00;"",""?00;"", //"""),"'","""")</f>
        <v>081, 19200601, 24.00, ////, 07,  270, 00,  290,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//"""),"'","""")&amp;SUBSTITUTE(TEXT(IF(ISTEXT(Overig!H461),Overig!H461,10*Overig!H461),""",""????0;"",""???-0;"",""????0;"", ////"""),"'","""")&amp;SUBSTITUTE(TEXT(Overig!I461,""",""?00;"",""?-00;"",""?00;"", //"""),"'","""")</f>
        <v>081, 19200602, 08.00, 7480, 00, ////, 07, ////, 07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//"""),"'","""")&amp;SUBSTITUTE(TEXT(IF(ISTEXT(Overig!H462),Overig!H462,10*Overig!H462),""",""????0;"",""???-0;"",""????0;"", ////"""),"'","""")&amp;SUBSTITUTE(TEXT(Overig!I462,""",""?00;"",""?-00;"",""?00;"", //"""),"'","""")</f>
        <v>081, 19200602, 14.00, 7478, 00, ////, 07, ////, 07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//"""),"'","""")&amp;SUBSTITUTE(TEXT(IF(ISTEXT(Overig!H463),Overig!H463,10*Overig!H463),""",""????0;"",""???-0;"",""????0;"", ////"""),"'","""")&amp;SUBSTITUTE(TEXT(Overig!I463,""",""?00;"",""?-00;"",""?00;"", //"""),"'","""")</f>
        <v>081, 19200602, 24.00, ////, 07,  270, 00,  290,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//"""),"'","""")&amp;SUBSTITUTE(TEXT(IF(ISTEXT(Overig!H464),Overig!H464,10*Overig!H464),""",""????0;"",""???-0;"",""????0;"", ////"""),"'","""")&amp;SUBSTITUTE(TEXT(Overig!I464,""",""?00;"",""?-00;"",""?00;"", //"""),"'","""")</f>
        <v>081, 19200603, 08.00, 7483, 00, ////, 07, ////, 07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//"""),"'","""")&amp;SUBSTITUTE(TEXT(IF(ISTEXT(Overig!H465),Overig!H465,10*Overig!H465),""",""????0;"",""???-0;"",""????0;"", ////"""),"'","""")&amp;SUBSTITUTE(TEXT(Overig!I465,""",""?00;"",""?-00;"",""?00;"", //"""),"'","""")</f>
        <v>081, 19200603, 14.00, 7480, 00, ////, 07, ////, 07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//"""),"'","""")&amp;SUBSTITUTE(TEXT(IF(ISTEXT(Overig!H466),Overig!H466,10*Overig!H466),""",""????0;"",""???-0;"",""????0;"", ////"""),"'","""")&amp;SUBSTITUTE(TEXT(Overig!I466,""",""?00;"",""?-00;"",""?00;"", //"""),"'","""")</f>
        <v>081, 19200603, 24.00, ////, 07,  265, 00,  295,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//"""),"'","""")&amp;SUBSTITUTE(TEXT(IF(ISTEXT(Overig!H467),Overig!H467,10*Overig!H467),""",""????0;"",""???-0;"",""????0;"", ////"""),"'","""")&amp;SUBSTITUTE(TEXT(Overig!I467,""",""?00;"",""?-00;"",""?00;"", //"""),"'","""")</f>
        <v>081, 19200604, 08.00, 7480, 00, ////, 07, ////, 07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//"""),"'","""")&amp;SUBSTITUTE(TEXT(IF(ISTEXT(Overig!H468),Overig!H468,10*Overig!H468),""",""????0;"",""???-0;"",""????0;"", ////"""),"'","""")&amp;SUBSTITUTE(TEXT(Overig!I468,""",""?00;"",""?-00;"",""?00;"", //"""),"'","""")</f>
        <v>081, 19200604, 14.00, 7478, 00, ////, 07, ////, 07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//"""),"'","""")&amp;SUBSTITUTE(TEXT(IF(ISTEXT(Overig!H469),Overig!H469,10*Overig!H469),""",""????0;"",""???-0;"",""????0;"", ////"""),"'","""")&amp;SUBSTITUTE(TEXT(Overig!I469,""",""?00;"",""?-00;"",""?00;"", //"""),"'","""")</f>
        <v>081, 19200604, 24.00, ////, 07,  265, 00,  288,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//"""),"'","""")&amp;SUBSTITUTE(TEXT(IF(ISTEXT(Overig!H470),Overig!H470,10*Overig!H470),""",""????0;"",""???-0;"",""????0;"", ////"""),"'","""")&amp;SUBSTITUTE(TEXT(Overig!I470,""",""?00;"",""?-00;"",""?00;"", //"""),"'","""")</f>
        <v>081, 19200605, 08.00, 7485, 00, ////, 07, ////, 07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//"""),"'","""")&amp;SUBSTITUTE(TEXT(IF(ISTEXT(Overig!H471),Overig!H471,10*Overig!H471),""",""????0;"",""???-0;"",""????0;"", ////"""),"'","""")&amp;SUBSTITUTE(TEXT(Overig!I471,""",""?00;"",""?-00;"",""?00;"", //"""),"'","""")</f>
        <v>081, 19200605, 14.00, 7482, 00, ////, 07, ////, 07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//"""),"'","""")&amp;SUBSTITUTE(TEXT(IF(ISTEXT(Overig!H472),Overig!H472,10*Overig!H472),""",""????0;"",""???-0;"",""????0;"", ////"""),"'","""")&amp;SUBSTITUTE(TEXT(Overig!I472,""",""?00;"",""?-00;"",""?00;"", //"""),"'","""")</f>
        <v>081, 19200605, 24.00, ////, 07,  260, 00,  290,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//"""),"'","""")&amp;SUBSTITUTE(TEXT(IF(ISTEXT(Overig!H473),Overig!H473,10*Overig!H473),""",""????0;"",""???-0;"",""????0;"", ////"""),"'","""")&amp;SUBSTITUTE(TEXT(Overig!I473,""",""?00;"",""?-00;"",""?00;"", //"""),"'","""")</f>
        <v>081, 19200606, 08.00, 7484, 00, ////, 07, ////, 07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//"""),"'","""")&amp;SUBSTITUTE(TEXT(IF(ISTEXT(Overig!H474),Overig!H474,10*Overig!H474),""",""????0;"",""???-0;"",""????0;"", ////"""),"'","""")&amp;SUBSTITUTE(TEXT(Overig!I474,""",""?00;"",""?-00;"",""?00;"", //"""),"'","""")</f>
        <v>081, 19200606, 14.00, 7482, 00, ////, 07, ////, 07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//"""),"'","""")&amp;SUBSTITUTE(TEXT(IF(ISTEXT(Overig!H475),Overig!H475,10*Overig!H475),""",""????0;"",""???-0;"",""????0;"", ////"""),"'","""")&amp;SUBSTITUTE(TEXT(Overig!I475,""",""?00;"",""?-00;"",""?00;"", //"""),"'","""")</f>
        <v>081, 19200606, 24.00, ////, 07,  260, 00,  290,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//"""),"'","""")&amp;SUBSTITUTE(TEXT(IF(ISTEXT(Overig!H476),Overig!H476,10*Overig!H476),""",""????0;"",""???-0;"",""????0;"", ////"""),"'","""")&amp;SUBSTITUTE(TEXT(Overig!I476,""",""?00;"",""?-00;"",""?00;"", //"""),"'","""")</f>
        <v>081, 19200607, 08.00, 7482, 00, ////, 07, ////, 07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//"""),"'","""")&amp;SUBSTITUTE(TEXT(IF(ISTEXT(Overig!H477),Overig!H477,10*Overig!H477),""",""????0;"",""???-0;"",""????0;"", ////"""),"'","""")&amp;SUBSTITUTE(TEXT(Overig!I477,""",""?00;"",""?-00;"",""?00;"", //"""),"'","""")</f>
        <v>081, 19200607, 14.00, 7480, 00, ////, 07, ////, 07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//"""),"'","""")&amp;SUBSTITUTE(TEXT(IF(ISTEXT(Overig!H478),Overig!H478,10*Overig!H478),""",""????0;"",""???-0;"",""????0;"", ////"""),"'","""")&amp;SUBSTITUTE(TEXT(Overig!I478,""",""?00;"",""?-00;"",""?00;"", //"""),"'","""")</f>
        <v>081, 19200607, 24.00, ////, 07,  270, 00,  300,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//"""),"'","""")&amp;SUBSTITUTE(TEXT(IF(ISTEXT(Overig!H479),Overig!H479,10*Overig!H479),""",""????0;"",""???-0;"",""????0;"", ////"""),"'","""")&amp;SUBSTITUTE(TEXT(Overig!I479,""",""?00;"",""?-00;"",""?00;"", //"""),"'","""")</f>
        <v>081, 19200608, 08.00, 7480, 00, ////, 07, ////, 07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//"""),"'","""")&amp;SUBSTITUTE(TEXT(IF(ISTEXT(Overig!H480),Overig!H480,10*Overig!H480),""",""????0;"",""???-0;"",""????0;"", ////"""),"'","""")&amp;SUBSTITUTE(TEXT(Overig!I480,""",""?00;"",""?-00;"",""?00;"", //"""),"'","""")</f>
        <v>081, 19200608, 14.00, 7476, 00, ////, 07, ////, 07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//"""),"'","""")&amp;SUBSTITUTE(TEXT(IF(ISTEXT(Overig!H481),Overig!H481,10*Overig!H481),""",""????0;"",""???-0;"",""????0;"", ////"""),"'","""")&amp;SUBSTITUTE(TEXT(Overig!I481,""",""?00;"",""?-00;"",""?00;"", //"""),"'","""")</f>
        <v>081, 19200608, 24.00, ////, 07,  260, 00,  270,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//"""),"'","""")&amp;SUBSTITUTE(TEXT(IF(ISTEXT(Overig!H482),Overig!H482,10*Overig!H482),""",""????0;"",""???-0;"",""????0;"", ////"""),"'","""")&amp;SUBSTITUTE(TEXT(Overig!I482,""",""?00;"",""?-00;"",""?00;"", //"""),"'","""")</f>
        <v>081, 19200609, 08.00, 7480, 00, ////, 07, ////, 07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//"""),"'","""")&amp;SUBSTITUTE(TEXT(IF(ISTEXT(Overig!H483),Overig!H483,10*Overig!H483),""",""????0;"",""???-0;"",""????0;"", ////"""),"'","""")&amp;SUBSTITUTE(TEXT(Overig!I483,""",""?00;"",""?-00;"",""?00;"", //"""),"'","""")</f>
        <v>081, 19200609, 14.00, 7475, 00, ////, 07, ////, 07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//"""),"'","""")&amp;SUBSTITUTE(TEXT(IF(ISTEXT(Overig!H484),Overig!H484,10*Overig!H484),""",""????0;"",""???-0;"",""????0;"", ////"""),"'","""")&amp;SUBSTITUTE(TEXT(Overig!I484,""",""?00;"",""?-00;"",""?00;"", //"""),"'","""")</f>
        <v>081, 19200609, 24.00, ////, 07,  260, 00,  290,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//"""),"'","""")&amp;SUBSTITUTE(TEXT(IF(ISTEXT(Overig!H485),Overig!H485,10*Overig!H485),""",""????0;"",""???-0;"",""????0;"", ////"""),"'","""")&amp;SUBSTITUTE(TEXT(Overig!I485,""",""?00;"",""?-00;"",""?00;"", //"""),"'","""")</f>
        <v>081, 19200610, 08.00, 7485, 00, ////, 07, ////, 07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//"""),"'","""")&amp;SUBSTITUTE(TEXT(IF(ISTEXT(Overig!H486),Overig!H486,10*Overig!H486),""",""????0;"",""???-0;"",""????0;"", ////"""),"'","""")&amp;SUBSTITUTE(TEXT(Overig!I486,""",""?00;"",""?-00;"",""?00;"", //"""),"'","""")</f>
        <v>081, 19200610, 14.00, 7480, 00, ////, 07, ////, 07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//"""),"'","""")&amp;SUBSTITUTE(TEXT(IF(ISTEXT(Overig!H487),Overig!H487,10*Overig!H487),""",""????0;"",""???-0;"",""????0;"", ////"""),"'","""")&amp;SUBSTITUTE(TEXT(Overig!I487,""",""?00;"",""?-00;"",""?00;"", //"""),"'","""")</f>
        <v>081, 19200610, 24.00, ////, 07,  260, 00,  290,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//"""),"'","""")&amp;SUBSTITUTE(TEXT(IF(ISTEXT(Overig!H488),Overig!H488,10*Overig!H488),""",""????0;"",""???-0;"",""????0;"", ////"""),"'","""")&amp;SUBSTITUTE(TEXT(Overig!I488,""",""?00;"",""?-00;"",""?00;"", //"""),"'","""")</f>
        <v>081, 19200611, 08.00, 7490, 00, ////, 07, ////, 07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//"""),"'","""")&amp;SUBSTITUTE(TEXT(IF(ISTEXT(Overig!H489),Overig!H489,10*Overig!H489),""",""????0;"",""???-0;"",""????0;"", ////"""),"'","""")&amp;SUBSTITUTE(TEXT(Overig!I489,""",""?00;"",""?-00;"",""?00;"", //"""),"'","""")</f>
        <v>081, 19200611, 14.00, 7487, 00, ////, 07, ////, 07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//"""),"'","""")&amp;SUBSTITUTE(TEXT(IF(ISTEXT(Overig!H490),Overig!H490,10*Overig!H490),""",""????0;"",""???-0;"",""????0;"", ////"""),"'","""")&amp;SUBSTITUTE(TEXT(Overig!I490,""",""?00;"",""?-00;"",""?00;"", //"""),"'","""")</f>
        <v>081, 19200611, 24.00, ////, 07,  270, 00,  300,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//"""),"'","""")&amp;SUBSTITUTE(TEXT(IF(ISTEXT(Overig!H491),Overig!H491,10*Overig!H491),""",""????0;"",""???-0;"",""????0;"", ////"""),"'","""")&amp;SUBSTITUTE(TEXT(Overig!I491,""",""?00;"",""?-00;"",""?00;"", //"""),"'","""")</f>
        <v>081, 19200612, 08.00, 7485, 00, ////, 07, ////, 07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//"""),"'","""")&amp;SUBSTITUTE(TEXT(IF(ISTEXT(Overig!H492),Overig!H492,10*Overig!H492),""",""????0;"",""???-0;"",""????0;"", ////"""),"'","""")&amp;SUBSTITUTE(TEXT(Overig!I492,""",""?00;"",""?-00;"",""?00;"", //"""),"'","""")</f>
        <v>081, 19200612, 14.00, 7482, 00, ////, 07, ////, 07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//"""),"'","""")&amp;SUBSTITUTE(TEXT(IF(ISTEXT(Overig!H493),Overig!H493,10*Overig!H493),""",""????0;"",""???-0;"",""????0;"", ////"""),"'","""")&amp;SUBSTITUTE(TEXT(Overig!I493,""",""?00;"",""?-00;"",""?00;"", //"""),"'","""")</f>
        <v>081, 19200612, 24.00, ////, 07,  270, 00,  295,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//"""),"'","""")&amp;SUBSTITUTE(TEXT(IF(ISTEXT(Overig!H494),Overig!H494,10*Overig!H494),""",""????0;"",""???-0;"",""????0;"", ////"""),"'","""")&amp;SUBSTITUTE(TEXT(Overig!I494,""",""?00;"",""?-00;"",""?00;"", //"""),"'","""")</f>
        <v>081, 19200613, 08.00, 7485, 00, ////, 07, ////, 07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//"""),"'","""")&amp;SUBSTITUTE(TEXT(IF(ISTEXT(Overig!H495),Overig!H495,10*Overig!H495),""",""????0;"",""???-0;"",""????0;"", ////"""),"'","""")&amp;SUBSTITUTE(TEXT(Overig!I495,""",""?00;"",""?-00;"",""?00;"", //"""),"'","""")</f>
        <v>081, 19200613, 14.00, 7483, 00, ////, 07, ////, 07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//"""),"'","""")&amp;SUBSTITUTE(TEXT(IF(ISTEXT(Overig!H496),Overig!H496,10*Overig!H496),""",""????0;"",""???-0;"",""????0;"", ////"""),"'","""")&amp;SUBSTITUTE(TEXT(Overig!I496,""",""?00;"",""?-00;"",""?00;"", //"""),"'","""")</f>
        <v>081, 19200613, 24.00, ////, 07,  270, 00,  295,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//"""),"'","""")&amp;SUBSTITUTE(TEXT(IF(ISTEXT(Overig!H497),Overig!H497,10*Overig!H497),""",""????0;"",""???-0;"",""????0;"", ////"""),"'","""")&amp;SUBSTITUTE(TEXT(Overig!I497,""",""?00;"",""?-00;"",""?00;"", //"""),"'","""")</f>
        <v>081, 19200614, 08.00, 7487, 00, ////, 07, ////, 07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//"""),"'","""")&amp;SUBSTITUTE(TEXT(IF(ISTEXT(Overig!H498),Overig!H498,10*Overig!H498),""",""????0;"",""???-0;"",""????0;"", ////"""),"'","""")&amp;SUBSTITUTE(TEXT(Overig!I498,""",""?00;"",""?-00;"",""?00;"", //"""),"'","""")</f>
        <v>081, 19200614, 14.00, 7485, 00, ////, 07, ////, 07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//"""),"'","""")&amp;SUBSTITUTE(TEXT(IF(ISTEXT(Overig!H499),Overig!H499,10*Overig!H499),""",""????0;"",""???-0;"",""????0;"", ////"""),"'","""")&amp;SUBSTITUTE(TEXT(Overig!I499,""",""?00;"",""?-00;"",""?00;"", //"""),"'","""")</f>
        <v>081, 19200614, 24.00, ////, 07,  270, 00,  295,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//"""),"'","""")&amp;SUBSTITUTE(TEXT(IF(ISTEXT(Overig!H500),Overig!H500,10*Overig!H500),""",""????0;"",""???-0;"",""????0;"", ////"""),"'","""")&amp;SUBSTITUTE(TEXT(Overig!I500,""",""?00;"",""?-00;"",""?00;"", //"""),"'","""")</f>
        <v>081, 19200615, 08.00, 7485, 00, ////, 07, ////, 07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//"""),"'","""")&amp;SUBSTITUTE(TEXT(IF(ISTEXT(Overig!H501),Overig!H501,10*Overig!H501),""",""????0;"",""???-0;"",""????0;"", ////"""),"'","""")&amp;SUBSTITUTE(TEXT(Overig!I501,""",""?00;"",""?-00;"",""?00;"", //"""),"'","""")</f>
        <v>081, 19200615, 14.00, 7480, 00, ////, 07, ////, 07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//"""),"'","""")&amp;SUBSTITUTE(TEXT(IF(ISTEXT(Overig!H502),Overig!H502,10*Overig!H502),""",""????0;"",""???-0;"",""????0;"", ////"""),"'","""")&amp;SUBSTITUTE(TEXT(Overig!I502,""",""?00;"",""?-00;"",""?00;"", //"""),"'","""")</f>
        <v>081, 19200615, 24.00, ////, 07,  260, 00,  290,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//"""),"'","""")&amp;SUBSTITUTE(TEXT(IF(ISTEXT(Overig!H503),Overig!H503,10*Overig!H503),""",""????0;"",""???-0;"",""????0;"", ////"""),"'","""")&amp;SUBSTITUTE(TEXT(Overig!I503,""",""?00;"",""?-00;"",""?00;"", //"""),"'","""")</f>
        <v>081, 19200616, 08.00, 7486, 00, ////, 07, ////, 07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//"""),"'","""")&amp;SUBSTITUTE(TEXT(IF(ISTEXT(Overig!H504),Overig!H504,10*Overig!H504),""",""????0;"",""???-0;"",""????0;"", ////"""),"'","""")&amp;SUBSTITUTE(TEXT(Overig!I504,""",""?00;"",""?-00;"",""?00;"", //"""),"'","""")</f>
        <v>081, 19200616, 14.00, 7480, 00, ////, 07, ////, 07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//"""),"'","""")&amp;SUBSTITUTE(TEXT(IF(ISTEXT(Overig!H505),Overig!H505,10*Overig!H505),""",""????0;"",""???-0;"",""????0;"", ////"""),"'","""")&amp;SUBSTITUTE(TEXT(Overig!I505,""",""?00;"",""?-00;"",""?00;"", //"""),"'","""")</f>
        <v>081, 19200616, 24.00, ////, 07,  270, 00,  293,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//"""),"'","""")&amp;SUBSTITUTE(TEXT(IF(ISTEXT(Overig!H506),Overig!H506,10*Overig!H506),""",""????0;"",""???-0;"",""????0;"", ////"""),"'","""")&amp;SUBSTITUTE(TEXT(Overig!I506,""",""?00;"",""?-00;"",""?00;"", //"""),"'","""")</f>
        <v>081, 19200617, 08.00, 7486, 00, ////, 07, ////, 07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//"""),"'","""")&amp;SUBSTITUTE(TEXT(IF(ISTEXT(Overig!H507),Overig!H507,10*Overig!H507),""",""????0;"",""???-0;"",""????0;"", ////"""),"'","""")&amp;SUBSTITUTE(TEXT(Overig!I507,""",""?00;"",""?-00;"",""?00;"", //"""),"'","""")</f>
        <v>081, 19200617, 14.00, 7485, 00, ////, 07, ////, 07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//"""),"'","""")&amp;SUBSTITUTE(TEXT(IF(ISTEXT(Overig!H508),Overig!H508,10*Overig!H508),""",""????0;"",""???-0;"",""????0;"", ////"""),"'","""")&amp;SUBSTITUTE(TEXT(Overig!I508,""",""?00;"",""?-00;"",""?00;"", //"""),"'","""")</f>
        <v>081, 19200617, 24.00, ////, 07,  260, 00,  293,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//"""),"'","""")&amp;SUBSTITUTE(TEXT(IF(ISTEXT(Overig!H509),Overig!H509,10*Overig!H509),""",""????0;"",""???-0;"",""????0;"", ////"""),"'","""")&amp;SUBSTITUTE(TEXT(Overig!I509,""",""?00;"",""?-00;"",""?00;"", //"""),"'","""")</f>
        <v>081, 19200618, 08.00, 7489, 00, ////, 07, ////, 07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//"""),"'","""")&amp;SUBSTITUTE(TEXT(IF(ISTEXT(Overig!H510),Overig!H510,10*Overig!H510),""",""????0;"",""???-0;"",""????0;"", ////"""),"'","""")&amp;SUBSTITUTE(TEXT(Overig!I510,""",""?00;"",""?-00;"",""?00;"", //"""),"'","""")</f>
        <v>081, 19200618, 14.00, 7487, 00, ////, 07, ////, 07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//"""),"'","""")&amp;SUBSTITUTE(TEXT(IF(ISTEXT(Overig!H511),Overig!H511,10*Overig!H511),""",""????0;"",""???-0;"",""????0;"", ////"""),"'","""")&amp;SUBSTITUTE(TEXT(Overig!I511,""",""?00;"",""?-00;"",""?00;"", //"""),"'","""")</f>
        <v>081, 19200618, 24.00, ////, 07,  270, 00,  290,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//"""),"'","""")&amp;SUBSTITUTE(TEXT(IF(ISTEXT(Overig!H512),Overig!H512,10*Overig!H512),""",""????0;"",""???-0;"",""????0;"", ////"""),"'","""")&amp;SUBSTITUTE(TEXT(Overig!I512,""",""?00;"",""?-00;"",""?00;"", //"""),"'","""")</f>
        <v>081, 19200619, 08.00, 7490, 00, ////, 07, ////, 07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//"""),"'","""")&amp;SUBSTITUTE(TEXT(IF(ISTEXT(Overig!H513),Overig!H513,10*Overig!H513),""",""????0;"",""???-0;"",""????0;"", ////"""),"'","""")&amp;SUBSTITUTE(TEXT(Overig!I513,""",""?00;"",""?-00;"",""?00;"", //"""),"'","""")</f>
        <v>081, 19200619, 14.00, 7487, 00, ////, 07, ////, 07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//"""),"'","""")&amp;SUBSTITUTE(TEXT(IF(ISTEXT(Overig!H514),Overig!H514,10*Overig!H514),""",""????0;"",""???-0;"",""????0;"", ////"""),"'","""")&amp;SUBSTITUTE(TEXT(Overig!I514,""",""?00;"",""?-00;"",""?00;"", //"""),"'","""")</f>
        <v>081, 19200619, 24.00, ////, 07,  265, 00,  280,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//"""),"'","""")&amp;SUBSTITUTE(TEXT(IF(ISTEXT(Overig!H515),Overig!H515,10*Overig!H515),""",""????0;"",""???-0;"",""????0;"", ////"""),"'","""")&amp;SUBSTITUTE(TEXT(Overig!I515,""",""?00;"",""?-00;"",""?00;"", //"""),"'","""")</f>
        <v>081, 19200620, 08.00, 7490, 00, ////, 07, ////, 07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//"""),"'","""")&amp;SUBSTITUTE(TEXT(IF(ISTEXT(Overig!H516),Overig!H516,10*Overig!H516),""",""????0;"",""???-0;"",""????0;"", ////"""),"'","""")&amp;SUBSTITUTE(TEXT(Overig!I516,""",""?00;"",""?-00;"",""?00;"", //"""),"'","""")</f>
        <v>081, 19200620, 14.00, 7485, 00, ////, 07, ////, 07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//"""),"'","""")&amp;SUBSTITUTE(TEXT(IF(ISTEXT(Overig!H517),Overig!H517,10*Overig!H517),""",""????0;"",""???-0;"",""????0;"", ////"""),"'","""")&amp;SUBSTITUTE(TEXT(Overig!I517,""",""?00;"",""?-00;"",""?00;"", //"""),"'","""")</f>
        <v>081, 19200620, 24.00, ////, 07,  260, 00,  280,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//"""),"'","""")&amp;SUBSTITUTE(TEXT(IF(ISTEXT(Overig!H518),Overig!H518,10*Overig!H518),""",""????0;"",""???-0;"",""????0;"", ////"""),"'","""")&amp;SUBSTITUTE(TEXT(Overig!I518,""",""?00;"",""?-00;"",""?00;"", //"""),"'","""")</f>
        <v>081, 19200621, 08.00, 7490, 00, ////, 07, ////, 07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//"""),"'","""")&amp;SUBSTITUTE(TEXT(IF(ISTEXT(Overig!H519),Overig!H519,10*Overig!H519),""",""????0;"",""???-0;"",""????0;"", ////"""),"'","""")&amp;SUBSTITUTE(TEXT(Overig!I519,""",""?00;"",""?-00;"",""?00;"", //"""),"'","""")</f>
        <v>081, 19200621, 14.00, 7485, 00, ////, 07, ////, 07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//"""),"'","""")&amp;SUBSTITUTE(TEXT(IF(ISTEXT(Overig!H520),Overig!H520,10*Overig!H520),""",""????0;"",""???-0;"",""????0;"", ////"""),"'","""")&amp;SUBSTITUTE(TEXT(Overig!I520,""",""?00;"",""?-00;"",""?00;"", //"""),"'","""")</f>
        <v>081, 19200621, 24.00, ////, 07,  260, 00,  285,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//"""),"'","""")&amp;SUBSTITUTE(TEXT(IF(ISTEXT(Overig!H521),Overig!H521,10*Overig!H521),""",""????0;"",""???-0;"",""????0;"", ////"""),"'","""")&amp;SUBSTITUTE(TEXT(Overig!I521,""",""?00;"",""?-00;"",""?00;"", //"""),"'","""")</f>
        <v>081, 19200622, 08.00, 7490, 00, ////, 07, ////, 07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//"""),"'","""")&amp;SUBSTITUTE(TEXT(IF(ISTEXT(Overig!H522),Overig!H522,10*Overig!H522),""",""????0;"",""???-0;"",""????0;"", ////"""),"'","""")&amp;SUBSTITUTE(TEXT(Overig!I522,""",""?00;"",""?-00;"",""?00;"", //"""),"'","""")</f>
        <v>081, 19200622, 14.00, 7487, 00, ////, 07, ////, 07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//"""),"'","""")&amp;SUBSTITUTE(TEXT(IF(ISTEXT(Overig!H523),Overig!H523,10*Overig!H523),""",""????0;"",""???-0;"",""????0;"", ////"""),"'","""")&amp;SUBSTITUTE(TEXT(Overig!I523,""",""?00;"",""?-00;"",""?00;"", //"""),"'","""")</f>
        <v>081, 19200622, 24.00, ////, 07,  260, 00,  280,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//"""),"'","""")&amp;SUBSTITUTE(TEXT(IF(ISTEXT(Overig!H524),Overig!H524,10*Overig!H524),""",""????0;"",""???-0;"",""????0;"", ////"""),"'","""")&amp;SUBSTITUTE(TEXT(Overig!I524,""",""?00;"",""?-00;"",""?00;"", //"""),"'","""")</f>
        <v>081, 19200623, 08.00, 7490, 00, ////, 07, ////, 07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//"""),"'","""")&amp;SUBSTITUTE(TEXT(IF(ISTEXT(Overig!H525),Overig!H525,10*Overig!H525),""",""????0;"",""???-0;"",""????0;"", ////"""),"'","""")&amp;SUBSTITUTE(TEXT(Overig!I525,""",""?00;"",""?-00;"",""?00;"", //"""),"'","""")</f>
        <v>081, 19200623, 14.00, 7486, 00, ////, 07, ////, 07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//"""),"'","""")&amp;SUBSTITUTE(TEXT(IF(ISTEXT(Overig!H526),Overig!H526,10*Overig!H526),""",""????0;"",""???-0;"",""????0;"", ////"""),"'","""")&amp;SUBSTITUTE(TEXT(Overig!I526,""",""?00;"",""?-00;"",""?00;"", //"""),"'","""")</f>
        <v>081, 19200623, 24.00, ////, 07,  260, 00,  280,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//"""),"'","""")&amp;SUBSTITUTE(TEXT(IF(ISTEXT(Overig!H527),Overig!H527,10*Overig!H527),""",""????0;"",""???-0;"",""????0;"", ////"""),"'","""")&amp;SUBSTITUTE(TEXT(Overig!I527,""",""?00;"",""?-00;"",""?00;"", //"""),"'","""")</f>
        <v>081, 19200624, 08.00, 7492, 00, ////, 07, ////, 07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//"""),"'","""")&amp;SUBSTITUTE(TEXT(IF(ISTEXT(Overig!H528),Overig!H528,10*Overig!H528),""",""????0;"",""???-0;"",""????0;"", ////"""),"'","""")&amp;SUBSTITUTE(TEXT(Overig!I528,""",""?00;"",""?-00;"",""?00;"", //"""),"'","""")</f>
        <v>081, 19200624, 14.00, 7489, 00, ////, 07, ////, 07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//"""),"'","""")&amp;SUBSTITUTE(TEXT(IF(ISTEXT(Overig!H529),Overig!H529,10*Overig!H529),""",""????0;"",""???-0;"",""????0;"", ////"""),"'","""")&amp;SUBSTITUTE(TEXT(Overig!I529,""",""?00;"",""?-00;"",""?00;"", //"""),"'","""")</f>
        <v>081, 19200624, 24.00, ////, 07,  250, 00,  288,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//"""),"'","""")&amp;SUBSTITUTE(TEXT(IF(ISTEXT(Overig!H530),Overig!H530,10*Overig!H530),""",""????0;"",""???-0;"",""????0;"", ////"""),"'","""")&amp;SUBSTITUTE(TEXT(Overig!I530,""",""?00;"",""?-00;"",""?00;"", //"""),"'","""")</f>
        <v>081, 19200625, 08.00, 7493, 00, ////, 07, ////, 07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//"""),"'","""")&amp;SUBSTITUTE(TEXT(IF(ISTEXT(Overig!H531),Overig!H531,10*Overig!H531),""",""????0;"",""???-0;"",""????0;"", ////"""),"'","""")&amp;SUBSTITUTE(TEXT(Overig!I531,""",""?00;"",""?-00;"",""?00;"", //"""),"'","""")</f>
        <v>081, 19200625, 14.00, 7490, 00, ////, 07, ////, 07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//"""),"'","""")&amp;SUBSTITUTE(TEXT(IF(ISTEXT(Overig!H532),Overig!H532,10*Overig!H532),""",""????0;"",""???-0;"",""????0;"", ////"""),"'","""")&amp;SUBSTITUTE(TEXT(Overig!I532,""",""?00;"",""?-00;"",""?00;"", //"""),"'","""")</f>
        <v>081, 19200625, 24.00, ////, 07,  260, 00,  285,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//"""),"'","""")&amp;SUBSTITUTE(TEXT(IF(ISTEXT(Overig!H533),Overig!H533,10*Overig!H533),""",""????0;"",""???-0;"",""????0;"", ////"""),"'","""")&amp;SUBSTITUTE(TEXT(Overig!I533,""",""?00;"",""?-00;"",""?00;"", //"""),"'","""")</f>
        <v>081, 19200626, 08.00, 7492, 00, ////, 07, ////, 07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//"""),"'","""")&amp;SUBSTITUTE(TEXT(IF(ISTEXT(Overig!H534),Overig!H534,10*Overig!H534),""",""????0;"",""???-0;"",""????0;"", ////"""),"'","""")&amp;SUBSTITUTE(TEXT(Overig!I534,""",""?00;"",""?-00;"",""?00;"", //"""),"'","""")</f>
        <v>081, 19200626, 14.00, 7490, 00, ////, 07, ////, 07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//"""),"'","""")&amp;SUBSTITUTE(TEXT(IF(ISTEXT(Overig!H535),Overig!H535,10*Overig!H535),""",""????0;"",""???-0;"",""????0;"", ////"""),"'","""")&amp;SUBSTITUTE(TEXT(Overig!I535,""",""?00;"",""?-00;"",""?00;"", //"""),"'","""")</f>
        <v>081, 19200626, 24.00, ////, 07,  260, 00,  280,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//"""),"'","""")&amp;SUBSTITUTE(TEXT(IF(ISTEXT(Overig!H536),Overig!H536,10*Overig!H536),""",""????0;"",""???-0;"",""????0;"", ////"""),"'","""")&amp;SUBSTITUTE(TEXT(Overig!I536,""",""?00;"",""?-00;"",""?00;"", //"""),"'","""")</f>
        <v>081, 19200627, 08.00, 7490, 00, ////, 07, ////, 07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//"""),"'","""")&amp;SUBSTITUTE(TEXT(IF(ISTEXT(Overig!H537),Overig!H537,10*Overig!H537),""",""????0;"",""???-0;"",""????0;"", ////"""),"'","""")&amp;SUBSTITUTE(TEXT(Overig!I537,""",""?00;"",""?-00;"",""?00;"", //"""),"'","""")</f>
        <v>081, 19200627, 14.00, 7487, 00, ////, 07, ////, 07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//"""),"'","""")&amp;SUBSTITUTE(TEXT(IF(ISTEXT(Overig!H538),Overig!H538,10*Overig!H538),""",""????0;"",""???-0;"",""????0;"", ////"""),"'","""")&amp;SUBSTITUTE(TEXT(Overig!I538,""",""?00;"",""?-00;"",""?00;"", //"""),"'","""")</f>
        <v>081, 19200627, 24.00, ////, 07,  250, 00,  280,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//"""),"'","""")&amp;SUBSTITUTE(TEXT(IF(ISTEXT(Overig!H539),Overig!H539,10*Overig!H539),""",""????0;"",""???-0;"",""????0;"", ////"""),"'","""")&amp;SUBSTITUTE(TEXT(Overig!I539,""",""?00;"",""?-00;"",""?00;"", //"""),"'","""")</f>
        <v>081, 19200628, 08.00, 7486, 00, ////, 07, ////, 07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//"""),"'","""")&amp;SUBSTITUTE(TEXT(IF(ISTEXT(Overig!H540),Overig!H540,10*Overig!H540),""",""????0;"",""???-0;"",""????0;"", ////"""),"'","""")&amp;SUBSTITUTE(TEXT(Overig!I540,""",""?00;"",""?-00;"",""?00;"", //"""),"'","""")</f>
        <v>081, 19200628, 14.00, 7481, 00, ////, 07, ////, 07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//"""),"'","""")&amp;SUBSTITUTE(TEXT(IF(ISTEXT(Overig!H541),Overig!H541,10*Overig!H541),""",""????0;"",""???-0;"",""????0;"", ////"""),"'","""")&amp;SUBSTITUTE(TEXT(Overig!I541,""",""?00;"",""?-00;"",""?00;"", //"""),"'","""")</f>
        <v>081, 19200628, 24.00, ////, 07,  260, 00,  280,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//"""),"'","""")&amp;SUBSTITUTE(TEXT(IF(ISTEXT(Overig!H542),Overig!H542,10*Overig!H542),""",""????0;"",""???-0;"",""????0;"", ////"""),"'","""")&amp;SUBSTITUTE(TEXT(Overig!I542,""",""?00;"",""?-00;"",""?00;"", //"""),"'","""")</f>
        <v>081, 19200629, 08.00, 7490, 00, ////, 07, ////, 07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//"""),"'","""")&amp;SUBSTITUTE(TEXT(IF(ISTEXT(Overig!H543),Overig!H543,10*Overig!H543),""",""????0;"",""???-0;"",""????0;"", ////"""),"'","""")&amp;SUBSTITUTE(TEXT(Overig!I543,""",""?00;"",""?-00;"",""?00;"", //"""),"'","""")</f>
        <v>081, 19200629, 14.00, 7485, 00, ////, 07, ////, 07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//"""),"'","""")&amp;SUBSTITUTE(TEXT(IF(ISTEXT(Overig!H544),Overig!H544,10*Overig!H544),""",""????0;"",""???-0;"",""????0;"", ////"""),"'","""")&amp;SUBSTITUTE(TEXT(Overig!I544,""",""?00;"",""?-00;"",""?00;"", //"""),"'","""")</f>
        <v>081, 19200629, 24.00, ////, 07,  260, 00,  288,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//"""),"'","""")&amp;SUBSTITUTE(TEXT(IF(ISTEXT(Overig!H545),Overig!H545,10*Overig!H545),""",""????0;"",""???-0;"",""????0;"", ////"""),"'","""")&amp;SUBSTITUTE(TEXT(Overig!I545,""",""?00;"",""?-00;"",""?00;"", //"""),"'","""")</f>
        <v>081, 19200630, 08.00, 7500, 00, ////, 07, ////, 07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//"""),"'","""")&amp;SUBSTITUTE(TEXT(IF(ISTEXT(Overig!H546),Overig!H546,10*Overig!H546),""",""????0;"",""???-0;"",""????0;"", ////"""),"'","""")&amp;SUBSTITUTE(TEXT(Overig!I546,""",""?00;"",""?-00;"",""?00;"", //"""),"'","""")</f>
        <v>081, 19200630, 14.00, 7496, 00, ////, 07, ////, 07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//"""),"'","""")&amp;SUBSTITUTE(TEXT(IF(ISTEXT(Overig!H547),Overig!H547,10*Overig!H547),""",""????0;"",""???-0;"",""????0;"", ////"""),"'","""")&amp;SUBSTITUTE(TEXT(Overig!I547,""",""?00;"",""?-00;"",""?00;"", //"""),"'","""")</f>
        <v>081, 19200630, 24.00, ////, 07,  260, 00,  290,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//"""),"'","""")&amp;SUBSTITUTE(TEXT(IF(ISTEXT(Overig!H548),Overig!H548,10*Overig!H548),""",""????0;"",""???-0;"",""????0;"", ////"""),"'","""")&amp;SUBSTITUTE(TEXT(Overig!I548,""",""?00;"",""?-00;"",""?00;"", //"""),"'","""")</f>
        <v>081, 19200701, 08.00, 7510, 00, ////, 07, ////, 07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//"""),"'","""")&amp;SUBSTITUTE(TEXT(IF(ISTEXT(Overig!H549),Overig!H549,10*Overig!H549),""",""????0;"",""???-0;"",""????0;"", ////"""),"'","""")&amp;SUBSTITUTE(TEXT(Overig!I549,""",""?00;"",""?-00;"",""?00;"", //"""),"'","""")</f>
        <v>081, 19200701, 14.00, 7506, 00, ////, 07, ////, 07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//"""),"'","""")&amp;SUBSTITUTE(TEXT(IF(ISTEXT(Overig!H550),Overig!H550,10*Overig!H550),""",""????0;"",""???-0;"",""????0;"", ////"""),"'","""")&amp;SUBSTITUTE(TEXT(Overig!I550,""",""?00;"",""?-00;"",""?00;"", //"""),"'","""")</f>
        <v>081, 19200701, 24.00, ////, 07,  260, 00,  290,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//"""),"'","""")&amp;SUBSTITUTE(TEXT(IF(ISTEXT(Overig!H551),Overig!H551,10*Overig!H551),""",""????0;"",""???-0;"",""????0;"", ////"""),"'","""")&amp;SUBSTITUTE(TEXT(Overig!I551,""",""?00;"",""?-00;"",""?00;"", //"""),"'","""")</f>
        <v>081, 19200702, 08.00, 7505, 00, ////, 07, ////, 07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//"""),"'","""")&amp;SUBSTITUTE(TEXT(IF(ISTEXT(Overig!H552),Overig!H552,10*Overig!H552),""",""????0;"",""???-0;"",""????0;"", ////"""),"'","""")&amp;SUBSTITUTE(TEXT(Overig!I552,""",""?00;"",""?-00;"",""?00;"", //"""),"'","""")</f>
        <v>081, 19200702, 14.00, 7500, 00, ////, 07, ////, 07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//"""),"'","""")&amp;SUBSTITUTE(TEXT(IF(ISTEXT(Overig!H553),Overig!H553,10*Overig!H553),""",""????0;"",""???-0;"",""????0;"", ////"""),"'","""")&amp;SUBSTITUTE(TEXT(Overig!I553,""",""?00;"",""?-00;"",""?00;"", //"""),"'","""")</f>
        <v>081, 19200702, 24.00, ////, 07,  260, 00,  290,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//"""),"'","""")&amp;SUBSTITUTE(TEXT(IF(ISTEXT(Overig!H554),Overig!H554,10*Overig!H554),""",""????0;"",""???-0;"",""????0;"", ////"""),"'","""")&amp;SUBSTITUTE(TEXT(Overig!I554,""",""?00;"",""?-00;"",""?00;"", //"""),"'","""")</f>
        <v>081, 19200703, 08.00, 7495, 00, ////, 07, ////, 07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//"""),"'","""")&amp;SUBSTITUTE(TEXT(IF(ISTEXT(Overig!H555),Overig!H555,10*Overig!H555),""",""????0;"",""???-0;"",""????0;"", ////"""),"'","""")&amp;SUBSTITUTE(TEXT(Overig!I555,""",""?00;"",""?-00;"",""?00;"", //"""),"'","""")</f>
        <v>081, 19200703, 14.00, 7490, 00, ////, 07, ////, 07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//"""),"'","""")&amp;SUBSTITUTE(TEXT(IF(ISTEXT(Overig!H556),Overig!H556,10*Overig!H556),""",""????0;"",""???-0;"",""????0;"", ////"""),"'","""")&amp;SUBSTITUTE(TEXT(Overig!I556,""",""?00;"",""?-00;"",""?00;"", //"""),"'","""")</f>
        <v>081, 19200703, 24.00, ////, 07,  265, 00,  280,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//"""),"'","""")&amp;SUBSTITUTE(TEXT(IF(ISTEXT(Overig!H557),Overig!H557,10*Overig!H557),""",""????0;"",""???-0;"",""????0;"", ////"""),"'","""")&amp;SUBSTITUTE(TEXT(Overig!I557,""",""?00;"",""?-00;"",""?00;"", //"""),"'","""")</f>
        <v>081, 19200704, 08.00, 7500, 00, ////, 07, ////, 07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//"""),"'","""")&amp;SUBSTITUTE(TEXT(IF(ISTEXT(Overig!H558),Overig!H558,10*Overig!H558),""",""????0;"",""???-0;"",""????0;"", ////"""),"'","""")&amp;SUBSTITUTE(TEXT(Overig!I558,""",""?00;"",""?-00;"",""?00;"", //"""),"'","""")</f>
        <v>081, 19200704, 14.00, 7496, 00, ////, 07, ////, 07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//"""),"'","""")&amp;SUBSTITUTE(TEXT(IF(ISTEXT(Overig!H559),Overig!H559,10*Overig!H559),""",""????0;"",""???-0;"",""????0;"", ////"""),"'","""")&amp;SUBSTITUTE(TEXT(Overig!I559,""",""?00;"",""?-00;"",""?00;"", //"""),"'","""")</f>
        <v>081, 19200704, 24.00, ////, 07,  260, 00,  280,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//"""),"'","""")&amp;SUBSTITUTE(TEXT(IF(ISTEXT(Overig!H560),Overig!H560,10*Overig!H560),""",""????0;"",""???-0;"",""????0;"", ////"""),"'","""")&amp;SUBSTITUTE(TEXT(Overig!I560,""",""?00;"",""?-00;"",""?00;"", //"""),"'","""")</f>
        <v>081, 19200705, 08.00, 7500, 00, ////, 07, ////, 07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//"""),"'","""")&amp;SUBSTITUTE(TEXT(IF(ISTEXT(Overig!H561),Overig!H561,10*Overig!H561),""",""????0;"",""???-0;"",""????0;"", ////"""),"'","""")&amp;SUBSTITUTE(TEXT(Overig!I561,""",""?00;"",""?-00;"",""?00;"", //"""),"'","""")</f>
        <v>081, 19200705, 14.00, 7497, 00, ////, 07, ////, 07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//"""),"'","""")&amp;SUBSTITUTE(TEXT(IF(ISTEXT(Overig!H562),Overig!H562,10*Overig!H562),""",""????0;"",""???-0;"",""????0;"", ////"""),"'","""")&amp;SUBSTITUTE(TEXT(Overig!I562,""",""?00;"",""?-00;"",""?00;"", //"""),"'","""")</f>
        <v>081, 19200705, 24.00, ////, 07,  255, 00,  280,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//"""),"'","""")&amp;SUBSTITUTE(TEXT(IF(ISTEXT(Overig!H563),Overig!H563,10*Overig!H563),""",""????0;"",""???-0;"",""????0;"", ////"""),"'","""")&amp;SUBSTITUTE(TEXT(Overig!I563,""",""?00;"",""?-00;"",""?00;"", //"""),"'","""")</f>
        <v>081, 19200706, 08.00, 7495, 00, ////, 07, ////, 07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//"""),"'","""")&amp;SUBSTITUTE(TEXT(IF(ISTEXT(Overig!H564),Overig!H564,10*Overig!H564),""",""????0;"",""???-0;"",""????0;"", ////"""),"'","""")&amp;SUBSTITUTE(TEXT(Overig!I564,""",""?00;"",""?-00;"",""?00;"", //"""),"'","""")</f>
        <v>081, 19200706, 14.00, 7490, 00, ////, 07, ////, 07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//"""),"'","""")&amp;SUBSTITUTE(TEXT(IF(ISTEXT(Overig!H565),Overig!H565,10*Overig!H565),""",""????0;"",""???-0;"",""????0;"", ////"""),"'","""")&amp;SUBSTITUTE(TEXT(Overig!I565,""",""?00;"",""?-00;"",""?00;"", //"""),"'","""")</f>
        <v>081, 19200706, 24.00, ////, 07,  250, 00,  260,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//"""),"'","""")&amp;SUBSTITUTE(TEXT(IF(ISTEXT(Overig!H566),Overig!H566,10*Overig!H566),""",""????0;"",""???-0;"",""????0;"", ////"""),"'","""")&amp;SUBSTITUTE(TEXT(Overig!I566,""",""?00;"",""?-00;"",""?00;"", //"""),"'","""")</f>
        <v>081, 19200707, 08.00, 7495, 00, ////, 07, ////, 07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//"""),"'","""")&amp;SUBSTITUTE(TEXT(IF(ISTEXT(Overig!H567),Overig!H567,10*Overig!H567),""",""????0;"",""???-0;"",""????0;"", ////"""),"'","""")&amp;SUBSTITUTE(TEXT(Overig!I567,""",""?00;"",""?-00;"",""?00;"", //"""),"'","""")</f>
        <v>081, 19200707, 14.00, 7490, 00, ////, 07, ////, 07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//"""),"'","""")&amp;SUBSTITUTE(TEXT(IF(ISTEXT(Overig!H568),Overig!H568,10*Overig!H568),""",""????0;"",""???-0;"",""????0;"", ////"""),"'","""")&amp;SUBSTITUTE(TEXT(Overig!I568,""",""?00;"",""?-00;"",""?00;"", //"""),"'","""")</f>
        <v>081, 19200707, 24.00, ////, 07,  260, 00,  280,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//"""),"'","""")&amp;SUBSTITUTE(TEXT(IF(ISTEXT(Overig!H569),Overig!H569,10*Overig!H569),""",""????0;"",""???-0;"",""????0;"", ////"""),"'","""")&amp;SUBSTITUTE(TEXT(Overig!I569,""",""?00;"",""?-00;"",""?00;"", //"""),"'","""")</f>
        <v>081, 19200708, 08.00, 7490, 00, ////, 07, ////, 07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//"""),"'","""")&amp;SUBSTITUTE(TEXT(IF(ISTEXT(Overig!H570),Overig!H570,10*Overig!H570),""",""????0;"",""???-0;"",""????0;"", ////"""),"'","""")&amp;SUBSTITUTE(TEXT(Overig!I570,""",""?00;"",""?-00;"",""?00;"", //"""),"'","""")</f>
        <v>081, 19200708, 14.00, 7485, 00, ////, 07, ////, 07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//"""),"'","""")&amp;SUBSTITUTE(TEXT(IF(ISTEXT(Overig!H571),Overig!H571,10*Overig!H571),""",""????0;"",""???-0;"",""????0;"", ////"""),"'","""")&amp;SUBSTITUTE(TEXT(Overig!I571,""",""?00;"",""?-00;"",""?00;"", //"""),"'","""")</f>
        <v>081, 19200708, 24.00, ////, 07,  250, 00,  270,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//"""),"'","""")&amp;SUBSTITUTE(TEXT(IF(ISTEXT(Overig!H572),Overig!H572,10*Overig!H572),""",""????0;"",""???-0;"",""????0;"", ////"""),"'","""")&amp;SUBSTITUTE(TEXT(Overig!I572,""",""?00;"",""?-00;"",""?00;"", //"""),"'","""")</f>
        <v>081, 19200709, 08.00, 7495, 00, ////, 07, ////, 07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//"""),"'","""")&amp;SUBSTITUTE(TEXT(IF(ISTEXT(Overig!H573),Overig!H573,10*Overig!H573),""",""????0;"",""???-0;"",""????0;"", ////"""),"'","""")&amp;SUBSTITUTE(TEXT(Overig!I573,""",""?00;"",""?-00;"",""?00;"", //"""),"'","""")</f>
        <v>081, 19200709, 14.00, 7490, 00, ////, 07, ////, 07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//"""),"'","""")&amp;SUBSTITUTE(TEXT(IF(ISTEXT(Overig!H574),Overig!H574,10*Overig!H574),""",""????0;"",""???-0;"",""????0;"", ////"""),"'","""")&amp;SUBSTITUTE(TEXT(Overig!I574,""",""?00;"",""?-00;"",""?00;"", //"""),"'","""")</f>
        <v>081, 19200709, 24.00, ////, 07,  260, 00,  288,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//"""),"'","""")&amp;SUBSTITUTE(TEXT(IF(ISTEXT(Overig!H575),Overig!H575,10*Overig!H575),""",""????0;"",""???-0;"",""????0;"", ////"""),"'","""")&amp;SUBSTITUTE(TEXT(Overig!I575,""",""?00;"",""?-00;"",""?00;"", //"""),"'","""")</f>
        <v>081, 19200710, 08.00, 7490, 00, ////, 07, ////, 07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//"""),"'","""")&amp;SUBSTITUTE(TEXT(IF(ISTEXT(Overig!H576),Overig!H576,10*Overig!H576),""",""????0;"",""???-0;"",""????0;"", ////"""),"'","""")&amp;SUBSTITUTE(TEXT(Overig!I576,""",""?00;"",""?-00;"",""?00;"", //"""),"'","""")</f>
        <v>081, 19200710, 14.00, 7486, 00, ////, 07, ////, 07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//"""),"'","""")&amp;SUBSTITUTE(TEXT(IF(ISTEXT(Overig!H577),Overig!H577,10*Overig!H577),""",""????0;"",""???-0;"",""????0;"", ////"""),"'","""")&amp;SUBSTITUTE(TEXT(Overig!I577,""",""?00;"",""?-00;"",""?00;"", //"""),"'","""")</f>
        <v>081, 19200710, 24.00, ////, 07,  258, 00,  280,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//"""),"'","""")&amp;SUBSTITUTE(TEXT(IF(ISTEXT(Overig!H578),Overig!H578,10*Overig!H578),""",""????0;"",""???-0;"",""????0;"", ////"""),"'","""")&amp;SUBSTITUTE(TEXT(Overig!I578,""",""?00;"",""?-00;"",""?00;"", //"""),"'","""")</f>
        <v>081, 19200711, 08.00, 7490, 00, ////, 07, ////, 07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//"""),"'","""")&amp;SUBSTITUTE(TEXT(IF(ISTEXT(Overig!H579),Overig!H579,10*Overig!H579),""",""????0;"",""???-0;"",""????0;"", ////"""),"'","""")&amp;SUBSTITUTE(TEXT(Overig!I579,""",""?00;"",""?-00;"",""?00;"", //"""),"'","""")</f>
        <v>081, 19200711, 14.00, 7480, 00, ////, 07, ////, 07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//"""),"'","""")&amp;SUBSTITUTE(TEXT(IF(ISTEXT(Overig!H580),Overig!H580,10*Overig!H580),""",""????0;"",""???-0;"",""????0;"", ////"""),"'","""")&amp;SUBSTITUTE(TEXT(Overig!I580,""",""?00;"",""?-00;"",""?00;"", //"""),"'","""")</f>
        <v>081, 19200711, 24.00, ////, 07,  250, 00,  280,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//"""),"'","""")&amp;SUBSTITUTE(TEXT(IF(ISTEXT(Overig!H581),Overig!H581,10*Overig!H581),""",""????0;"",""???-0;"",""????0;"", ////"""),"'","""")&amp;SUBSTITUTE(TEXT(Overig!I581,""",""?00;"",""?-00;"",""?00;"", //"""),"'","""")</f>
        <v>081, 19200712, 08.00, 7507, 00, ////, 07, ////, 07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//"""),"'","""")&amp;SUBSTITUTE(TEXT(IF(ISTEXT(Overig!H582),Overig!H582,10*Overig!H582),""",""????0;"",""???-0;"",""????0;"", ////"""),"'","""")&amp;SUBSTITUTE(TEXT(Overig!I582,""",""?00;"",""?-00;"",""?00;"", //"""),"'","""")</f>
        <v>081, 19200712, 14.00, 7500, 00, ////, 07, ////, 07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//"""),"'","""")&amp;SUBSTITUTE(TEXT(IF(ISTEXT(Overig!H583),Overig!H583,10*Overig!H583),""",""????0;"",""???-0;"",""????0;"", ////"""),"'","""")&amp;SUBSTITUTE(TEXT(Overig!I583,""",""?00;"",""?-00;"",""?00;"", //"""),"'","""")</f>
        <v>081, 19200712, 24.00, ////, 07,  260, 00,  290,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//"""),"'","""")&amp;SUBSTITUTE(TEXT(IF(ISTEXT(Overig!H584),Overig!H584,10*Overig!H584),""",""????0;"",""???-0;"",""????0;"", ////"""),"'","""")&amp;SUBSTITUTE(TEXT(Overig!I584,""",""?00;"",""?-00;"",""?00;"", //"""),"'","""")</f>
        <v>081, 19200713, 08.00, 7496, 00, ////, 07, ////, 07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//"""),"'","""")&amp;SUBSTITUTE(TEXT(IF(ISTEXT(Overig!H585),Overig!H585,10*Overig!H585),""",""????0;"",""???-0;"",""????0;"", ////"""),"'","""")&amp;SUBSTITUTE(TEXT(Overig!I585,""",""?00;"",""?-00;"",""?00;"", //"""),"'","""")</f>
        <v>081, 19200713, 14.00, 7490, 00, ////, 07, ////, 07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//"""),"'","""")&amp;SUBSTITUTE(TEXT(IF(ISTEXT(Overig!H586),Overig!H586,10*Overig!H586),""",""????0;"",""???-0;"",""????0;"", ////"""),"'","""")&amp;SUBSTITUTE(TEXT(Overig!I586,""",""?00;"",""?-00;"",""?00;"", //"""),"'","""")</f>
        <v>081, 19200713, 24.00, ////, 07,  260, 00,  280,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//"""),"'","""")&amp;SUBSTITUTE(TEXT(IF(ISTEXT(Overig!H587),Overig!H587,10*Overig!H587),""",""????0;"",""???-0;"",""????0;"", ////"""),"'","""")&amp;SUBSTITUTE(TEXT(Overig!I587,""",""?00;"",""?-00;"",""?00;"", //"""),"'","""")</f>
        <v>081, 19200714, 08.00, 7490, 00, ////, 07, ////, 07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//"""),"'","""")&amp;SUBSTITUTE(TEXT(IF(ISTEXT(Overig!H588),Overig!H588,10*Overig!H588),""",""????0;"",""???-0;"",""????0;"", ////"""),"'","""")&amp;SUBSTITUTE(TEXT(Overig!I588,""",""?00;"",""?-00;"",""?00;"", //"""),"'","""")</f>
        <v>081, 19200714, 14.00, 7485, 00, ////, 07, ////, 07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//"""),"'","""")&amp;SUBSTITUTE(TEXT(IF(ISTEXT(Overig!H589),Overig!H589,10*Overig!H589),""",""????0;"",""???-0;"",""????0;"", ////"""),"'","""")&amp;SUBSTITUTE(TEXT(Overig!I589,""",""?00;"",""?-00;"",""?00;"", //"""),"'","""")</f>
        <v>081, 19200714, 24.00, ////, 07,  250,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//"""),"'","""")&amp;SUBSTITUTE(TEXT(IF(ISTEXT(Overig!H590),Overig!H590,10*Overig!H590),""",""????0;"",""???-0;"",""????0;"", ////"""),"'","""")&amp;SUBSTITUTE(TEXT(Overig!I590,""",""?00;"",""?-00;"",""?00;"", //"""),"'","""")</f>
        <v>081, 19200715, 08.00, 7503, 00, ////, 07, ////, 07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//"""),"'","""")&amp;SUBSTITUTE(TEXT(IF(ISTEXT(Overig!H591),Overig!H591,10*Overig!H591),""",""????0;"",""???-0;"",""????0;"", ////"""),"'","""")&amp;SUBSTITUTE(TEXT(Overig!I591,""",""?00;"",""?-00;"",""?00;"", //"""),"'","""")</f>
        <v>081, 19200715, 14.00, 7500, 00, ////, 07, ////, 07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//"""),"'","""")&amp;SUBSTITUTE(TEXT(IF(ISTEXT(Overig!H592),Overig!H592,10*Overig!H592),""",""????0;"",""???-0;"",""????0;"", ////"""),"'","""")&amp;SUBSTITUTE(TEXT(Overig!I592,""",""?00;"",""?-00;"",""?00;"", //"""),"'","""")</f>
        <v>081, 19200715, 24.00, ////, 07,  260, 00,  288,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//"""),"'","""")&amp;SUBSTITUTE(TEXT(IF(ISTEXT(Overig!H593),Overig!H593,10*Overig!H593),""",""????0;"",""???-0;"",""????0;"", ////"""),"'","""")&amp;SUBSTITUTE(TEXT(Overig!I593,""",""?00;"",""?-00;"",""?00;"", //"""),"'","""")</f>
        <v>081, 19200716, 08.00, 7500, 00, ////, 07, ////, 07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//"""),"'","""")&amp;SUBSTITUTE(TEXT(IF(ISTEXT(Overig!H594),Overig!H594,10*Overig!H594),""",""????0;"",""???-0;"",""????0;"", ////"""),"'","""")&amp;SUBSTITUTE(TEXT(Overig!I594,""",""?00;"",""?-00;"",""?00;"", //"""),"'","""")</f>
        <v>081, 19200716, 14.00, 7495, 00, ////, 07, ////, 07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//"""),"'","""")&amp;SUBSTITUTE(TEXT(IF(ISTEXT(Overig!H595),Overig!H595,10*Overig!H595),""",""????0;"",""???-0;"",""????0;"", ////"""),"'","""")&amp;SUBSTITUTE(TEXT(Overig!I595,""",""?00;"",""?-00;"",""?00;"", //"""),"'","""")</f>
        <v>081, 19200716, 24.00, ////, 07,  260, 00,  283,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//"""),"'","""")&amp;SUBSTITUTE(TEXT(IF(ISTEXT(Overig!H596),Overig!H596,10*Overig!H596),""",""????0;"",""???-0;"",""????0;"", ////"""),"'","""")&amp;SUBSTITUTE(TEXT(Overig!I596,""",""?00;"",""?-00;"",""?00;"", //"""),"'","""")</f>
        <v>081, 19200717, 08.00, 7500, 00, ////, 07, ////, 07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//"""),"'","""")&amp;SUBSTITUTE(TEXT(IF(ISTEXT(Overig!H597),Overig!H597,10*Overig!H597),""",""????0;"",""???-0;"",""????0;"", ////"""),"'","""")&amp;SUBSTITUTE(TEXT(Overig!I597,""",""?00;"",""?-00;"",""?00;"", //"""),"'","""")</f>
        <v>081, 19200717, 14.00, 7497, 00, ////, 07, ////, 07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//"""),"'","""")&amp;SUBSTITUTE(TEXT(IF(ISTEXT(Overig!H598),Overig!H598,10*Overig!H598),""",""????0;"",""???-0;"",""????0;"", ////"""),"'","""")&amp;SUBSTITUTE(TEXT(Overig!I598,""",""?00;"",""?-00;"",""?00;"", //"""),"'","""")</f>
        <v>081, 19200717, 24.00, ////, 07,  260, 00,  290,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//"""),"'","""")&amp;SUBSTITUTE(TEXT(IF(ISTEXT(Overig!H599),Overig!H599,10*Overig!H599),""",""????0;"",""???-0;"",""????0;"", ////"""),"'","""")&amp;SUBSTITUTE(TEXT(Overig!I599,""",""?00;"",""?-00;"",""?00;"", //"""),"'","""")</f>
        <v>081, 19200718, 08.00, 7500, 00, ////, 07, ////, 07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//"""),"'","""")&amp;SUBSTITUTE(TEXT(IF(ISTEXT(Overig!H600),Overig!H600,10*Overig!H600),""",""????0;"",""???-0;"",""????0;"", ////"""),"'","""")&amp;SUBSTITUTE(TEXT(Overig!I600,""",""?00;"",""?-00;"",""?00;"", //"""),"'","""")</f>
        <v>081, 19200718, 14.00, 7496, 00, ////, 07, ////, 07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//"""),"'","""")&amp;SUBSTITUTE(TEXT(IF(ISTEXT(Overig!H601),Overig!H601,10*Overig!H601),""",""????0;"",""???-0;"",""????0;"", ////"""),"'","""")&amp;SUBSTITUTE(TEXT(Overig!I601,""",""?00;"",""?-00;"",""?00;"", //"""),"'","""")</f>
        <v>081, 19200718, 24.00, ////, 07,  250,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//"""),"'","""")&amp;SUBSTITUTE(TEXT(IF(ISTEXT(Overig!H602),Overig!H602,10*Overig!H602),""",""????0;"",""???-0;"",""????0;"", ////"""),"'","""")&amp;SUBSTITUTE(TEXT(Overig!I602,""",""?00;"",""?-00;"",""?00;"", //"""),"'","""")</f>
        <v>081, 19200719, 08.00, 7500, 00, ////, 07, ////, 07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//"""),"'","""")&amp;SUBSTITUTE(TEXT(IF(ISTEXT(Overig!H603),Overig!H603,10*Overig!H603),""",""????0;"",""???-0;"",""????0;"", ////"""),"'","""")&amp;SUBSTITUTE(TEXT(Overig!I603,""",""?00;"",""?-00;"",""?00;"", //"""),"'","""")</f>
        <v>081, 19200719, 14.00, 7497, 00, ////, 07, ////, 07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//"""),"'","""")&amp;SUBSTITUTE(TEXT(IF(ISTEXT(Overig!H604),Overig!H604,10*Overig!H604),""",""????0;"",""???-0;"",""????0;"", ////"""),"'","""")&amp;SUBSTITUTE(TEXT(Overig!I604,""",""?00;"",""?-00;"",""?00;"", //"""),"'","""")</f>
        <v>081, 19200719, 24.00, ////, 07,  250, 00,  285,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//"""),"'","""")&amp;SUBSTITUTE(TEXT(IF(ISTEXT(Overig!H605),Overig!H605,10*Overig!H605),""",""????0;"",""???-0;"",""????0;"", ////"""),"'","""")&amp;SUBSTITUTE(TEXT(Overig!I605,""",""?00;"",""?-00;"",""?00;"", //"""),"'","""")</f>
        <v>081, 19200720, 08.00, 7503, 00, ////, 07, ////, 07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//"""),"'","""")&amp;SUBSTITUTE(TEXT(IF(ISTEXT(Overig!H606),Overig!H606,10*Overig!H606),""",""????0;"",""???-0;"",""????0;"", ////"""),"'","""")&amp;SUBSTITUTE(TEXT(Overig!I606,""",""?00;"",""?-00;"",""?00;"", //"""),"'","""")</f>
        <v>081, 19200720, 14.00, 7500, 00, ////, 07, ////, 07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//"""),"'","""")&amp;SUBSTITUTE(TEXT(IF(ISTEXT(Overig!H607),Overig!H607,10*Overig!H607),""",""????0;"",""???-0;"",""????0;"", ////"""),"'","""")&amp;SUBSTITUTE(TEXT(Overig!I607,""",""?00;"",""?-00;"",""?00;"", //"""),"'","""")</f>
        <v>081, 19200720, 24.00, ////, 07,  260,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//"""),"'","""")&amp;SUBSTITUTE(TEXT(IF(ISTEXT(Overig!H608),Overig!H608,10*Overig!H608),""",""????0;"",""???-0;"",""????0;"", ////"""),"'","""")&amp;SUBSTITUTE(TEXT(Overig!I608,""",""?00;"",""?-00;"",""?00;"", //"""),"'","""")</f>
        <v>081, 19200721, 08.00, 7510, 00, ////, 07, ////, 07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//"""),"'","""")&amp;SUBSTITUTE(TEXT(IF(ISTEXT(Overig!H609),Overig!H609,10*Overig!H609),""",""????0;"",""???-0;"",""????0;"", ////"""),"'","""")&amp;SUBSTITUTE(TEXT(Overig!I609,""",""?00;"",""?-00;"",""?00;"", //"""),"'","""")</f>
        <v>081, 19200721, 14.00, 7507, 00, ////, 07, ////, 07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//"""),"'","""")&amp;SUBSTITUTE(TEXT(IF(ISTEXT(Overig!H610),Overig!H610,10*Overig!H610),""",""????0;"",""???-0;"",""????0;"", ////"""),"'","""")&amp;SUBSTITUTE(TEXT(Overig!I610,""",""?00;"",""?-00;"",""?00;"", //"""),"'","""")</f>
        <v>081, 19200721, 24.00, ////, 07,  250, 00,  283,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//"""),"'","""")&amp;SUBSTITUTE(TEXT(IF(ISTEXT(Overig!H611),Overig!H611,10*Overig!H611),""",""????0;"",""???-0;"",""????0;"", ////"""),"'","""")&amp;SUBSTITUTE(TEXT(Overig!I611,""",""?00;"",""?-00;"",""?00;"", //"""),"'","""")</f>
        <v>081, 19200722, 08.00, 7507, 00, ////, 07, ////, 07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//"""),"'","""")&amp;SUBSTITUTE(TEXT(IF(ISTEXT(Overig!H612),Overig!H612,10*Overig!H612),""",""????0;"",""???-0;"",""????0;"", ////"""),"'","""")&amp;SUBSTITUTE(TEXT(Overig!I612,""",""?00;"",""?-00;"",""?00;"", //"""),"'","""")</f>
        <v>081, 19200722, 14.00, 7500, 00, ////, 07, ////, 07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//"""),"'","""")&amp;SUBSTITUTE(TEXT(IF(ISTEXT(Overig!H613),Overig!H613,10*Overig!H613),""",""????0;"",""???-0;"",""????0;"", ////"""),"'","""")&amp;SUBSTITUTE(TEXT(Overig!I613,""",""?00;"",""?-00;"",""?00;"", //"""),"'","""")</f>
        <v>081, 19200722, 24.00, ////, 07,  260, 00,  285,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//"""),"'","""")&amp;SUBSTITUTE(TEXT(IF(ISTEXT(Overig!H614),Overig!H614,10*Overig!H614),""",""????0;"",""???-0;"",""????0;"", ////"""),"'","""")&amp;SUBSTITUTE(TEXT(Overig!I614,""",""?00;"",""?-00;"",""?00;"", //"""),"'","""")</f>
        <v>081, 19200723, 08.00, 7510, 00, ////, 07, ////, 07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//"""),"'","""")&amp;SUBSTITUTE(TEXT(IF(ISTEXT(Overig!H615),Overig!H615,10*Overig!H615),""",""????0;"",""???-0;"",""????0;"", ////"""),"'","""")&amp;SUBSTITUTE(TEXT(Overig!I615,""",""?00;"",""?-00;"",""?00;"", //"""),"'","""")</f>
        <v>081, 19200723, 14.00, 7505, 00, ////, 07, ////, 07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//"""),"'","""")&amp;SUBSTITUTE(TEXT(IF(ISTEXT(Overig!H616),Overig!H616,10*Overig!H616),""",""????0;"",""???-0;"",""????0;"", ////"""),"'","""")&amp;SUBSTITUTE(TEXT(Overig!I616,""",""?00;"",""?-00;"",""?00;"", //"""),"'","""")</f>
        <v>081, 19200723, 24.00, ////, 07,  270, 00,  295,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//"""),"'","""")&amp;SUBSTITUTE(TEXT(IF(ISTEXT(Overig!H617),Overig!H617,10*Overig!H617),""",""????0;"",""???-0;"",""????0;"", ////"""),"'","""")&amp;SUBSTITUTE(TEXT(Overig!I617,""",""?00;"",""?-00;"",""?00;"", //"""),"'","""")</f>
        <v>081, 19200724, 08.00, 7505, 00, ////, 07, ////, 07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//"""),"'","""")&amp;SUBSTITUTE(TEXT(IF(ISTEXT(Overig!H618),Overig!H618,10*Overig!H618),""",""????0;"",""???-0;"",""????0;"", ////"""),"'","""")&amp;SUBSTITUTE(TEXT(Overig!I618,""",""?00;"",""?-00;"",""?00;"", //"""),"'","""")</f>
        <v>081, 19200724, 14.00, 7500, 00, ////, 07, ////, 07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//"""),"'","""")&amp;SUBSTITUTE(TEXT(IF(ISTEXT(Overig!H619),Overig!H619,10*Overig!H619),""",""????0;"",""???-0;"",""????0;"", ////"""),"'","""")&amp;SUBSTITUTE(TEXT(Overig!I619,""",""?00;"",""?-00;"",""?00;"", //"""),"'","""")</f>
        <v>081, 19200724, 24.00, ////, 07,  260, 00,  290,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//"""),"'","""")&amp;SUBSTITUTE(TEXT(IF(ISTEXT(Overig!H620),Overig!H620,10*Overig!H620),""",""????0;"",""???-0;"",""????0;"", ////"""),"'","""")&amp;SUBSTITUTE(TEXT(Overig!I620,""",""?00;"",""?-00;"",""?00;"", //"""),"'","""")</f>
        <v>081, 19200725, 08.00, 7500, 00, ////, 07, ////, 07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//"""),"'","""")&amp;SUBSTITUTE(TEXT(IF(ISTEXT(Overig!H621),Overig!H621,10*Overig!H621),""",""????0;"",""???-0;"",""????0;"", ////"""),"'","""")&amp;SUBSTITUTE(TEXT(Overig!I621,""",""?00;"",""?-00;"",""?00;"", //"""),"'","""")</f>
        <v>081, 19200725, 14.00, 7495, 00, ////, 07, ////, 07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//"""),"'","""")&amp;SUBSTITUTE(TEXT(IF(ISTEXT(Overig!H622),Overig!H622,10*Overig!H622),""",""????0;"",""???-0;"",""????0;"", ////"""),"'","""")&amp;SUBSTITUTE(TEXT(Overig!I622,""",""?00;"",""?-00;"",""?00;"", //"""),"'","""")</f>
        <v>081, 19200725, 24.00, ////, 07,  270, 00,  300,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//"""),"'","""")&amp;SUBSTITUTE(TEXT(IF(ISTEXT(Overig!H623),Overig!H623,10*Overig!H623),""",""????0;"",""???-0;"",""????0;"", ////"""),"'","""")&amp;SUBSTITUTE(TEXT(Overig!I623,""",""?00;"",""?-00;"",""?00;"", //"""),"'","""")</f>
        <v>081, 19200726, 08.00, 7490, 00, ////, 07, ////, 07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//"""),"'","""")&amp;SUBSTITUTE(TEXT(IF(ISTEXT(Overig!H624),Overig!H624,10*Overig!H624),""",""????0;"",""???-0;"",""????0;"", ////"""),"'","""")&amp;SUBSTITUTE(TEXT(Overig!I624,""",""?00;"",""?-00;"",""?00;"", //"""),"'","""")</f>
        <v>081, 19200726, 14.00, 7485, 00, ////, 07, ////, 07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//"""),"'","""")&amp;SUBSTITUTE(TEXT(IF(ISTEXT(Overig!H625),Overig!H625,10*Overig!H625),""",""????0;"",""???-0;"",""????0;"", ////"""),"'","""")&amp;SUBSTITUTE(TEXT(Overig!I625,""",""?00;"",""?-00;"",""?00;"", //"""),"'","""")</f>
        <v>081, 19200726, 24.00, ////, 07,  270, 00,  300,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//"""),"'","""")&amp;SUBSTITUTE(TEXT(IF(ISTEXT(Overig!H626),Overig!H626,10*Overig!H626),""",""????0;"",""???-0;"",""????0;"", ////"""),"'","""")&amp;SUBSTITUTE(TEXT(Overig!I626,""",""?00;"",""?-00;"",""?00;"", //"""),"'","""")</f>
        <v>081, 19200727, 08.00, 7490, 00, ////, 07, ////, 07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//"""),"'","""")&amp;SUBSTITUTE(TEXT(IF(ISTEXT(Overig!H627),Overig!H627,10*Overig!H627),""",""????0;"",""???-0;"",""????0;"", ////"""),"'","""")&amp;SUBSTITUTE(TEXT(Overig!I627,""",""?00;"",""?-00;"",""?00;"", //"""),"'","""")</f>
        <v>081, 19200727, 14.00, 7485, 00, ////, 07, ////, 07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//"""),"'","""")&amp;SUBSTITUTE(TEXT(IF(ISTEXT(Overig!H628),Overig!H628,10*Overig!H628),""",""????0;"",""???-0;"",""????0;"", ////"""),"'","""")&amp;SUBSTITUTE(TEXT(Overig!I628,""",""?00;"",""?-00;"",""?00;"", //"""),"'","""")</f>
        <v>081, 19200727, 24.00, ////, 07,  270, 00,  290,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//"""),"'","""")&amp;SUBSTITUTE(TEXT(IF(ISTEXT(Overig!H629),Overig!H629,10*Overig!H629),""",""????0;"",""???-0;"",""????0;"", ////"""),"'","""")&amp;SUBSTITUTE(TEXT(Overig!I629,""",""?00;"",""?-00;"",""?00;"", //"""),"'","""")</f>
        <v>081, 19200728, 08.00, 7500, 00, ////, 07, ////, 07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//"""),"'","""")&amp;SUBSTITUTE(TEXT(IF(ISTEXT(Overig!H630),Overig!H630,10*Overig!H630),""",""????0;"",""???-0;"",""????0;"", ////"""),"'","""")&amp;SUBSTITUTE(TEXT(Overig!I630,""",""?00;"",""?-00;"",""?00;"", //"""),"'","""")</f>
        <v>081, 19200728, 14.00, 7495, 00, ////, 07, ////, 07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//"""),"'","""")&amp;SUBSTITUTE(TEXT(IF(ISTEXT(Overig!H631),Overig!H631,10*Overig!H631),""",""????0;"",""???-0;"",""????0;"", ////"""),"'","""")&amp;SUBSTITUTE(TEXT(Overig!I631,""",""?00;"",""?-00;"",""?00;"", //"""),"'","""")</f>
        <v>081, 19200728, 24.00, ////, 07,  260, 00,  290,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//"""),"'","""")&amp;SUBSTITUTE(TEXT(IF(ISTEXT(Overig!H632),Overig!H632,10*Overig!H632),""",""????0;"",""???-0;"",""????0;"", ////"""),"'","""")&amp;SUBSTITUTE(TEXT(Overig!I632,""",""?00;"",""?-00;"",""?00;"", //"""),"'","""")</f>
        <v>081, 19200729, 08.00, 7500, 00, ////, 07, ////, 07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//"""),"'","""")&amp;SUBSTITUTE(TEXT(IF(ISTEXT(Overig!H633),Overig!H633,10*Overig!H633),""",""????0;"",""???-0;"",""????0;"", ////"""),"'","""")&amp;SUBSTITUTE(TEXT(Overig!I633,""",""?00;"",""?-00;"",""?00;"", //"""),"'","""")</f>
        <v>081, 19200729, 14.00, 7495, 00, ////, 07, ////, 07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//"""),"'","""")&amp;SUBSTITUTE(TEXT(IF(ISTEXT(Overig!H634),Overig!H634,10*Overig!H634),""",""????0;"",""???-0;"",""????0;"", ////"""),"'","""")&amp;SUBSTITUTE(TEXT(Overig!I634,""",""?00;"",""?-00;"",""?00;"", //"""),"'","""")</f>
        <v>081, 19200729, 24.00, ////, 07,  260, 00,  290,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//"""),"'","""")&amp;SUBSTITUTE(TEXT(IF(ISTEXT(Overig!H635),Overig!H635,10*Overig!H635),""",""????0;"",""???-0;"",""????0;"", ////"""),"'","""")&amp;SUBSTITUTE(TEXT(Overig!I635,""",""?00;"",""?-00;"",""?00;"", //"""),"'","""")</f>
        <v>081, 19200730, 08.00, 7500, 00, ////, 07, ////, 07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//"""),"'","""")&amp;SUBSTITUTE(TEXT(IF(ISTEXT(Overig!H636),Overig!H636,10*Overig!H636),""",""????0;"",""???-0;"",""????0;"", ////"""),"'","""")&amp;SUBSTITUTE(TEXT(Overig!I636,""",""?00;"",""?-00;"",""?00;"", //"""),"'","""")</f>
        <v>081, 19200730, 14.00, 7497, 00, ////, 07, ////, 07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//"""),"'","""")&amp;SUBSTITUTE(TEXT(IF(ISTEXT(Overig!H637),Overig!H637,10*Overig!H637),""",""????0;"",""???-0;"",""????0;"", ////"""),"'","""")&amp;SUBSTITUTE(TEXT(Overig!I637,""",""?00;"",""?-00;"",""?00;"", //"""),"'","""")</f>
        <v>081, 19200730, 24.00, ////, 07,  270, 00,  290,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//"""),"'","""")&amp;SUBSTITUTE(TEXT(IF(ISTEXT(Overig!H638),Overig!H638,10*Overig!H638),""",""????0;"",""???-0;"",""????0;"", ////"""),"'","""")&amp;SUBSTITUTE(TEXT(Overig!I638,""",""?00;"",""?-00;"",""?00;"", //"""),"'","""")</f>
        <v>081, 19200731, 08.00, 7490, 00, ////, 07, ////, 07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//"""),"'","""")&amp;SUBSTITUTE(TEXT(IF(ISTEXT(Overig!H639),Overig!H639,10*Overig!H639),""",""????0;"",""???-0;"",""????0;"", ////"""),"'","""")&amp;SUBSTITUTE(TEXT(Overig!I639,""",""?00;"",""?-00;"",""?00;"", //"""),"'","""")</f>
        <v>081, 19200731, 14.00, 7485, 00, ////, 07, ////, 07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//"""),"'","""")&amp;SUBSTITUTE(TEXT(IF(ISTEXT(Overig!H640),Overig!H640,10*Overig!H640),""",""????0;"",""???-0;"",""????0;"", ////"""),"'","""")&amp;SUBSTITUTE(TEXT(Overig!I640,""",""?00;"",""?-00;"",""?00;"", //"""),"'","""")</f>
        <v>081, 19200731, 24.00, ////, 07,  270, 00,  293,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//"""),"'","""")&amp;SUBSTITUTE(TEXT(IF(ISTEXT(Overig!H641),Overig!H641,10*Overig!H641),""",""????0;"",""???-0;"",""????0;"", ////"""),"'","""")&amp;SUBSTITUTE(TEXT(Overig!I641,""",""?00;"",""?-00;"",""?00;"", //"""),"'","""")</f>
        <v>081, 19200801, 08.00, 7490, 00, ////, 07, ////, 07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//"""),"'","""")&amp;SUBSTITUTE(TEXT(IF(ISTEXT(Overig!H642),Overig!H642,10*Overig!H642),""",""????0;"",""???-0;"",""????0;"", ////"""),"'","""")&amp;SUBSTITUTE(TEXT(Overig!I642,""",""?00;"",""?-00;"",""?00;"", //"""),"'","""")</f>
        <v>081, 19200801, 14.00, 7487, 00, ////, 07, ////, 07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//"""),"'","""")&amp;SUBSTITUTE(TEXT(IF(ISTEXT(Overig!H643),Overig!H643,10*Overig!H643),""",""????0;"",""???-0;"",""????0;"", ////"""),"'","""")&amp;SUBSTITUTE(TEXT(Overig!I643,""",""?00;"",""?-00;"",""?00;"", //"""),"'","""")</f>
        <v>081, 19200801, 24.00, ////, 07,  270, 00,  300,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//"""),"'","""")&amp;SUBSTITUTE(TEXT(IF(ISTEXT(Overig!H644),Overig!H644,10*Overig!H644),""",""????0;"",""???-0;"",""????0;"", ////"""),"'","""")&amp;SUBSTITUTE(TEXT(Overig!I644,""",""?00;"",""?-00;"",""?00;"", //"""),"'","""")</f>
        <v>081, 19200802, 08.00, 7496, 00, ////, 07, ////, 07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//"""),"'","""")&amp;SUBSTITUTE(TEXT(IF(ISTEXT(Overig!H645),Overig!H645,10*Overig!H645),""",""????0;"",""???-0;"",""????0;"", ////"""),"'","""")&amp;SUBSTITUTE(TEXT(Overig!I645,""",""?00;"",""?-00;"",""?00;"", //"""),"'","""")</f>
        <v>081, 19200802, 14.00, 7490, 00, ////, 07, ////, 07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//"""),"'","""")&amp;SUBSTITUTE(TEXT(IF(ISTEXT(Overig!H646),Overig!H646,10*Overig!H646),""",""????0;"",""???-0;"",""????0;"", ////"""),"'","""")&amp;SUBSTITUTE(TEXT(Overig!I646,""",""?00;"",""?-00;"",""?00;"", //"""),"'","""")</f>
        <v>081, 19200802, 24.00, ////, 07,  270, 00,  300,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//"""),"'","""")&amp;SUBSTITUTE(TEXT(IF(ISTEXT(Overig!H647),Overig!H647,10*Overig!H647),""",""????0;"",""???-0;"",""????0;"", ////"""),"'","""")&amp;SUBSTITUTE(TEXT(Overig!I647,""",""?00;"",""?-00;"",""?00;"", //"""),"'","""")</f>
        <v>081, 19200803, 08.00, 7495, 00, ////, 07, ////, 07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//"""),"'","""")&amp;SUBSTITUTE(TEXT(IF(ISTEXT(Overig!H648),Overig!H648,10*Overig!H648),""",""????0;"",""???-0;"",""????0;"", ////"""),"'","""")&amp;SUBSTITUTE(TEXT(Overig!I648,""",""?00;"",""?-00;"",""?00;"", //"""),"'","""")</f>
        <v>081, 19200803, 14.00, 7490, 00, ////, 07, ////, 07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//"""),"'","""")&amp;SUBSTITUTE(TEXT(IF(ISTEXT(Overig!H649),Overig!H649,10*Overig!H649),""",""????0;"",""???-0;"",""????0;"", ////"""),"'","""")&amp;SUBSTITUTE(TEXT(Overig!I649,""",""?00;"",""?-00;"",""?00;"", //"""),"'","""")</f>
        <v>081, 19200803, 24.00, ////, 07,  260, 00,  290,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//"""),"'","""")&amp;SUBSTITUTE(TEXT(IF(ISTEXT(Overig!H650),Overig!H650,10*Overig!H650),""",""????0;"",""???-0;"",""????0;"", ////"""),"'","""")&amp;SUBSTITUTE(TEXT(Overig!I650,""",""?00;"",""?-00;"",""?00;"", //"""),"'","""")</f>
        <v>081, 19200804, 08.00, 7490, 00, ////, 07, ////, 07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//"""),"'","""")&amp;SUBSTITUTE(TEXT(IF(ISTEXT(Overig!H651),Overig!H651,10*Overig!H651),""",""????0;"",""???-0;"",""????0;"", ////"""),"'","""")&amp;SUBSTITUTE(TEXT(Overig!I651,""",""?00;"",""?-00;"",""?00;"", //"""),"'","""")</f>
        <v>081, 19200804, 14.00, 7485, 00, ////, 07, ////, 07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//"""),"'","""")&amp;SUBSTITUTE(TEXT(IF(ISTEXT(Overig!H652),Overig!H652,10*Overig!H652),""",""????0;"",""???-0;"",""????0;"", ////"""),"'","""")&amp;SUBSTITUTE(TEXT(Overig!I652,""",""?00;"",""?-00;"",""?00;"", //"""),"'","""")</f>
        <v>081, 19200804, 24.00, ////, 07,  260, 00,  285,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//"""),"'","""")&amp;SUBSTITUTE(TEXT(IF(ISTEXT(Overig!H653),Overig!H653,10*Overig!H653),""",""????0;"",""???-0;"",""????0;"", ////"""),"'","""")&amp;SUBSTITUTE(TEXT(Overig!I653,""",""?00;"",""?-00;"",""?00;"", //"""),"'","""")</f>
        <v>081, 19200805, 08.00, 7490, 00, ////, 07, ////, 07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//"""),"'","""")&amp;SUBSTITUTE(TEXT(IF(ISTEXT(Overig!H654),Overig!H654,10*Overig!H654),""",""????0;"",""???-0;"",""????0;"", ////"""),"'","""")&amp;SUBSTITUTE(TEXT(Overig!I654,""",""?00;"",""?-00;"",""?00;"", //"""),"'","""")</f>
        <v>081, 19200805, 14.00, 7485, 00, ////, 07, ////, 07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//"""),"'","""")&amp;SUBSTITUTE(TEXT(IF(ISTEXT(Overig!H655),Overig!H655,10*Overig!H655),""",""????0;"",""???-0;"",""????0;"", ////"""),"'","""")&amp;SUBSTITUTE(TEXT(Overig!I655,""",""?00;"",""?-00;"",""?00;"", //"""),"'","""")</f>
        <v>081, 19200805, 24.00, ////, 07,  260, 00,  290,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//"""),"'","""")&amp;SUBSTITUTE(TEXT(IF(ISTEXT(Overig!H656),Overig!H656,10*Overig!H656),""",""????0;"",""???-0;"",""????0;"", ////"""),"'","""")&amp;SUBSTITUTE(TEXT(Overig!I656,""",""?00;"",""?-00;"",""?00;"", //"""),"'","""")</f>
        <v>081, 19200806, 08.00, 7485, 00, ////, 07, ////, 07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//"""),"'","""")&amp;SUBSTITUTE(TEXT(IF(ISTEXT(Overig!H657),Overig!H657,10*Overig!H657),""",""????0;"",""???-0;"",""????0;"", ////"""),"'","""")&amp;SUBSTITUTE(TEXT(Overig!I657,""",""?00;"",""?-00;"",""?00;"", //"""),"'","""")</f>
        <v>081, 19200806, 14.00, 7480, 00, ////, 07, ////, 07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//"""),"'","""")&amp;SUBSTITUTE(TEXT(IF(ISTEXT(Overig!H658),Overig!H658,10*Overig!H658),""",""????0;"",""???-0;"",""????0;"", ////"""),"'","""")&amp;SUBSTITUTE(TEXT(Overig!I658,""",""?00;"",""?-00;"",""?00;"", //"""),"'","""")</f>
        <v>081, 19200806, 24.00, ////, 07,  280, 00,  288,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//"""),"'","""")&amp;SUBSTITUTE(TEXT(IF(ISTEXT(Overig!H659),Overig!H659,10*Overig!H659),""",""????0;"",""???-0;"",""????0;"", ////"""),"'","""")&amp;SUBSTITUTE(TEXT(Overig!I659,""",""?00;"",""?-00;"",""?00;"", //"""),"'","""")</f>
        <v>081, 19200807, 08.00, 7482, 00, ////, 07, ////, 07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//"""),"'","""")&amp;SUBSTITUTE(TEXT(IF(ISTEXT(Overig!H660),Overig!H660,10*Overig!H660),""",""????0;"",""???-0;"",""????0;"", ////"""),"'","""")&amp;SUBSTITUTE(TEXT(Overig!I660,""",""?00;"",""?-00;"",""?00;"", //"""),"'","""")</f>
        <v>081, 19200807, 14.00, 7480, 00, ////, 07, ////, 07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//"""),"'","""")&amp;SUBSTITUTE(TEXT(IF(ISTEXT(Overig!H661),Overig!H661,10*Overig!H661),""",""????0;"",""???-0;"",""????0;"", ////"""),"'","""")&amp;SUBSTITUTE(TEXT(Overig!I661,""",""?00;"",""?-00;"",""?00;"", //"""),"'","""")</f>
        <v>081, 19200807, 24.00, ////, 07,  275, 00,  285,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//"""),"'","""")&amp;SUBSTITUTE(TEXT(IF(ISTEXT(Overig!H662),Overig!H662,10*Overig!H662),""",""????0;"",""???-0;"",""????0;"", ////"""),"'","""")&amp;SUBSTITUTE(TEXT(Overig!I662,""",""?00;"",""?-00;"",""?00;"", //"""),"'","""")</f>
        <v>081, 19200808, 08.00, 7483, 00, ////, 07, ////, 07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//"""),"'","""")&amp;SUBSTITUTE(TEXT(IF(ISTEXT(Overig!H663),Overig!H663,10*Overig!H663),""",""????0;"",""???-0;"",""????0;"", ////"""),"'","""")&amp;SUBSTITUTE(TEXT(Overig!I663,""",""?00;"",""?-00;"",""?00;"", //"""),"'","""")</f>
        <v>081, 19200808, 14.00, 7480, 00, ////, 07, ////, 07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//"""),"'","""")&amp;SUBSTITUTE(TEXT(IF(ISTEXT(Overig!H664),Overig!H664,10*Overig!H664),""",""????0;"",""???-0;"",""????0;"", ////"""),"'","""")&amp;SUBSTITUTE(TEXT(Overig!I664,""",""?00;"",""?-00;"",""?00;"", //"""),"'","""")</f>
        <v>081, 19200808, 24.00, ////, 07,  265, 00,  283,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//"""),"'","""")&amp;SUBSTITUTE(TEXT(IF(ISTEXT(Overig!H665),Overig!H665,10*Overig!H665),""",""????0;"",""???-0;"",""????0;"", ////"""),"'","""")&amp;SUBSTITUTE(TEXT(Overig!I665,""",""?00;"",""?-00;"",""?00;"", //"""),"'","""")</f>
        <v>081, 19200809, 08.00, 7485, 00, ////, 07, ////, 07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//"""),"'","""")&amp;SUBSTITUTE(TEXT(IF(ISTEXT(Overig!H666),Overig!H666,10*Overig!H666),""",""????0;"",""???-0;"",""????0;"", ////"""),"'","""")&amp;SUBSTITUTE(TEXT(Overig!I666,""",""?00;"",""?-00;"",""?00;"", //"""),"'","""")</f>
        <v>081, 19200809, 14.00, 7483, 00, ////, 07, ////, 07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//"""),"'","""")&amp;SUBSTITUTE(TEXT(IF(ISTEXT(Overig!H667),Overig!H667,10*Overig!H667),""",""????0;"",""???-0;"",""????0;"", ////"""),"'","""")&amp;SUBSTITUTE(TEXT(Overig!I667,""",""?00;"",""?-00;"",""?00;"", //"""),"'","""")</f>
        <v>081, 19200809, 24.00, ////, 07,  260, 00,  280,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//"""),"'","""")&amp;SUBSTITUTE(TEXT(IF(ISTEXT(Overig!H668),Overig!H668,10*Overig!H668),""",""????0;"",""???-0;"",""????0;"", ////"""),"'","""")&amp;SUBSTITUTE(TEXT(Overig!I668,""",""?00;"",""?-00;"",""?00;"", //"""),"'","""")</f>
        <v>081, 19200810, 08.00, 7483, 00, ////, 07, ////, 07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//"""),"'","""")&amp;SUBSTITUTE(TEXT(IF(ISTEXT(Overig!H669),Overig!H669,10*Overig!H669),""",""????0;"",""???-0;"",""????0;"", ////"""),"'","""")&amp;SUBSTITUTE(TEXT(Overig!I669,""",""?00;"",""?-00;"",""?00;"", //"""),"'","""")</f>
        <v>081, 19200810, 14.00, 7480, 00, ////, 07, ////, 07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//"""),"'","""")&amp;SUBSTITUTE(TEXT(IF(ISTEXT(Overig!H670),Overig!H670,10*Overig!H670),""",""????0;"",""???-0;"",""????0;"", ////"""),"'","""")&amp;SUBSTITUTE(TEXT(Overig!I670,""",""?00;"",""?-00;"",""?00;"", //"""),"'","""")</f>
        <v>081, 19200810, 24.00, ////, 07,  265, 00,  290,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//"""),"'","""")&amp;SUBSTITUTE(TEXT(IF(ISTEXT(Overig!H671),Overig!H671,10*Overig!H671),""",""????0;"",""???-0;"",""????0;"", ////"""),"'","""")&amp;SUBSTITUTE(TEXT(Overig!I671,""",""?00;"",""?-00;"",""?00;"", //"""),"'","""")</f>
        <v>081, 19200811, 08.00, 7476, 00, ////, 07, ////, 07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//"""),"'","""")&amp;SUBSTITUTE(TEXT(IF(ISTEXT(Overig!H672),Overig!H672,10*Overig!H672),""",""????0;"",""???-0;"",""????0;"", ////"""),"'","""")&amp;SUBSTITUTE(TEXT(Overig!I672,""",""?00;"",""?-00;"",""?00;"", //"""),"'","""")</f>
        <v>081, 19200811, 14.00, 7470, 00, ////, 07, ////, 07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//"""),"'","""")&amp;SUBSTITUTE(TEXT(IF(ISTEXT(Overig!H673),Overig!H673,10*Overig!H673),""",""????0;"",""???-0;"",""????0;"", ////"""),"'","""")&amp;SUBSTITUTE(TEXT(Overig!I673,""",""?00;"",""?-00;"",""?00;"", //"""),"'","""")</f>
        <v>081, 19200811, 24.00, ////, 07,  280, 00,  300,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//"""),"'","""")&amp;SUBSTITUTE(TEXT(IF(ISTEXT(Overig!H674),Overig!H674,10*Overig!H674),""",""????0;"",""???-0;"",""????0;"", ////"""),"'","""")&amp;SUBSTITUTE(TEXT(Overig!I674,""",""?00;"",""?-00;"",""?00;"", //"""),"'","""")</f>
        <v>081, 19200812, 08.00, 7464, 00, ////, 07, ////, 07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//"""),"'","""")&amp;SUBSTITUTE(TEXT(IF(ISTEXT(Overig!H675),Overig!H675,10*Overig!H675),""",""????0;"",""???-0;"",""????0;"", ////"""),"'","""")&amp;SUBSTITUTE(TEXT(Overig!I675,""",""?00;"",""?-00;"",""?00;"", //"""),"'","""")</f>
        <v>081, 19200812, 14.00, 7460, 00, ////, 07, ////, 07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//"""),"'","""")&amp;SUBSTITUTE(TEXT(IF(ISTEXT(Overig!H676),Overig!H676,10*Overig!H676),""",""????0;"",""???-0;"",""????0;"", ////"""),"'","""")&amp;SUBSTITUTE(TEXT(Overig!I676,""",""?00;"",""?-00;"",""?00;"", //"""),"'","""")</f>
        <v>081, 19200812, 24.00, ////, 07,  280, 00,  290,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//"""),"'","""")&amp;SUBSTITUTE(TEXT(IF(ISTEXT(Overig!H677),Overig!H677,10*Overig!H677),""",""????0;"",""???-0;"",""????0;"", ////"""),"'","""")&amp;SUBSTITUTE(TEXT(Overig!I677,""",""?00;"",""?-00;"",""?00;"", //"""),"'","""")</f>
        <v>081, 19200813, 08.00, 7496, 00, ////, 07, ////, 07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//"""),"'","""")&amp;SUBSTITUTE(TEXT(IF(ISTEXT(Overig!H678),Overig!H678,10*Overig!H678),""",""????0;"",""???-0;"",""????0;"", ////"""),"'","""")&amp;SUBSTITUTE(TEXT(Overig!I678,""",""?00;"",""?-00;"",""?00;"", //"""),"'","""")</f>
        <v>081, 19200813, 14.00, 7480, 00, ////, 07, ////, 07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//"""),"'","""")&amp;SUBSTITUTE(TEXT(IF(ISTEXT(Overig!H679),Overig!H679,10*Overig!H679),""",""????0;"",""???-0;"",""????0;"", ////"""),"'","""")&amp;SUBSTITUTE(TEXT(Overig!I679,""",""?00;"",""?-00;"",""?00;"", //"""),"'","""")</f>
        <v>081, 19200813, 24.00, ////, 07,  270, 00,  300,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//"""),"'","""")&amp;SUBSTITUTE(TEXT(IF(ISTEXT(Overig!H680),Overig!H680,10*Overig!H680),""",""????0;"",""???-0;"",""????0;"", ////"""),"'","""")&amp;SUBSTITUTE(TEXT(Overig!I680,""",""?00;"",""?-00;"",""?00;"", //"""),"'","""")</f>
        <v>081, 19200814, 08.00, 7485, 00, ////, 07, ////, 07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//"""),"'","""")&amp;SUBSTITUTE(TEXT(IF(ISTEXT(Overig!H681),Overig!H681,10*Overig!H681),""",""????0;"",""???-0;"",""????0;"", ////"""),"'","""")&amp;SUBSTITUTE(TEXT(Overig!I681,""",""?00;"",""?-00;"",""?00;"", //"""),"'","""")</f>
        <v>081, 19200814, 14.00, 7480, 00, ////, 07, ////, 07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//"""),"'","""")&amp;SUBSTITUTE(TEXT(IF(ISTEXT(Overig!H682),Overig!H682,10*Overig!H682),""",""????0;"",""???-0;"",""????0;"", ////"""),"'","""")&amp;SUBSTITUTE(TEXT(Overig!I682,""",""?00;"",""?-00;"",""?00;"", //"""),"'","""")</f>
        <v>081, 19200814, 24.00, ////, 07,  270, 00,  300,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//"""),"'","""")&amp;SUBSTITUTE(TEXT(IF(ISTEXT(Overig!H683),Overig!H683,10*Overig!H683),""",""????0;"",""???-0;"",""????0;"", ////"""),"'","""")&amp;SUBSTITUTE(TEXT(Overig!I683,""",""?00;"",""?-00;"",""?00;"", //"""),"'","""")</f>
        <v>081, 19200815, 08.00, 7480, 00, ////, 07, ////, 07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//"""),"'","""")&amp;SUBSTITUTE(TEXT(IF(ISTEXT(Overig!H684),Overig!H684,10*Overig!H684),""",""????0;"",""???-0;"",""????0;"", ////"""),"'","""")&amp;SUBSTITUTE(TEXT(Overig!I684,""",""?00;"",""?-00;"",""?00;"", //"""),"'","""")</f>
        <v>081, 19200815, 14.00, 7475, 00, ////, 07, ////, 07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//"""),"'","""")&amp;SUBSTITUTE(TEXT(IF(ISTEXT(Overig!H685),Overig!H685,10*Overig!H685),""",""????0;"",""???-0;"",""????0;"", ////"""),"'","""")&amp;SUBSTITUTE(TEXT(Overig!I685,""",""?00;"",""?-00;"",""?00;"", //"""),"'","""")</f>
        <v>081, 19200815, 24.00, ////, 07,  270, 00,  300,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//"""),"'","""")&amp;SUBSTITUTE(TEXT(IF(ISTEXT(Overig!H686),Overig!H686,10*Overig!H686),""",""????0;"",""???-0;"",""????0;"", ////"""),"'","""")&amp;SUBSTITUTE(TEXT(Overig!I686,""",""?00;"",""?-00;"",""?00;"", //"""),"'","""")</f>
        <v>081, 19200816, 08.00, 7475, 00, ////, 07, ////, 07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//"""),"'","""")&amp;SUBSTITUTE(TEXT(IF(ISTEXT(Overig!H687),Overig!H687,10*Overig!H687),""",""????0;"",""???-0;"",""????0;"", ////"""),"'","""")&amp;SUBSTITUTE(TEXT(Overig!I687,""",""?00;"",""?-00;"",""?00;"", //"""),"'","""")</f>
        <v>081, 19200816, 14.00, 7470, 00, ////, 07, ////, 07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//"""),"'","""")&amp;SUBSTITUTE(TEXT(IF(ISTEXT(Overig!H688),Overig!H688,10*Overig!H688),""",""????0;"",""???-0;"",""????0;"", ////"""),"'","""")&amp;SUBSTITUTE(TEXT(Overig!I688,""",""?00;"",""?-00;"",""?00;"", //"""),"'","""")</f>
        <v>081, 19200816, 24.00, ////, 07,  270, 00,  290,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//"""),"'","""")&amp;SUBSTITUTE(TEXT(IF(ISTEXT(Overig!H689),Overig!H689,10*Overig!H689),""",""????0;"",""???-0;"",""????0;"", ////"""),"'","""")&amp;SUBSTITUTE(TEXT(Overig!I689,""",""?00;"",""?-00;"",""?00;"", //"""),"'","""")</f>
        <v>081, 19200817, 08.00, 7496, 00, ////, 07, ////, 07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//"""),"'","""")&amp;SUBSTITUTE(TEXT(IF(ISTEXT(Overig!H690),Overig!H690,10*Overig!H690),""",""????0;"",""???-0;"",""????0;"", ////"""),"'","""")&amp;SUBSTITUTE(TEXT(Overig!I690,""",""?00;"",""?-00;"",""?00;"", //"""),"'","""")</f>
        <v>081, 19200817, 14.00, 7480, 00, ////, 07, ////, 07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//"""),"'","""")&amp;SUBSTITUTE(TEXT(IF(ISTEXT(Overig!H691),Overig!H691,10*Overig!H691),""",""????0;"",""???-0;"",""????0;"", ////"""),"'","""")&amp;SUBSTITUTE(TEXT(Overig!I691,""",""?00;"",""?-00;"",""?00;"", //"""),"'","""")</f>
        <v>081, 19200817, 24.00, ////, 07,  280, 00,  303,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//"""),"'","""")&amp;SUBSTITUTE(TEXT(IF(ISTEXT(Overig!H692),Overig!H692,10*Overig!H692),""",""????0;"",""???-0;"",""????0;"", ////"""),"'","""")&amp;SUBSTITUTE(TEXT(Overig!I692,""",""?00;"",""?-00;"",""?00;"", //"""),"'","""")</f>
        <v>081, 19200818, 08.00, 7492, 00, ////, 07, ////, 07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//"""),"'","""")&amp;SUBSTITUTE(TEXT(IF(ISTEXT(Overig!H693),Overig!H693,10*Overig!H693),""",""????0;"",""???-0;"",""????0;"", ////"""),"'","""")&amp;SUBSTITUTE(TEXT(Overig!I693,""",""?00;"",""?-00;"",""?00;"", //"""),"'","""")</f>
        <v>081, 19200818, 14.00, 7480, 00, ////, 07, ////, 07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//"""),"'","""")&amp;SUBSTITUTE(TEXT(IF(ISTEXT(Overig!H694),Overig!H694,10*Overig!H694),""",""????0;"",""???-0;"",""????0;"", ////"""),"'","""")&amp;SUBSTITUTE(TEXT(Overig!I694,""",""?00;"",""?-00;"",""?00;"", //"""),"'","""")</f>
        <v>081, 19200818, 24.00, ////, 07,  290, 00,  303,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//"""),"'","""")&amp;SUBSTITUTE(TEXT(IF(ISTEXT(Overig!H695),Overig!H695,10*Overig!H695),""",""????0;"",""???-0;"",""????0;"", ////"""),"'","""")&amp;SUBSTITUTE(TEXT(Overig!I695,""",""?00;"",""?-00;"",""?00;"", //"""),"'","""")</f>
        <v>081, 19200819, 08.00, 7500, 00, ////, 07, ////, 07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//"""),"'","""")&amp;SUBSTITUTE(TEXT(IF(ISTEXT(Overig!H696),Overig!H696,10*Overig!H696),""",""????0;"",""???-0;"",""????0;"", ////"""),"'","""")&amp;SUBSTITUTE(TEXT(Overig!I696,""",""?00;"",""?-00;"",""?00;"", //"""),"'","""")</f>
        <v>081, 19200819, 14.00, 7496, 00, ////, 07, ////, 07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//"""),"'","""")&amp;SUBSTITUTE(TEXT(IF(ISTEXT(Overig!H697),Overig!H697,10*Overig!H697),""",""????0;"",""???-0;"",""????0;"", ////"""),"'","""")&amp;SUBSTITUTE(TEXT(Overig!I697,""",""?00;"",""?-00;"",""?00;"", //"""),"'","""")</f>
        <v>081, 19200819, 24.00, ////, 07,  290, 00,  310,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//"""),"'","""")&amp;SUBSTITUTE(TEXT(IF(ISTEXT(Overig!H698),Overig!H698,10*Overig!H698),""",""????0;"",""???-0;"",""????0;"", ////"""),"'","""")&amp;SUBSTITUTE(TEXT(Overig!I698,""",""?00;"",""?-00;"",""?00;"", //"""),"'","""")</f>
        <v>081, 19200820, 08.00, 7496, 00, ////, 07, ////, 07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//"""),"'","""")&amp;SUBSTITUTE(TEXT(IF(ISTEXT(Overig!H699),Overig!H699,10*Overig!H699),""",""????0;"",""???-0;"",""????0;"", ////"""),"'","""")&amp;SUBSTITUTE(TEXT(Overig!I699,""",""?00;"",""?-00;"",""?00;"", //"""),"'","""")</f>
        <v>081, 19200820, 14.00, 7480, 00, ////, 07, ////, 07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//"""),"'","""")&amp;SUBSTITUTE(TEXT(IF(ISTEXT(Overig!H700),Overig!H700,10*Overig!H700),""",""????0;"",""???-0;"",""????0;"", ////"""),"'","""")&amp;SUBSTITUTE(TEXT(Overig!I700,""",""?00;"",""?-00;"",""?00;"", //"""),"'","""")</f>
        <v>081, 19200820, 24.00, ////, 07,  280, 00,  293,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//"""),"'","""")&amp;SUBSTITUTE(TEXT(IF(ISTEXT(Overig!H701),Overig!H701,10*Overig!H701),""",""????0;"",""???-0;"",""????0;"", ////"""),"'","""")&amp;SUBSTITUTE(TEXT(Overig!I701,""",""?00;"",""?-00;"",""?00;"", //"""),"'","""")</f>
        <v>081, 19200821, 08.00, 7472, 00, ////, 07, ////, 07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//"""),"'","""")&amp;SUBSTITUTE(TEXT(IF(ISTEXT(Overig!H702),Overig!H702,10*Overig!H702),""",""????0;"",""???-0;"",""????0;"", ////"""),"'","""")&amp;SUBSTITUTE(TEXT(Overig!I702,""",""?00;"",""?-00;"",""?00;"", //"""),"'","""")</f>
        <v>081, 19200821, 14.00, 7470, 00, ////, 07, ////, 07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//"""),"'","""")&amp;SUBSTITUTE(TEXT(IF(ISTEXT(Overig!H703),Overig!H703,10*Overig!H703),""",""????0;"",""???-0;"",""????0;"", ////"""),"'","""")&amp;SUBSTITUTE(TEXT(Overig!I703,""",""?00;"",""?-00;"",""?00;"", //"""),"'","""")</f>
        <v>081, 19200821, 24.00, ////, 07,  270, 00,  290,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//"""),"'","""")&amp;SUBSTITUTE(TEXT(IF(ISTEXT(Overig!H704),Overig!H704,10*Overig!H704),""",""????0;"",""???-0;"",""????0;"", ////"""),"'","""")&amp;SUBSTITUTE(TEXT(Overig!I704,""",""?00;"",""?-00;"",""?00;"", //"""),"'","""")</f>
        <v>081, 19200822, 08.00, 7468, 00, ////, 07, ////, 07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//"""),"'","""")&amp;SUBSTITUTE(TEXT(IF(ISTEXT(Overig!H705),Overig!H705,10*Overig!H705),""",""????0;"",""???-0;"",""????0;"", ////"""),"'","""")&amp;SUBSTITUTE(TEXT(Overig!I705,""",""?00;"",""?-00;"",""?00;"", //"""),"'","""")</f>
        <v>081, 19200822, 14.00, 7465, 00, ////, 07, ////, 07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//"""),"'","""")&amp;SUBSTITUTE(TEXT(IF(ISTEXT(Overig!H706),Overig!H706,10*Overig!H706),""",""????0;"",""???-0;"",""????0;"", ////"""),"'","""")&amp;SUBSTITUTE(TEXT(Overig!I706,""",""?00;"",""?-00;"",""?00;"", //"""),"'","""")</f>
        <v>081, 19200822, 24.00, ////, 07,  270, 00,  280,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//"""),"'","""")&amp;SUBSTITUTE(TEXT(IF(ISTEXT(Overig!H707),Overig!H707,10*Overig!H707),""",""????0;"",""???-0;"",""????0;"", ////"""),"'","""")&amp;SUBSTITUTE(TEXT(Overig!I707,""",""?00;"",""?-00;"",""?00;"", //"""),"'","""")</f>
        <v>081, 19200823, 08.00, 7492, 00, ////, 07, ////, 07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//"""),"'","""")&amp;SUBSTITUTE(TEXT(IF(ISTEXT(Overig!H708),Overig!H708,10*Overig!H708),""",""????0;"",""???-0;"",""????0;"", ////"""),"'","""")&amp;SUBSTITUTE(TEXT(Overig!I708,""",""?00;"",""?-00;"",""?00;"", //"""),"'","""")</f>
        <v>081, 19200823, 14.00, 7489, 00, ////, 07, ////, 07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//"""),"'","""")&amp;SUBSTITUTE(TEXT(IF(ISTEXT(Overig!H709),Overig!H709,10*Overig!H709),""",""????0;"",""???-0;"",""????0;"", ////"""),"'","""")&amp;SUBSTITUTE(TEXT(Overig!I709,""",""?00;"",""?-00;"",""?00;"", //"""),"'","""")</f>
        <v>081, 19200823, 24.00, ////, 07,  280, 00,  300,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//"""),"'","""")&amp;SUBSTITUTE(TEXT(IF(ISTEXT(Overig!H710),Overig!H710,10*Overig!H710),""",""????0;"",""???-0;"",""????0;"", ////"""),"'","""")&amp;SUBSTITUTE(TEXT(Overig!I710,""",""?00;"",""?-00;"",""?00;"", //"""),"'","""")</f>
        <v>081, 19200824, 08.00, 7500, 00, ////, 07, ////, 07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//"""),"'","""")&amp;SUBSTITUTE(TEXT(IF(ISTEXT(Overig!H711),Overig!H711,10*Overig!H711),""",""????0;"",""???-0;"",""????0;"", ////"""),"'","""")&amp;SUBSTITUTE(TEXT(Overig!I711,""",""?00;"",""?-00;"",""?00;"", //"""),"'","""")</f>
        <v>081, 19200824, 14.00, 7495, 00, ////, 07, ////, 07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//"""),"'","""")&amp;SUBSTITUTE(TEXT(IF(ISTEXT(Overig!H712),Overig!H712,10*Overig!H712),""",""????0;"",""???-0;"",""????0;"", ////"""),"'","""")&amp;SUBSTITUTE(TEXT(Overig!I712,""",""?00;"",""?-00;"",""?00;"", //"""),"'","""")</f>
        <v>081, 19200824, 24.00, ////, 07,  280, 00,  300,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//"""),"'","""")&amp;SUBSTITUTE(TEXT(IF(ISTEXT(Overig!H713),Overig!H713,10*Overig!H713),""",""????0;"",""???-0;"",""????0;"", ////"""),"'","""")&amp;SUBSTITUTE(TEXT(Overig!I713,""",""?00;"",""?-00;"",""?00;"", //"""),"'","""")</f>
        <v>081, 19200825, 08.00, 7506, 00, ////, 07, ////, 07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//"""),"'","""")&amp;SUBSTITUTE(TEXT(IF(ISTEXT(Overig!H714),Overig!H714,10*Overig!H714),""",""????0;"",""???-0;"",""????0;"", ////"""),"'","""")&amp;SUBSTITUTE(TEXT(Overig!I714,""",""?00;"",""?-00;"",""?00;"", //"""),"'","""")</f>
        <v>081, 19200825, 14.00, 7490, 00, ////, 07, ////, 07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//"""),"'","""")&amp;SUBSTITUTE(TEXT(IF(ISTEXT(Overig!H715),Overig!H715,10*Overig!H715),""",""????0;"",""???-0;"",""????0;"", ////"""),"'","""")&amp;SUBSTITUTE(TEXT(Overig!I715,""",""?00;"",""?-00;"",""?00;"", //"""),"'","""")</f>
        <v>081, 19200825, 24.00, ////, 07,  285, 00,  303,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//"""),"'","""")&amp;SUBSTITUTE(TEXT(IF(ISTEXT(Overig!H716),Overig!H716,10*Overig!H716),""",""????0;"",""???-0;"",""????0;"", ////"""),"'","""")&amp;SUBSTITUTE(TEXT(Overig!I716,""",""?00;"",""?-00;"",""?00;"", //"""),"'","""")</f>
        <v>081, 19200826, 08.00, 7490, 00, ////, 07, ////, 07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//"""),"'","""")&amp;SUBSTITUTE(TEXT(IF(ISTEXT(Overig!H717),Overig!H717,10*Overig!H717),""",""????0;"",""???-0;"",""????0;"", ////"""),"'","""")&amp;SUBSTITUTE(TEXT(Overig!I717,""",""?00;"",""?-00;"",""?00;"", //"""),"'","""")</f>
        <v>081, 19200826, 14.00, 7487, 00, ////, 07, ////, 07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//"""),"'","""")&amp;SUBSTITUTE(TEXT(IF(ISTEXT(Overig!H718),Overig!H718,10*Overig!H718),""",""????0;"",""???-0;"",""????0;"", ////"""),"'","""")&amp;SUBSTITUTE(TEXT(Overig!I718,""",""?00;"",""?-00;"",""?00;"", //"""),"'","""")</f>
        <v>081, 19200826, 24.00, ////, 07,  270, 00,  293,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//"""),"'","""")&amp;SUBSTITUTE(TEXT(IF(ISTEXT(Overig!H719),Overig!H719,10*Overig!H719),""",""????0;"",""???-0;"",""????0;"", ////"""),"'","""")&amp;SUBSTITUTE(TEXT(Overig!I719,""",""?00;"",""?-00;"",""?00;"", //"""),"'","""")</f>
        <v>081, 19200827, 08.00, 7490, 00, ////, 07, ////, 07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//"""),"'","""")&amp;SUBSTITUTE(TEXT(IF(ISTEXT(Overig!H720),Overig!H720,10*Overig!H720),""",""????0;"",""???-0;"",""????0;"", ////"""),"'","""")&amp;SUBSTITUTE(TEXT(Overig!I720,""",""?00;"",""?-00;"",""?00;"", //"""),"'","""")</f>
        <v>081, 19200827, 14.00, 7485, 00, ////, 07, ////, 07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//"""),"'","""")&amp;SUBSTITUTE(TEXT(IF(ISTEXT(Overig!H721),Overig!H721,10*Overig!H721),""",""????0;"",""???-0;"",""????0;"", ////"""),"'","""")&amp;SUBSTITUTE(TEXT(Overig!I721,""",""?00;"",""?-00;"",""?00;"", //"""),"'","""")</f>
        <v>081, 19200827, 24.00, ////, 07,  260, 00,  285,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//"""),"'","""")&amp;SUBSTITUTE(TEXT(IF(ISTEXT(Overig!H722),Overig!H722,10*Overig!H722),""",""????0;"",""???-0;"",""????0;"", ////"""),"'","""")&amp;SUBSTITUTE(TEXT(Overig!I722,""",""?00;"",""?-00;"",""?00;"", //"""),"'","""")</f>
        <v>081, 19200828, 08.00, 7490, 00, ////, 07, ////, 07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//"""),"'","""")&amp;SUBSTITUTE(TEXT(IF(ISTEXT(Overig!H723),Overig!H723,10*Overig!H723),""",""????0;"",""???-0;"",""????0;"", ////"""),"'","""")&amp;SUBSTITUTE(TEXT(Overig!I723,""",""?00;"",""?-00;"",""?00;"", //"""),"'","""")</f>
        <v>081, 19200828, 14.00, 7480, 00, ////, 07, ////, 07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//"""),"'","""")&amp;SUBSTITUTE(TEXT(IF(ISTEXT(Overig!H724),Overig!H724,10*Overig!H724),""",""????0;"",""???-0;"",""????0;"", ////"""),"'","""")&amp;SUBSTITUTE(TEXT(Overig!I724,""",""?00;"",""?-00;"",""?00;"", //"""),"'","""")</f>
        <v>081, 19200828, 24.00, ////, 07,  260, 00,  300,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//"""),"'","""")&amp;SUBSTITUTE(TEXT(IF(ISTEXT(Overig!H725),Overig!H725,10*Overig!H725),""",""????0;"",""???-0;"",""????0;"", ////"""),"'","""")&amp;SUBSTITUTE(TEXT(Overig!I725,""",""?00;"",""?-00;"",""?00;"", //"""),"'","""")</f>
        <v>081, 19200829, 08.00, 7480, 00, ////, 07, ////, 07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//"""),"'","""")&amp;SUBSTITUTE(TEXT(IF(ISTEXT(Overig!H726),Overig!H726,10*Overig!H726),""",""????0;"",""???-0;"",""????0;"", ////"""),"'","""")&amp;SUBSTITUTE(TEXT(Overig!I726,""",""?00;"",""?-00;"",""?00;"", //"""),"'","""")</f>
        <v>081, 19200829, 14.00, 7470, 00, ////, 07, ////, 07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//"""),"'","""")&amp;SUBSTITUTE(TEXT(IF(ISTEXT(Overig!H727),Overig!H727,10*Overig!H727),""",""????0;"",""???-0;"",""????0;"", ////"""),"'","""")&amp;SUBSTITUTE(TEXT(Overig!I727,""",""?00;"",""?-00;"",""?00;"", //"""),"'","""")</f>
        <v>081, 19200829, 24.00, ////, 07,  260, 00,  280,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//"""),"'","""")&amp;SUBSTITUTE(TEXT(IF(ISTEXT(Overig!H728),Overig!H728,10*Overig!H728),""",""????0;"",""???-0;"",""????0;"", ////"""),"'","""")&amp;SUBSTITUTE(TEXT(Overig!I728,""",""?00;"",""?-00;"",""?00;"", //"""),"'","""")</f>
        <v>081, 19200830, 08.00, 7481, 00, ////, 07, ////, 07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//"""),"'","""")&amp;SUBSTITUTE(TEXT(IF(ISTEXT(Overig!H729),Overig!H729,10*Overig!H729),""",""????0;"",""???-0;"",""????0;"", ////"""),"'","""")&amp;SUBSTITUTE(TEXT(Overig!I729,""",""?00;"",""?-00;"",""?00;"", //"""),"'","""")</f>
        <v>081, 19200830, 14.00, 7476, 00, ////, 07, ////, 07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//"""),"'","""")&amp;SUBSTITUTE(TEXT(IF(ISTEXT(Overig!H730),Overig!H730,10*Overig!H730),""",""????0;"",""???-0;"",""????0;"", ////"""),"'","""")&amp;SUBSTITUTE(TEXT(Overig!I730,""",""?00;"",""?-00;"",""?00;"", //"""),"'","""")</f>
        <v>081, 19200830, 24.00, ////, 07,  270, 00,  300,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//"""),"'","""")&amp;SUBSTITUTE(TEXT(IF(ISTEXT(Overig!H731),Overig!H731,10*Overig!H731),""",""????0;"",""???-0;"",""????0;"", ////"""),"'","""")&amp;SUBSTITUTE(TEXT(Overig!I731,""",""?00;"",""?-00;"",""?00;"", //"""),"'","""")</f>
        <v>081, 19200831, 08.00, 7483, 00, ////, 07, ////, 07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//"""),"'","""")&amp;SUBSTITUTE(TEXT(IF(ISTEXT(Overig!H732),Overig!H732,10*Overig!H732),""",""????0;"",""???-0;"",""????0;"", ////"""),"'","""")&amp;SUBSTITUTE(TEXT(Overig!I732,""",""?00;"",""?-00;"",""?00;"", //"""),"'","""")</f>
        <v>081, 19200831, 14.00, 7475, 00, ////, 07, ////, 07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//"""),"'","""")&amp;SUBSTITUTE(TEXT(IF(ISTEXT(Overig!H733),Overig!H733,10*Overig!H733),""",""????0;"",""???-0;"",""????0;"", ////"""),"'","""")&amp;SUBSTITUTE(TEXT(Overig!I733,""",""?00;"",""?-00;"",""?00;"", //"""),"'","""")</f>
        <v>081, 19200831, 24.00, ////, 07,  270, 00,  290,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//"""),"'","""")&amp;SUBSTITUTE(TEXT(IF(ISTEXT(Overig!H734),Overig!H734,10*Overig!H734),""",""????0;"",""???-0;"",""????0;"", ////"""),"'","""")&amp;SUBSTITUTE(TEXT(Overig!I734,""",""?00;"",""?-00;"",""?00;"", //"""),"'","""")</f>
        <v>081, 19200901, 08.00, 7488, 00, ////, 07, ////, 07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//"""),"'","""")&amp;SUBSTITUTE(TEXT(IF(ISTEXT(Overig!H735),Overig!H735,10*Overig!H735),""",""????0;"",""???-0;"",""????0;"", ////"""),"'","""")&amp;SUBSTITUTE(TEXT(Overig!I735,""",""?00;"",""?-00;"",""?00;"", //"""),"'","""")</f>
        <v>081, 19200901, 14.00, 7472, 00, ////, 07, ////, 07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//"""),"'","""")&amp;SUBSTITUTE(TEXT(IF(ISTEXT(Overig!H736),Overig!H736,10*Overig!H736),""",""????0;"",""???-0;"",""????0;"", ////"""),"'","""")&amp;SUBSTITUTE(TEXT(Overig!I736,""",""?00;"",""?-00;"",""?00;"", //"""),"'","""")</f>
        <v>081, 19200901, 24.00, ////, 07,  270, 00,  293,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//"""),"'","""")&amp;SUBSTITUTE(TEXT(IF(ISTEXT(Overig!H737),Overig!H737,10*Overig!H737),""",""????0;"",""???-0;"",""????0;"", ////"""),"'","""")&amp;SUBSTITUTE(TEXT(Overig!I737,""",""?00;"",""?-00;"",""?00;"", //"""),"'","""")</f>
        <v>081, 19200902, 08.00, 7486, 00, ////, 07, ////, 07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//"""),"'","""")&amp;SUBSTITUTE(TEXT(IF(ISTEXT(Overig!H738),Overig!H738,10*Overig!H738),""",""????0;"",""???-0;"",""????0;"", ////"""),"'","""")&amp;SUBSTITUTE(TEXT(Overig!I738,""",""?00;"",""?-00;"",""?00;"", //"""),"'","""")</f>
        <v>081, 19200902, 14.00, 7480, 00, ////, 07, ////, 07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//"""),"'","""")&amp;SUBSTITUTE(TEXT(IF(ISTEXT(Overig!H739),Overig!H739,10*Overig!H739),""",""????0;"",""???-0;"",""????0;"", ////"""),"'","""")&amp;SUBSTITUTE(TEXT(Overig!I739,""",""?00;"",""?-00;"",""?00;"", //"""),"'","""")</f>
        <v>081, 19200902, 24.00, ////, 07,  280, 00,  300,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//"""),"'","""")&amp;SUBSTITUTE(TEXT(IF(ISTEXT(Overig!H740),Overig!H740,10*Overig!H740),""",""????0;"",""???-0;"",""????0;"", ////"""),"'","""")&amp;SUBSTITUTE(TEXT(Overig!I740,""",""?00;"",""?-00;"",""?00;"", //"""),"'","""")</f>
        <v>081, 19200903, 08.00, 7480, 00, ////, 07, ////, 07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//"""),"'","""")&amp;SUBSTITUTE(TEXT(IF(ISTEXT(Overig!H741),Overig!H741,10*Overig!H741),""",""????0;"",""???-0;"",""????0;"", ////"""),"'","""")&amp;SUBSTITUTE(TEXT(Overig!I741,""",""?00;"",""?-00;"",""?00;"", //"""),"'","""")</f>
        <v>081, 19200903, 14.00, 7475, 00, ////, 07, ////, 07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//"""),"'","""")&amp;SUBSTITUTE(TEXT(IF(ISTEXT(Overig!H742),Overig!H742,10*Overig!H742),""",""????0;"",""???-0;"",""????0;"", ////"""),"'","""")&amp;SUBSTITUTE(TEXT(Overig!I742,""",""?00;"",""?-00;"",""?00;"", //"""),"'","""")</f>
        <v>081, 19200903, 24.00, ////, 07,  273, 00,  293,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//"""),"'","""")&amp;SUBSTITUTE(TEXT(IF(ISTEXT(Overig!H743),Overig!H743,10*Overig!H743),""",""????0;"",""???-0;"",""????0;"", ////"""),"'","""")&amp;SUBSTITUTE(TEXT(Overig!I743,""",""?00;"",""?-00;"",""?00;"", //"""),"'","""")</f>
        <v>081, 19200904, 08.00, 7477, 00, ////, 07, ////, 07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//"""),"'","""")&amp;SUBSTITUTE(TEXT(IF(ISTEXT(Overig!H744),Overig!H744,10*Overig!H744),""",""????0;"",""???-0;"",""????0;"", ////"""),"'","""")&amp;SUBSTITUTE(TEXT(Overig!I744,""",""?00;"",""?-00;"",""?00;"", //"""),"'","""")</f>
        <v>081, 19200904, 14.00, 7475, 00, ////, 07, ////, 07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//"""),"'","""")&amp;SUBSTITUTE(TEXT(IF(ISTEXT(Overig!H745),Overig!H745,10*Overig!H745),""",""????0;"",""???-0;"",""????0;"", ////"""),"'","""")&amp;SUBSTITUTE(TEXT(Overig!I745,""",""?00;"",""?-00;"",""?00;"", //"""),"'","""")</f>
        <v>081, 19200904, 24.00, ////, 07,  275, 00,  303,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//"""),"'","""")&amp;SUBSTITUTE(TEXT(IF(ISTEXT(Overig!H746),Overig!H746,10*Overig!H746),""",""????0;"",""???-0;"",""????0;"", ////"""),"'","""")&amp;SUBSTITUTE(TEXT(Overig!I746,""",""?00;"",""?-00;"",""?00;"", //"""),"'","""")</f>
        <v>081, 19200905, 08.00, 7480, 00, ////, 07, ////, 07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//"""),"'","""")&amp;SUBSTITUTE(TEXT(IF(ISTEXT(Overig!H747),Overig!H747,10*Overig!H747),""",""????0;"",""???-0;"",""????0;"", ////"""),"'","""")&amp;SUBSTITUTE(TEXT(Overig!I747,""",""?00;"",""?-00;"",""?00;"", //"""),"'","""")</f>
        <v>081, 19200905, 14.00, 7473, 00, ////, 07, ////, 07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//"""),"'","""")&amp;SUBSTITUTE(TEXT(IF(ISTEXT(Overig!H748),Overig!H748,10*Overig!H748),""",""????0;"",""???-0;"",""????0;"", ////"""),"'","""")&amp;SUBSTITUTE(TEXT(Overig!I748,""",""?00;"",""?-00;"",""?00;"", //"""),"'","""")</f>
        <v>081, 19200905, 24.00, ////, 07,  270, 00,  300,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//"""),"'","""")&amp;SUBSTITUTE(TEXT(IF(ISTEXT(Overig!H749),Overig!H749,10*Overig!H749),""",""????0;"",""???-0;"",""????0;"", ////"""),"'","""")&amp;SUBSTITUTE(TEXT(Overig!I749,""",""?00;"",""?-00;"",""?00;"", //"""),"'","""")</f>
        <v>081, 19200906, 08.00, 7482, 00, ////, 07, ////, 07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//"""),"'","""")&amp;SUBSTITUTE(TEXT(IF(ISTEXT(Overig!H750),Overig!H750,10*Overig!H750),""",""????0;"",""???-0;"",""????0;"", ////"""),"'","""")&amp;SUBSTITUTE(TEXT(Overig!I750,""",""?00;"",""?-00;"",""?00;"", //"""),"'","""")</f>
        <v>081, 19200906, 14.00, 7477, 00, ////, 07, ////, 07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//"""),"'","""")&amp;SUBSTITUTE(TEXT(IF(ISTEXT(Overig!H751),Overig!H751,10*Overig!H751),""",""????0;"",""???-0;"",""????0;"", ////"""),"'","""")&amp;SUBSTITUTE(TEXT(Overig!I751,""",""?00;"",""?-00;"",""?00;"", //"""),"'","""")</f>
        <v>081, 19200906, 24.00, ////, 07,  270, 00,  293,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//"""),"'","""")&amp;SUBSTITUTE(TEXT(IF(ISTEXT(Overig!H752),Overig!H752,10*Overig!H752),""",""????0;"",""???-0;"",""????0;"", ////"""),"'","""")&amp;SUBSTITUTE(TEXT(Overig!I752,""",""?00;"",""?-00;"",""?00;"", //"""),"'","""")</f>
        <v>081, 19200907, 08.00, 7490, 00, ////, 07, ////, 07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//"""),"'","""")&amp;SUBSTITUTE(TEXT(IF(ISTEXT(Overig!H753),Overig!H753,10*Overig!H753),""",""????0;"",""???-0;"",""????0;"", ////"""),"'","""")&amp;SUBSTITUTE(TEXT(Overig!I753,""",""?00;"",""?-00;"",""?00;"", //"""),"'","""")</f>
        <v>081, 19200907, 14.00, 7476, 00, ////, 07, ////, 07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//"""),"'","""")&amp;SUBSTITUTE(TEXT(IF(ISTEXT(Overig!H754),Overig!H754,10*Overig!H754),""",""????0;"",""???-0;"",""????0;"", ////"""),"'","""")&amp;SUBSTITUTE(TEXT(Overig!I754,""",""?00;"",""?-00;"",""?00;"", //"""),"'","""")</f>
        <v>081, 19200907, 24.00, ////, 07,  260, 00,  270,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//"""),"'","""")&amp;SUBSTITUTE(TEXT(IF(ISTEXT(Overig!H755),Overig!H755,10*Overig!H755),""",""????0;"",""???-0;"",""????0;"", ////"""),"'","""")&amp;SUBSTITUTE(TEXT(Overig!I755,""",""?00;"",""?-00;"",""?00;"", //"""),"'","""")</f>
        <v>081, 19200908, 08.00, 7475, 00, ////, 07, ////, 07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//"""),"'","""")&amp;SUBSTITUTE(TEXT(IF(ISTEXT(Overig!H756),Overig!H756,10*Overig!H756),""",""????0;"",""???-0;"",""????0;"", ////"""),"'","""")&amp;SUBSTITUTE(TEXT(Overig!I756,""",""?00;"",""?-00;"",""?00;"", //"""),"'","""")</f>
        <v>081, 19200908, 14.00, 7472, 00, ////, 07, ////, 07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//"""),"'","""")&amp;SUBSTITUTE(TEXT(IF(ISTEXT(Overig!H757),Overig!H757,10*Overig!H757),""",""????0;"",""???-0;"",""????0;"", ////"""),"'","""")&amp;SUBSTITUTE(TEXT(Overig!I757,""",""?00;"",""?-00;"",""?00;"", //"""),"'","""")</f>
        <v>081, 19200908, 24.00, ////, 07,  260, 00,  280,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//"""),"'","""")&amp;SUBSTITUTE(TEXT(IF(ISTEXT(Overig!H758),Overig!H758,10*Overig!H758),""",""????0;"",""???-0;"",""????0;"", ////"""),"'","""")&amp;SUBSTITUTE(TEXT(Overig!I758,""",""?00;"",""?-00;"",""?00;"", //"""),"'","""")</f>
        <v>081, 19200909, 08.00, 7476, 00, ////, 07, ////, 07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//"""),"'","""")&amp;SUBSTITUTE(TEXT(IF(ISTEXT(Overig!H759),Overig!H759,10*Overig!H759),""",""????0;"",""???-0;"",""????0;"", ////"""),"'","""")&amp;SUBSTITUTE(TEXT(Overig!I759,""",""?00;"",""?-00;"",""?00;"", //"""),"'","""")</f>
        <v>081, 19200909, 14.00, 7473, 00, ////, 07, ////, 07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//"""),"'","""")&amp;SUBSTITUTE(TEXT(IF(ISTEXT(Overig!H760),Overig!H760,10*Overig!H760),""",""????0;"",""???-0;"",""????0;"", ////"""),"'","""")&amp;SUBSTITUTE(TEXT(Overig!I760,""",""?00;"",""?-00;"",""?00;"", //"""),"'","""")</f>
        <v>081, 19200909, 24.00, ////, 07,  260, 00,  280,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//"""),"'","""")&amp;SUBSTITUTE(TEXT(IF(ISTEXT(Overig!H761),Overig!H761,10*Overig!H761),""",""????0;"",""???-0;"",""????0;"", ////"""),"'","""")&amp;SUBSTITUTE(TEXT(Overig!I761,""",""?00;"",""?-00;"",""?00;"", //"""),"'","""")</f>
        <v>081, 19200910, 08.00, 7492, 00, ////, 07, ////, 07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//"""),"'","""")&amp;SUBSTITUTE(TEXT(IF(ISTEXT(Overig!H762),Overig!H762,10*Overig!H762),""",""????0;"",""???-0;"",""????0;"", ////"""),"'","""")&amp;SUBSTITUTE(TEXT(Overig!I762,""",""?00;"",""?-00;"",""?00;"", //"""),"'","""")</f>
        <v>081, 19200910, 14.00, 7483, 00, ////, 07, ////, 07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//"""),"'","""")&amp;SUBSTITUTE(TEXT(IF(ISTEXT(Overig!H763),Overig!H763,10*Overig!H763),""",""????0;"",""???-0;"",""????0;"", ////"""),"'","""")&amp;SUBSTITUTE(TEXT(Overig!I763,""",""?00;"",""?-00;"",""?00;"", //"""),"'","""")</f>
        <v>081, 19200910, 24.00, ////, 07,  278, 00,  295,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//"""),"'","""")&amp;SUBSTITUTE(TEXT(IF(ISTEXT(Overig!H764),Overig!H764,10*Overig!H764),""",""????0;"",""???-0;"",""????0;"", ////"""),"'","""")&amp;SUBSTITUTE(TEXT(Overig!I764,""",""?00;"",""?-00;"",""?00;"", //"""),"'","""")</f>
        <v>081, 19200911, 08.00, 7490, 00, ////, 07, ////, 07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//"""),"'","""")&amp;SUBSTITUTE(TEXT(IF(ISTEXT(Overig!H765),Overig!H765,10*Overig!H765),""",""????0;"",""???-0;"",""????0;"", ////"""),"'","""")&amp;SUBSTITUTE(TEXT(Overig!I765,""",""?00;"",""?-00;"",""?00;"", //"""),"'","""")</f>
        <v>081, 19200911, 14.00, 7485, 00, ////, 07, ////, 07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//"""),"'","""")&amp;SUBSTITUTE(TEXT(IF(ISTEXT(Overig!H766),Overig!H766,10*Overig!H766),""",""????0;"",""???-0;"",""????0;"", ////"""),"'","""")&amp;SUBSTITUTE(TEXT(Overig!I766,""",""?00;"",""?-00;"",""?00;"", //"""),"'","""")</f>
        <v>081, 19200911, 24.00, ////, 07,  280, 00,  300,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//"""),"'","""")&amp;SUBSTITUTE(TEXT(IF(ISTEXT(Overig!H767),Overig!H767,10*Overig!H767),""",""????0;"",""???-0;"",""????0;"", ////"""),"'","""")&amp;SUBSTITUTE(TEXT(Overig!I767,""",""?00;"",""?-00;"",""?00;"", //"""),"'","""")</f>
        <v>081, 19200912, 08.00, 7480, 00, ////, 07, ////, 07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//"""),"'","""")&amp;SUBSTITUTE(TEXT(IF(ISTEXT(Overig!H768),Overig!H768,10*Overig!H768),""",""????0;"",""???-0;"",""????0;"", ////"""),"'","""")&amp;SUBSTITUTE(TEXT(Overig!I768,""",""?00;"",""?-00;"",""?00;"", //"""),"'","""")</f>
        <v>081, 19200912, 14.00, 7477, 00, ////, 07, ////, 07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//"""),"'","""")&amp;SUBSTITUTE(TEXT(IF(ISTEXT(Overig!H769),Overig!H769,10*Overig!H769),""",""????0;"",""???-0;"",""????0;"", ////"""),"'","""")&amp;SUBSTITUTE(TEXT(Overig!I769,""",""?00;"",""?-00;"",""?00;"", //"""),"'","""")</f>
        <v>081, 19200912, 24.00, ////, 07,  283, 00,  300,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//"""),"'","""")&amp;SUBSTITUTE(TEXT(IF(ISTEXT(Overig!H770),Overig!H770,10*Overig!H770),""",""????0;"",""???-0;"",""????0;"", ////"""),"'","""")&amp;SUBSTITUTE(TEXT(Overig!I770,""",""?00;"",""?-00;"",""?00;"", //"""),"'","""")</f>
        <v>081, 19200913, 08.00, 7482, 00, ////, 07, ////, 07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//"""),"'","""")&amp;SUBSTITUTE(TEXT(IF(ISTEXT(Overig!H771),Overig!H771,10*Overig!H771),""",""????0;"",""???-0;"",""????0;"", ////"""),"'","""")&amp;SUBSTITUTE(TEXT(Overig!I771,""",""?00;"",""?-00;"",""?00;"", //"""),"'","""")</f>
        <v>081, 19200913, 14.00, 7466, 00, ////, 07, ////, 07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//"""),"'","""")&amp;SUBSTITUTE(TEXT(IF(ISTEXT(Overig!H772),Overig!H772,10*Overig!H772),""",""????0;"",""???-0;"",""????0;"", ////"""),"'","""")&amp;SUBSTITUTE(TEXT(Overig!I772,""",""?00;"",""?-00;"",""?00;"", //"""),"'","""")</f>
        <v>081, 19200913, 24.00, ////, 07,  270, 00,  283,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//"""),"'","""")&amp;SUBSTITUTE(TEXT(IF(ISTEXT(Overig!H773),Overig!H773,10*Overig!H773),""",""????0;"",""???-0;"",""????0;"", ////"""),"'","""")&amp;SUBSTITUTE(TEXT(Overig!I773,""",""?00;"",""?-00;"",""?00;"", //"""),"'","""")</f>
        <v>081, 19200914, 08.00, 7481, 00, ////, 07, ////, 07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//"""),"'","""")&amp;SUBSTITUTE(TEXT(IF(ISTEXT(Overig!H774),Overig!H774,10*Overig!H774),""",""????0;"",""???-0;"",""????0;"", ////"""),"'","""")&amp;SUBSTITUTE(TEXT(Overig!I774,""",""?00;"",""?-00;"",""?00;"", //"""),"'","""")</f>
        <v>081, 19200914, 14.00, 7477, 00, ////, 07, ////, 07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//"""),"'","""")&amp;SUBSTITUTE(TEXT(IF(ISTEXT(Overig!H775),Overig!H775,10*Overig!H775),""",""????0;"",""???-0;"",""????0;"", ////"""),"'","""")&amp;SUBSTITUTE(TEXT(Overig!I775,""",""?00;"",""?-00;"",""?00;"", //"""),"'","""")</f>
        <v>081, 19200914, 24.00, ////, 07,  270, 00,  295,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//"""),"'","""")&amp;SUBSTITUTE(TEXT(IF(ISTEXT(Overig!H776),Overig!H776,10*Overig!H776),""",""????0;"",""???-0;"",""????0;"", ////"""),"'","""")&amp;SUBSTITUTE(TEXT(Overig!I776,""",""?00;"",""?-00;"",""?00;"", //"""),"'","""")</f>
        <v>081, 19200915, 08.00, 7474, 00, ////, 07, ////, 07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//"""),"'","""")&amp;SUBSTITUTE(TEXT(IF(ISTEXT(Overig!H777),Overig!H777,10*Overig!H777),""",""????0;"",""???-0;"",""????0;"", ////"""),"'","""")&amp;SUBSTITUTE(TEXT(Overig!I777,""",""?00;"",""?-00;"",""?00;"", //"""),"'","""")</f>
        <v>081, 19200915, 14.00, 7470, 00, ////, 07, ////, 07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//"""),"'","""")&amp;SUBSTITUTE(TEXT(IF(ISTEXT(Overig!H778),Overig!H778,10*Overig!H778),""",""????0;"",""???-0;"",""????0;"", ////"""),"'","""")&amp;SUBSTITUTE(TEXT(Overig!I778,""",""?00;"",""?-00;"",""?00;"", //"""),"'","""")</f>
        <v>081, 19200915, 24.00, ////, 07,  270, 00,  270,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//"""),"'","""")&amp;SUBSTITUTE(TEXT(IF(ISTEXT(Overig!H779),Overig!H779,10*Overig!H779),""",""????0;"",""???-0;"",""????0;"", ////"""),"'","""")&amp;SUBSTITUTE(TEXT(Overig!I779,""",""?00;"",""?-00;"",""?00;"", //"""),"'","""")</f>
        <v>081, 19200916, 08.00, 7470, 00, ////, 07, ////, 07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//"""),"'","""")&amp;SUBSTITUTE(TEXT(IF(ISTEXT(Overig!H780),Overig!H780,10*Overig!H780),""",""????0;"",""???-0;"",""????0;"", ////"""),"'","""")&amp;SUBSTITUTE(TEXT(Overig!I780,""",""?00;"",""?-00;"",""?00;"", //"""),"'","""")</f>
        <v>081, 19200916, 14.00, 7462, 00, ////, 07, ////, 07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//"""),"'","""")&amp;SUBSTITUTE(TEXT(IF(ISTEXT(Overig!H781),Overig!H781,10*Overig!H781),""",""????0;"",""???-0;"",""????0;"", ////"""),"'","""")&amp;SUBSTITUTE(TEXT(Overig!I781,""",""?00;"",""?-00;"",""?00;"", //"""),"'","""")</f>
        <v>081, 19200916, 24.00, ////, 07,  270, 00,  300,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//"""),"'","""")&amp;SUBSTITUTE(TEXT(IF(ISTEXT(Overig!H782),Overig!H782,10*Overig!H782),""",""????0;"",""???-0;"",""????0;"", ////"""),"'","""")&amp;SUBSTITUTE(TEXT(Overig!I782,""",""?00;"",""?-00;"",""?00;"", //"""),"'","""")</f>
        <v>081, 19200917, 08.00, 7475, 00, ////, 07, ////, 07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//"""),"'","""")&amp;SUBSTITUTE(TEXT(IF(ISTEXT(Overig!H783),Overig!H783,10*Overig!H783),""",""????0;"",""???-0;"",""????0;"", ////"""),"'","""")&amp;SUBSTITUTE(TEXT(Overig!I783,""",""?00;"",""?-00;"",""?00;"", //"""),"'","""")</f>
        <v>081, 19200917, 14.00, 7468, 00, ////, 07, ////, 07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//"""),"'","""")&amp;SUBSTITUTE(TEXT(IF(ISTEXT(Overig!H784),Overig!H784,10*Overig!H784),""",""????0;"",""???-0;"",""????0;"", ////"""),"'","""")&amp;SUBSTITUTE(TEXT(Overig!I784,""",""?00;"",""?-00;"",""?00;"", //"""),"'","""")</f>
        <v>081, 19200917, 24.00, ////, 07,  280, 00,  290,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//"""),"'","""")&amp;SUBSTITUTE(TEXT(IF(ISTEXT(Overig!H785),Overig!H785,10*Overig!H785),""",""????0;"",""???-0;"",""????0;"", ////"""),"'","""")&amp;SUBSTITUTE(TEXT(Overig!I785,""",""?00;"",""?-00;"",""?00;"", //"""),"'","""")</f>
        <v>081, 19200918, 08.00, 7480, 00, ////, 07, ////, 07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//"""),"'","""")&amp;SUBSTITUTE(TEXT(IF(ISTEXT(Overig!H786),Overig!H786,10*Overig!H786),""",""????0;"",""???-0;"",""????0;"", ////"""),"'","""")&amp;SUBSTITUTE(TEXT(Overig!I786,""",""?00;"",""?-00;"",""?00;"", //"""),"'","""")</f>
        <v>081, 19200918, 14.00, 7472, 00, ////, 07, ////, 07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//"""),"'","""")&amp;SUBSTITUTE(TEXT(IF(ISTEXT(Overig!H787),Overig!H787,10*Overig!H787),""",""????0;"",""???-0;"",""????0;"", ////"""),"'","""")&amp;SUBSTITUTE(TEXT(Overig!I787,""",""?00;"",""?-00;"",""?00;"", //"""),"'","""")</f>
        <v>081, 19200918, 24.00, ////, 07,  280, 00,  298,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//"""),"'","""")&amp;SUBSTITUTE(TEXT(IF(ISTEXT(Overig!H788),Overig!H788,10*Overig!H788),""",""????0;"",""???-0;"",""????0;"", ////"""),"'","""")&amp;SUBSTITUTE(TEXT(Overig!I788,""",""?00;"",""?-00;"",""?00;"", //"""),"'","""")</f>
        <v>081, 19200919, 08.00, 7470, 00, ////, 07, ////, 07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//"""),"'","""")&amp;SUBSTITUTE(TEXT(IF(ISTEXT(Overig!H789),Overig!H789,10*Overig!H789),""",""????0;"",""???-0;"",""????0;"", ////"""),"'","""")&amp;SUBSTITUTE(TEXT(Overig!I789,""",""?00;"",""?-00;"",""?00;"", //"""),"'","""")</f>
        <v>081, 19200919, 14.00, 7465, 00, ////, 07, ////, 07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//"""),"'","""")&amp;SUBSTITUTE(TEXT(IF(ISTEXT(Overig!H790),Overig!H790,10*Overig!H790),""",""????0;"",""???-0;"",""????0;"", ////"""),"'","""")&amp;SUBSTITUTE(TEXT(Overig!I790,""",""?00;"",""?-00;"",""?00;"", //"""),"'","""")</f>
        <v>081, 19200919, 24.00, ////, 07,  270, 00,  280,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//"""),"'","""")&amp;SUBSTITUTE(TEXT(IF(ISTEXT(Overig!H791),Overig!H791,10*Overig!H791),""",""????0;"",""???-0;"",""????0;"", ////"""),"'","""")&amp;SUBSTITUTE(TEXT(Overig!I791,""",""?00;"",""?-00;"",""?00;"", //"""),"'","""")</f>
        <v>081, 19200920, 08.00, 7467, 00, ////, 07, ////, 07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//"""),"'","""")&amp;SUBSTITUTE(TEXT(IF(ISTEXT(Overig!H792),Overig!H792,10*Overig!H792),""",""????0;"",""???-0;"",""????0;"", ////"""),"'","""")&amp;SUBSTITUTE(TEXT(Overig!I792,""",""?00;"",""?-00;"",""?00;"", //"""),"'","""")</f>
        <v>081, 19200920, 14.00, 7462, 00, ////, 07, ////, 07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//"""),"'","""")&amp;SUBSTITUTE(TEXT(IF(ISTEXT(Overig!H793),Overig!H793,10*Overig!H793),""",""????0;"",""???-0;"",""????0;"", ////"""),"'","""")&amp;SUBSTITUTE(TEXT(Overig!I793,""",""?00;"",""?-00;"",""?00;"", //"""),"'","""")</f>
        <v>081, 19200920, 24.00, ////, 07,  270, 00,  280,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//"""),"'","""")&amp;SUBSTITUTE(TEXT(IF(ISTEXT(Overig!H794),Overig!H794,10*Overig!H794),""",""????0;"",""???-0;"",""????0;"", ////"""),"'","""")&amp;SUBSTITUTE(TEXT(Overig!I794,""",""?00;"",""?-00;"",""?00;"", //"""),"'","""")</f>
        <v>081, 19200921, 08.00, 7474, 00, ////, 07, ////, 07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//"""),"'","""")&amp;SUBSTITUTE(TEXT(IF(ISTEXT(Overig!H795),Overig!H795,10*Overig!H795),""",""????0;"",""???-0;"",""????0;"", ////"""),"'","""")&amp;SUBSTITUTE(TEXT(Overig!I795,""",""?00;"",""?-00;"",""?00;"", //"""),"'","""")</f>
        <v>081, 19200921, 14.00, 7461, 00, ////, 07, ////, 07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//"""),"'","""")&amp;SUBSTITUTE(TEXT(IF(ISTEXT(Overig!H796),Overig!H796,10*Overig!H796),""",""????0;"",""???-0;"",""????0;"", ////"""),"'","""")&amp;SUBSTITUTE(TEXT(Overig!I796,""",""?00;"",""?-00;"",""?00;"", //"""),"'","""")</f>
        <v>081, 19200921, 24.00, ////, 07,  268, 00,  283,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//"""),"'","""")&amp;SUBSTITUTE(TEXT(IF(ISTEXT(Overig!H797),Overig!H797,10*Overig!H797),""",""????0;"",""???-0;"",""????0;"", ////"""),"'","""")&amp;SUBSTITUTE(TEXT(Overig!I797,""",""?00;"",""?-00;"",""?00;"", //"""),"'","""")</f>
        <v>081, 19200922, 08.00, 7470, 00, ////, 07, ////, 07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//"""),"'","""")&amp;SUBSTITUTE(TEXT(IF(ISTEXT(Overig!H798),Overig!H798,10*Overig!H798),""",""????0;"",""???-0;"",""????0;"", ////"""),"'","""")&amp;SUBSTITUTE(TEXT(Overig!I798,""",""?00;"",""?-00;"",""?00;"", //"""),"'","""")</f>
        <v>081, 19200922, 14.00, 7470, 00, ////, 07, ////, 07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//"""),"'","""")&amp;SUBSTITUTE(TEXT(IF(ISTEXT(Overig!H799),Overig!H799,10*Overig!H799),""",""????0;"",""???-0;"",""????0;"", ////"""),"'","""")&amp;SUBSTITUTE(TEXT(Overig!I799,""",""?00;"",""?-00;"",""?00;"", //"""),"'","""")</f>
        <v>081, 19200922, 24.00, ////, 07,  270, 00,  295,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//"""),"'","""")&amp;SUBSTITUTE(TEXT(IF(ISTEXT(Overig!H800),Overig!H800,10*Overig!H800),""",""????0;"",""???-0;"",""????0;"", ////"""),"'","""")&amp;SUBSTITUTE(TEXT(Overig!I800,""",""?00;"",""?-00;"",""?00;"", //"""),"'","""")</f>
        <v>081, 19200923, 08.00, 7470, 00, ////, 07, ////, 07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//"""),"'","""")&amp;SUBSTITUTE(TEXT(IF(ISTEXT(Overig!H801),Overig!H801,10*Overig!H801),""",""????0;"",""???-0;"",""????0;"", ////"""),"'","""")&amp;SUBSTITUTE(TEXT(Overig!I801,""",""?00;"",""?-00;"",""?00;"", //"""),"'","""")</f>
        <v>081, 19200923, 14.00, 7456, 00, ////, 07, ////, 07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//"""),"'","""")&amp;SUBSTITUTE(TEXT(IF(ISTEXT(Overig!H802),Overig!H802,10*Overig!H802),""",""????0;"",""???-0;"",""????0;"", ////"""),"'","""")&amp;SUBSTITUTE(TEXT(Overig!I802,""",""?00;"",""?-00;"",""?00;"", //"""),"'","""")</f>
        <v>081, 19200923, 24.00, ////, 07,  270, 00,  280,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//"""),"'","""")&amp;SUBSTITUTE(TEXT(IF(ISTEXT(Overig!H803),Overig!H803,10*Overig!H803),""",""????0;"",""???-0;"",""????0;"", ////"""),"'","""")&amp;SUBSTITUTE(TEXT(Overig!I803,""",""?00;"",""?-00;"",""?00;"", //"""),"'","""")</f>
        <v>081, 19200924, 08.00, 7448, 00, ////, 07, ////, 07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//"""),"'","""")&amp;SUBSTITUTE(TEXT(IF(ISTEXT(Overig!H804),Overig!H804,10*Overig!H804),""",""????0;"",""???-0;"",""????0;"", ////"""),"'","""")&amp;SUBSTITUTE(TEXT(Overig!I804,""",""?00;"",""?-00;"",""?00;"", //"""),"'","""")</f>
        <v>081, 19200924, 14.00, 7452, 00, ////, 07, ////, 07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//"""),"'","""")&amp;SUBSTITUTE(TEXT(IF(ISTEXT(Overig!H805),Overig!H805,10*Overig!H805),""",""????0;"",""???-0;"",""????0;"", ////"""),"'","""")&amp;SUBSTITUTE(TEXT(Overig!I805,""",""?00;"",""?-00;"",""?00;"", //"""),"'","""")</f>
        <v>081, 19200924, 24.00, ////, 07,  270, 00,  280,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//"""),"'","""")&amp;SUBSTITUTE(TEXT(IF(ISTEXT(Overig!H806),Overig!H806,10*Overig!H806),""",""????0;"",""???-0;"",""????0;"", ////"""),"'","""")&amp;SUBSTITUTE(TEXT(Overig!I806,""",""?00;"",""?-00;"",""?00;"", //"""),"'","""")</f>
        <v>081, 19200925, 08.00, 7472, 00, ////, 07, ////, 07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//"""),"'","""")&amp;SUBSTITUTE(TEXT(IF(ISTEXT(Overig!H807),Overig!H807,10*Overig!H807),""",""????0;"",""???-0;"",""????0;"", ////"""),"'","""")&amp;SUBSTITUTE(TEXT(Overig!I807,""",""?00;"",""?-00;"",""?00;"", //"""),"'","""")</f>
        <v>081, 19200925, 14.00, 7465, 00, ////, 07, ////, 07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//"""),"'","""")&amp;SUBSTITUTE(TEXT(IF(ISTEXT(Overig!H808),Overig!H808,10*Overig!H808),""",""????0;"",""???-0;"",""????0;"", ////"""),"'","""")&amp;SUBSTITUTE(TEXT(Overig!I808,""",""?00;"",""?-00;"",""?00;"", //"""),"'","""")</f>
        <v>081, 19200925, 24.00, ////, 07,  280, 00,  305,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//"""),"'","""")&amp;SUBSTITUTE(TEXT(IF(ISTEXT(Overig!H809),Overig!H809,10*Overig!H809),""",""????0;"",""???-0;"",""????0;"", ////"""),"'","""")&amp;SUBSTITUTE(TEXT(Overig!I809,""",""?00;"",""?-00;"",""?00;"", //"""),"'","""")</f>
        <v>081, 19200926, 08.00, 7471, 00, ////, 07, ////, 07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//"""),"'","""")&amp;SUBSTITUTE(TEXT(IF(ISTEXT(Overig!H810),Overig!H810,10*Overig!H810),""",""????0;"",""???-0;"",""????0;"", ////"""),"'","""")&amp;SUBSTITUTE(TEXT(Overig!I810,""",""?00;"",""?-00;"",""?00;"", //"""),"'","""")</f>
        <v>081, 19200926, 14.00, 7466, 00, ////, 07, ////, 07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//"""),"'","""")&amp;SUBSTITUTE(TEXT(IF(ISTEXT(Overig!H811),Overig!H811,10*Overig!H811),""",""????0;"",""???-0;"",""????0;"", ////"""),"'","""")&amp;SUBSTITUTE(TEXT(Overig!I811,""",""?00;"",""?-00;"",""?00;"", //"""),"'","""")</f>
        <v>081, 19200926, 24.00, ////, 07,  280, 00,  300,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//"""),"'","""")&amp;SUBSTITUTE(TEXT(IF(ISTEXT(Overig!H812),Overig!H812,10*Overig!H812),""",""????0;"",""???-0;"",""????0;"", ////"""),"'","""")&amp;SUBSTITUTE(TEXT(Overig!I812,""",""?00;"",""?-00;"",""?00;"", //"""),"'","""")</f>
        <v>081, 19200927, 08.00, 7470, 00, ////, 07, ////, 07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//"""),"'","""")&amp;SUBSTITUTE(TEXT(IF(ISTEXT(Overig!H813),Overig!H813,10*Overig!H813),""",""????0;"",""???-0;"",""????0;"", ////"""),"'","""")&amp;SUBSTITUTE(TEXT(Overig!I813,""",""?00;"",""?-00;"",""?00;"", //"""),"'","""")</f>
        <v>081, 19200927, 14.00, 7467, 00, ////, 07, ////, 07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//"""),"'","""")&amp;SUBSTITUTE(TEXT(IF(ISTEXT(Overig!H814),Overig!H814,10*Overig!H814),""",""????0;"",""???-0;"",""????0;"", ////"""),"'","""")&amp;SUBSTITUTE(TEXT(Overig!I814,""",""?00;"",""?-00;"",""?00;"", //"""),"'","""")</f>
        <v>081, 19200927, 24.00, ////, 07,  270, 00,  290,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//"""),"'","""")&amp;SUBSTITUTE(TEXT(IF(ISTEXT(Overig!H815),Overig!H815,10*Overig!H815),""",""????0;"",""???-0;"",""????0;"", ////"""),"'","""")&amp;SUBSTITUTE(TEXT(Overig!I815,""",""?00;"",""?-00;"",""?00;"", //"""),"'","""")</f>
        <v>081, 19200928, 08.00, 7470, 00, ////, 07, ////, 07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//"""),"'","""")&amp;SUBSTITUTE(TEXT(IF(ISTEXT(Overig!H816),Overig!H816,10*Overig!H816),""",""????0;"",""???-0;"",""????0;"", ////"""),"'","""")&amp;SUBSTITUTE(TEXT(Overig!I816,""",""?00;"",""?-00;"",""?00;"", //"""),"'","""")</f>
        <v>081, 19200928, 14.00, 7465, 00, ////, 07, ////, 07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//"""),"'","""")&amp;SUBSTITUTE(TEXT(IF(ISTEXT(Overig!H817),Overig!H817,10*Overig!H817),""",""????0;"",""???-0;"",""????0;"", ////"""),"'","""")&amp;SUBSTITUTE(TEXT(Overig!I817,""",""?00;"",""?-00;"",""?00;"", //"""),"'","""")</f>
        <v>081, 19200928, 24.00, ////, 07,  280, 00,  300,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//"""),"'","""")&amp;SUBSTITUTE(TEXT(IF(ISTEXT(Overig!H818),Overig!H818,10*Overig!H818),""",""????0;"",""???-0;"",""????0;"", ////"""),"'","""")&amp;SUBSTITUTE(TEXT(Overig!I818,""",""?00;"",""?-00;"",""?00;"", //"""),"'","""")</f>
        <v>081, 19200929, 08.00, 7475, 00, ////, 07, ////, 07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//"""),"'","""")&amp;SUBSTITUTE(TEXT(IF(ISTEXT(Overig!H819),Overig!H819,10*Overig!H819),""",""????0;"",""???-0;"",""????0;"", ////"""),"'","""")&amp;SUBSTITUTE(TEXT(Overig!I819,""",""?00;"",""?-00;"",""?00;"", //"""),"'","""")</f>
        <v>081, 19200929, 14.00, 7470, 00, ////, 07, ////, 07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//"""),"'","""")&amp;SUBSTITUTE(TEXT(IF(ISTEXT(Overig!H820),Overig!H820,10*Overig!H820),""",""????0;"",""???-0;"",""????0;"", ////"""),"'","""")&amp;SUBSTITUTE(TEXT(Overig!I820,""",""?00;"",""?-00;"",""?00;"", //"""),"'","""")</f>
        <v>081, 19200929, 24.00, ////, 07,  280, 00,  300,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//"""),"'","""")&amp;SUBSTITUTE(TEXT(IF(ISTEXT(Overig!H821),Overig!H821,10*Overig!H821),""",""????0;"",""???-0;"",""????0;"", ////"""),"'","""")&amp;SUBSTITUTE(TEXT(Overig!I821,""",""?00;"",""?-00;"",""?00;"", //"""),"'","""")</f>
        <v>081, 19200930, 08.00, 7485, 00, ////, 07, ////, 07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//"""),"'","""")&amp;SUBSTITUTE(TEXT(IF(ISTEXT(Overig!H822),Overig!H822,10*Overig!H822),""",""????0;"",""???-0;"",""????0;"", ////"""),"'","""")&amp;SUBSTITUTE(TEXT(Overig!I822,""",""?00;"",""?-00;"",""?00;"", //"""),"'","""")</f>
        <v>081, 19200930, 14.00, 7482, 00, ////, 07, ////, 07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//"""),"'","""")&amp;SUBSTITUTE(TEXT(IF(ISTEXT(Overig!H823),Overig!H823,10*Overig!H823),""",""????0;"",""???-0;"",""????0;"", ////"""),"'","""")&amp;SUBSTITUTE(TEXT(Overig!I823,""",""?00;"",""?-00;"",""?00;"", //"""),"'","""")</f>
        <v>081, 19200930, 24.00, ////, 07,  290, 00,  310,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//"""),"'","""")&amp;SUBSTITUTE(TEXT(IF(ISTEXT(Overig!H824),Overig!H824,10*Overig!H824),""",""????0;"",""???-0;"",""????0;"", ////"""),"'","""")&amp;SUBSTITUTE(TEXT(Overig!I824,""",""?00;"",""?-00;"",""?00;"", //"""),"'","""")</f>
        <v>081, 19201001, 08.00, 7472, 00, ////, 07, ////, 07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//"""),"'","""")&amp;SUBSTITUTE(TEXT(IF(ISTEXT(Overig!H825),Overig!H825,10*Overig!H825),""",""????0;"",""???-0;"",""????0;"", ////"""),"'","""")&amp;SUBSTITUTE(TEXT(Overig!I825,""",""?00;"",""?-00;"",""?00;"", //"""),"'","""")</f>
        <v>081, 19201001, 14.00, 7476, 00, ////, 07, ////, 07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//"""),"'","""")&amp;SUBSTITUTE(TEXT(IF(ISTEXT(Overig!H826),Overig!H826,10*Overig!H826),""",""????0;"",""???-0;"",""????0;"", ////"""),"'","""")&amp;SUBSTITUTE(TEXT(Overig!I826,""",""?00;"",""?-00;"",""?00;"", //"""),"'","""")</f>
        <v>081, 19201001, 24.00, ////, 07,  260, 00,  280,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//"""),"'","""")&amp;SUBSTITUTE(TEXT(IF(ISTEXT(Overig!H827),Overig!H827,10*Overig!H827),""",""????0;"",""???-0;"",""????0;"", ////"""),"'","""")&amp;SUBSTITUTE(TEXT(Overig!I827,""",""?00;"",""?-00;"",""?00;"", //"""),"'","""")</f>
        <v>081, 19201002, 08.00, 7480, 00, ////, 07, ////, 07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//"""),"'","""")&amp;SUBSTITUTE(TEXT(IF(ISTEXT(Overig!H828),Overig!H828,10*Overig!H828),""",""????0;"",""???-0;"",""????0;"", ////"""),"'","""")&amp;SUBSTITUTE(TEXT(Overig!I828,""",""?00;"",""?-00;"",""?00;"", //"""),"'","""")</f>
        <v>081, 19201002, 14.00, 7477, 00, ////, 07, ////, 07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//"""),"'","""")&amp;SUBSTITUTE(TEXT(IF(ISTEXT(Overig!H829),Overig!H829,10*Overig!H829),""",""????0;"",""???-0;"",""????0;"", ////"""),"'","""")&amp;SUBSTITUTE(TEXT(Overig!I829,""",""?00;"",""?-00;"",""?00;"", //"""),"'","""")</f>
        <v>081, 19201002, 24.00, ////, 07,  275, 00,  310,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//"""),"'","""")&amp;SUBSTITUTE(TEXT(IF(ISTEXT(Overig!H830),Overig!H830,10*Overig!H830),""",""????0;"",""???-0;"",""????0;"", ////"""),"'","""")&amp;SUBSTITUTE(TEXT(Overig!I830,""",""?00;"",""?-00;"",""?00;"", //"""),"'","""")</f>
        <v>081, 19201003, 08.00, 7490, 00, ////, 07, ////, 07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//"""),"'","""")&amp;SUBSTITUTE(TEXT(IF(ISTEXT(Overig!H831),Overig!H831,10*Overig!H831),""",""????0;"",""???-0;"",""????0;"", ////"""),"'","""")&amp;SUBSTITUTE(TEXT(Overig!I831,""",""?00;"",""?-00;"",""?00;"", //"""),"'","""")</f>
        <v>081, 19201003, 14.00, 7485, 00, ////, 07, ////, 07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//"""),"'","""")&amp;SUBSTITUTE(TEXT(IF(ISTEXT(Overig!H832),Overig!H832,10*Overig!H832),""",""????0;"",""???-0;"",""????0;"", ////"""),"'","""")&amp;SUBSTITUTE(TEXT(Overig!I832,""",""?00;"",""?-00;"",""?00;"", //"""),"'","""")</f>
        <v>081, 19201003, 24.00, ////, 07,  280, 00,  310,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//"""),"'","""")&amp;SUBSTITUTE(TEXT(IF(ISTEXT(Overig!H833),Overig!H833,10*Overig!H833),""",""????0;"",""???-0;"",""????0;"", ////"""),"'","""")&amp;SUBSTITUTE(TEXT(Overig!I833,""",""?00;"",""?-00;"",""?00;"", //"""),"'","""")</f>
        <v>081, 19201004, 08.00, 7495, 00, ////, 07, ////, 07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//"""),"'","""")&amp;SUBSTITUTE(TEXT(IF(ISTEXT(Overig!H834),Overig!H834,10*Overig!H834),""",""????0;"",""???-0;"",""????0;"", ////"""),"'","""")&amp;SUBSTITUTE(TEXT(Overig!I834,""",""?00;"",""?-00;"",""?00;"", //"""),"'","""")</f>
        <v>081, 19201004, 14.00, 7480, 00, ////, 07, ////, 07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//"""),"'","""")&amp;SUBSTITUTE(TEXT(IF(ISTEXT(Overig!H835),Overig!H835,10*Overig!H835),""",""????0;"",""???-0;"",""????0;"", ////"""),"'","""")&amp;SUBSTITUTE(TEXT(Overig!I835,""",""?00;"",""?-00;"",""?00;"", //"""),"'","""")</f>
        <v>081, 19201004, 24.00, ////, 07,  290, 00,  320,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//"""),"'","""")&amp;SUBSTITUTE(TEXT(IF(ISTEXT(Overig!H836),Overig!H836,10*Overig!H836),""",""????0;"",""???-0;"",""????0;"", ////"""),"'","""")&amp;SUBSTITUTE(TEXT(Overig!I836,""",""?00;"",""?-00;"",""?00;"", //"""),"'","""")</f>
        <v>081, 19201005, 08.00, 7497, 00, ////, 07, ////, 07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//"""),"'","""")&amp;SUBSTITUTE(TEXT(IF(ISTEXT(Overig!H837),Overig!H837,10*Overig!H837),""",""????0;"",""???-0;"",""????0;"", ////"""),"'","""")&amp;SUBSTITUTE(TEXT(Overig!I837,""",""?00;"",""?-00;"",""?00;"", //"""),"'","""")</f>
        <v>081, 19201005, 14.00, 7482, 00, ////, 07, ////, 07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//"""),"'","""")&amp;SUBSTITUTE(TEXT(IF(ISTEXT(Overig!H838),Overig!H838,10*Overig!H838),""",""????0;"",""???-0;"",""????0;"", ////"""),"'","""")&amp;SUBSTITUTE(TEXT(Overig!I838,""",""?00;"",""?-00;"",""?00;"", //"""),"'","""")</f>
        <v>081, 19201005, 24.00, ////, 07,  290, 00,  310,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//"""),"'","""")&amp;SUBSTITUTE(TEXT(IF(ISTEXT(Overig!H839),Overig!H839,10*Overig!H839),""",""????0;"",""???-0;"",""????0;"", ////"""),"'","""")&amp;SUBSTITUTE(TEXT(Overig!I839,""",""?00;"",""?-00;"",""?00;"", //"""),"'","""")</f>
        <v>081, 19201006, 08.00, 7468, 00, ////, 07, ////, 07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//"""),"'","""")&amp;SUBSTITUTE(TEXT(IF(ISTEXT(Overig!H840),Overig!H840,10*Overig!H840),""",""????0;"",""???-0;"",""????0;"", ////"""),"'","""")&amp;SUBSTITUTE(TEXT(Overig!I840,""",""?00;"",""?-00;"",""?00;"", //"""),"'","""")</f>
        <v>081, 19201006, 14.00, 7465, 00, ////, 07, ////, 07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//"""),"'","""")&amp;SUBSTITUTE(TEXT(IF(ISTEXT(Overig!H841),Overig!H841,10*Overig!H841),""",""????0;"",""???-0;"",""????0;"", ////"""),"'","""")&amp;SUBSTITUTE(TEXT(Overig!I841,""",""?00;"",""?-00;"",""?00;"", //"""),"'","""")</f>
        <v>081, 19201006, 24.00, ////, 07,  283, 00,  300,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//"""),"'","""")&amp;SUBSTITUTE(TEXT(IF(ISTEXT(Overig!H842),Overig!H842,10*Overig!H842),""",""????0;"",""???-0;"",""????0;"", ////"""),"'","""")&amp;SUBSTITUTE(TEXT(Overig!I842,""",""?00;"",""?-00;"",""?00;"", //"""),"'","""")</f>
        <v>081, 19201007, 08.00, 7460, 00, ////, 07, ////, 07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//"""),"'","""")&amp;SUBSTITUTE(TEXT(IF(ISTEXT(Overig!H843),Overig!H843,10*Overig!H843),""",""????0;"",""???-0;"",""????0;"", ////"""),"'","""")&amp;SUBSTITUTE(TEXT(Overig!I843,""",""?00;"",""?-00;"",""?00;"", //"""),"'","""")</f>
        <v>081, 19201007, 14.00, 7463, 00, ////, 07, ////, 07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//"""),"'","""")&amp;SUBSTITUTE(TEXT(IF(ISTEXT(Overig!H844),Overig!H844,10*Overig!H844),""",""????0;"",""???-0;"",""????0;"", ////"""),"'","""")&amp;SUBSTITUTE(TEXT(Overig!I844,""",""?00;"",""?-00;"",""?00;"", //"""),"'","""")</f>
        <v>081, 19201007, 24.00, ////, 07,  293, 00,  310,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//"""),"'","""")&amp;SUBSTITUTE(TEXT(IF(ISTEXT(Overig!H845),Overig!H845,10*Overig!H845),""",""????0;"",""???-0;"",""????0;"", ////"""),"'","""")&amp;SUBSTITUTE(TEXT(Overig!I845,""",""?00;"",""?-00;"",""?00;"", //"""),"'","""")</f>
        <v>081, 19201008, 08.00, 7465, 00, ////, 07, ////, 07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//"""),"'","""")&amp;SUBSTITUTE(TEXT(IF(ISTEXT(Overig!H846),Overig!H846,10*Overig!H846),""",""????0;"",""???-0;"",""????0;"", ////"""),"'","""")&amp;SUBSTITUTE(TEXT(Overig!I846,""",""?00;"",""?-00;"",""?00;"", //"""),"'","""")</f>
        <v>081, 19201008, 14.00, 7463, 00, ////, 07, ////, 07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//"""),"'","""")&amp;SUBSTITUTE(TEXT(IF(ISTEXT(Overig!H847),Overig!H847,10*Overig!H847),""",""????0;"",""???-0;"",""????0;"", ////"""),"'","""")&amp;SUBSTITUTE(TEXT(Overig!I847,""",""?00;"",""?-00;"",""?00;"", //"""),"'","""")</f>
        <v>081, 19201008, 24.00, ////, 07,  288, 00,  308,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//"""),"'","""")&amp;SUBSTITUTE(TEXT(IF(ISTEXT(Overig!H848),Overig!H848,10*Overig!H848),""",""????0;"",""???-0;"",""????0;"", ////"""),"'","""")&amp;SUBSTITUTE(TEXT(Overig!I848,""",""?00;"",""?-00;"",""?00;"", //"""),"'","""")</f>
        <v>081, 19201009, 08.00, 7485, 00, ////, 07, ////, 07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//"""),"'","""")&amp;SUBSTITUTE(TEXT(IF(ISTEXT(Overig!H849),Overig!H849,10*Overig!H849),""",""????0;"",""???-0;"",""????0;"", ////"""),"'","""")&amp;SUBSTITUTE(TEXT(Overig!I849,""",""?00;"",""?-00;"",""?00;"", //"""),"'","""")</f>
        <v>081, 19201009, 14.00, 7470, 00, ////, 07, ////, 07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//"""),"'","""")&amp;SUBSTITUTE(TEXT(IF(ISTEXT(Overig!H850),Overig!H850,10*Overig!H850),""",""????0;"",""???-0;"",""????0;"", ////"""),"'","""")&amp;SUBSTITUTE(TEXT(Overig!I850,""",""?00;"",""?-00;"",""?00;"", //"""),"'","""")</f>
        <v>081, 19201009, 24.00, ////, 07,  275, 00,  300,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//"""),"'","""")&amp;SUBSTITUTE(TEXT(IF(ISTEXT(Overig!H851),Overig!H851,10*Overig!H851),""",""????0;"",""???-0;"",""????0;"", ////"""),"'","""")&amp;SUBSTITUTE(TEXT(Overig!I851,""",""?00;"",""?-00;"",""?00;"", //"""),"'","""")</f>
        <v>081, 19201010, 08.00, 7482, 00, ////, 07, ////, 07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//"""),"'","""")&amp;SUBSTITUTE(TEXT(IF(ISTEXT(Overig!H852),Overig!H852,10*Overig!H852),""",""????0;"",""???-0;"",""????0;"", ////"""),"'","""")&amp;SUBSTITUTE(TEXT(Overig!I852,""",""?00;"",""?-00;"",""?00;"", //"""),"'","""")</f>
        <v>081, 19201010, 14.00, 7476, 00, ////, 07, ////, 07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//"""),"'","""")&amp;SUBSTITUTE(TEXT(IF(ISTEXT(Overig!H853),Overig!H853,10*Overig!H853),""",""????0;"",""???-0;"",""????0;"", ////"""),"'","""")&amp;SUBSTITUTE(TEXT(Overig!I853,""",""?00;"",""?-00;"",""?00;"", //"""),"'","""")</f>
        <v>081, 19201010, 24.00, ////, 07,  280, 00,  300,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//"""),"'","""")&amp;SUBSTITUTE(TEXT(IF(ISTEXT(Overig!H854),Overig!H854,10*Overig!H854),""",""????0;"",""???-0;"",""????0;"", ////"""),"'","""")&amp;SUBSTITUTE(TEXT(Overig!I854,""",""?00;"",""?-00;"",""?00;"", //"""),"'","""")</f>
        <v>081, 19201011, 08.00, 7480, 00, ////, 07, ////, 07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//"""),"'","""")&amp;SUBSTITUTE(TEXT(IF(ISTEXT(Overig!H855),Overig!H855,10*Overig!H855),""",""????0;"",""???-0;"",""????0;"", ////"""),"'","""")&amp;SUBSTITUTE(TEXT(Overig!I855,""",""?00;"",""?-00;"",""?00;"", //"""),"'","""")</f>
        <v>081, 19201011, 14.00, 7475, 00, ////, 07, ////, 07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//"""),"'","""")&amp;SUBSTITUTE(TEXT(IF(ISTEXT(Overig!H856),Overig!H856,10*Overig!H856),""",""????0;"",""???-0;"",""????0;"", ////"""),"'","""")&amp;SUBSTITUTE(TEXT(Overig!I856,""",""?00;"",""?-00;"",""?00;"", //"""),"'","""")</f>
        <v>081, 19201011, 24.00, ////, 07,  285, 00,  310,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//"""),"'","""")&amp;SUBSTITUTE(TEXT(IF(ISTEXT(Overig!H857),Overig!H857,10*Overig!H857),""",""????0;"",""???-0;"",""????0;"", ////"""),"'","""")&amp;SUBSTITUTE(TEXT(Overig!I857,""",""?00;"",""?-00;"",""?00;"", //"""),"'","""")</f>
        <v>081, 19201012, 08.00, 7476, 00, ////, 07, ////, 07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//"""),"'","""")&amp;SUBSTITUTE(TEXT(IF(ISTEXT(Overig!H858),Overig!H858,10*Overig!H858),""",""????0;"",""???-0;"",""????0;"", ////"""),"'","""")&amp;SUBSTITUTE(TEXT(Overig!I858,""",""?00;"",""?-00;"",""?00;"", //"""),"'","""")</f>
        <v>081, 19201012, 14.00, 7470, 00, ////, 07, ////, 07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//"""),"'","""")&amp;SUBSTITUTE(TEXT(IF(ISTEXT(Overig!H859),Overig!H859,10*Overig!H859),""",""????0;"",""???-0;"",""????0;"", ////"""),"'","""")&amp;SUBSTITUTE(TEXT(Overig!I859,""",""?00;"",""?-00;"",""?00;"", //"""),"'","""")</f>
        <v>081, 19201012, 24.00, ////, 07,  280, 00,  300,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//"""),"'","""")&amp;SUBSTITUTE(TEXT(IF(ISTEXT(Overig!H860),Overig!H860,10*Overig!H860),""",""????0;"",""???-0;"",""????0;"", ////"""),"'","""")&amp;SUBSTITUTE(TEXT(Overig!I860,""",""?00;"",""?-00;"",""?00;"", //"""),"'","""")</f>
        <v>081, 19201013, 08.00, 7460, 00, ////, 07, ////, 07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//"""),"'","""")&amp;SUBSTITUTE(TEXT(IF(ISTEXT(Overig!H861),Overig!H861,10*Overig!H861),""",""????0;"",""???-0;"",""????0;"", ////"""),"'","""")&amp;SUBSTITUTE(TEXT(Overig!I861,""",""?00;"",""?-00;"",""?00;"", //"""),"'","""")</f>
        <v>081, 19201013, 14.00, 7459, 00, ////, 07, ////, 07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//"""),"'","""")&amp;SUBSTITUTE(TEXT(IF(ISTEXT(Overig!H862),Overig!H862,10*Overig!H862),""",""????0;"",""???-0;"",""????0;"", ////"""),"'","""")&amp;SUBSTITUTE(TEXT(Overig!I862,""",""?00;"",""?-00;"",""?00;"", //"""),"'","""")</f>
        <v>081, 19201013, 24.00, ////, 07,  278, 00,  295,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//"""),"'","""")&amp;SUBSTITUTE(TEXT(IF(ISTEXT(Overig!H863),Overig!H863,10*Overig!H863),""",""????0;"",""???-0;"",""????0;"", ////"""),"'","""")&amp;SUBSTITUTE(TEXT(Overig!I863,""",""?00;"",""?-00;"",""?00;"", //"""),"'","""")</f>
        <v>081, 19201014, 08.00, 7465, 00, ////, 07, ////, 07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//"""),"'","""")&amp;SUBSTITUTE(TEXT(IF(ISTEXT(Overig!H864),Overig!H864,10*Overig!H864),""",""????0;"",""???-0;"",""????0;"", ////"""),"'","""")&amp;SUBSTITUTE(TEXT(Overig!I864,""",""?00;"",""?-00;"",""?00;"", //"""),"'","""")</f>
        <v>081, 19201014, 14.00, 7450, 00, ////, 07, ////, 07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//"""),"'","""")&amp;SUBSTITUTE(TEXT(IF(ISTEXT(Overig!H865),Overig!H865,10*Overig!H865),""",""????0;"",""???-0;"",""????0;"", ////"""),"'","""")&amp;SUBSTITUTE(TEXT(Overig!I865,""",""?00;"",""?-00;"",""?00;"", //"""),"'","""")</f>
        <v>081, 19201014, 24.00, ////, 07,  283, 00,  303,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//"""),"'","""")&amp;SUBSTITUTE(TEXT(IF(ISTEXT(Overig!H866),Overig!H866,10*Overig!H866),""",""????0;"",""???-0;"",""????0;"", ////"""),"'","""")&amp;SUBSTITUTE(TEXT(Overig!I866,""",""?00;"",""?-00;"",""?00;"", //"""),"'","""")</f>
        <v>081, 19201015, 08.00, 7460, 00, ////, 07, ////, 07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//"""),"'","""")&amp;SUBSTITUTE(TEXT(IF(ISTEXT(Overig!H867),Overig!H867,10*Overig!H867),""",""????0;"",""???-0;"",""????0;"", ////"""),"'","""")&amp;SUBSTITUTE(TEXT(Overig!I867,""",""?00;"",""?-00;"",""?00;"", //"""),"'","""")</f>
        <v>081, 19201015, 14.00, 7456, 00, ////, 07, ////, 07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//"""),"'","""")&amp;SUBSTITUTE(TEXT(IF(ISTEXT(Overig!H868),Overig!H868,10*Overig!H868),""",""????0;"",""???-0;"",""????0;"", ////"""),"'","""")&amp;SUBSTITUTE(TEXT(Overig!I868,""",""?00;"",""?-00;"",""?00;"", //"""),"'","""")</f>
        <v>081, 19201015, 24.00, ////, 07,  285, 00,  305,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//"""),"'","""")&amp;SUBSTITUTE(TEXT(IF(ISTEXT(Overig!H869),Overig!H869,10*Overig!H869),""",""????0;"",""???-0;"",""????0;"", ////"""),"'","""")&amp;SUBSTITUTE(TEXT(Overig!I869,""",""?00;"",""?-00;"",""?00;"", //"""),"'","""")</f>
        <v>081, 19201016, 08.00, 7470, 00, ////, 07, ////, 07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//"""),"'","""")&amp;SUBSTITUTE(TEXT(IF(ISTEXT(Overig!H870),Overig!H870,10*Overig!H870),""",""????0;"",""???-0;"",""????0;"", ////"""),"'","""")&amp;SUBSTITUTE(TEXT(Overig!I870,""",""?00;"",""?-00;"",""?00;"", //"""),"'","""")</f>
        <v>081, 19201016, 14.00, 7460, 00, ////, 07, ////, 07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//"""),"'","""")&amp;SUBSTITUTE(TEXT(IF(ISTEXT(Overig!H871),Overig!H871,10*Overig!H871),""",""????0;"",""???-0;"",""????0;"", ////"""),"'","""")&amp;SUBSTITUTE(TEXT(Overig!I871,""",""?00;"",""?-00;"",""?00;"", //"""),"'","""")</f>
        <v>081, 19201016, 24.00, ////, 07,  270, 00,  280,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//"""),"'","""")&amp;SUBSTITUTE(TEXT(IF(ISTEXT(Overig!H872),Overig!H872,10*Overig!H872),""",""????0;"",""???-0;"",""????0;"", ////"""),"'","""")&amp;SUBSTITUTE(TEXT(Overig!I872,""",""?00;"",""?-00;"",""?00;"", //"""),"'","""")</f>
        <v>081, 19201017, 08.00, 7468, 00, ////, 07, ////, 07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//"""),"'","""")&amp;SUBSTITUTE(TEXT(IF(ISTEXT(Overig!H873),Overig!H873,10*Overig!H873),""",""????0;"",""???-0;"",""????0;"", ////"""),"'","""")&amp;SUBSTITUTE(TEXT(Overig!I873,""",""?00;"",""?-00;"",""?00;"", //"""),"'","""")</f>
        <v>081, 19201017, 14.00, 7463, 00, ////, 07, ////, 07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//"""),"'","""")&amp;SUBSTITUTE(TEXT(IF(ISTEXT(Overig!H874),Overig!H874,10*Overig!H874),""",""????0;"",""???-0;"",""????0;"", ////"""),"'","""")&amp;SUBSTITUTE(TEXT(Overig!I874,""",""?00;"",""?-00;"",""?00;"", //"""),"'","""")</f>
        <v>081, 19201017, 24.00, ////, 07,  280, 00,  300,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//"""),"'","""")&amp;SUBSTITUTE(TEXT(IF(ISTEXT(Overig!H875),Overig!H875,10*Overig!H875),""",""????0;"",""???-0;"",""????0;"", ////"""),"'","""")&amp;SUBSTITUTE(TEXT(Overig!I875,""",""?00;"",""?-00;"",""?00;"", //"""),"'","""")</f>
        <v>081, 19201018, 08.00, 7465, 00, ////, 07, ////, 07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//"""),"'","""")&amp;SUBSTITUTE(TEXT(IF(ISTEXT(Overig!H876),Overig!H876,10*Overig!H876),""",""????0;"",""???-0;"",""????0;"", ////"""),"'","""")&amp;SUBSTITUTE(TEXT(Overig!I876,""",""?00;"",""?-00;"",""?00;"", //"""),"'","""")</f>
        <v>081, 19201018, 14.00, 7460, 00, ////, 07, ////, 07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//"""),"'","""")&amp;SUBSTITUTE(TEXT(IF(ISTEXT(Overig!H877),Overig!H877,10*Overig!H877),""",""????0;"",""???-0;"",""????0;"", ////"""),"'","""")&amp;SUBSTITUTE(TEXT(Overig!I877,""",""?00;"",""?-00;"",""?00;"", //"""),"'","""")</f>
        <v>081, 19201018, 24.00, ////, 07,  283, 00,  310,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//"""),"'","""")&amp;SUBSTITUTE(TEXT(IF(ISTEXT(Overig!H878),Overig!H878,10*Overig!H878),""",""????0;"",""???-0;"",""????0;"", ////"""),"'","""")&amp;SUBSTITUTE(TEXT(Overig!I878,""",""?00;"",""?-00;"",""?00;"", //"""),"'","""")</f>
        <v>081, 19201019, 08.00, 7460, 00, ////, 07, ////, 07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//"""),"'","""")&amp;SUBSTITUTE(TEXT(IF(ISTEXT(Overig!H879),Overig!H879,10*Overig!H879),""",""????0;"",""???-0;"",""????0;"", ////"""),"'","""")&amp;SUBSTITUTE(TEXT(Overig!I879,""",""?00;"",""?-00;"",""?00;"", //"""),"'","""")</f>
        <v>081, 19201019, 14.00, 7456, 00, ////, 07, ////, 07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//"""),"'","""")&amp;SUBSTITUTE(TEXT(IF(ISTEXT(Overig!H880),Overig!H880,10*Overig!H880),""",""????0;"",""???-0;"",""????0;"", ////"""),"'","""")&amp;SUBSTITUTE(TEXT(Overig!I880,""",""?00;"",""?-00;"",""?00;"", //"""),"'","""")</f>
        <v>081, 19201019, 24.00, ////, 07,  283, 00,  305,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//"""),"'","""")&amp;SUBSTITUTE(TEXT(IF(ISTEXT(Overig!H881),Overig!H881,10*Overig!H881),""",""????0;"",""???-0;"",""????0;"", ////"""),"'","""")&amp;SUBSTITUTE(TEXT(Overig!I881,""",""?00;"",""?-00;"",""?00;"", //"""),"'","""")</f>
        <v>081, 19201020, 08.00, 7445, 00, ////, 07, ////, 07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//"""),"'","""")&amp;SUBSTITUTE(TEXT(IF(ISTEXT(Overig!H882),Overig!H882,10*Overig!H882),""",""????0;"",""???-0;"",""????0;"", ////"""),"'","""")&amp;SUBSTITUTE(TEXT(Overig!I882,""",""?00;"",""?-00;"",""?00;"", //"""),"'","""")</f>
        <v>081, 19201020, 14.00, 7450, 00, ////, 07, ////, 07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//"""),"'","""")&amp;SUBSTITUTE(TEXT(IF(ISTEXT(Overig!H883),Overig!H883,10*Overig!H883),""",""????0;"",""???-0;"",""????0;"", ////"""),"'","""")&amp;SUBSTITUTE(TEXT(Overig!I883,""",""?00;"",""?-00;"",""?00;"", //"""),"'","""")</f>
        <v>081, 19201020, 24.00, ////, 07,  270, 00,  280,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//"""),"'","""")&amp;SUBSTITUTE(TEXT(IF(ISTEXT(Overig!H884),Overig!H884,10*Overig!H884),""",""????0;"",""???-0;"",""????0;"", ////"""),"'","""")&amp;SUBSTITUTE(TEXT(Overig!I884,""",""?00;"",""?-00;"",""?00;"", //"""),"'","""")</f>
        <v>081, 19201021, 08.00, 7460, 00, ////, 07, ////, 07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//"""),"'","""")&amp;SUBSTITUTE(TEXT(IF(ISTEXT(Overig!H885),Overig!H885,10*Overig!H885),""",""????0;"",""???-0;"",""????0;"", ////"""),"'","""")&amp;SUBSTITUTE(TEXT(Overig!I885,""",""?00;"",""?-00;"",""?00;"", //"""),"'","""")</f>
        <v>081, 19201021, 14.00, 7455, 00, ////, 07, ////, 07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//"""),"'","""")&amp;SUBSTITUTE(TEXT(IF(ISTEXT(Overig!H886),Overig!H886,10*Overig!H886),""",""????0;"",""???-0;"",""????0;"", ////"""),"'","""")&amp;SUBSTITUTE(TEXT(Overig!I886,""",""?00;"",""?-00;"",""?00;"", //"""),"'","""")</f>
        <v>081, 19201021, 24.00, ////, 07,  270, 00,  285,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//"""),"'","""")&amp;SUBSTITUTE(TEXT(IF(ISTEXT(Overig!H887),Overig!H887,10*Overig!H887),""",""????0;"",""???-0;"",""????0;"", ////"""),"'","""")&amp;SUBSTITUTE(TEXT(Overig!I887,""",""?00;"",""?-00;"",""?00;"", //"""),"'","""")</f>
        <v>081, 19201022, 08.00, 7450, 00, ////, 07, ////, 07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//"""),"'","""")&amp;SUBSTITUTE(TEXT(IF(ISTEXT(Overig!H888),Overig!H888,10*Overig!H888),""",""????0;"",""???-0;"",""????0;"", ////"""),"'","""")&amp;SUBSTITUTE(TEXT(Overig!I888,""",""?00;"",""?-00;"",""?00;"", //"""),"'","""")</f>
        <v>081, 19201022, 14.00, 7444, 00, ////, 07, ////, 07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//"""),"'","""")&amp;SUBSTITUTE(TEXT(IF(ISTEXT(Overig!H889),Overig!H889,10*Overig!H889),""",""????0;"",""???-0;"",""????0;"", ////"""),"'","""")&amp;SUBSTITUTE(TEXT(Overig!I889,""",""?00;"",""?-00;"",""?00;"", //"""),"'","""")</f>
        <v>081, 19201022, 24.00, ////, 07,  260, 00,  285,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//"""),"'","""")&amp;SUBSTITUTE(TEXT(IF(ISTEXT(Overig!H890),Overig!H890,10*Overig!H890),""",""????0;"",""???-0;"",""????0;"", ////"""),"'","""")&amp;SUBSTITUTE(TEXT(Overig!I890,""",""?00;"",""?-00;"",""?00;"", //"""),"'","""")</f>
        <v>081, 19201023, 08.00, 7450, 00, ////, 07, ////, 07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//"""),"'","""")&amp;SUBSTITUTE(TEXT(IF(ISTEXT(Overig!H891),Overig!H891,10*Overig!H891),""",""????0;"",""???-0;"",""????0;"", ////"""),"'","""")&amp;SUBSTITUTE(TEXT(Overig!I891,""",""?00;"",""?-00;"",""?00;"", //"""),"'","""")</f>
        <v>081, 19201023, 14.00, 7430, 00, ////, 07, ////, 07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//"""),"'","""")&amp;SUBSTITUTE(TEXT(IF(ISTEXT(Overig!H892),Overig!H892,10*Overig!H892),""",""????0;"",""???-0;"",""????0;"", ////"""),"'","""")&amp;SUBSTITUTE(TEXT(Overig!I892,""",""?00;"",""?-00;"",""?00;"", //"""),"'","""")</f>
        <v>081, 19201023, 24.00, ////, 07,  270, 00,  280,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//"""),"'","""")&amp;SUBSTITUTE(TEXT(IF(ISTEXT(Overig!H893),Overig!H893,10*Overig!H893),""",""????0;"",""???-0;"",""????0;"", ////"""),"'","""")&amp;SUBSTITUTE(TEXT(Overig!I893,""",""?00;"",""?-00;"",""?00;"", //"""),"'","""")</f>
        <v>081, 19201024, 08.00, 7450, 00, ////, 07, ////, 07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//"""),"'","""")&amp;SUBSTITUTE(TEXT(IF(ISTEXT(Overig!H894),Overig!H894,10*Overig!H894),""",""????0;"",""???-0;"",""????0;"", ////"""),"'","""")&amp;SUBSTITUTE(TEXT(Overig!I894,""",""?00;"",""?-00;"",""?00;"", //"""),"'","""")</f>
        <v>081, 19201024, 14.00, 7440, 00, ////, 07, ////, 07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//"""),"'","""")&amp;SUBSTITUTE(TEXT(IF(ISTEXT(Overig!H895),Overig!H895,10*Overig!H895),""",""????0;"",""???-0;"",""????0;"", ////"""),"'","""")&amp;SUBSTITUTE(TEXT(Overig!I895,""",""?00;"",""?-00;"",""?00;"", //"""),"'","""")</f>
        <v>081, 19201024, 24.00, ////, 07,  270, 00,  280,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//"""),"'","""")&amp;SUBSTITUTE(TEXT(IF(ISTEXT(Overig!H896),Overig!H896,10*Overig!H896),""",""????0;"",""???-0;"",""????0;"", ////"""),"'","""")&amp;SUBSTITUTE(TEXT(Overig!I896,""",""?00;"",""?-00;"",""?00;"", //"""),"'","""")</f>
        <v>081, 19201025, 08.00, 7459, 00, ////, 07, ////, 07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//"""),"'","""")&amp;SUBSTITUTE(TEXT(IF(ISTEXT(Overig!H897),Overig!H897,10*Overig!H897),""",""????0;"",""???-0;"",""????0;"", ////"""),"'","""")&amp;SUBSTITUTE(TEXT(Overig!I897,""",""?00;"",""?-00;"",""?00;"", //"""),"'","""")</f>
        <v>081, 19201025, 14.00, 7447, 00, ////, 07, ////, 07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//"""),"'","""")&amp;SUBSTITUTE(TEXT(IF(ISTEXT(Overig!H898),Overig!H898,10*Overig!H898),""",""????0;"",""???-0;"",""????0;"", ////"""),"'","""")&amp;SUBSTITUTE(TEXT(Overig!I898,""",""?00;"",""?-00;"",""?00;"", //"""),"'","""")</f>
        <v>081, 19201025, 24.00, ////, 07,  275, 00,  280,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//"""),"'","""")&amp;SUBSTITUTE(TEXT(IF(ISTEXT(Overig!H899),Overig!H899,10*Overig!H899),""",""????0;"",""???-0;"",""????0;"", ////"""),"'","""")&amp;SUBSTITUTE(TEXT(Overig!I899,""",""?00;"",""?-00;"",""?00;"", //"""),"'","""")</f>
        <v>081, 19201026, 08.00, 7455, 00, ////, 07, ////, 07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//"""),"'","""")&amp;SUBSTITUTE(TEXT(IF(ISTEXT(Overig!H900),Overig!H900,10*Overig!H900),""",""????0;"",""???-0;"",""????0;"", ////"""),"'","""")&amp;SUBSTITUTE(TEXT(Overig!I900,""",""?00;"",""?-00;"",""?00;"", //"""),"'","""")</f>
        <v>081, 19201026, 14.00, 7450, 00, ////, 07, ////, 07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//"""),"'","""")&amp;SUBSTITUTE(TEXT(IF(ISTEXT(Overig!H901),Overig!H901,10*Overig!H901),""",""????0;"",""???-0;"",""????0;"", ////"""),"'","""")&amp;SUBSTITUTE(TEXT(Overig!I901,""",""?00;"",""?-00;"",""?00;"", //"""),"'","""")</f>
        <v>081, 19201026, 24.00, ////, 07,  270, 00,  285,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//"""),"'","""")&amp;SUBSTITUTE(TEXT(IF(ISTEXT(Overig!H902),Overig!H902,10*Overig!H902),""",""????0;"",""???-0;"",""????0;"", ////"""),"'","""")&amp;SUBSTITUTE(TEXT(Overig!I902,""",""?00;"",""?-00;"",""?00;"", //"""),"'","""")</f>
        <v>081, 19201027, 08.00, 7460, 00, ////, 07, ////, 07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//"""),"'","""")&amp;SUBSTITUTE(TEXT(IF(ISTEXT(Overig!H903),Overig!H903,10*Overig!H903),""",""????0;"",""???-0;"",""????0;"", ////"""),"'","""")&amp;SUBSTITUTE(TEXT(Overig!I903,""",""?00;"",""?-00;"",""?00;"", //"""),"'","""")</f>
        <v>081, 19201027, 14.00, 7450, 00, ////, 07, ////, 07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//"""),"'","""")&amp;SUBSTITUTE(TEXT(IF(ISTEXT(Overig!H904),Overig!H904,10*Overig!H904),""",""????0;"",""???-0;"",""????0;"", ////"""),"'","""")&amp;SUBSTITUTE(TEXT(Overig!I904,""",""?00;"",""?-00;"",""?00;"", //"""),"'","""")</f>
        <v>081, 19201027, 24.00, ////, 07,  265, 00,  270,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//"""),"'","""")&amp;SUBSTITUTE(TEXT(IF(ISTEXT(Overig!H905),Overig!H905,10*Overig!H905),""",""????0;"",""???-0;"",""????0;"", ////"""),"'","""")&amp;SUBSTITUTE(TEXT(Overig!I905,""",""?00;"",""?-00;"",""?00;"", //"""),"'","""")</f>
        <v>081, 19201028, 08.00, 7465, 00, ////, 07, ////, 07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//"""),"'","""")&amp;SUBSTITUTE(TEXT(IF(ISTEXT(Overig!H906),Overig!H906,10*Overig!H906),""",""????0;"",""???-0;"",""????0;"", ////"""),"'","""")&amp;SUBSTITUTE(TEXT(Overig!I906,""",""?00;"",""?-00;"",""?00;"", //"""),"'","""")</f>
        <v>081, 19201028, 14.00, 7445, 00, ////, 07, ////, 07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//"""),"'","""")&amp;SUBSTITUTE(TEXT(IF(ISTEXT(Overig!H907),Overig!H907,10*Overig!H907),""",""????0;"",""???-0;"",""????0;"", ////"""),"'","""")&amp;SUBSTITUTE(TEXT(Overig!I907,""",""?00;"",""?-00;"",""?00;"", //"""),"'","""")</f>
        <v>081, 19201028, 24.00, ////, 07,  260, 00,  275,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//"""),"'","""")&amp;SUBSTITUTE(TEXT(IF(ISTEXT(Overig!H908),Overig!H908,10*Overig!H908),""",""????0;"",""???-0;"",""????0;"", ////"""),"'","""")&amp;SUBSTITUTE(TEXT(Overig!I908,""",""?00;"",""?-00;"",""?00;"", //"""),"'","""")</f>
        <v>081, 19201029, 08.00, 7452, 00, ////, 07, ////, 07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//"""),"'","""")&amp;SUBSTITUTE(TEXT(IF(ISTEXT(Overig!H909),Overig!H909,10*Overig!H909),""",""????0;"",""???-0;"",""????0;"", ////"""),"'","""")&amp;SUBSTITUTE(TEXT(Overig!I909,""",""?00;"",""?-00;"",""?00;"", //"""),"'","""")</f>
        <v>081, 19201029, 14.00, 7445, 00, ////, 07, ////, 07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//"""),"'","""")&amp;SUBSTITUTE(TEXT(IF(ISTEXT(Overig!H910),Overig!H910,10*Overig!H910),""",""????0;"",""???-0;"",""????0;"", ////"""),"'","""")&amp;SUBSTITUTE(TEXT(Overig!I910,""",""?00;"",""?-00;"",""?00;"", //"""),"'","""")</f>
        <v>081, 19201029, 24.00, ////, 07,  270, 00,  280,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//"""),"'","""")&amp;SUBSTITUTE(TEXT(IF(ISTEXT(Overig!H911),Overig!H911,10*Overig!H911),""",""????0;"",""???-0;"",""????0;"", ////"""),"'","""")&amp;SUBSTITUTE(TEXT(Overig!I911,""",""?00;"",""?-00;"",""?00;"", //"""),"'","""")</f>
        <v>081, 19201030, 08.00, 7465, 00, ////, 07, ////, 07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//"""),"'","""")&amp;SUBSTITUTE(TEXT(IF(ISTEXT(Overig!H912),Overig!H912,10*Overig!H912),""",""????0;"",""???-0;"",""????0;"", ////"""),"'","""")&amp;SUBSTITUTE(TEXT(Overig!I912,""",""?00;"",""?-00;"",""?00;"", //"""),"'","""")</f>
        <v>081, 19201030, 14.00, 7460, 00, ////, 07, ////, 07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//"""),"'","""")&amp;SUBSTITUTE(TEXT(IF(ISTEXT(Overig!H913),Overig!H913,10*Overig!H913),""",""????0;"",""???-0;"",""????0;"", ////"""),"'","""")&amp;SUBSTITUTE(TEXT(Overig!I913,""",""?00;"",""?-00;"",""?00;"", //"""),"'","""")</f>
        <v>081, 19201030, 24.00, ////, 07,  270, 00,  290,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//"""),"'","""")&amp;SUBSTITUTE(TEXT(IF(ISTEXT(Overig!H914),Overig!H914,10*Overig!H914),""",""????0;"",""???-0;"",""????0;"", ////"""),"'","""")&amp;SUBSTITUTE(TEXT(Overig!I914,""",""?00;"",""?-00;"",""?00;"", //"""),"'","""")</f>
        <v>081, 19201031, 08.00, 7460, 00, ////, 07, ////, 07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//"""),"'","""")&amp;SUBSTITUTE(TEXT(IF(ISTEXT(Overig!H915),Overig!H915,10*Overig!H915),""",""????0;"",""???-0;"",""????0;"", ////"""),"'","""")&amp;SUBSTITUTE(TEXT(Overig!I915,""",""?00;"",""?-00;"",""?00;"", //"""),"'","""")</f>
        <v>081, 19201031, 14.00, 7455, 00, ////, 07, ////, 07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//"""),"'","""")&amp;SUBSTITUTE(TEXT(IF(ISTEXT(Overig!H916),Overig!H916,10*Overig!H916),""",""????0;"",""???-0;"",""????0;"", ////"""),"'","""")&amp;SUBSTITUTE(TEXT(Overig!I916,""",""?00;"",""?-00;"",""?00;"", //"""),"'","""")</f>
        <v>081, 19201031, 24.00, ////, 07,  240, 00,  245,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//"""),"'","""")&amp;SUBSTITUTE(TEXT(IF(ISTEXT(Overig!H917),Overig!H917,10*Overig!H917),""",""????0;"",""???-0;"",""????0;"", ////"""),"'","""")&amp;SUBSTITUTE(TEXT(Overig!I917,""",""?00;"",""?-00;"",""?00;"", //"""),"'","""")</f>
        <v>081, 19201101, 08.00, 7460, 00, ////, 07, ////, 07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//"""),"'","""")&amp;SUBSTITUTE(TEXT(IF(ISTEXT(Overig!H918),Overig!H918,10*Overig!H918),""",""????0;"",""???-0;"",""????0;"", ////"""),"'","""")&amp;SUBSTITUTE(TEXT(Overig!I918,""",""?00;"",""?-00;"",""?00;"", //"""),"'","""")</f>
        <v>081, 19201101, 14.00, 7445, 00, ////, 07, ////, 07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//"""),"'","""")&amp;SUBSTITUTE(TEXT(IF(ISTEXT(Overig!H919),Overig!H919,10*Overig!H919),""",""????0;"",""???-0;"",""????0;"", ////"""),"'","""")&amp;SUBSTITUTE(TEXT(Overig!I919,""",""?00;"",""?-00;"",""?00;"", //"""),"'","""")</f>
        <v>081, 19201101, 24.00, ////, 07,  245, 00,  270,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//"""),"'","""")&amp;SUBSTITUTE(TEXT(IF(ISTEXT(Overig!H920),Overig!H920,10*Overig!H920),""",""????0;"",""???-0;"",""????0;"", ////"""),"'","""")&amp;SUBSTITUTE(TEXT(Overig!I920,""",""?00;"",""?-00;"",""?00;"", //"""),"'","""")</f>
        <v>081, 19201102, 08.00, 7460, 00, ////, 07, ////, 07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//"""),"'","""")&amp;SUBSTITUTE(TEXT(IF(ISTEXT(Overig!H921),Overig!H921,10*Overig!H921),""",""????0;"",""???-0;"",""????0;"", ////"""),"'","""")&amp;SUBSTITUTE(TEXT(Overig!I921,""",""?00;"",""?-00;"",""?00;"", //"""),"'","""")</f>
        <v>081, 19201102, 14.00, 7455, 00, ////, 07, ////, 07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//"""),"'","""")&amp;SUBSTITUTE(TEXT(IF(ISTEXT(Overig!H922),Overig!H922,10*Overig!H922),""",""????0;"",""???-0;"",""????0;"", ////"""),"'","""")&amp;SUBSTITUTE(TEXT(Overig!I922,""",""?00;"",""?-00;"",""?00;"", //"""),"'","""")</f>
        <v>081, 19201102, 24.00, ////, 07,  260, 00,  288,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//"""),"'","""")&amp;SUBSTITUTE(TEXT(IF(ISTEXT(Overig!H923),Overig!H923,10*Overig!H923),""",""????0;"",""???-0;"",""????0;"", ////"""),"'","""")&amp;SUBSTITUTE(TEXT(Overig!I923,""",""?00;"",""?-00;"",""?00;"", //"""),"'","""")</f>
        <v>081, 19201103, 08.00, 7450, 00, ////, 07, ////, 07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//"""),"'","""")&amp;SUBSTITUTE(TEXT(IF(ISTEXT(Overig!H924),Overig!H924,10*Overig!H924),""",""????0;"",""???-0;"",""????0;"", ////"""),"'","""")&amp;SUBSTITUTE(TEXT(Overig!I924,""",""?00;"",""?-00;"",""?00;"", //"""),"'","""")</f>
        <v>081, 19201103, 14.00, 7442, 00, ////, 07, ////, 07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//"""),"'","""")&amp;SUBSTITUTE(TEXT(IF(ISTEXT(Overig!H925),Overig!H925,10*Overig!H925),""",""????0;"",""???-0;"",""????0;"", ////"""),"'","""")&amp;SUBSTITUTE(TEXT(Overig!I925,""",""?00;"",""?-00;"",""?00;"", //"""),"'","""")</f>
        <v>081, 19201103, 24.00, ////, 07,  230, 00,  245,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//"""),"'","""")&amp;SUBSTITUTE(TEXT(IF(ISTEXT(Overig!H926),Overig!H926,10*Overig!H926),""",""????0;"",""???-0;"",""????0;"", ////"""),"'","""")&amp;SUBSTITUTE(TEXT(Overig!I926,""",""?00;"",""?-00;"",""?00;"", //"""),"'","""")</f>
        <v>081, 19201104, 08.00, 7460, 00, ////, 07, ////, 07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//"""),"'","""")&amp;SUBSTITUTE(TEXT(IF(ISTEXT(Overig!H927),Overig!H927,10*Overig!H927),""",""????0;"",""???-0;"",""????0;"", ////"""),"'","""")&amp;SUBSTITUTE(TEXT(Overig!I927,""",""?00;"",""?-00;"",""?00;"", //"""),"'","""")</f>
        <v>081, 19201104, 14.00, 7454, 00, ////, 07, ////, 07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//"""),"'","""")&amp;SUBSTITUTE(TEXT(IF(ISTEXT(Overig!H928),Overig!H928,10*Overig!H928),""",""????0;"",""???-0;"",""????0;"", ////"""),"'","""")&amp;SUBSTITUTE(TEXT(Overig!I928,""",""?00;"",""?-00;"",""?00;"", //"""),"'","""")</f>
        <v>081, 19201104, 24.00, ////, 07,  250, 00,  280,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//"""),"'","""")&amp;SUBSTITUTE(TEXT(IF(ISTEXT(Overig!H929),Overig!H929,10*Overig!H929),""",""????0;"",""???-0;"",""????0;"", ////"""),"'","""")&amp;SUBSTITUTE(TEXT(Overig!I929,""",""?00;"",""?-00;"",""?00;"", //"""),"'","""")</f>
        <v>081, 19201105, 08.00, 7470, 00, ////, 07, ////, 07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//"""),"'","""")&amp;SUBSTITUTE(TEXT(IF(ISTEXT(Overig!H930),Overig!H930,10*Overig!H930),""",""????0;"",""???-0;"",""????0;"", ////"""),"'","""")&amp;SUBSTITUTE(TEXT(Overig!I930,""",""?00;"",""?-00;"",""?00;"", //"""),"'","""")</f>
        <v>081, 19201105, 14.00, 7465, 00, ////, 07, ////, 07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//"""),"'","""")&amp;SUBSTITUTE(TEXT(IF(ISTEXT(Overig!H931),Overig!H931,10*Overig!H931),""",""????0;"",""???-0;"",""????0;"", ////"""),"'","""")&amp;SUBSTITUTE(TEXT(Overig!I931,""",""?00;"",""?-00;"",""?00;"", //"""),"'","""")</f>
        <v>081, 19201105, 24.00, ////, 07,  260, 00,  280,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//"""),"'","""")&amp;SUBSTITUTE(TEXT(IF(ISTEXT(Overig!H932),Overig!H932,10*Overig!H932),""",""????0;"",""???-0;"",""????0;"", ////"""),"'","""")&amp;SUBSTITUTE(TEXT(Overig!I932,""",""?00;"",""?-00;"",""?00;"", //"""),"'","""")</f>
        <v>081, 19201106, 08.00, 7475, 00, ////, 07, ////, 07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//"""),"'","""")&amp;SUBSTITUTE(TEXT(IF(ISTEXT(Overig!H933),Overig!H933,10*Overig!H933),""",""????0;"",""???-0;"",""????0;"", ////"""),"'","""")&amp;SUBSTITUTE(TEXT(Overig!I933,""",""?00;"",""?-00;"",""?00;"", //"""),"'","""")</f>
        <v>081, 19201106, 14.00, 7465, 00, ////, 07, ////, 07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//"""),"'","""")&amp;SUBSTITUTE(TEXT(IF(ISTEXT(Overig!H934),Overig!H934,10*Overig!H934),""",""????0;"",""???-0;"",""????0;"", ////"""),"'","""")&amp;SUBSTITUTE(TEXT(Overig!I934,""",""?00;"",""?-00;"",""?00;"", //"""),"'","""")</f>
        <v>081, 19201106, 24.00, ////, 07,  260, 00,  290,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//"""),"'","""")&amp;SUBSTITUTE(TEXT(IF(ISTEXT(Overig!H935),Overig!H935,10*Overig!H935),""",""????0;"",""???-0;"",""????0;"", ////"""),"'","""")&amp;SUBSTITUTE(TEXT(Overig!I935,""",""?00;"",""?-00;"",""?00;"", //"""),"'","""")</f>
        <v>081, 19201107, 08.00, 7475, 00, ////, 07, ////, 07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//"""),"'","""")&amp;SUBSTITUTE(TEXT(IF(ISTEXT(Overig!H936),Overig!H936,10*Overig!H936),""",""????0;"",""???-0;"",""????0;"", ////"""),"'","""")&amp;SUBSTITUTE(TEXT(Overig!I936,""",""?00;"",""?-00;"",""?00;"", //"""),"'","""")</f>
        <v>081, 19201107, 14.00, 7460, 00, ////, 07, ////, 07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//"""),"'","""")&amp;SUBSTITUTE(TEXT(IF(ISTEXT(Overig!H937),Overig!H937,10*Overig!H937),""",""????0;"",""???-0;"",""????0;"", ////"""),"'","""")&amp;SUBSTITUTE(TEXT(Overig!I937,""",""?00;"",""?-00;"",""?00;"", //"""),"'","""")</f>
        <v>081, 19201107, 24.00, ////, 07,  265, 00,  298,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//"""),"'","""")&amp;SUBSTITUTE(TEXT(IF(ISTEXT(Overig!H938),Overig!H938,10*Overig!H938),""",""????0;"",""???-0;"",""????0;"", ////"""),"'","""")&amp;SUBSTITUTE(TEXT(Overig!I938,""",""?00;"",""?-00;"",""?00;"", //"""),"'","""")</f>
        <v>081, 19201108, 08.00, 7470, 00, ////, 07, ////, 07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//"""),"'","""")&amp;SUBSTITUTE(TEXT(IF(ISTEXT(Overig!H939),Overig!H939,10*Overig!H939),""",""????0;"",""???-0;"",""????0;"", ////"""),"'","""")&amp;SUBSTITUTE(TEXT(Overig!I939,""",""?00;"",""?-00;"",""?00;"", //"""),"'","""")</f>
        <v>081, 19201108, 14.00, 7465, 00, ////, 07, ////, 07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//"""),"'","""")&amp;SUBSTITUTE(TEXT(IF(ISTEXT(Overig!H940),Overig!H940,10*Overig!H940),""",""????0;"",""???-0;"",""????0;"", ////"""),"'","""")&amp;SUBSTITUTE(TEXT(Overig!I940,""",""?00;"",""?-00;"",""?00;"", //"""),"'","""")</f>
        <v>081, 19201108, 24.00, ////, 07,  260, 00,  290,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//"""),"'","""")&amp;SUBSTITUTE(TEXT(IF(ISTEXT(Overig!H941),Overig!H941,10*Overig!H941),""",""????0;"",""???-0;"",""????0;"", ////"""),"'","""")&amp;SUBSTITUTE(TEXT(Overig!I941,""",""?00;"",""?-00;"",""?00;"", //"""),"'","""")</f>
        <v>081, 19201109, 08.00, 7480, 00, ////, 07, ////, 07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//"""),"'","""")&amp;SUBSTITUTE(TEXT(IF(ISTEXT(Overig!H942),Overig!H942,10*Overig!H942),""",""????0;"",""???-0;"",""????0;"", ////"""),"'","""")&amp;SUBSTITUTE(TEXT(Overig!I942,""",""?00;"",""?-00;"",""?00;"", //"""),"'","""")</f>
        <v>081, 19201109, 14.00, 7475, 00, ////, 07, ////, 07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//"""),"'","""")&amp;SUBSTITUTE(TEXT(IF(ISTEXT(Overig!H943),Overig!H943,10*Overig!H943),""",""????0;"",""???-0;"",""????0;"", ////"""),"'","""")&amp;SUBSTITUTE(TEXT(Overig!I943,""",""?00;"",""?-00;"",""?00;"", //"""),"'","""")</f>
        <v>081, 19201109, 24.00, ////, 07,  260, 00,  290,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//"""),"'","""")&amp;SUBSTITUTE(TEXT(IF(ISTEXT(Overig!H944),Overig!H944,10*Overig!H944),""",""????0;"",""???-0;"",""????0;"", ////"""),"'","""")&amp;SUBSTITUTE(TEXT(Overig!I944,""",""?00;"",""?-00;"",""?00;"", //"""),"'","""")</f>
        <v>081, 19201110, 08.00, 7475, 00, ////, 07, ////, 07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//"""),"'","""")&amp;SUBSTITUTE(TEXT(IF(ISTEXT(Overig!H945),Overig!H945,10*Overig!H945),""",""????0;"",""???-0;"",""????0;"", ////"""),"'","""")&amp;SUBSTITUTE(TEXT(Overig!I945,""",""?00;"",""?-00;"",""?00;"", //"""),"'","""")</f>
        <v>081, 19201110, 14.00, 7470, 00, ////, 07, ////, 07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//"""),"'","""")&amp;SUBSTITUTE(TEXT(IF(ISTEXT(Overig!H946),Overig!H946,10*Overig!H946),""",""????0;"",""???-0;"",""????0;"", ////"""),"'","""")&amp;SUBSTITUTE(TEXT(Overig!I946,""",""?00;"",""?-00;"",""?00;"", //"""),"'","""")</f>
        <v>081, 19201110, 24.00, ////, 07,  263, 00,  288,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//"""),"'","""")&amp;SUBSTITUTE(TEXT(IF(ISTEXT(Overig!H947),Overig!H947,10*Overig!H947),""",""????0;"",""???-0;"",""????0;"", ////"""),"'","""")&amp;SUBSTITUTE(TEXT(Overig!I947,""",""?00;"",""?-00;"",""?00;"", //"""),"'","""")</f>
        <v>081, 19201111, 08.00, 7470, 00, ////, 07, ////, 07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//"""),"'","""")&amp;SUBSTITUTE(TEXT(IF(ISTEXT(Overig!H948),Overig!H948,10*Overig!H948),""",""????0;"",""???-0;"",""????0;"", ////"""),"'","""")&amp;SUBSTITUTE(TEXT(Overig!I948,""",""?00;"",""?-00;"",""?00;"", //"""),"'","""")</f>
        <v>081, 19201111, 14.00, 7465, 00, ////, 07, ////, 07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//"""),"'","""")&amp;SUBSTITUTE(TEXT(IF(ISTEXT(Overig!H949),Overig!H949,10*Overig!H949),""",""????0;"",""???-0;"",""????0;"", ////"""),"'","""")&amp;SUBSTITUTE(TEXT(Overig!I949,""",""?00;"",""?-00;"",""?00;"", //"""),"'","""")</f>
        <v>081, 19201111, 24.00, ////, 07,  270, 00,  290,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//"""),"'","""")&amp;SUBSTITUTE(TEXT(IF(ISTEXT(Overig!H950),Overig!H950,10*Overig!H950),""",""????0;"",""???-0;"",""????0;"", ////"""),"'","""")&amp;SUBSTITUTE(TEXT(Overig!I950,""",""?00;"",""?-00;"",""?00;"", //"""),"'","""")</f>
        <v>081, 19201112, 08.00, 7476, 00, ////, 07, ////, 07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//"""),"'","""")&amp;SUBSTITUTE(TEXT(IF(ISTEXT(Overig!H951),Overig!H951,10*Overig!H951),""",""????0;"",""???-0;"",""????0;"", ////"""),"'","""")&amp;SUBSTITUTE(TEXT(Overig!I951,""",""?00;"",""?-00;"",""?00;"", //"""),"'","""")</f>
        <v>081, 19201112, 14.00, 7460, 00, ////, 07, ////, 07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//"""),"'","""")&amp;SUBSTITUTE(TEXT(IF(ISTEXT(Overig!H952),Overig!H952,10*Overig!H952),""",""????0;"",""???-0;"",""????0;"", ////"""),"'","""")&amp;SUBSTITUTE(TEXT(Overig!I952,""",""?00;"",""?-00;"",""?00;"", //"""),"'","""")</f>
        <v>081, 19201112, 24.00, ////, 07,  265, 00,  295,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//"""),"'","""")&amp;SUBSTITUTE(TEXT(IF(ISTEXT(Overig!H953),Overig!H953,10*Overig!H953),""",""????0;"",""???-0;"",""????0;"", ////"""),"'","""")&amp;SUBSTITUTE(TEXT(Overig!I953,""",""?00;"",""?-00;"",""?00;"", //"""),"'","""")</f>
        <v>081, 19201113, 08.00, 7475, 00, ////, 07, ////, 07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//"""),"'","""")&amp;SUBSTITUTE(TEXT(IF(ISTEXT(Overig!H954),Overig!H954,10*Overig!H954),""",""????0;"",""???-0;"",""????0;"", ////"""),"'","""")&amp;SUBSTITUTE(TEXT(Overig!I954,""",""?00;"",""?-00;"",""?00;"", //"""),"'","""")</f>
        <v>081, 19201113, 14.00, 7466, 00, ////, 07, ////, 07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//"""),"'","""")&amp;SUBSTITUTE(TEXT(IF(ISTEXT(Overig!H955),Overig!H955,10*Overig!H955),""",""????0;"",""???-0;"",""????0;"", ////"""),"'","""")&amp;SUBSTITUTE(TEXT(Overig!I955,""",""?00;"",""?-00;"",""?00;"", //"""),"'","""")</f>
        <v>081, 19201113, 24.00, ////, 07,  260, 00,  295,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//"""),"'","""")&amp;SUBSTITUTE(TEXT(IF(ISTEXT(Overig!H956),Overig!H956,10*Overig!H956),""",""????0;"",""???-0;"",""????0;"", ////"""),"'","""")&amp;SUBSTITUTE(TEXT(Overig!I956,""",""?00;"",""?-00;"",""?00;"", //"""),"'","""")</f>
        <v>081, 19201114, 08.00, 7472, 00, ////, 07, ////, 07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//"""),"'","""")&amp;SUBSTITUTE(TEXT(IF(ISTEXT(Overig!H957),Overig!H957,10*Overig!H957),""",""????0;"",""???-0;"",""????0;"", ////"""),"'","""")&amp;SUBSTITUTE(TEXT(Overig!I957,""",""?00;"",""?-00;"",""?00;"", //"""),"'","""")</f>
        <v>081, 19201114, 14.00, 7468, 00, ////, 07, ////, 07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//"""),"'","""")&amp;SUBSTITUTE(TEXT(IF(ISTEXT(Overig!H958),Overig!H958,10*Overig!H958),""",""????0;"",""???-0;"",""????0;"", ////"""),"'","""")&amp;SUBSTITUTE(TEXT(Overig!I958,""",""?00;"",""?-00;"",""?00;"", //"""),"'","""")</f>
        <v>081, 19201114, 24.00, ////, 07,  260, 00,  290,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//"""),"'","""")&amp;SUBSTITUTE(TEXT(IF(ISTEXT(Overig!H959),Overig!H959,10*Overig!H959),""",""????0;"",""???-0;"",""????0;"", ////"""),"'","""")&amp;SUBSTITUTE(TEXT(Overig!I959,""",""?00;"",""?-00;"",""?00;"", //"""),"'","""")</f>
        <v>081, 19201115, 08.00, 7470, 00, ////, 07, ////, 07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//"""),"'","""")&amp;SUBSTITUTE(TEXT(IF(ISTEXT(Overig!H960),Overig!H960,10*Overig!H960),""",""????0;"",""???-0;"",""????0;"", ////"""),"'","""")&amp;SUBSTITUTE(TEXT(Overig!I960,""",""?00;"",""?-00;"",""?00;"", //"""),"'","""")</f>
        <v>081, 19201115, 14.00, 7465, 00, ////, 07, ////, 07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//"""),"'","""")&amp;SUBSTITUTE(TEXT(IF(ISTEXT(Overig!H961),Overig!H961,10*Overig!H961),""",""????0;"",""???-0;"",""????0;"", ////"""),"'","""")&amp;SUBSTITUTE(TEXT(Overig!I961,""",""?00;"",""?-00;"",""?00;"", //"""),"'","""")</f>
        <v>081, 19201115, 24.00, ////, 07,  260, 00,  268,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//"""),"'","""")&amp;SUBSTITUTE(TEXT(IF(ISTEXT(Overig!H962),Overig!H962,10*Overig!H962),""",""????0;"",""???-0;"",""????0;"", ////"""),"'","""")&amp;SUBSTITUTE(TEXT(Overig!I962,""",""?00;"",""?-00;"",""?00;"", //"""),"'","""")</f>
        <v>081, 19201116, 08.00, 7471, 00, ////, 07, ////, 07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//"""),"'","""")&amp;SUBSTITUTE(TEXT(IF(ISTEXT(Overig!H963),Overig!H963,10*Overig!H963),""",""????0;"",""???-0;"",""????0;"", ////"""),"'","""")&amp;SUBSTITUTE(TEXT(Overig!I963,""",""?00;"",""?-00;"",""?00;"", //"""),"'","""")</f>
        <v>081, 19201116, 14.00, 7464, 00, ////, 07, ////, 07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//"""),"'","""")&amp;SUBSTITUTE(TEXT(IF(ISTEXT(Overig!H964),Overig!H964,10*Overig!H964),""",""????0;"",""???-0;"",""????0;"", ////"""),"'","""")&amp;SUBSTITUTE(TEXT(Overig!I964,""",""?00;"",""?-00;"",""?00;"", //"""),"'","""")</f>
        <v>081, 19201116, 24.00, ////, 07,  270, 00,  298,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//"""),"'","""")&amp;SUBSTITUTE(TEXT(IF(ISTEXT(Overig!H965),Overig!H965,10*Overig!H965),""",""????0;"",""???-0;"",""????0;"", ////"""),"'","""")&amp;SUBSTITUTE(TEXT(Overig!I965,""",""?00;"",""?-00;"",""?00;"", //"""),"'","""")</f>
        <v>081, 19201117, 08.00, 7470, 00, ////, 07, ////, 07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//"""),"'","""")&amp;SUBSTITUTE(TEXT(IF(ISTEXT(Overig!H966),Overig!H966,10*Overig!H966),""",""????0;"",""???-0;"",""????0;"", ////"""),"'","""")&amp;SUBSTITUTE(TEXT(Overig!I966,""",""?00;"",""?-00;"",""?00;"", //"""),"'","""")</f>
        <v>081, 19201117, 14.00, 7465, 00, ////, 07, ////, 07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//"""),"'","""")&amp;SUBSTITUTE(TEXT(IF(ISTEXT(Overig!H967),Overig!H967,10*Overig!H967),""",""????0;"",""???-0;"",""????0;"", ////"""),"'","""")&amp;SUBSTITUTE(TEXT(Overig!I967,""",""?00;"",""?-00;"",""?00;"", //"""),"'","""")</f>
        <v>081, 19201117, 24.00, ////, 07,  270, 00,  285,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//"""),"'","""")&amp;SUBSTITUTE(TEXT(IF(ISTEXT(Overig!H968),Overig!H968,10*Overig!H968),""",""????0;"",""???-0;"",""????0;"", ////"""),"'","""")&amp;SUBSTITUTE(TEXT(Overig!I968,""",""?00;"",""?-00;"",""?00;"", //"""),"'","""")</f>
        <v>081, 19201118, 08.00, 7469, 00, ////, 07, ////, 07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//"""),"'","""")&amp;SUBSTITUTE(TEXT(IF(ISTEXT(Overig!H969),Overig!H969,10*Overig!H969),""",""????0;"",""???-0;"",""????0;"", ////"""),"'","""")&amp;SUBSTITUTE(TEXT(Overig!I969,""",""?00;"",""?-00;"",""?00;"", //"""),"'","""")</f>
        <v>081, 19201118, 14.00, 7465, 00, ////, 07, ////, 07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//"""),"'","""")&amp;SUBSTITUTE(TEXT(IF(ISTEXT(Overig!H970),Overig!H970,10*Overig!H970),""",""????0;"",""???-0;"",""????0;"", ////"""),"'","""")&amp;SUBSTITUTE(TEXT(Overig!I970,""",""?00;"",""?-00;"",""?00;"", //"""),"'","""")</f>
        <v>081, 19201118, 24.00, ////, 07,  255, 00,  270,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//"""),"'","""")&amp;SUBSTITUTE(TEXT(IF(ISTEXT(Overig!H971),Overig!H971,10*Overig!H971),""",""????0;"",""???-0;"",""????0;"", ////"""),"'","""")&amp;SUBSTITUTE(TEXT(Overig!I971,""",""?00;"",""?-00;"",""?00;"", //"""),"'","""")</f>
        <v>081, 19201119, 08.00, 7466, 00, ////, 07, ////, 07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//"""),"'","""")&amp;SUBSTITUTE(TEXT(IF(ISTEXT(Overig!H972),Overig!H972,10*Overig!H972),""",""????0;"",""???-0;"",""????0;"", ////"""),"'","""")&amp;SUBSTITUTE(TEXT(Overig!I972,""",""?00;"",""?-00;"",""?00;"", //"""),"'","""")</f>
        <v>081, 19201119, 14.00, 7460, 00, ////, 07, ////, 07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//"""),"'","""")&amp;SUBSTITUTE(TEXT(IF(ISTEXT(Overig!H973),Overig!H973,10*Overig!H973),""",""????0;"",""???-0;"",""????0;"", ////"""),"'","""")&amp;SUBSTITUTE(TEXT(Overig!I973,""",""?00;"",""?-00;"",""?00;"", //"""),"'","""")</f>
        <v>081, 19201119, 24.00, ////, 07,  253, 00,  265,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//"""),"'","""")&amp;SUBSTITUTE(TEXT(IF(ISTEXT(Overig!H974),Overig!H974,10*Overig!H974),""",""????0;"",""???-0;"",""????0;"", ////"""),"'","""")&amp;SUBSTITUTE(TEXT(Overig!I974,""",""?00;"",""?-00;"",""?00;"", //"""),"'","""")</f>
        <v>081, 19201120, 08.00, 7470, 00, ////, 07, ////, 07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//"""),"'","""")&amp;SUBSTITUTE(TEXT(IF(ISTEXT(Overig!H975),Overig!H975,10*Overig!H975),""",""????0;"",""???-0;"",""????0;"", ////"""),"'","""")&amp;SUBSTITUTE(TEXT(Overig!I975,""",""?00;"",""?-00;"",""?00;"", //"""),"'","""")</f>
        <v>081, 19201120, 14.00, 7460, 00, ////, 07, ////, 07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//"""),"'","""")&amp;SUBSTITUTE(TEXT(IF(ISTEXT(Overig!H976),Overig!H976,10*Overig!H976),""",""????0;"",""???-0;"",""????0;"", ////"""),"'","""")&amp;SUBSTITUTE(TEXT(Overig!I976,""",""?00;"",""?-00;"",""?00;"", //"""),"'","""")</f>
        <v>081, 19201120, 24.00, ////, 07,  250, 00,  288,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//"""),"'","""")&amp;SUBSTITUTE(TEXT(IF(ISTEXT(Overig!H977),Overig!H977,10*Overig!H977),""",""????0;"",""???-0;"",""????0;"", ////"""),"'","""")&amp;SUBSTITUTE(TEXT(Overig!I977,""",""?00;"",""?-00;"",""?00;"", //"""),"'","""")</f>
        <v>081, 19201121, 08.00, 7485, 00, ////, 07, ////, 07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//"""),"'","""")&amp;SUBSTITUTE(TEXT(IF(ISTEXT(Overig!H978),Overig!H978,10*Overig!H978),""",""????0;"",""???-0;"",""????0;"", ////"""),"'","""")&amp;SUBSTITUTE(TEXT(Overig!I978,""",""?00;"",""?-00;"",""?00;"", //"""),"'","""")</f>
        <v>081, 19201121, 14.00, 7470, 00, ////, 07, ////, 07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//"""),"'","""")&amp;SUBSTITUTE(TEXT(IF(ISTEXT(Overig!H979),Overig!H979,10*Overig!H979),""",""????0;"",""???-0;"",""????0;"", ////"""),"'","""")&amp;SUBSTITUTE(TEXT(Overig!I979,""",""?00;"",""?-00;"",""?00;"", //"""),"'","""")</f>
        <v>081, 19201121, 24.00, ////, 07,  270, 00,  290,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//"""),"'","""")&amp;SUBSTITUTE(TEXT(IF(ISTEXT(Overig!H980),Overig!H980,10*Overig!H980),""",""????0;"",""???-0;"",""????0;"", ////"""),"'","""")&amp;SUBSTITUTE(TEXT(Overig!I980,""",""?00;"",""?-00;"",""?00;"", //"""),"'","""")</f>
        <v>081, 19201122, 08.00, 7486, 00, ////, 07, ////, 07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//"""),"'","""")&amp;SUBSTITUTE(TEXT(IF(ISTEXT(Overig!H981),Overig!H981,10*Overig!H981),""",""????0;"",""???-0;"",""????0;"", ////"""),"'","""")&amp;SUBSTITUTE(TEXT(Overig!I981,""",""?00;"",""?-00;"",""?00;"", //"""),"'","""")</f>
        <v>081, 19201122, 14.00, 7470, 00, ////, 07, ////, 07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//"""),"'","""")&amp;SUBSTITUTE(TEXT(IF(ISTEXT(Overig!H982),Overig!H982,10*Overig!H982),""",""????0;"",""???-0;"",""????0;"", ////"""),"'","""")&amp;SUBSTITUTE(TEXT(Overig!I982,""",""?00;"",""?-00;"",""?00;"", //"""),"'","""")</f>
        <v>081, 19201122, 24.00, ////, 07,  270, 00,  290,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//"""),"'","""")&amp;SUBSTITUTE(TEXT(IF(ISTEXT(Overig!H983),Overig!H983,10*Overig!H983),""",""????0;"",""???-0;"",""????0;"", ////"""),"'","""")&amp;SUBSTITUTE(TEXT(Overig!I983,""",""?00;"",""?-00;"",""?00;"", //"""),"'","""")</f>
        <v>081, 19201123, 08.00, 7484, 00, ////, 07, ////, 07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//"""),"'","""")&amp;SUBSTITUTE(TEXT(IF(ISTEXT(Overig!H984),Overig!H984,10*Overig!H984),""",""????0;"",""???-0;"",""????0;"", ////"""),"'","""")&amp;SUBSTITUTE(TEXT(Overig!I984,""",""?00;"",""?-00;"",""?00;"", //"""),"'","""")</f>
        <v>081, 19201123, 14.00, 7472, 00, ////, 07, ////, 07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//"""),"'","""")&amp;SUBSTITUTE(TEXT(IF(ISTEXT(Overig!H985),Overig!H985,10*Overig!H985),""",""????0;"",""???-0;"",""????0;"", ////"""),"'","""")&amp;SUBSTITUTE(TEXT(Overig!I985,""",""?00;"",""?-00;"",""?00;"", //"""),"'","""")</f>
        <v>081, 19201123, 24.00, ////, 07,  260, 00,  285,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//"""),"'","""")&amp;SUBSTITUTE(TEXT(IF(ISTEXT(Overig!H986),Overig!H986,10*Overig!H986),""",""????0;"",""???-0;"",""????0;"", ////"""),"'","""")&amp;SUBSTITUTE(TEXT(Overig!I986,""",""?00;"",""?-00;"",""?00;"", //"""),"'","""")</f>
        <v>081, 19201124, 08.00, 7485, 00, ////, 07, ////, 07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//"""),"'","""")&amp;SUBSTITUTE(TEXT(IF(ISTEXT(Overig!H987),Overig!H987,10*Overig!H987),""",""????0;"",""???-0;"",""????0;"", ////"""),"'","""")&amp;SUBSTITUTE(TEXT(Overig!I987,""",""?00;"",""?-00;"",""?00;"", //"""),"'","""")</f>
        <v>081, 19201124, 14.00, 7470, 00, ////, 07, ////, 07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//"""),"'","""")&amp;SUBSTITUTE(TEXT(IF(ISTEXT(Overig!H988),Overig!H988,10*Overig!H988),""",""????0;"",""???-0;"",""????0;"", ////"""),"'","""")&amp;SUBSTITUTE(TEXT(Overig!I988,""",""?00;"",""?-00;"",""?00;"", //"""),"'","""")</f>
        <v>081, 19201124, 24.00, ////, 07,  270, 00,  290,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//"""),"'","""")&amp;SUBSTITUTE(TEXT(IF(ISTEXT(Overig!H989),Overig!H989,10*Overig!H989),""",""????0;"",""???-0;"",""????0;"", ////"""),"'","""")&amp;SUBSTITUTE(TEXT(Overig!I989,""",""?00;"",""?-00;"",""?00;"", //"""),"'","""")</f>
        <v>081, 19201125, 08.00, 7489, 00, ////, 07, ////, 07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//"""),"'","""")&amp;SUBSTITUTE(TEXT(IF(ISTEXT(Overig!H990),Overig!H990,10*Overig!H990),""",""????0;"",""???-0;"",""????0;"", ////"""),"'","""")&amp;SUBSTITUTE(TEXT(Overig!I990,""",""?00;"",""?-00;"",""?00;"", //"""),"'","""")</f>
        <v>081, 19201125, 14.00, 7475, 00, ////, 07, ////, 07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//"""),"'","""")&amp;SUBSTITUTE(TEXT(IF(ISTEXT(Overig!H991),Overig!H991,10*Overig!H991),""",""????0;"",""???-0;"",""????0;"", ////"""),"'","""")&amp;SUBSTITUTE(TEXT(Overig!I991,""",""?00;"",""?-00;"",""?00;"", //"""),"'","""")</f>
        <v>081, 19201125, 24.00, ////, 07,  270, 00,  293,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//"""),"'","""")&amp;SUBSTITUTE(TEXT(IF(ISTEXT(Overig!H992),Overig!H992,10*Overig!H992),""",""????0;"",""???-0;"",""????0;"", ////"""),"'","""")&amp;SUBSTITUTE(TEXT(Overig!I992,""",""?00;"",""?-00;"",""?00;"", //"""),"'","""")</f>
        <v>081, 19201126, 08.00, 7483, 00, ////, 07, ////, 07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//"""),"'","""")&amp;SUBSTITUTE(TEXT(IF(ISTEXT(Overig!H993),Overig!H993,10*Overig!H993),""",""????0;"",""???-0;"",""????0;"", ////"""),"'","""")&amp;SUBSTITUTE(TEXT(Overig!I993,""",""?00;"",""?-00;"",""?00;"", //"""),"'","""")</f>
        <v>081, 19201126, 14.00, 7477, 00, ////, 07, ////, 07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//"""),"'","""")&amp;SUBSTITUTE(TEXT(IF(ISTEXT(Overig!H994),Overig!H994,10*Overig!H994),""",""????0;"",""???-0;"",""????0;"", ////"""),"'","""")&amp;SUBSTITUTE(TEXT(Overig!I994,""",""?00;"",""?-00;"",""?00;"", //"""),"'","""")</f>
        <v>081, 19201126, 24.00, ////, 07,  280, 00,  300,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//"""),"'","""")&amp;SUBSTITUTE(TEXT(IF(ISTEXT(Overig!H995),Overig!H995,10*Overig!H995),""",""????0;"",""???-0;"",""????0;"", ////"""),"'","""")&amp;SUBSTITUTE(TEXT(Overig!I995,""",""?00;"",""?-00;"",""?00;"", //"""),"'","""")</f>
        <v>081, 19201127, 08.00, 7496, 00, ////, 07, ////, 07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//"""),"'","""")&amp;SUBSTITUTE(TEXT(IF(ISTEXT(Overig!H996),Overig!H996,10*Overig!H996),""",""????0;"",""???-0;"",""????0;"", ////"""),"'","""")&amp;SUBSTITUTE(TEXT(Overig!I996,""",""?00;"",""?-00;"",""?00;"", //"""),"'","""")</f>
        <v>081, 19201127, 14.00, 7486, 00, ////, 07, ////, 07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//"""),"'","""")&amp;SUBSTITUTE(TEXT(IF(ISTEXT(Overig!H997),Overig!H997,10*Overig!H997),""",""????0;"",""???-0;"",""????0;"", ////"""),"'","""")&amp;SUBSTITUTE(TEXT(Overig!I997,""",""?00;"",""?-00;"",""?00;"", //"""),"'","""")</f>
        <v>081, 19201127, 24.00, ////, 07,  265, 00,  290,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//"""),"'","""")&amp;SUBSTITUTE(TEXT(IF(ISTEXT(Overig!H998),Overig!H998,10*Overig!H998),""",""????0;"",""???-0;"",""????0;"", ////"""),"'","""")&amp;SUBSTITUTE(TEXT(Overig!I998,""",""?00;"",""?-00;"",""?00;"", //"""),"'","""")</f>
        <v>081, 19201128, 08.00, 7494, 00, ////, 07, ////, 07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//"""),"'","""")&amp;SUBSTITUTE(TEXT(IF(ISTEXT(Overig!H999),Overig!H999,10*Overig!H999),""",""????0;"",""???-0;"",""????0;"", ////"""),"'","""")&amp;SUBSTITUTE(TEXT(Overig!I999,""",""?00;"",""?-00;"",""?00;"", //"""),"'","""")</f>
        <v>081, 19201128, 14.00, 7485, 00, ////, 07, ////, 07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//"""),"'","""")&amp;SUBSTITUTE(TEXT(IF(ISTEXT(Overig!H1000),Overig!H1000,10*Overig!H1000),""",""????0;"",""???-0;"",""????0;"", ////"""),"'","""")&amp;SUBSTITUTE(TEXT(Overig!I1000,""",""?00;"",""?-00;"",""?00;"", //"""),"'","""")</f>
        <v>081, 19201128, 24.00, ////, 07,  260, 00,  290,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//"""),"'","""")&amp;SUBSTITUTE(TEXT(IF(ISTEXT(Overig!H1001),Overig!H1001,10*Overig!H1001),""",""????0;"",""???-0;"",""????0;"", ////"""),"'","""")&amp;SUBSTITUTE(TEXT(Overig!I1001,""",""?00;"",""?-00;"",""?00;"", //"""),"'","""")</f>
        <v>081, 19201129, 08.00, 7495, 00, ////, 07, ////, 07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//"""),"'","""")&amp;SUBSTITUTE(TEXT(IF(ISTEXT(Overig!H1002),Overig!H1002,10*Overig!H1002),""",""????0;"",""???-0;"",""????0;"", ////"""),"'","""")&amp;SUBSTITUTE(TEXT(Overig!I1002,""",""?00;"",""?-00;"",""?00;"", //"""),"'","""")</f>
        <v>081, 19201129, 14.00, 7490, 00, ////, 07, ////, 07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//"""),"'","""")&amp;SUBSTITUTE(TEXT(IF(ISTEXT(Overig!H1003),Overig!H1003,10*Overig!H1003),""",""????0;"",""???-0;"",""????0;"", ////"""),"'","""")&amp;SUBSTITUTE(TEXT(Overig!I1003,""",""?00;"",""?-00;"",""?00;"", //"""),"'","""")</f>
        <v>081, 19201129, 24.00, ////, 07,  260, 00,  290,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//"""),"'","""")&amp;SUBSTITUTE(TEXT(IF(ISTEXT(Overig!H1004),Overig!H1004,10*Overig!H1004),""",""????0;"",""???-0;"",""????0;"", ////"""),"'","""")&amp;SUBSTITUTE(TEXT(Overig!I1004,""",""?00;"",""?-00;"",""?00;"", //"""),"'","""")</f>
        <v>081, 19201130, 08.00, 7485, 00, ////, 07, ////, 07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//"""),"'","""")&amp;SUBSTITUTE(TEXT(IF(ISTEXT(Overig!H1005),Overig!H1005,10*Overig!H1005),""",""????0;"",""???-0;"",""????0;"", ////"""),"'","""")&amp;SUBSTITUTE(TEXT(Overig!I1005,""",""?00;"",""?-00;"",""?00;"", //"""),"'","""")</f>
        <v>081, 19201130, 14.00, 7480, 00, ////, 07, ////, 07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//"""),"'","""")&amp;SUBSTITUTE(TEXT(IF(ISTEXT(Overig!H1006),Overig!H1006,10*Overig!H1006),""",""????0;"",""???-0;"",""????0;"", ////"""),"'","""")&amp;SUBSTITUTE(TEXT(Overig!I1006,""",""?00;"",""?-00;"",""?00;"", //"""),"'","""")</f>
        <v>081, 19201130, 24.00, ////, 07,  260, 00,  280,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//"""),"'","""")&amp;SUBSTITUTE(TEXT(IF(ISTEXT(Overig!H1007),Overig!H1007,10*Overig!H1007),""",""????0;"",""???-0;"",""????0;"", ////"""),"'","""")&amp;SUBSTITUTE(TEXT(Overig!I1007,""",""?00;"",""?-00;"",""?00;"", //"""),"'","""")</f>
        <v>081, 19201201, 08.00, 7490, 00, ////, 07, ////, 07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//"""),"'","""")&amp;SUBSTITUTE(TEXT(IF(ISTEXT(Overig!H1008),Overig!H1008,10*Overig!H1008),""",""????0;"",""???-0;"",""????0;"", ////"""),"'","""")&amp;SUBSTITUTE(TEXT(Overig!I1008,""",""?00;"",""?-00;"",""?00;"", //"""),"'","""")</f>
        <v>081, 19201201, 14.00, 7485, 00, ////, 07, ////, 07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//"""),"'","""")&amp;SUBSTITUTE(TEXT(IF(ISTEXT(Overig!H1009),Overig!H1009,10*Overig!H1009),""",""????0;"",""???-0;"",""????0;"", ////"""),"'","""")&amp;SUBSTITUTE(TEXT(Overig!I1009,""",""?00;"",""?-00;"",""?00;"", //"""),"'","""")</f>
        <v>081, 19201201, 24.00, ////, 07,  260, 00,  280,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//"""),"'","""")&amp;SUBSTITUTE(TEXT(IF(ISTEXT(Overig!H1010),Overig!H1010,10*Overig!H1010),""",""????0;"",""???-0;"",""????0;"", ////"""),"'","""")&amp;SUBSTITUTE(TEXT(Overig!I1010,""",""?00;"",""?-00;"",""?00;"", //"""),"'","""")</f>
        <v>081, 19201202, 08.00, 7485, 00, ////, 07, ////, 07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//"""),"'","""")&amp;SUBSTITUTE(TEXT(IF(ISTEXT(Overig!H1011),Overig!H1011,10*Overig!H1011),""",""????0;"",""???-0;"",""????0;"", ////"""),"'","""")&amp;SUBSTITUTE(TEXT(Overig!I1011,""",""?00;"",""?-00;"",""?00;"", //"""),"'","""")</f>
        <v>081, 19201202, 14.00, 7480, 00, ////, 07, ////, 07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//"""),"'","""")&amp;SUBSTITUTE(TEXT(IF(ISTEXT(Overig!H1012),Overig!H1012,10*Overig!H1012),""",""????0;"",""???-0;"",""????0;"", ////"""),"'","""")&amp;SUBSTITUTE(TEXT(Overig!I1012,""",""?00;"",""?-00;"",""?00;"", //"""),"'","""")</f>
        <v>081, 19201202, 24.00, ////, 07,  260, 00,  280,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//"""),"'","""")&amp;SUBSTITUTE(TEXT(IF(ISTEXT(Overig!H1013),Overig!H1013,10*Overig!H1013),""",""????0;"",""???-0;"",""????0;"", ////"""),"'","""")&amp;SUBSTITUTE(TEXT(Overig!I1013,""",""?00;"",""?-00;"",""?00;"", //"""),"'","""")</f>
        <v>081, 19201203, 08.00, 7475, 00, ////, 07, ////, 07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//"""),"'","""")&amp;SUBSTITUTE(TEXT(IF(ISTEXT(Overig!H1014),Overig!H1014,10*Overig!H1014),""",""????0;"",""???-0;"",""????0;"", ////"""),"'","""")&amp;SUBSTITUTE(TEXT(Overig!I1014,""",""?00;"",""?-00;"",""?00;"", //"""),"'","""")</f>
        <v>081, 19201203, 14.00, 7470, 00, ////, 07, ////, 07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//"""),"'","""")&amp;SUBSTITUTE(TEXT(IF(ISTEXT(Overig!H1015),Overig!H1015,10*Overig!H1015),""",""????0;"",""???-0;"",""????0;"", ////"""),"'","""")&amp;SUBSTITUTE(TEXT(Overig!I1015,""",""?00;"",""?-00;"",""?00;"", //"""),"'","""")</f>
        <v>081, 19201203, 24.00, ////, 07,  250, 00,  270,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//"""),"'","""")&amp;SUBSTITUTE(TEXT(IF(ISTEXT(Overig!H1016),Overig!H1016,10*Overig!H1016),""",""????0;"",""???-0;"",""????0;"", ////"""),"'","""")&amp;SUBSTITUTE(TEXT(Overig!I1016,""",""?00;"",""?-00;"",""?00;"", //"""),"'","""")</f>
        <v>081, 19201204, 08.00, 7485, 00, ////, 07, ////, 07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//"""),"'","""")&amp;SUBSTITUTE(TEXT(IF(ISTEXT(Overig!H1017),Overig!H1017,10*Overig!H1017),""",""????0;"",""???-0;"",""????0;"", ////"""),"'","""")&amp;SUBSTITUTE(TEXT(Overig!I1017,""",""?00;"",""?-00;"",""?00;"", //"""),"'","""")</f>
        <v>081, 19201204, 14.00, 7470, 00, ////, 07, ////, 07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//"""),"'","""")&amp;SUBSTITUTE(TEXT(IF(ISTEXT(Overig!H1018),Overig!H1018,10*Overig!H1018),""",""????0;"",""???-0;"",""????0;"", ////"""),"'","""")&amp;SUBSTITUTE(TEXT(Overig!I1018,""",""?00;"",""?-00;"",""?00;"", //"""),"'","""")</f>
        <v>081, 19201204, 24.00, ////, 07,  250, 00,  270,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//"""),"'","""")&amp;SUBSTITUTE(TEXT(IF(ISTEXT(Overig!H1019),Overig!H1019,10*Overig!H1019),""",""????0;"",""???-0;"",""????0;"", ////"""),"'","""")&amp;SUBSTITUTE(TEXT(Overig!I1019,""",""?00;"",""?-00;"",""?00;"", //"""),"'","""")</f>
        <v>081, 19201205, 08.00, 7465, 00, ////, 07, ////, 07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//"""),"'","""")&amp;SUBSTITUTE(TEXT(IF(ISTEXT(Overig!H1020),Overig!H1020,10*Overig!H1020),""",""????0;"",""???-0;"",""????0;"", ////"""),"'","""")&amp;SUBSTITUTE(TEXT(Overig!I1020,""",""?00;"",""?-00;"",""?00;"", //"""),"'","""")</f>
        <v>081, 19201205, 14.00, 7460, 00, ////, 07, ////, 07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//"""),"'","""")&amp;SUBSTITUTE(TEXT(IF(ISTEXT(Overig!H1021),Overig!H1021,10*Overig!H1021),""",""????0;"",""???-0;"",""????0;"", ////"""),"'","""")&amp;SUBSTITUTE(TEXT(Overig!I1021,""",""?00;"",""?-00;"",""?00;"", //"""),"'","""")</f>
        <v>081, 19201205, 24.00, ////, 07,  260, 00,  290,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//"""),"'","""")&amp;SUBSTITUTE(TEXT(IF(ISTEXT(Overig!H1022),Overig!H1022,10*Overig!H1022),""",""????0;"",""???-0;"",""????0;"", ////"""),"'","""")&amp;SUBSTITUTE(TEXT(Overig!I1022,""",""?00;"",""?-00;"",""?00;"", //"""),"'","""")</f>
        <v>081, 19201206, 08.00, 7460, 00, ////, 07, ////, 07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//"""),"'","""")&amp;SUBSTITUTE(TEXT(IF(ISTEXT(Overig!H1023),Overig!H1023,10*Overig!H1023),""",""????0;"",""???-0;"",""????0;"", ////"""),"'","""")&amp;SUBSTITUTE(TEXT(Overig!I1023,""",""?00;"",""?-00;"",""?00;"", //"""),"'","""")</f>
        <v>081, 19201206, 14.00, 7450, 00, ////, 07, ////, 07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//"""),"'","""")&amp;SUBSTITUTE(TEXT(IF(ISTEXT(Overig!H1024),Overig!H1024,10*Overig!H1024),""",""????0;"",""???-0;"",""????0;"", ////"""),"'","""")&amp;SUBSTITUTE(TEXT(Overig!I1024,""",""?00;"",""?-00;"",""?00;"", //"""),"'","""")</f>
        <v>081, 19201206, 24.00, ////, 07,  260, 00,  290,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//"""),"'","""")&amp;SUBSTITUTE(TEXT(IF(ISTEXT(Overig!H1025),Overig!H1025,10*Overig!H1025),""",""????0;"",""???-0;"",""????0;"", ////"""),"'","""")&amp;SUBSTITUTE(TEXT(Overig!I1025,""",""?00;"",""?-00;"",""?00;"", //"""),"'","""")</f>
        <v>081, 19201207, 08.00, 7465, 00, ////, 07, ////, 07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//"""),"'","""")&amp;SUBSTITUTE(TEXT(IF(ISTEXT(Overig!H1026),Overig!H1026,10*Overig!H1026),""",""????0;"",""???-0;"",""????0;"", ////"""),"'","""")&amp;SUBSTITUTE(TEXT(Overig!I1026,""",""?00;"",""?-00;"",""?00;"", //"""),"'","""")</f>
        <v>081, 19201207, 14.00, 7460, 00, ////, 07, ////, 07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//"""),"'","""")&amp;SUBSTITUTE(TEXT(IF(ISTEXT(Overig!H1027),Overig!H1027,10*Overig!H1027),""",""????0;"",""???-0;"",""????0;"", ////"""),"'","""")&amp;SUBSTITUTE(TEXT(Overig!I1027,""",""?00;"",""?-00;"",""?00;"", //"""),"'","""")</f>
        <v>081, 19201207, 24.00, ////, 07,  260, 00,  290,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//"""),"'","""")&amp;SUBSTITUTE(TEXT(IF(ISTEXT(Overig!H1028),Overig!H1028,10*Overig!H1028),""",""????0;"",""???-0;"",""????0;"", ////"""),"'","""")&amp;SUBSTITUTE(TEXT(Overig!I1028,""",""?00;"",""?-00;"",""?00;"", //"""),"'","""")</f>
        <v>081, 19201208, 08.00, 7475, 00, ////, 07, ////, 07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//"""),"'","""")&amp;SUBSTITUTE(TEXT(IF(ISTEXT(Overig!H1029),Overig!H1029,10*Overig!H1029),""",""????0;"",""???-0;"",""????0;"", ////"""),"'","""")&amp;SUBSTITUTE(TEXT(Overig!I1029,""",""?00;"",""?-00;"",""?00;"", //"""),"'","""")</f>
        <v>081, 19201208, 14.00, 7470, 00, ////, 07, ////, 07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//"""),"'","""")&amp;SUBSTITUTE(TEXT(IF(ISTEXT(Overig!H1030),Overig!H1030,10*Overig!H1030),""",""????0;"",""???-0;"",""????0;"", ////"""),"'","""")&amp;SUBSTITUTE(TEXT(Overig!I1030,""",""?00;"",""?-00;"",""?00;"", //"""),"'","""")</f>
        <v>081, 19201208, 24.00, ////, 07,  255, 00,  280,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//"""),"'","""")&amp;SUBSTITUTE(TEXT(IF(ISTEXT(Overig!H1031),Overig!H1031,10*Overig!H1031),""",""????0;"",""???-0;"",""????0;"", ////"""),"'","""")&amp;SUBSTITUTE(TEXT(Overig!I1031,""",""?00;"",""?-00;"",""?00;"", //"""),"'","""")</f>
        <v>081, 19201209, 08.00, 7480, 00, ////, 07, ////, 07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//"""),"'","""")&amp;SUBSTITUTE(TEXT(IF(ISTEXT(Overig!H1032),Overig!H1032,10*Overig!H1032),""",""????0;"",""???-0;"",""????0;"", ////"""),"'","""")&amp;SUBSTITUTE(TEXT(Overig!I1032,""",""?00;"",""?-00;"",""?00;"", //"""),"'","""")</f>
        <v>081, 19201209, 14.00, 7475, 00, ////, 07, ////, 07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//"""),"'","""")&amp;SUBSTITUTE(TEXT(IF(ISTEXT(Overig!H1033),Overig!H1033,10*Overig!H1033),""",""????0;"",""???-0;"",""????0;"", ////"""),"'","""")&amp;SUBSTITUTE(TEXT(Overig!I1033,""",""?00;"",""?-00;"",""?00;"", //"""),"'","""")</f>
        <v>081, 19201209, 24.00, ////, 07,  250, 00,  270,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//"""),"'","""")&amp;SUBSTITUTE(TEXT(IF(ISTEXT(Overig!H1034),Overig!H1034,10*Overig!H1034),""",""????0;"",""???-0;"",""????0;"", ////"""),"'","""")&amp;SUBSTITUTE(TEXT(Overig!I1034,""",""?00;"",""?-00;"",""?00;"", //"""),"'","""")</f>
        <v>081, 19201210, 08.00, 7476, 00, ////, 07, ////, 07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//"""),"'","""")&amp;SUBSTITUTE(TEXT(IF(ISTEXT(Overig!H1035),Overig!H1035,10*Overig!H1035),""",""????0;"",""???-0;"",""????0;"", ////"""),"'","""")&amp;SUBSTITUTE(TEXT(Overig!I1035,""",""?00;"",""?-00;"",""?00;"", //"""),"'","""")</f>
        <v>081, 19201210, 14.00, 7470, 00, ////, 07, ////, 07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//"""),"'","""")&amp;SUBSTITUTE(TEXT(IF(ISTEXT(Overig!H1036),Overig!H1036,10*Overig!H1036),""",""????0;"",""???-0;"",""????0;"", ////"""),"'","""")&amp;SUBSTITUTE(TEXT(Overig!I1036,""",""?00;"",""?-00;"",""?00;"", //"""),"'","""")</f>
        <v>081, 19201210, 24.00, ////, 07,  260, 00,  280,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//"""),"'","""")&amp;SUBSTITUTE(TEXT(IF(ISTEXT(Overig!H1037),Overig!H1037,10*Overig!H1037),""",""????0;"",""???-0;"",""????0;"", ////"""),"'","""")&amp;SUBSTITUTE(TEXT(Overig!I1037,""",""?00;"",""?-00;"",""?00;"", //"""),"'","""")</f>
        <v>081, 19201211, 08.00, 7473, 00, ////, 07, ////, 07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//"""),"'","""")&amp;SUBSTITUTE(TEXT(IF(ISTEXT(Overig!H1038),Overig!H1038,10*Overig!H1038),""",""????0;"",""???-0;"",""????0;"", ////"""),"'","""")&amp;SUBSTITUTE(TEXT(Overig!I1038,""",""?00;"",""?-00;"",""?00;"", //"""),"'","""")</f>
        <v>081, 19201211, 14.00, 7470, 00, ////, 07, ////, 07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//"""),"'","""")&amp;SUBSTITUTE(TEXT(IF(ISTEXT(Overig!H1039),Overig!H1039,10*Overig!H1039),""",""????0;"",""???-0;"",""????0;"", ////"""),"'","""")&amp;SUBSTITUTE(TEXT(Overig!I1039,""",""?00;"",""?-00;"",""?00;"", //"""),"'","""")</f>
        <v>081, 19201211, 24.00, ////, 07,  240, 00,  275,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//"""),"'","""")&amp;SUBSTITUTE(TEXT(IF(ISTEXT(Overig!H1040),Overig!H1040,10*Overig!H1040),""",""????0;"",""???-0;"",""????0;"", ////"""),"'","""")&amp;SUBSTITUTE(TEXT(Overig!I1040,""",""?00;"",""?-00;"",""?00;"", //"""),"'","""")</f>
        <v>081, 19201212, 08.00, 7476, 00, ////, 07, ////, 07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//"""),"'","""")&amp;SUBSTITUTE(TEXT(IF(ISTEXT(Overig!H1041),Overig!H1041,10*Overig!H1041),""",""????0;"",""???-0;"",""????0;"", ////"""),"'","""")&amp;SUBSTITUTE(TEXT(Overig!I1041,""",""?00;"",""?-00;"",""?00;"", //"""),"'","""")</f>
        <v>081, 19201212, 14.00, 7471, 00, ////, 07, ////, 07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//"""),"'","""")&amp;SUBSTITUTE(TEXT(IF(ISTEXT(Overig!H1042),Overig!H1042,10*Overig!H1042),""",""????0;"",""???-0;"",""????0;"", ////"""),"'","""")&amp;SUBSTITUTE(TEXT(Overig!I1042,""",""?00;"",""?-00;"",""?00;"", //"""),"'","""")</f>
        <v>081, 19201212, 24.00, ////, 07,  260, 00,  270,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//"""),"'","""")&amp;SUBSTITUTE(TEXT(IF(ISTEXT(Overig!H1043),Overig!H1043,10*Overig!H1043),""",""????0;"",""???-0;"",""????0;"", ////"""),"'","""")&amp;SUBSTITUTE(TEXT(Overig!I1043,""",""?00;"",""?-00;"",""?00;"", //"""),"'","""")</f>
        <v>081, 19201213, 08.00, 7474, 00, ////, 07, ////, 07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//"""),"'","""")&amp;SUBSTITUTE(TEXT(IF(ISTEXT(Overig!H1044),Overig!H1044,10*Overig!H1044),""",""????0;"",""???-0;"",""????0;"", ////"""),"'","""")&amp;SUBSTITUTE(TEXT(Overig!I1044,""",""?00;"",""?-00;"",""?00;"", //"""),"'","""")</f>
        <v>081, 19201213, 14.00, 7470, 00, ////, 07, ////, 07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//"""),"'","""")&amp;SUBSTITUTE(TEXT(IF(ISTEXT(Overig!H1045),Overig!H1045,10*Overig!H1045),""",""????0;"",""???-0;"",""????0;"", ////"""),"'","""")&amp;SUBSTITUTE(TEXT(Overig!I1045,""",""?00;"",""?-00;"",""?00;"", //"""),"'","""")</f>
        <v>081, 19201213, 24.00, ////, 07,  260, 00,  278,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//"""),"'","""")&amp;SUBSTITUTE(TEXT(IF(ISTEXT(Overig!H1046),Overig!H1046,10*Overig!H1046),""",""????0;"",""???-0;"",""????0;"", ////"""),"'","""")&amp;SUBSTITUTE(TEXT(Overig!I1046,""",""?00;"",""?-00;"",""?00;"", //"""),"'","""")</f>
        <v>081, 19201214, 08.00, 7472, 00, ////, 07, ////, 07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//"""),"'","""")&amp;SUBSTITUTE(TEXT(IF(ISTEXT(Overig!H1047),Overig!H1047,10*Overig!H1047),""",""????0;"",""???-0;"",""????0;"", ////"""),"'","""")&amp;SUBSTITUTE(TEXT(Overig!I1047,""",""?00;"",""?-00;"",""?00;"", //"""),"'","""")</f>
        <v>081, 19201214, 14.00, 7467, 00, ////, 07, ////, 07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//"""),"'","""")&amp;SUBSTITUTE(TEXT(IF(ISTEXT(Overig!H1048),Overig!H1048,10*Overig!H1048),""",""????0;"",""???-0;"",""????0;"", ////"""),"'","""")&amp;SUBSTITUTE(TEXT(Overig!I1048,""",""?00;"",""?-00;"",""?00;"", //"""),"'","""")</f>
        <v>081, 19201214, 24.00, ////, 07,  260, 00,  280,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//"""),"'","""")&amp;SUBSTITUTE(TEXT(IF(ISTEXT(Overig!H1049),Overig!H1049,10*Overig!H1049),""",""????0;"",""???-0;"",""????0;"", ////"""),"'","""")&amp;SUBSTITUTE(TEXT(Overig!I1049,""",""?00;"",""?-00;"",""?00;"", //"""),"'","""")</f>
        <v>081, 19201215, 08.00, 7470, 00, ////, 07, ////, 07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//"""),"'","""")&amp;SUBSTITUTE(TEXT(IF(ISTEXT(Overig!H1050),Overig!H1050,10*Overig!H1050),""",""????0;"",""???-0;"",""????0;"", ////"""),"'","""")&amp;SUBSTITUTE(TEXT(Overig!I1050,""",""?00;"",""?-00;"",""?00;"", //"""),"'","""")</f>
        <v>081, 19201215, 14.00, 7465, 00, ////, 07, ////, 07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//"""),"'","""")&amp;SUBSTITUTE(TEXT(IF(ISTEXT(Overig!H1051),Overig!H1051,10*Overig!H1051),""",""????0;"",""???-0;"",""????0;"", ////"""),"'","""")&amp;SUBSTITUTE(TEXT(Overig!I1051,""",""?00;"",""?-00;"",""?00;"", //"""),"'","""")</f>
        <v>081, 19201215, 24.00, ////, 07,  250, 00,  270,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//"""),"'","""")&amp;SUBSTITUTE(TEXT(IF(ISTEXT(Overig!H1052),Overig!H1052,10*Overig!H1052),""",""????0;"",""???-0;"",""????0;"", ////"""),"'","""")&amp;SUBSTITUTE(TEXT(Overig!I1052,""",""?00;"",""?-00;"",""?00;"", //"""),"'","""")</f>
        <v>081, 19201216, 08.00, 7465, 00, ////, 07, ////, 07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//"""),"'","""")&amp;SUBSTITUTE(TEXT(IF(ISTEXT(Overig!H1053),Overig!H1053,10*Overig!H1053),""",""????0;"",""???-0;"",""????0;"", ////"""),"'","""")&amp;SUBSTITUTE(TEXT(Overig!I1053,""",""?00;"",""?-00;"",""?00;"", //"""),"'","""")</f>
        <v>081, 19201216, 14.00, 7460, 00, ////, 07, ////, 07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//"""),"'","""")&amp;SUBSTITUTE(TEXT(IF(ISTEXT(Overig!H1054),Overig!H1054,10*Overig!H1054),""",""????0;"",""???-0;"",""????0;"", ////"""),"'","""")&amp;SUBSTITUTE(TEXT(Overig!I1054,""",""?00;"",""?-00;"",""?00;"", //"""),"'","""")</f>
        <v>081, 19201216, 24.00, ////, 07,  260, 00,  285,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//"""),"'","""")&amp;SUBSTITUTE(TEXT(IF(ISTEXT(Overig!H1055),Overig!H1055,10*Overig!H1055),""",""????0;"",""???-0;"",""????0;"", ////"""),"'","""")&amp;SUBSTITUTE(TEXT(Overig!I1055,""",""?00;"",""?-00;"",""?00;"", //"""),"'","""")</f>
        <v>081, 19201217, 08.00, 7475, 00, ////, 07, ////, 07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//"""),"'","""")&amp;SUBSTITUTE(TEXT(IF(ISTEXT(Overig!H1056),Overig!H1056,10*Overig!H1056),""",""????0;"",""???-0;"",""????0;"", ////"""),"'","""")&amp;SUBSTITUTE(TEXT(Overig!I1056,""",""?00;"",""?-00;"",""?00;"", //"""),"'","""")</f>
        <v>081, 19201217, 14.00, 7470, 00, ////, 07, ////, 07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//"""),"'","""")&amp;SUBSTITUTE(TEXT(IF(ISTEXT(Overig!H1057),Overig!H1057,10*Overig!H1057),""",""????0;"",""???-0;"",""????0;"", ////"""),"'","""")&amp;SUBSTITUTE(TEXT(Overig!I1057,""",""?00;"",""?-00;"",""?00;"", //"""),"'","""")</f>
        <v>081, 19201217, 24.00, ////, 07,  250, 00,  270,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//"""),"'","""")&amp;SUBSTITUTE(TEXT(IF(ISTEXT(Overig!H1058),Overig!H1058,10*Overig!H1058),""",""????0;"",""???-0;"",""????0;"", ////"""),"'","""")&amp;SUBSTITUTE(TEXT(Overig!I1058,""",""?00;"",""?-00;"",""?00;"", //"""),"'","""")</f>
        <v>081, 19201218, 08.00, 7472, 00, ////, 07, ////, 07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//"""),"'","""")&amp;SUBSTITUTE(TEXT(IF(ISTEXT(Overig!H1059),Overig!H1059,10*Overig!H1059),""",""????0;"",""???-0;"",""????0;"", ////"""),"'","""")&amp;SUBSTITUTE(TEXT(Overig!I1059,""",""?00;"",""?-00;"",""?00;"", //"""),"'","""")</f>
        <v>081, 19201218, 14.00, 7470, 00, ////, 07, ////, 07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//"""),"'","""")&amp;SUBSTITUTE(TEXT(IF(ISTEXT(Overig!H1060),Overig!H1060,10*Overig!H1060),""",""????0;"",""???-0;"",""????0;"", ////"""),"'","""")&amp;SUBSTITUTE(TEXT(Overig!I1060,""",""?00;"",""?-00;"",""?00;"", //"""),"'","""")</f>
        <v>081, 19201218, 24.00, ////, 07,  258, 00,  275,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//"""),"'","""")&amp;SUBSTITUTE(TEXT(IF(ISTEXT(Overig!H1061),Overig!H1061,10*Overig!H1061),""",""????0;"",""???-0;"",""????0;"", ////"""),"'","""")&amp;SUBSTITUTE(TEXT(Overig!I1061,""",""?00;"",""?-00;"",""?00;"", //"""),"'","""")</f>
        <v>081, 19201219, 08.00, 7470, 00, ////, 07, ////, 07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//"""),"'","""")&amp;SUBSTITUTE(TEXT(IF(ISTEXT(Overig!H1062),Overig!H1062,10*Overig!H1062),""",""????0;"",""???-0;"",""????0;"", ////"""),"'","""")&amp;SUBSTITUTE(TEXT(Overig!I1062,""",""?00;"",""?-00;"",""?00;"", //"""),"'","""")</f>
        <v>081, 19201219, 14.00, 7460, 00, ////, 07, ////, 07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//"""),"'","""")&amp;SUBSTITUTE(TEXT(IF(ISTEXT(Overig!H1063),Overig!H1063,10*Overig!H1063),""",""????0;"",""???-0;"",""????0;"", ////"""),"'","""")&amp;SUBSTITUTE(TEXT(Overig!I1063,""",""?00;"",""?-00;"",""?00;"", //"""),"'","""")</f>
        <v>081, 19201219, 24.00, ////, 07,  240, 00,  270,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//"""),"'","""")&amp;SUBSTITUTE(TEXT(IF(ISTEXT(Overig!H1064),Overig!H1064,10*Overig!H1064),""",""????0;"",""???-0;"",""????0;"", ////"""),"'","""")&amp;SUBSTITUTE(TEXT(Overig!I1064,""",""?00;"",""?-00;"",""?00;"", //"""),"'","""")</f>
        <v>081, 19201220, 08.00, 7470, 00, ////, 07, ////, 07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//"""),"'","""")&amp;SUBSTITUTE(TEXT(IF(ISTEXT(Overig!H1065),Overig!H1065,10*Overig!H1065),""",""????0;"",""???-0;"",""????0;"", ////"""),"'","""")&amp;SUBSTITUTE(TEXT(Overig!I1065,""",""?00;"",""?-00;"",""?00;"", //"""),"'","""")</f>
        <v>081, 19201220, 14.00, 7465, 00, ////, 07, ////, 07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//"""),"'","""")&amp;SUBSTITUTE(TEXT(IF(ISTEXT(Overig!H1066),Overig!H1066,10*Overig!H1066),""",""????0;"",""???-0;"",""????0;"", ////"""),"'","""")&amp;SUBSTITUTE(TEXT(Overig!I1066,""",""?00;"",""?-00;"",""?00;"", //"""),"'","""")</f>
        <v>081, 19201220, 24.00, ////, 07,  250, 00,  270,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//"""),"'","""")&amp;SUBSTITUTE(TEXT(IF(ISTEXT(Overig!H1067),Overig!H1067,10*Overig!H1067),""",""????0;"",""???-0;"",""????0;"", ////"""),"'","""")&amp;SUBSTITUTE(TEXT(Overig!I1067,""",""?00;"",""?-00;"",""?00;"", //"""),"'","""")</f>
        <v>081, 19201221, 08.00, 7470, 00, ////, 07, ////, 07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//"""),"'","""")&amp;SUBSTITUTE(TEXT(IF(ISTEXT(Overig!H1068),Overig!H1068,10*Overig!H1068),""",""????0;"",""???-0;"",""????0;"", ////"""),"'","""")&amp;SUBSTITUTE(TEXT(Overig!I1068,""",""?00;"",""?-00;"",""?00;"", //"""),"'","""")</f>
        <v>081, 19201221, 14.00, 7464, 00, ////, 07, ////, 07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//"""),"'","""")&amp;SUBSTITUTE(TEXT(IF(ISTEXT(Overig!H1069),Overig!H1069,10*Overig!H1069),""",""????0;"",""???-0;"",""????0;"", ////"""),"'","""")&amp;SUBSTITUTE(TEXT(Overig!I1069,""",""?00;"",""?-00;"",""?00;"", //"""),"'","""")</f>
        <v>081, 19201221, 24.00, ////, 07,  255, 00,  270,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//"""),"'","""")&amp;SUBSTITUTE(TEXT(IF(ISTEXT(Overig!H1070),Overig!H1070,10*Overig!H1070),""",""????0;"",""???-0;"",""????0;"", ////"""),"'","""")&amp;SUBSTITUTE(TEXT(Overig!I1070,""",""?00;"",""?-00;"",""?00;"", //"""),"'","""")</f>
        <v>081, 19201222, 08.00, 7476, 00, ////, 07, ////, 07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//"""),"'","""")&amp;SUBSTITUTE(TEXT(IF(ISTEXT(Overig!H1071),Overig!H1071,10*Overig!H1071),""",""????0;"",""???-0;"",""????0;"", ////"""),"'","""")&amp;SUBSTITUTE(TEXT(Overig!I1071,""",""?00;"",""?-00;"",""?00;"", //"""),"'","""")</f>
        <v>081, 19201222, 14.00, 7470, 00, ////, 07, ////, 07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//"""),"'","""")&amp;SUBSTITUTE(TEXT(IF(ISTEXT(Overig!H1072),Overig!H1072,10*Overig!H1072),""",""????0;"",""???-0;"",""????0;"", ////"""),"'","""")&amp;SUBSTITUTE(TEXT(Overig!I1072,""",""?00;"",""?-00;"",""?00;"", //"""),"'","""")</f>
        <v>081, 19201222, 24.00, ////, 07,  260, 00,  273,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//"""),"'","""")&amp;SUBSTITUTE(TEXT(IF(ISTEXT(Overig!H1073),Overig!H1073,10*Overig!H1073),""",""????0;"",""???-0;"",""????0;"", ////"""),"'","""")&amp;SUBSTITUTE(TEXT(Overig!I1073,""",""?00;"",""?-00;"",""?00;"", //"""),"'","""")</f>
        <v>081, 19201223, 08.00, 7486, 00, ////, 07, ////, 07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//"""),"'","""")&amp;SUBSTITUTE(TEXT(IF(ISTEXT(Overig!H1074),Overig!H1074,10*Overig!H1074),""",""????0;"",""???-0;"",""????0;"", ////"""),"'","""")&amp;SUBSTITUTE(TEXT(Overig!I1074,""",""?00;"",""?-00;"",""?00;"", //"""),"'","""")</f>
        <v>081, 19201223, 14.00, 7482, 00, ////, 07, ////, 07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//"""),"'","""")&amp;SUBSTITUTE(TEXT(IF(ISTEXT(Overig!H1075),Overig!H1075,10*Overig!H1075),""",""????0;"",""???-0;"",""????0;"", ////"""),"'","""")&amp;SUBSTITUTE(TEXT(Overig!I1075,""",""?00;"",""?-00;"",""?00;"", //"""),"'","""")</f>
        <v>081, 19201223, 24.00, ////, 07,  240, 00,  263,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//"""),"'","""")&amp;SUBSTITUTE(TEXT(IF(ISTEXT(Overig!H1076),Overig!H1076,10*Overig!H1076),""",""????0;"",""???-0;"",""????0;"", ////"""),"'","""")&amp;SUBSTITUTE(TEXT(Overig!I1076,""",""?00;"",""?-00;"",""?00;"", //"""),"'","""")</f>
        <v>081, 19201224, 08.00, 7495, 00, ////, 07, ////, 07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//"""),"'","""")&amp;SUBSTITUTE(TEXT(IF(ISTEXT(Overig!H1077),Overig!H1077,10*Overig!H1077),""",""????0;"",""???-0;"",""????0;"", ////"""),"'","""")&amp;SUBSTITUTE(TEXT(Overig!I1077,""",""?00;"",""?-00;"",""?00;"", //"""),"'","""")</f>
        <v>081, 19201224, 14.00, 7481, 00, ////, 07, ////, 07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//"""),"'","""")&amp;SUBSTITUTE(TEXT(IF(ISTEXT(Overig!H1078),Overig!H1078,10*Overig!H1078),""",""????0;"",""???-0;"",""????0;"", ////"""),"'","""")&amp;SUBSTITUTE(TEXT(Overig!I1078,""",""?00;"",""?-00;"",""?00;"", //"""),"'","""")</f>
        <v>081, 19201224, 24.00, ////, 07,  240, 00,  253,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//"""),"'","""")&amp;SUBSTITUTE(TEXT(IF(ISTEXT(Overig!H1079),Overig!H1079,10*Overig!H1079),""",""????0;"",""???-0;"",""????0;"", ////"""),"'","""")&amp;SUBSTITUTE(TEXT(Overig!I1079,""",""?00;"",""?-00;"",""?00;"", //"""),"'","""")</f>
        <v>081, 19201225, 08.00, 7486, 00, ////, 07, ////, 07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//"""),"'","""")&amp;SUBSTITUTE(TEXT(IF(ISTEXT(Overig!H1080),Overig!H1080,10*Overig!H1080),""",""????0;"",""???-0;"",""????0;"", ////"""),"'","""")&amp;SUBSTITUTE(TEXT(Overig!I1080,""",""?00;"",""?-00;"",""?00;"", //"""),"'","""")</f>
        <v>081, 19201225, 14.00, 7482, 00, ////, 07, ////, 07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//"""),"'","""")&amp;SUBSTITUTE(TEXT(IF(ISTEXT(Overig!H1081),Overig!H1081,10*Overig!H1081),""",""????0;"",""???-0;"",""????0;"", ////"""),"'","""")&amp;SUBSTITUTE(TEXT(Overig!I1081,""",""?00;"",""?-00;"",""?00;"", //"""),"'","""")</f>
        <v>081, 19201225, 24.00, ////, 07,  250, 00,  270,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//"""),"'","""")&amp;SUBSTITUTE(TEXT(IF(ISTEXT(Overig!H1082),Overig!H1082,10*Overig!H1082),""",""????0;"",""???-0;"",""????0;"", ////"""),"'","""")&amp;SUBSTITUTE(TEXT(Overig!I1082,""",""?00;"",""?-00;"",""?00;"", //"""),"'","""")</f>
        <v>081, 19201226, 08.00, 7484, 00, ////, 07, ////, 07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//"""),"'","""")&amp;SUBSTITUTE(TEXT(IF(ISTEXT(Overig!H1083),Overig!H1083,10*Overig!H1083),""",""????0;"",""???-0;"",""????0;"", ////"""),"'","""")&amp;SUBSTITUTE(TEXT(Overig!I1083,""",""?00;"",""?-00;"",""?00;"", //"""),"'","""")</f>
        <v>081, 19201226, 14.00, 7470, 00, ////, 07, ////, 07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//"""),"'","""")&amp;SUBSTITUTE(TEXT(IF(ISTEXT(Overig!H1084),Overig!H1084,10*Overig!H1084),""",""????0;"",""???-0;"",""????0;"", ////"""),"'","""")&amp;SUBSTITUTE(TEXT(Overig!I1084,""",""?00;"",""?-00;"",""?00;"", //"""),"'","""")</f>
        <v>081, 19201226, 24.00, ////, 07,  260, 00,  280,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//"""),"'","""")&amp;SUBSTITUTE(TEXT(IF(ISTEXT(Overig!H1085),Overig!H1085,10*Overig!H1085),""",""????0;"",""???-0;"",""????0;"", ////"""),"'","""")&amp;SUBSTITUTE(TEXT(Overig!I1085,""",""?00;"",""?-00;"",""?00;"", //"""),"'","""")</f>
        <v>081, 19201227, 08.00, 7487, 00, ////, 07, ////, 07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//"""),"'","""")&amp;SUBSTITUTE(TEXT(IF(ISTEXT(Overig!H1086),Overig!H1086,10*Overig!H1086),""",""????0;"",""???-0;"",""????0;"", ////"""),"'","""")&amp;SUBSTITUTE(TEXT(Overig!I1086,""",""?00;"",""?-00;"",""?00;"", //"""),"'","""")</f>
        <v>081, 19201227, 14.00, 7482, 00, ////, 07, ////, 07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//"""),"'","""")&amp;SUBSTITUTE(TEXT(IF(ISTEXT(Overig!H1087),Overig!H1087,10*Overig!H1087),""",""????0;"",""???-0;"",""????0;"", ////"""),"'","""")&amp;SUBSTITUTE(TEXT(Overig!I1087,""",""?00;"",""?-00;"",""?00;"", //"""),"'","""")</f>
        <v>081, 19201227, 24.00, ////, 07,  260, 00,  280,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//"""),"'","""")&amp;SUBSTITUTE(TEXT(IF(ISTEXT(Overig!H1088),Overig!H1088,10*Overig!H1088),""",""????0;"",""???-0;"",""????0;"", ////"""),"'","""")&amp;SUBSTITUTE(TEXT(Overig!I1088,""",""?00;"",""?-00;"",""?00;"", //"""),"'","""")</f>
        <v>081, 19201228, 08.00, 7470, 00, ////, 07, ////, 07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//"""),"'","""")&amp;SUBSTITUTE(TEXT(IF(ISTEXT(Overig!H1089),Overig!H1089,10*Overig!H1089),""",""????0;"",""???-0;"",""????0;"", ////"""),"'","""")&amp;SUBSTITUTE(TEXT(Overig!I1089,""",""?00;"",""?-00;"",""?00;"", //"""),"'","""")</f>
        <v>081, 19201228, 14.00, 7475, 00, ////, 07, ////, 07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//"""),"'","""")&amp;SUBSTITUTE(TEXT(IF(ISTEXT(Overig!H1090),Overig!H1090,10*Overig!H1090),""",""????0;"",""???-0;"",""????0;"", ////"""),"'","""")&amp;SUBSTITUTE(TEXT(Overig!I1090,""",""?00;"",""?-00;"",""?00;"", //"""),"'","""")</f>
        <v>081, 19201228, 24.00, ////, 07,  240, 00,  265,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//"""),"'","""")&amp;SUBSTITUTE(TEXT(IF(ISTEXT(Overig!H1091),Overig!H1091,10*Overig!H1091),""",""????0;"",""???-0;"",""????0;"", ////"""),"'","""")&amp;SUBSTITUTE(TEXT(Overig!I1091,""",""?00;"",""?-00;"",""?00;"", //"""),"'","""")</f>
        <v>081, 19201229, 08.00, 7485, 00, ////, 07, ////, 07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//"""),"'","""")&amp;SUBSTITUTE(TEXT(IF(ISTEXT(Overig!H1092),Overig!H1092,10*Overig!H1092),""",""????0;"",""???-0;"",""????0;"", ////"""),"'","""")&amp;SUBSTITUTE(TEXT(Overig!I1092,""",""?00;"",""?-00;"",""?00;"", //"""),"'","""")</f>
        <v>081, 19201229, 14.00, 7470, 00, ////, 07, ////, 07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//"""),"'","""")&amp;SUBSTITUTE(TEXT(IF(ISTEXT(Overig!H1093),Overig!H1093,10*Overig!H1093),""",""????0;"",""???-0;"",""????0;"", ////"""),"'","""")&amp;SUBSTITUTE(TEXT(Overig!I1093,""",""?00;"",""?-00;"",""?00;"", //"""),"'","""")</f>
        <v>081, 19201229, 24.00, ////, 07,  240, 00,  275,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//"""),"'","""")&amp;SUBSTITUTE(TEXT(IF(ISTEXT(Overig!H1094),Overig!H1094,10*Overig!H1094),""",""????0;"",""???-0;"",""????0;"", ////"""),"'","""")&amp;SUBSTITUTE(TEXT(Overig!I1094,""",""?00;"",""?-00;"",""?00;"", //"""),"'","""")</f>
        <v>081, 19201230, 08.00, 7485, 00, ////, 07, ////, 07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//"""),"'","""")&amp;SUBSTITUTE(TEXT(IF(ISTEXT(Overig!H1095),Overig!H1095,10*Overig!H1095),""",""????0;"",""???-0;"",""????0;"", ////"""),"'","""")&amp;SUBSTITUTE(TEXT(Overig!I1095,""",""?00;"",""?-00;"",""?00;"", //"""),"'","""")</f>
        <v>081, 19201230, 14.00, 7470, 00, ////, 07, ////, 07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//"""),"'","""")&amp;SUBSTITUTE(TEXT(IF(ISTEXT(Overig!H1096),Overig!H1096,10*Overig!H1096),""",""????0;"",""???-0;"",""????0;"", ////"""),"'","""")&amp;SUBSTITUTE(TEXT(Overig!I1096,""",""?00;"",""?-00;"",""?00;"", //"""),"'","""")</f>
        <v>081, 19201230, 24.00, ////, 07,  250, 00,  265, 00</v>
      </c>
    </row>
    <row r="1097" spans="1:1" x14ac:dyDescent="0.25">
      <c r="A1097" s="25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//"""),"'","""")&amp;SUBSTITUTE(TEXT(IF(ISTEXT(Overig!H1097),Overig!H1097,10*Overig!H1097),""",""????0;"",""???-0;"",""????0;"", ////"""),"'","""")&amp;SUBSTITUTE(TEXT(Overig!I1097,""",""?00;"",""?-00;"",""?00;"", //"""),"'","""")</f>
        <v>081, 19201231, 08.00, 7462, 00, ////, 07, ////, 07</v>
      </c>
    </row>
    <row r="1098" spans="1:1" x14ac:dyDescent="0.25">
      <c r="A1098" s="25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//"""),"'","""")&amp;SUBSTITUTE(TEXT(IF(ISTEXT(Overig!H1098),Overig!H1098,10*Overig!H1098),""",""????0;"",""???-0;"",""????0;"", ////"""),"'","""")&amp;SUBSTITUTE(TEXT(Overig!I1098,""",""?00;"",""?-00;"",""?00;"", //"""),"'","""")</f>
        <v>081, 19201231, 14.00, 7468, 00, ////, 07, ////, 07</v>
      </c>
    </row>
    <row r="1099" spans="1:1" x14ac:dyDescent="0.25">
      <c r="A1099" s="25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//"""),"'","""")&amp;SUBSTITUTE(TEXT(IF(ISTEXT(Overig!H1099),Overig!H1099,10*Overig!H1099),""",""????0;"",""???-0;"",""????0;"", ////"""),"'","""")&amp;SUBSTITUTE(TEXT(Overig!I1099,""",""?00;"",""?-00;"",""?00;"", //"""),"'","""")</f>
        <v>081, 19201231, 24.00, ////, 07,  260, 00,  280,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Rudmer Jilderda</cp:lastModifiedBy>
  <dcterms:created xsi:type="dcterms:W3CDTF">2015-09-16T12:27:42Z</dcterms:created>
  <dcterms:modified xsi:type="dcterms:W3CDTF">2015-09-23T23:29:36Z</dcterms:modified>
</cp:coreProperties>
</file>